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337191\Documents\climate_migration\data\ipea\"/>
    </mc:Choice>
  </mc:AlternateContent>
  <xr:revisionPtr revIDLastSave="0" documentId="13_ncr:1_{BEB571A1-7353-480B-83BB-BEBEF562D419}" xr6:coauthVersionLast="47" xr6:coauthVersionMax="47" xr10:uidLastSave="{00000000-0000-0000-0000-000000000000}"/>
  <bookViews>
    <workbookView xWindow="-120" yWindow="-120" windowWidth="29040" windowHeight="15720" tabRatio="879" firstSheet="4" activeTab="13" xr2:uid="{364F9BAB-4F5F-4A27-8519-D3F67CA8312C}"/>
  </bookViews>
  <sheets>
    <sheet name="pib_mes_tot_2010" sheetId="14" r:id="rId1"/>
    <sheet name="pop_state" sheetId="9" r:id="rId2"/>
    <sheet name="pib_2010_state" sheetId="7" r:id="rId3"/>
    <sheet name="pib_var_state" sheetId="6" r:id="rId4"/>
    <sheet name="pop_mes" sheetId="8" r:id="rId5"/>
    <sheet name="serv_pub_mes" sheetId="2" r:id="rId6"/>
    <sheet name="serv_priv_mes" sheetId="3" r:id="rId7"/>
    <sheet name="ind_mes" sheetId="4" r:id="rId8"/>
    <sheet name="agr_mes" sheetId="5" r:id="rId9"/>
    <sheet name="gdp_tot_mes" sheetId="13" r:id="rId10"/>
    <sheet name="pop_mesorreg_interpol" sheetId="12" r:id="rId11"/>
    <sheet name="gdp_capita_mesorreg" sheetId="11" r:id="rId12"/>
    <sheet name="gdp_agr_share" sheetId="15" r:id="rId13"/>
    <sheet name="gdp_ind_share" sheetId="16" r:id="rId14"/>
    <sheet name="gdp_serv_share" sheetId="1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13" l="1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K138" i="16"/>
  <c r="J138" i="16"/>
  <c r="I138" i="16"/>
  <c r="H138" i="16"/>
  <c r="G138" i="16"/>
  <c r="F138" i="16"/>
  <c r="E138" i="16"/>
  <c r="D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K137" i="16"/>
  <c r="J137" i="16"/>
  <c r="I137" i="16"/>
  <c r="H137" i="16"/>
  <c r="G137" i="16"/>
  <c r="F137" i="16"/>
  <c r="E137" i="16"/>
  <c r="D137" i="16"/>
  <c r="Y136" i="16"/>
  <c r="X136" i="16"/>
  <c r="W136" i="16"/>
  <c r="V136" i="16"/>
  <c r="U136" i="16"/>
  <c r="T136" i="16"/>
  <c r="S136" i="16"/>
  <c r="R136" i="16"/>
  <c r="Q136" i="16"/>
  <c r="P136" i="16"/>
  <c r="O136" i="16"/>
  <c r="N136" i="16"/>
  <c r="M136" i="16"/>
  <c r="K136" i="16"/>
  <c r="J136" i="16"/>
  <c r="I136" i="16"/>
  <c r="H136" i="16"/>
  <c r="G136" i="16"/>
  <c r="F136" i="16"/>
  <c r="E136" i="16"/>
  <c r="D136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K135" i="16"/>
  <c r="J135" i="16"/>
  <c r="I135" i="16"/>
  <c r="H135" i="16"/>
  <c r="G135" i="16"/>
  <c r="F135" i="16"/>
  <c r="E135" i="16"/>
  <c r="D135" i="16"/>
  <c r="Y134" i="16"/>
  <c r="X134" i="16"/>
  <c r="W134" i="16"/>
  <c r="V134" i="16"/>
  <c r="U134" i="16"/>
  <c r="T134" i="16"/>
  <c r="S134" i="16"/>
  <c r="R134" i="16"/>
  <c r="Q134" i="16"/>
  <c r="P134" i="16"/>
  <c r="O134" i="16"/>
  <c r="N134" i="16"/>
  <c r="M134" i="16"/>
  <c r="K134" i="16"/>
  <c r="J134" i="16"/>
  <c r="I134" i="16"/>
  <c r="H134" i="16"/>
  <c r="G134" i="16"/>
  <c r="F134" i="16"/>
  <c r="E134" i="16"/>
  <c r="D134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K133" i="16"/>
  <c r="J133" i="16"/>
  <c r="I133" i="16"/>
  <c r="H133" i="16"/>
  <c r="G133" i="16"/>
  <c r="F133" i="16"/>
  <c r="E133" i="16"/>
  <c r="D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K132" i="16"/>
  <c r="J132" i="16"/>
  <c r="I132" i="16"/>
  <c r="H132" i="16"/>
  <c r="G132" i="16"/>
  <c r="F132" i="16"/>
  <c r="E132" i="16"/>
  <c r="D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K131" i="16"/>
  <c r="L131" i="16" s="1"/>
  <c r="J131" i="16"/>
  <c r="I131" i="16"/>
  <c r="H131" i="16"/>
  <c r="G131" i="16"/>
  <c r="F131" i="16"/>
  <c r="E131" i="16"/>
  <c r="D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K130" i="16"/>
  <c r="J130" i="16"/>
  <c r="I130" i="16"/>
  <c r="H130" i="16"/>
  <c r="G130" i="16"/>
  <c r="F130" i="16"/>
  <c r="E130" i="16"/>
  <c r="D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K129" i="16"/>
  <c r="J129" i="16"/>
  <c r="I129" i="16"/>
  <c r="H129" i="16"/>
  <c r="G129" i="16"/>
  <c r="F129" i="16"/>
  <c r="E129" i="16"/>
  <c r="D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K128" i="16"/>
  <c r="J128" i="16"/>
  <c r="I128" i="16"/>
  <c r="H128" i="16"/>
  <c r="G128" i="16"/>
  <c r="F128" i="16"/>
  <c r="E128" i="16"/>
  <c r="D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K127" i="16"/>
  <c r="J127" i="16"/>
  <c r="I127" i="16"/>
  <c r="H127" i="16"/>
  <c r="G127" i="16"/>
  <c r="F127" i="16"/>
  <c r="E127" i="16"/>
  <c r="D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K126" i="16"/>
  <c r="J126" i="16"/>
  <c r="I126" i="16"/>
  <c r="H126" i="16"/>
  <c r="G126" i="16"/>
  <c r="F126" i="16"/>
  <c r="E126" i="16"/>
  <c r="D126" i="16"/>
  <c r="Y125" i="16"/>
  <c r="X125" i="16"/>
  <c r="W125" i="16"/>
  <c r="V125" i="16"/>
  <c r="U125" i="16"/>
  <c r="T125" i="16"/>
  <c r="S125" i="16"/>
  <c r="R125" i="16"/>
  <c r="Q125" i="16"/>
  <c r="P125" i="16"/>
  <c r="O125" i="16"/>
  <c r="N125" i="16"/>
  <c r="M125" i="16"/>
  <c r="K125" i="16"/>
  <c r="J125" i="16"/>
  <c r="I125" i="16"/>
  <c r="H125" i="16"/>
  <c r="G125" i="16"/>
  <c r="F125" i="16"/>
  <c r="E125" i="16"/>
  <c r="D125" i="16"/>
  <c r="Y124" i="16"/>
  <c r="X124" i="16"/>
  <c r="W124" i="16"/>
  <c r="V124" i="16"/>
  <c r="U124" i="16"/>
  <c r="T124" i="16"/>
  <c r="S124" i="16"/>
  <c r="R124" i="16"/>
  <c r="Q124" i="16"/>
  <c r="P124" i="16"/>
  <c r="O124" i="16"/>
  <c r="N124" i="16"/>
  <c r="M124" i="16"/>
  <c r="K124" i="16"/>
  <c r="J124" i="16"/>
  <c r="I124" i="16"/>
  <c r="H124" i="16"/>
  <c r="G124" i="16"/>
  <c r="F124" i="16"/>
  <c r="E124" i="16"/>
  <c r="D124" i="16"/>
  <c r="Y123" i="16"/>
  <c r="X123" i="16"/>
  <c r="W123" i="16"/>
  <c r="V123" i="16"/>
  <c r="U123" i="16"/>
  <c r="T123" i="16"/>
  <c r="S123" i="16"/>
  <c r="R123" i="16"/>
  <c r="Q123" i="16"/>
  <c r="P123" i="16"/>
  <c r="O123" i="16"/>
  <c r="N123" i="16"/>
  <c r="M123" i="16"/>
  <c r="K123" i="16"/>
  <c r="J123" i="16"/>
  <c r="I123" i="16"/>
  <c r="H123" i="16"/>
  <c r="G123" i="16"/>
  <c r="F123" i="16"/>
  <c r="E123" i="16"/>
  <c r="D123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K122" i="16"/>
  <c r="J122" i="16"/>
  <c r="I122" i="16"/>
  <c r="H122" i="16"/>
  <c r="G122" i="16"/>
  <c r="F122" i="16"/>
  <c r="E122" i="16"/>
  <c r="D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K121" i="16"/>
  <c r="J121" i="16"/>
  <c r="I121" i="16"/>
  <c r="H121" i="16"/>
  <c r="G121" i="16"/>
  <c r="F121" i="16"/>
  <c r="E121" i="16"/>
  <c r="D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K120" i="16"/>
  <c r="J120" i="16"/>
  <c r="I120" i="16"/>
  <c r="H120" i="16"/>
  <c r="G120" i="16"/>
  <c r="F120" i="16"/>
  <c r="E120" i="16"/>
  <c r="D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K119" i="16"/>
  <c r="J119" i="16"/>
  <c r="I119" i="16"/>
  <c r="H119" i="16"/>
  <c r="G119" i="16"/>
  <c r="F119" i="16"/>
  <c r="E119" i="16"/>
  <c r="D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K118" i="16"/>
  <c r="J118" i="16"/>
  <c r="I118" i="16"/>
  <c r="H118" i="16"/>
  <c r="G118" i="16"/>
  <c r="F118" i="16"/>
  <c r="E118" i="16"/>
  <c r="D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K117" i="16"/>
  <c r="J117" i="16"/>
  <c r="I117" i="16"/>
  <c r="H117" i="16"/>
  <c r="G117" i="16"/>
  <c r="F117" i="16"/>
  <c r="E117" i="16"/>
  <c r="D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K116" i="16"/>
  <c r="J116" i="16"/>
  <c r="I116" i="16"/>
  <c r="H116" i="16"/>
  <c r="G116" i="16"/>
  <c r="F116" i="16"/>
  <c r="E116" i="16"/>
  <c r="D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K115" i="16"/>
  <c r="J115" i="16"/>
  <c r="I115" i="16"/>
  <c r="H115" i="16"/>
  <c r="G115" i="16"/>
  <c r="F115" i="16"/>
  <c r="E115" i="16"/>
  <c r="D115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K114" i="16"/>
  <c r="J114" i="16"/>
  <c r="I114" i="16"/>
  <c r="H114" i="16"/>
  <c r="G114" i="16"/>
  <c r="F114" i="16"/>
  <c r="E114" i="16"/>
  <c r="D114" i="16"/>
  <c r="Y113" i="16"/>
  <c r="X113" i="16"/>
  <c r="W113" i="16"/>
  <c r="V113" i="16"/>
  <c r="U113" i="16"/>
  <c r="T113" i="16"/>
  <c r="S113" i="16"/>
  <c r="R113" i="16"/>
  <c r="Q113" i="16"/>
  <c r="P113" i="16"/>
  <c r="O113" i="16"/>
  <c r="N113" i="16"/>
  <c r="M113" i="16"/>
  <c r="K113" i="16"/>
  <c r="L113" i="16" s="1"/>
  <c r="J113" i="16"/>
  <c r="I113" i="16"/>
  <c r="H113" i="16"/>
  <c r="G113" i="16"/>
  <c r="F113" i="16"/>
  <c r="E113" i="16"/>
  <c r="D113" i="16"/>
  <c r="Y112" i="16"/>
  <c r="X112" i="16"/>
  <c r="W112" i="16"/>
  <c r="V112" i="16"/>
  <c r="U112" i="16"/>
  <c r="T112" i="16"/>
  <c r="S112" i="16"/>
  <c r="R112" i="16"/>
  <c r="Q112" i="16"/>
  <c r="P112" i="16"/>
  <c r="O112" i="16"/>
  <c r="N112" i="16"/>
  <c r="M112" i="16"/>
  <c r="K112" i="16"/>
  <c r="J112" i="16"/>
  <c r="I112" i="16"/>
  <c r="H112" i="16"/>
  <c r="G112" i="16"/>
  <c r="F112" i="16"/>
  <c r="E112" i="16"/>
  <c r="D112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K111" i="16"/>
  <c r="J111" i="16"/>
  <c r="I111" i="16"/>
  <c r="H111" i="16"/>
  <c r="G111" i="16"/>
  <c r="F111" i="16"/>
  <c r="E111" i="16"/>
  <c r="D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K110" i="16"/>
  <c r="J110" i="16"/>
  <c r="I110" i="16"/>
  <c r="H110" i="16"/>
  <c r="G110" i="16"/>
  <c r="F110" i="16"/>
  <c r="E110" i="16"/>
  <c r="D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K109" i="16"/>
  <c r="J109" i="16"/>
  <c r="I109" i="16"/>
  <c r="H109" i="16"/>
  <c r="G109" i="16"/>
  <c r="F109" i="16"/>
  <c r="E109" i="16"/>
  <c r="D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K108" i="16"/>
  <c r="J108" i="16"/>
  <c r="I108" i="16"/>
  <c r="H108" i="16"/>
  <c r="G108" i="16"/>
  <c r="F108" i="16"/>
  <c r="E108" i="16"/>
  <c r="D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K107" i="16"/>
  <c r="J107" i="16"/>
  <c r="I107" i="16"/>
  <c r="H107" i="16"/>
  <c r="G107" i="16"/>
  <c r="F107" i="16"/>
  <c r="E107" i="16"/>
  <c r="D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K106" i="16"/>
  <c r="J106" i="16"/>
  <c r="I106" i="16"/>
  <c r="H106" i="16"/>
  <c r="G106" i="16"/>
  <c r="F106" i="16"/>
  <c r="E106" i="16"/>
  <c r="D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K105" i="16"/>
  <c r="J105" i="16"/>
  <c r="I105" i="16"/>
  <c r="H105" i="16"/>
  <c r="G105" i="16"/>
  <c r="F105" i="16"/>
  <c r="E105" i="16"/>
  <c r="D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K104" i="16"/>
  <c r="J104" i="16"/>
  <c r="I104" i="16"/>
  <c r="H104" i="16"/>
  <c r="G104" i="16"/>
  <c r="F104" i="16"/>
  <c r="E104" i="16"/>
  <c r="D104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K103" i="16"/>
  <c r="J103" i="16"/>
  <c r="I103" i="16"/>
  <c r="H103" i="16"/>
  <c r="G103" i="16"/>
  <c r="F103" i="16"/>
  <c r="E103" i="16"/>
  <c r="D103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K102" i="16"/>
  <c r="J102" i="16"/>
  <c r="I102" i="16"/>
  <c r="H102" i="16"/>
  <c r="G102" i="16"/>
  <c r="F102" i="16"/>
  <c r="E102" i="16"/>
  <c r="D102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K101" i="16"/>
  <c r="L101" i="16" s="1"/>
  <c r="J101" i="16"/>
  <c r="I101" i="16"/>
  <c r="H101" i="16"/>
  <c r="G101" i="16"/>
  <c r="F101" i="16"/>
  <c r="E101" i="16"/>
  <c r="D101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K100" i="16"/>
  <c r="J100" i="16"/>
  <c r="I100" i="16"/>
  <c r="H100" i="16"/>
  <c r="G100" i="16"/>
  <c r="F100" i="16"/>
  <c r="E100" i="16"/>
  <c r="D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K99" i="16"/>
  <c r="J99" i="16"/>
  <c r="I99" i="16"/>
  <c r="H99" i="16"/>
  <c r="G99" i="16"/>
  <c r="F99" i="16"/>
  <c r="E99" i="16"/>
  <c r="D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K98" i="16"/>
  <c r="J98" i="16"/>
  <c r="I98" i="16"/>
  <c r="H98" i="16"/>
  <c r="G98" i="16"/>
  <c r="F98" i="16"/>
  <c r="E98" i="16"/>
  <c r="D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K97" i="16"/>
  <c r="J97" i="16"/>
  <c r="I97" i="16"/>
  <c r="H97" i="16"/>
  <c r="G97" i="16"/>
  <c r="F97" i="16"/>
  <c r="E97" i="16"/>
  <c r="D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K96" i="16"/>
  <c r="J96" i="16"/>
  <c r="I96" i="16"/>
  <c r="H96" i="16"/>
  <c r="G96" i="16"/>
  <c r="F96" i="16"/>
  <c r="E96" i="16"/>
  <c r="D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K95" i="16"/>
  <c r="J95" i="16"/>
  <c r="I95" i="16"/>
  <c r="H95" i="16"/>
  <c r="G95" i="16"/>
  <c r="F95" i="16"/>
  <c r="E95" i="16"/>
  <c r="D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K94" i="16"/>
  <c r="J94" i="16"/>
  <c r="I94" i="16"/>
  <c r="H94" i="16"/>
  <c r="G94" i="16"/>
  <c r="F94" i="16"/>
  <c r="E94" i="16"/>
  <c r="D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K93" i="16"/>
  <c r="J93" i="16"/>
  <c r="I93" i="16"/>
  <c r="H93" i="16"/>
  <c r="G93" i="16"/>
  <c r="F93" i="16"/>
  <c r="E93" i="16"/>
  <c r="D93" i="16"/>
  <c r="Y92" i="16"/>
  <c r="X92" i="16"/>
  <c r="W92" i="16"/>
  <c r="V92" i="16"/>
  <c r="U92" i="16"/>
  <c r="T92" i="16"/>
  <c r="S92" i="16"/>
  <c r="R92" i="16"/>
  <c r="Q92" i="16"/>
  <c r="P92" i="16"/>
  <c r="O92" i="16"/>
  <c r="N92" i="16"/>
  <c r="M92" i="16"/>
  <c r="K92" i="16"/>
  <c r="J92" i="16"/>
  <c r="I92" i="16"/>
  <c r="H92" i="16"/>
  <c r="G92" i="16"/>
  <c r="F92" i="16"/>
  <c r="E92" i="16"/>
  <c r="D92" i="16"/>
  <c r="Y91" i="16"/>
  <c r="X91" i="16"/>
  <c r="W91" i="16"/>
  <c r="V91" i="16"/>
  <c r="U91" i="16"/>
  <c r="T91" i="16"/>
  <c r="S91" i="16"/>
  <c r="R91" i="16"/>
  <c r="Q91" i="16"/>
  <c r="P91" i="16"/>
  <c r="O91" i="16"/>
  <c r="N91" i="16"/>
  <c r="M91" i="16"/>
  <c r="K91" i="16"/>
  <c r="J91" i="16"/>
  <c r="I91" i="16"/>
  <c r="H91" i="16"/>
  <c r="G91" i="16"/>
  <c r="F91" i="16"/>
  <c r="E91" i="16"/>
  <c r="D91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K90" i="16"/>
  <c r="J90" i="16"/>
  <c r="I90" i="16"/>
  <c r="H90" i="16"/>
  <c r="G90" i="16"/>
  <c r="F90" i="16"/>
  <c r="E90" i="16"/>
  <c r="D90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K89" i="16"/>
  <c r="J89" i="16"/>
  <c r="I89" i="16"/>
  <c r="H89" i="16"/>
  <c r="G89" i="16"/>
  <c r="F89" i="16"/>
  <c r="E89" i="16"/>
  <c r="D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K88" i="16"/>
  <c r="J88" i="16"/>
  <c r="I88" i="16"/>
  <c r="H88" i="16"/>
  <c r="G88" i="16"/>
  <c r="F88" i="16"/>
  <c r="E88" i="16"/>
  <c r="D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K87" i="16"/>
  <c r="J87" i="16"/>
  <c r="I87" i="16"/>
  <c r="H87" i="16"/>
  <c r="G87" i="16"/>
  <c r="F87" i="16"/>
  <c r="E87" i="16"/>
  <c r="D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K86" i="16"/>
  <c r="J86" i="16"/>
  <c r="I86" i="16"/>
  <c r="H86" i="16"/>
  <c r="G86" i="16"/>
  <c r="F86" i="16"/>
  <c r="E86" i="16"/>
  <c r="D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K85" i="16"/>
  <c r="J85" i="16"/>
  <c r="I85" i="16"/>
  <c r="H85" i="16"/>
  <c r="G85" i="16"/>
  <c r="F85" i="16"/>
  <c r="E85" i="16"/>
  <c r="D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K84" i="16"/>
  <c r="J84" i="16"/>
  <c r="I84" i="16"/>
  <c r="H84" i="16"/>
  <c r="G84" i="16"/>
  <c r="F84" i="16"/>
  <c r="E84" i="16"/>
  <c r="D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K83" i="16"/>
  <c r="J83" i="16"/>
  <c r="I83" i="16"/>
  <c r="H83" i="16"/>
  <c r="G83" i="16"/>
  <c r="F83" i="16"/>
  <c r="E83" i="16"/>
  <c r="D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K82" i="16"/>
  <c r="J82" i="16"/>
  <c r="I82" i="16"/>
  <c r="H82" i="16"/>
  <c r="G82" i="16"/>
  <c r="F82" i="16"/>
  <c r="E82" i="16"/>
  <c r="D82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K81" i="16"/>
  <c r="J81" i="16"/>
  <c r="I81" i="16"/>
  <c r="H81" i="16"/>
  <c r="G81" i="16"/>
  <c r="F81" i="16"/>
  <c r="E81" i="16"/>
  <c r="D81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K80" i="16"/>
  <c r="J80" i="16"/>
  <c r="I80" i="16"/>
  <c r="H80" i="16"/>
  <c r="G80" i="16"/>
  <c r="F80" i="16"/>
  <c r="E80" i="16"/>
  <c r="D80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K79" i="16"/>
  <c r="J79" i="16"/>
  <c r="I79" i="16"/>
  <c r="H79" i="16"/>
  <c r="G79" i="16"/>
  <c r="F79" i="16"/>
  <c r="E79" i="16"/>
  <c r="D79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K78" i="16"/>
  <c r="J78" i="16"/>
  <c r="I78" i="16"/>
  <c r="H78" i="16"/>
  <c r="G78" i="16"/>
  <c r="F78" i="16"/>
  <c r="E78" i="16"/>
  <c r="D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K77" i="16"/>
  <c r="J77" i="16"/>
  <c r="I77" i="16"/>
  <c r="H77" i="16"/>
  <c r="G77" i="16"/>
  <c r="F77" i="16"/>
  <c r="E77" i="16"/>
  <c r="D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K76" i="16"/>
  <c r="J76" i="16"/>
  <c r="I76" i="16"/>
  <c r="H76" i="16"/>
  <c r="G76" i="16"/>
  <c r="F76" i="16"/>
  <c r="E76" i="16"/>
  <c r="D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K75" i="16"/>
  <c r="J75" i="16"/>
  <c r="I75" i="16"/>
  <c r="H75" i="16"/>
  <c r="G75" i="16"/>
  <c r="F75" i="16"/>
  <c r="E75" i="16"/>
  <c r="D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K74" i="16"/>
  <c r="L74" i="16" s="1"/>
  <c r="J74" i="16"/>
  <c r="I74" i="16"/>
  <c r="H74" i="16"/>
  <c r="G74" i="16"/>
  <c r="F74" i="16"/>
  <c r="E74" i="16"/>
  <c r="D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K73" i="16"/>
  <c r="J73" i="16"/>
  <c r="I73" i="16"/>
  <c r="H73" i="16"/>
  <c r="G73" i="16"/>
  <c r="F73" i="16"/>
  <c r="E73" i="16"/>
  <c r="D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K72" i="16"/>
  <c r="J72" i="16"/>
  <c r="I72" i="16"/>
  <c r="H72" i="16"/>
  <c r="G72" i="16"/>
  <c r="F72" i="16"/>
  <c r="E72" i="16"/>
  <c r="D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K71" i="16"/>
  <c r="J71" i="16"/>
  <c r="I71" i="16"/>
  <c r="H71" i="16"/>
  <c r="G71" i="16"/>
  <c r="F71" i="16"/>
  <c r="E71" i="16"/>
  <c r="D71" i="16"/>
  <c r="Y70" i="16"/>
  <c r="X70" i="16"/>
  <c r="W70" i="16"/>
  <c r="V70" i="16"/>
  <c r="U70" i="16"/>
  <c r="T70" i="16"/>
  <c r="S70" i="16"/>
  <c r="R70" i="16"/>
  <c r="Q70" i="16"/>
  <c r="P70" i="16"/>
  <c r="O70" i="16"/>
  <c r="N70" i="16"/>
  <c r="M70" i="16"/>
  <c r="K70" i="16"/>
  <c r="J70" i="16"/>
  <c r="I70" i="16"/>
  <c r="H70" i="16"/>
  <c r="G70" i="16"/>
  <c r="F70" i="16"/>
  <c r="E70" i="16"/>
  <c r="D70" i="16"/>
  <c r="Y69" i="16"/>
  <c r="X69" i="16"/>
  <c r="W69" i="16"/>
  <c r="V69" i="16"/>
  <c r="U69" i="16"/>
  <c r="T69" i="16"/>
  <c r="S69" i="16"/>
  <c r="R69" i="16"/>
  <c r="Q69" i="16"/>
  <c r="P69" i="16"/>
  <c r="O69" i="16"/>
  <c r="N69" i="16"/>
  <c r="M69" i="16"/>
  <c r="K69" i="16"/>
  <c r="J69" i="16"/>
  <c r="I69" i="16"/>
  <c r="H69" i="16"/>
  <c r="G69" i="16"/>
  <c r="F69" i="16"/>
  <c r="E69" i="16"/>
  <c r="D69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K68" i="16"/>
  <c r="J68" i="16"/>
  <c r="I68" i="16"/>
  <c r="H68" i="16"/>
  <c r="G68" i="16"/>
  <c r="F68" i="16"/>
  <c r="E68" i="16"/>
  <c r="D68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K67" i="16"/>
  <c r="J67" i="16"/>
  <c r="I67" i="16"/>
  <c r="H67" i="16"/>
  <c r="G67" i="16"/>
  <c r="F67" i="16"/>
  <c r="E67" i="16"/>
  <c r="D67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K66" i="16"/>
  <c r="J66" i="16"/>
  <c r="I66" i="16"/>
  <c r="H66" i="16"/>
  <c r="G66" i="16"/>
  <c r="F66" i="16"/>
  <c r="E66" i="16"/>
  <c r="D66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K65" i="16"/>
  <c r="J65" i="16"/>
  <c r="I65" i="16"/>
  <c r="H65" i="16"/>
  <c r="G65" i="16"/>
  <c r="F65" i="16"/>
  <c r="E65" i="16"/>
  <c r="D65" i="16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K64" i="16"/>
  <c r="J64" i="16"/>
  <c r="I64" i="16"/>
  <c r="H64" i="16"/>
  <c r="G64" i="16"/>
  <c r="F64" i="16"/>
  <c r="E64" i="16"/>
  <c r="D64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M63" i="16"/>
  <c r="K63" i="16"/>
  <c r="J63" i="16"/>
  <c r="I63" i="16"/>
  <c r="H63" i="16"/>
  <c r="G63" i="16"/>
  <c r="F63" i="16"/>
  <c r="E63" i="16"/>
  <c r="D63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K62" i="16"/>
  <c r="J62" i="16"/>
  <c r="I62" i="16"/>
  <c r="H62" i="16"/>
  <c r="G62" i="16"/>
  <c r="F62" i="16"/>
  <c r="E62" i="16"/>
  <c r="D62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K61" i="16"/>
  <c r="J61" i="16"/>
  <c r="I61" i="16"/>
  <c r="H61" i="16"/>
  <c r="G61" i="16"/>
  <c r="F61" i="16"/>
  <c r="E61" i="16"/>
  <c r="D61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K60" i="16"/>
  <c r="J60" i="16"/>
  <c r="I60" i="16"/>
  <c r="H60" i="16"/>
  <c r="G60" i="16"/>
  <c r="F60" i="16"/>
  <c r="E60" i="16"/>
  <c r="D60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K59" i="16"/>
  <c r="J59" i="16"/>
  <c r="I59" i="16"/>
  <c r="H59" i="16"/>
  <c r="G59" i="16"/>
  <c r="F59" i="16"/>
  <c r="E59" i="16"/>
  <c r="D59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K58" i="16"/>
  <c r="J58" i="16"/>
  <c r="I58" i="16"/>
  <c r="H58" i="16"/>
  <c r="G58" i="16"/>
  <c r="F58" i="16"/>
  <c r="E58" i="16"/>
  <c r="D58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K57" i="16"/>
  <c r="J57" i="16"/>
  <c r="I57" i="16"/>
  <c r="H57" i="16"/>
  <c r="G57" i="16"/>
  <c r="F57" i="16"/>
  <c r="E57" i="16"/>
  <c r="D57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 s="1"/>
  <c r="K56" i="16"/>
  <c r="J56" i="16"/>
  <c r="I56" i="16"/>
  <c r="H56" i="16"/>
  <c r="G56" i="16"/>
  <c r="F56" i="16"/>
  <c r="E56" i="16"/>
  <c r="D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K55" i="16"/>
  <c r="J55" i="16"/>
  <c r="I55" i="16"/>
  <c r="H55" i="16"/>
  <c r="G55" i="16"/>
  <c r="F55" i="16"/>
  <c r="E55" i="16"/>
  <c r="D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K54" i="16"/>
  <c r="J54" i="16"/>
  <c r="I54" i="16"/>
  <c r="H54" i="16"/>
  <c r="G54" i="16"/>
  <c r="F54" i="16"/>
  <c r="E54" i="16"/>
  <c r="D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K53" i="16"/>
  <c r="J53" i="16"/>
  <c r="I53" i="16"/>
  <c r="H53" i="16"/>
  <c r="G53" i="16"/>
  <c r="F53" i="16"/>
  <c r="E53" i="16"/>
  <c r="D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K52" i="16"/>
  <c r="J52" i="16"/>
  <c r="I52" i="16"/>
  <c r="H52" i="16"/>
  <c r="G52" i="16"/>
  <c r="F52" i="16"/>
  <c r="E52" i="16"/>
  <c r="D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K51" i="16"/>
  <c r="J51" i="16"/>
  <c r="I51" i="16"/>
  <c r="H51" i="16"/>
  <c r="G51" i="16"/>
  <c r="F51" i="16"/>
  <c r="E51" i="16"/>
  <c r="D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K50" i="16"/>
  <c r="L50" i="16" s="1"/>
  <c r="J50" i="16"/>
  <c r="I50" i="16"/>
  <c r="H50" i="16"/>
  <c r="G50" i="16"/>
  <c r="F50" i="16"/>
  <c r="E50" i="16"/>
  <c r="D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K49" i="16"/>
  <c r="J49" i="16"/>
  <c r="I49" i="16"/>
  <c r="H49" i="16"/>
  <c r="G49" i="16"/>
  <c r="F49" i="16"/>
  <c r="E49" i="16"/>
  <c r="D49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K48" i="16"/>
  <c r="J48" i="16"/>
  <c r="I48" i="16"/>
  <c r="H48" i="16"/>
  <c r="G48" i="16"/>
  <c r="F48" i="16"/>
  <c r="E48" i="16"/>
  <c r="D48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K47" i="16"/>
  <c r="J47" i="16"/>
  <c r="I47" i="16"/>
  <c r="H47" i="16"/>
  <c r="G47" i="16"/>
  <c r="F47" i="16"/>
  <c r="E47" i="16"/>
  <c r="D47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K46" i="16"/>
  <c r="J46" i="16"/>
  <c r="I46" i="16"/>
  <c r="H46" i="16"/>
  <c r="G46" i="16"/>
  <c r="F46" i="16"/>
  <c r="E46" i="16"/>
  <c r="D46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K45" i="16"/>
  <c r="J45" i="16"/>
  <c r="I45" i="16"/>
  <c r="H45" i="16"/>
  <c r="G45" i="16"/>
  <c r="F45" i="16"/>
  <c r="E45" i="16"/>
  <c r="D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K44" i="16"/>
  <c r="J44" i="16"/>
  <c r="I44" i="16"/>
  <c r="H44" i="16"/>
  <c r="G44" i="16"/>
  <c r="F44" i="16"/>
  <c r="E44" i="16"/>
  <c r="D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K43" i="16"/>
  <c r="J43" i="16"/>
  <c r="I43" i="16"/>
  <c r="H43" i="16"/>
  <c r="G43" i="16"/>
  <c r="F43" i="16"/>
  <c r="E43" i="16"/>
  <c r="D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K42" i="16"/>
  <c r="J42" i="16"/>
  <c r="I42" i="16"/>
  <c r="H42" i="16"/>
  <c r="G42" i="16"/>
  <c r="F42" i="16"/>
  <c r="E42" i="16"/>
  <c r="D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K41" i="16"/>
  <c r="J41" i="16"/>
  <c r="I41" i="16"/>
  <c r="H41" i="16"/>
  <c r="G41" i="16"/>
  <c r="F41" i="16"/>
  <c r="E41" i="16"/>
  <c r="D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K40" i="16"/>
  <c r="J40" i="16"/>
  <c r="I40" i="16"/>
  <c r="H40" i="16"/>
  <c r="G40" i="16"/>
  <c r="F40" i="16"/>
  <c r="E40" i="16"/>
  <c r="D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K39" i="16"/>
  <c r="J39" i="16"/>
  <c r="I39" i="16"/>
  <c r="H39" i="16"/>
  <c r="G39" i="16"/>
  <c r="F39" i="16"/>
  <c r="E39" i="16"/>
  <c r="D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K38" i="16"/>
  <c r="J38" i="16"/>
  <c r="I38" i="16"/>
  <c r="H38" i="16"/>
  <c r="G38" i="16"/>
  <c r="F38" i="16"/>
  <c r="E38" i="16"/>
  <c r="D38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K37" i="16"/>
  <c r="J37" i="16"/>
  <c r="I37" i="16"/>
  <c r="H37" i="16"/>
  <c r="G37" i="16"/>
  <c r="F37" i="16"/>
  <c r="E37" i="16"/>
  <c r="D37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K36" i="16"/>
  <c r="J36" i="16"/>
  <c r="I36" i="16"/>
  <c r="H36" i="16"/>
  <c r="G36" i="16"/>
  <c r="F36" i="16"/>
  <c r="E36" i="16"/>
  <c r="D36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K35" i="16"/>
  <c r="J35" i="16"/>
  <c r="I35" i="16"/>
  <c r="H35" i="16"/>
  <c r="G35" i="16"/>
  <c r="F35" i="16"/>
  <c r="E35" i="16"/>
  <c r="D35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K34" i="16"/>
  <c r="J34" i="16"/>
  <c r="I34" i="16"/>
  <c r="H34" i="16"/>
  <c r="G34" i="16"/>
  <c r="F34" i="16"/>
  <c r="E34" i="16"/>
  <c r="D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K33" i="16"/>
  <c r="J33" i="16"/>
  <c r="I33" i="16"/>
  <c r="H33" i="16"/>
  <c r="G33" i="16"/>
  <c r="F33" i="16"/>
  <c r="E33" i="16"/>
  <c r="D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K32" i="16"/>
  <c r="J32" i="16"/>
  <c r="I32" i="16"/>
  <c r="H32" i="16"/>
  <c r="G32" i="16"/>
  <c r="F32" i="16"/>
  <c r="E32" i="16"/>
  <c r="D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K31" i="16"/>
  <c r="J31" i="16"/>
  <c r="I31" i="16"/>
  <c r="H31" i="16"/>
  <c r="G31" i="16"/>
  <c r="F31" i="16"/>
  <c r="E31" i="16"/>
  <c r="D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K30" i="16"/>
  <c r="J30" i="16"/>
  <c r="I30" i="16"/>
  <c r="H30" i="16"/>
  <c r="G30" i="16"/>
  <c r="F30" i="16"/>
  <c r="E30" i="16"/>
  <c r="D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K29" i="16"/>
  <c r="J29" i="16"/>
  <c r="I29" i="16"/>
  <c r="H29" i="16"/>
  <c r="G29" i="16"/>
  <c r="F29" i="16"/>
  <c r="E29" i="16"/>
  <c r="D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K28" i="16"/>
  <c r="J28" i="16"/>
  <c r="I28" i="16"/>
  <c r="H28" i="16"/>
  <c r="G28" i="16"/>
  <c r="F28" i="16"/>
  <c r="E28" i="16"/>
  <c r="D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K27" i="16"/>
  <c r="J27" i="16"/>
  <c r="I27" i="16"/>
  <c r="H27" i="16"/>
  <c r="G27" i="16"/>
  <c r="F27" i="16"/>
  <c r="E27" i="16"/>
  <c r="D27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K26" i="16"/>
  <c r="J26" i="16"/>
  <c r="I26" i="16"/>
  <c r="H26" i="16"/>
  <c r="G26" i="16"/>
  <c r="F26" i="16"/>
  <c r="E26" i="16"/>
  <c r="D26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K25" i="16"/>
  <c r="J25" i="16"/>
  <c r="I25" i="16"/>
  <c r="H25" i="16"/>
  <c r="G25" i="16"/>
  <c r="F25" i="16"/>
  <c r="E25" i="16"/>
  <c r="D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K24" i="16"/>
  <c r="J24" i="16"/>
  <c r="I24" i="16"/>
  <c r="H24" i="16"/>
  <c r="G24" i="16"/>
  <c r="F24" i="16"/>
  <c r="E24" i="16"/>
  <c r="D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K23" i="16"/>
  <c r="L23" i="16" s="1"/>
  <c r="J23" i="16"/>
  <c r="I23" i="16"/>
  <c r="H23" i="16"/>
  <c r="G23" i="16"/>
  <c r="F23" i="16"/>
  <c r="E23" i="16"/>
  <c r="D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K22" i="16"/>
  <c r="J22" i="16"/>
  <c r="I22" i="16"/>
  <c r="H22" i="16"/>
  <c r="G22" i="16"/>
  <c r="F22" i="16"/>
  <c r="E22" i="16"/>
  <c r="D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K21" i="16"/>
  <c r="J21" i="16"/>
  <c r="I21" i="16"/>
  <c r="H21" i="16"/>
  <c r="G21" i="16"/>
  <c r="F21" i="16"/>
  <c r="E21" i="16"/>
  <c r="D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 s="1"/>
  <c r="K20" i="16"/>
  <c r="J20" i="16"/>
  <c r="I20" i="16"/>
  <c r="H20" i="16"/>
  <c r="G20" i="16"/>
  <c r="F20" i="16"/>
  <c r="E20" i="16"/>
  <c r="D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K19" i="16"/>
  <c r="J19" i="16"/>
  <c r="I19" i="16"/>
  <c r="H19" i="16"/>
  <c r="G19" i="16"/>
  <c r="F19" i="16"/>
  <c r="E19" i="16"/>
  <c r="D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K18" i="16"/>
  <c r="J18" i="16"/>
  <c r="I18" i="16"/>
  <c r="H18" i="16"/>
  <c r="G18" i="16"/>
  <c r="F18" i="16"/>
  <c r="E18" i="16"/>
  <c r="D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K17" i="16"/>
  <c r="J17" i="16"/>
  <c r="I17" i="16"/>
  <c r="H17" i="16"/>
  <c r="G17" i="16"/>
  <c r="F17" i="16"/>
  <c r="E17" i="16"/>
  <c r="D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K16" i="16"/>
  <c r="J16" i="16"/>
  <c r="I16" i="16"/>
  <c r="H16" i="16"/>
  <c r="G16" i="16"/>
  <c r="F16" i="16"/>
  <c r="E16" i="16"/>
  <c r="D16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K15" i="16"/>
  <c r="J15" i="16"/>
  <c r="I15" i="16"/>
  <c r="H15" i="16"/>
  <c r="G15" i="16"/>
  <c r="F15" i="16"/>
  <c r="E15" i="16"/>
  <c r="D15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K14" i="16"/>
  <c r="L14" i="16" s="1"/>
  <c r="J14" i="16"/>
  <c r="I14" i="16"/>
  <c r="H14" i="16"/>
  <c r="G14" i="16"/>
  <c r="F14" i="16"/>
  <c r="E14" i="16"/>
  <c r="D14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K13" i="16"/>
  <c r="J13" i="16"/>
  <c r="I13" i="16"/>
  <c r="H13" i="16"/>
  <c r="G13" i="16"/>
  <c r="F13" i="16"/>
  <c r="E13" i="16"/>
  <c r="D13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K12" i="16"/>
  <c r="J12" i="16"/>
  <c r="I12" i="16"/>
  <c r="H12" i="16"/>
  <c r="G12" i="16"/>
  <c r="F12" i="16"/>
  <c r="E12" i="16"/>
  <c r="D12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K11" i="16"/>
  <c r="L11" i="16" s="1"/>
  <c r="J11" i="16"/>
  <c r="I11" i="16"/>
  <c r="H11" i="16"/>
  <c r="G11" i="16"/>
  <c r="F11" i="16"/>
  <c r="E11" i="16"/>
  <c r="D11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K10" i="16"/>
  <c r="J10" i="16"/>
  <c r="I10" i="16"/>
  <c r="H10" i="16"/>
  <c r="G10" i="16"/>
  <c r="F10" i="16"/>
  <c r="E10" i="16"/>
  <c r="D10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K9" i="16"/>
  <c r="J9" i="16"/>
  <c r="I9" i="16"/>
  <c r="H9" i="16"/>
  <c r="G9" i="16"/>
  <c r="F9" i="16"/>
  <c r="E9" i="16"/>
  <c r="D9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K8" i="16"/>
  <c r="J8" i="16"/>
  <c r="I8" i="16"/>
  <c r="H8" i="16"/>
  <c r="G8" i="16"/>
  <c r="F8" i="16"/>
  <c r="E8" i="16"/>
  <c r="D8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K7" i="16"/>
  <c r="J7" i="16"/>
  <c r="I7" i="16"/>
  <c r="H7" i="16"/>
  <c r="G7" i="16"/>
  <c r="F7" i="16"/>
  <c r="E7" i="16"/>
  <c r="D7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K6" i="16"/>
  <c r="J6" i="16"/>
  <c r="I6" i="16"/>
  <c r="H6" i="16"/>
  <c r="G6" i="16"/>
  <c r="F6" i="16"/>
  <c r="E6" i="16"/>
  <c r="D6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K5" i="16"/>
  <c r="J5" i="16"/>
  <c r="I5" i="16"/>
  <c r="H5" i="16"/>
  <c r="G5" i="16"/>
  <c r="F5" i="16"/>
  <c r="E5" i="16"/>
  <c r="D5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K4" i="16"/>
  <c r="J4" i="16"/>
  <c r="I4" i="16"/>
  <c r="H4" i="16"/>
  <c r="G4" i="16"/>
  <c r="F4" i="16"/>
  <c r="E4" i="16"/>
  <c r="D4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K3" i="16"/>
  <c r="J3" i="16"/>
  <c r="I3" i="16"/>
  <c r="H3" i="16"/>
  <c r="G3" i="16"/>
  <c r="F3" i="16"/>
  <c r="E3" i="16"/>
  <c r="D3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K2" i="16"/>
  <c r="J2" i="16"/>
  <c r="I2" i="16"/>
  <c r="H2" i="16"/>
  <c r="G2" i="16"/>
  <c r="F2" i="16"/>
  <c r="E2" i="16"/>
  <c r="D2" i="16"/>
  <c r="Y138" i="15"/>
  <c r="Y138" i="17" s="1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K138" i="15"/>
  <c r="J138" i="15"/>
  <c r="I138" i="15"/>
  <c r="H138" i="15"/>
  <c r="G138" i="15"/>
  <c r="F138" i="15"/>
  <c r="E138" i="15"/>
  <c r="D138" i="15"/>
  <c r="Y137" i="15"/>
  <c r="X137" i="15"/>
  <c r="W137" i="15"/>
  <c r="W137" i="17" s="1"/>
  <c r="V137" i="15"/>
  <c r="U137" i="15"/>
  <c r="T137" i="15"/>
  <c r="S137" i="15"/>
  <c r="S137" i="17" s="1"/>
  <c r="R137" i="15"/>
  <c r="Q137" i="15"/>
  <c r="P137" i="15"/>
  <c r="O137" i="15"/>
  <c r="N137" i="15"/>
  <c r="M137" i="15"/>
  <c r="K137" i="15"/>
  <c r="J137" i="15"/>
  <c r="I137" i="15"/>
  <c r="H137" i="15"/>
  <c r="G137" i="15"/>
  <c r="F137" i="15"/>
  <c r="E137" i="15"/>
  <c r="D137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K136" i="15"/>
  <c r="J136" i="15"/>
  <c r="I136" i="15"/>
  <c r="H136" i="15"/>
  <c r="G136" i="15"/>
  <c r="F136" i="15"/>
  <c r="E136" i="15"/>
  <c r="D136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K135" i="15"/>
  <c r="J135" i="15"/>
  <c r="I135" i="15"/>
  <c r="H135" i="15"/>
  <c r="G135" i="15"/>
  <c r="F135" i="15"/>
  <c r="E135" i="15"/>
  <c r="D135" i="15"/>
  <c r="Y134" i="15"/>
  <c r="Y134" i="17" s="1"/>
  <c r="X134" i="15"/>
  <c r="W134" i="15"/>
  <c r="V134" i="15"/>
  <c r="V134" i="17" s="1"/>
  <c r="U134" i="15"/>
  <c r="T134" i="15"/>
  <c r="S134" i="15"/>
  <c r="R134" i="15"/>
  <c r="Q134" i="15"/>
  <c r="P134" i="15"/>
  <c r="O134" i="15"/>
  <c r="N134" i="15"/>
  <c r="M134" i="15"/>
  <c r="K134" i="15"/>
  <c r="J134" i="15"/>
  <c r="I134" i="15"/>
  <c r="H134" i="15"/>
  <c r="G134" i="15"/>
  <c r="F134" i="15"/>
  <c r="E134" i="15"/>
  <c r="D134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K133" i="15"/>
  <c r="J133" i="15"/>
  <c r="I133" i="15"/>
  <c r="H133" i="15"/>
  <c r="G133" i="15"/>
  <c r="F133" i="15"/>
  <c r="E133" i="15"/>
  <c r="D133" i="15"/>
  <c r="Y132" i="15"/>
  <c r="X132" i="15"/>
  <c r="W132" i="15"/>
  <c r="V132" i="15"/>
  <c r="V132" i="17" s="1"/>
  <c r="U132" i="15"/>
  <c r="T132" i="15"/>
  <c r="T132" i="17" s="1"/>
  <c r="S132" i="15"/>
  <c r="R132" i="15"/>
  <c r="Q132" i="15"/>
  <c r="P132" i="15"/>
  <c r="O132" i="15"/>
  <c r="N132" i="15"/>
  <c r="M132" i="15"/>
  <c r="K132" i="15"/>
  <c r="J132" i="15"/>
  <c r="I132" i="15"/>
  <c r="H132" i="15"/>
  <c r="G132" i="15"/>
  <c r="F132" i="15"/>
  <c r="E132" i="15"/>
  <c r="D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K131" i="15"/>
  <c r="J131" i="15"/>
  <c r="I131" i="15"/>
  <c r="H131" i="15"/>
  <c r="G131" i="15"/>
  <c r="F131" i="15"/>
  <c r="E131" i="15"/>
  <c r="D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K130" i="15"/>
  <c r="J130" i="15"/>
  <c r="I130" i="15"/>
  <c r="H130" i="15"/>
  <c r="G130" i="15"/>
  <c r="F130" i="15"/>
  <c r="E130" i="15"/>
  <c r="D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K129" i="15"/>
  <c r="J129" i="15"/>
  <c r="I129" i="15"/>
  <c r="H129" i="15"/>
  <c r="G129" i="15"/>
  <c r="F129" i="15"/>
  <c r="E129" i="15"/>
  <c r="D129" i="15"/>
  <c r="Y128" i="15"/>
  <c r="X128" i="15"/>
  <c r="W128" i="15"/>
  <c r="V128" i="15"/>
  <c r="U128" i="15"/>
  <c r="U128" i="17" s="1"/>
  <c r="T128" i="15"/>
  <c r="S128" i="15"/>
  <c r="R128" i="15"/>
  <c r="Q128" i="15"/>
  <c r="P128" i="15"/>
  <c r="O128" i="15"/>
  <c r="N128" i="15"/>
  <c r="M128" i="15"/>
  <c r="K128" i="15"/>
  <c r="J128" i="15"/>
  <c r="I128" i="15"/>
  <c r="H128" i="15"/>
  <c r="G128" i="15"/>
  <c r="F128" i="15"/>
  <c r="E128" i="15"/>
  <c r="D128" i="15"/>
  <c r="Y127" i="15"/>
  <c r="X127" i="15"/>
  <c r="W127" i="15"/>
  <c r="V127" i="15"/>
  <c r="U127" i="15"/>
  <c r="T127" i="15"/>
  <c r="T127" i="17" s="1"/>
  <c r="S127" i="15"/>
  <c r="R127" i="15"/>
  <c r="Q127" i="15"/>
  <c r="P127" i="15"/>
  <c r="O127" i="15"/>
  <c r="N127" i="15"/>
  <c r="M127" i="15"/>
  <c r="K127" i="15"/>
  <c r="J127" i="15"/>
  <c r="J127" i="17" s="1"/>
  <c r="I127" i="15"/>
  <c r="H127" i="15"/>
  <c r="G127" i="15"/>
  <c r="F127" i="15"/>
  <c r="E127" i="15"/>
  <c r="D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K126" i="15"/>
  <c r="J126" i="15"/>
  <c r="I126" i="15"/>
  <c r="H126" i="15"/>
  <c r="G126" i="15"/>
  <c r="F126" i="15"/>
  <c r="E126" i="15"/>
  <c r="D126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K125" i="15"/>
  <c r="J125" i="15"/>
  <c r="I125" i="15"/>
  <c r="H125" i="15"/>
  <c r="G125" i="15"/>
  <c r="F125" i="15"/>
  <c r="E125" i="15"/>
  <c r="D125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K124" i="15"/>
  <c r="J124" i="15"/>
  <c r="I124" i="15"/>
  <c r="H124" i="15"/>
  <c r="G124" i="15"/>
  <c r="F124" i="15"/>
  <c r="E124" i="15"/>
  <c r="D124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K123" i="15"/>
  <c r="J123" i="15"/>
  <c r="I123" i="15"/>
  <c r="I123" i="17" s="1"/>
  <c r="H123" i="15"/>
  <c r="G123" i="15"/>
  <c r="F123" i="15"/>
  <c r="E123" i="15"/>
  <c r="D123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K122" i="15"/>
  <c r="J122" i="15"/>
  <c r="I122" i="15"/>
  <c r="H122" i="15"/>
  <c r="G122" i="15"/>
  <c r="F122" i="15"/>
  <c r="E122" i="15"/>
  <c r="D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K121" i="15"/>
  <c r="J121" i="15"/>
  <c r="I121" i="15"/>
  <c r="H121" i="15"/>
  <c r="G121" i="15"/>
  <c r="F121" i="15"/>
  <c r="E121" i="15"/>
  <c r="D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K120" i="15"/>
  <c r="J120" i="15"/>
  <c r="I120" i="15"/>
  <c r="H120" i="15"/>
  <c r="G120" i="15"/>
  <c r="F120" i="15"/>
  <c r="E120" i="15"/>
  <c r="D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 s="1"/>
  <c r="K119" i="15"/>
  <c r="J119" i="15"/>
  <c r="I119" i="15"/>
  <c r="H119" i="15"/>
  <c r="G119" i="15"/>
  <c r="F119" i="15"/>
  <c r="E119" i="15"/>
  <c r="D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K118" i="15"/>
  <c r="J118" i="15"/>
  <c r="I118" i="15"/>
  <c r="H118" i="15"/>
  <c r="G118" i="15"/>
  <c r="F118" i="15"/>
  <c r="E118" i="15"/>
  <c r="D118" i="15"/>
  <c r="Y117" i="15"/>
  <c r="X117" i="15"/>
  <c r="W117" i="15"/>
  <c r="V117" i="15"/>
  <c r="U117" i="15"/>
  <c r="T117" i="15"/>
  <c r="S117" i="15"/>
  <c r="R117" i="15"/>
  <c r="Q117" i="15"/>
  <c r="P117" i="15"/>
  <c r="O117" i="15"/>
  <c r="O117" i="17" s="1"/>
  <c r="N117" i="15"/>
  <c r="M117" i="15"/>
  <c r="K117" i="15"/>
  <c r="J117" i="15"/>
  <c r="I117" i="15"/>
  <c r="H117" i="15"/>
  <c r="G117" i="15"/>
  <c r="F117" i="15"/>
  <c r="E117" i="15"/>
  <c r="D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K116" i="15"/>
  <c r="J116" i="15"/>
  <c r="I116" i="15"/>
  <c r="H116" i="15"/>
  <c r="G116" i="15"/>
  <c r="F116" i="15"/>
  <c r="E116" i="15"/>
  <c r="D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K115" i="15"/>
  <c r="J115" i="15"/>
  <c r="I115" i="15"/>
  <c r="H115" i="15"/>
  <c r="G115" i="15"/>
  <c r="F115" i="15"/>
  <c r="E115" i="15"/>
  <c r="D115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K114" i="15"/>
  <c r="J114" i="15"/>
  <c r="I114" i="15"/>
  <c r="H114" i="15"/>
  <c r="G114" i="15"/>
  <c r="F114" i="15"/>
  <c r="E114" i="15"/>
  <c r="D114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K113" i="15"/>
  <c r="J113" i="15"/>
  <c r="I113" i="15"/>
  <c r="H113" i="15"/>
  <c r="G113" i="15"/>
  <c r="F113" i="15"/>
  <c r="E113" i="15"/>
  <c r="D113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K112" i="15"/>
  <c r="J112" i="15"/>
  <c r="I112" i="15"/>
  <c r="H112" i="15"/>
  <c r="G112" i="15"/>
  <c r="F112" i="15"/>
  <c r="E112" i="15"/>
  <c r="D112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K111" i="15"/>
  <c r="J111" i="15"/>
  <c r="I111" i="15"/>
  <c r="H111" i="15"/>
  <c r="G111" i="15"/>
  <c r="F111" i="15"/>
  <c r="E111" i="15"/>
  <c r="D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K110" i="15"/>
  <c r="J110" i="15"/>
  <c r="I110" i="15"/>
  <c r="H110" i="15"/>
  <c r="G110" i="15"/>
  <c r="F110" i="15"/>
  <c r="E110" i="15"/>
  <c r="D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K109" i="15"/>
  <c r="J109" i="15"/>
  <c r="I109" i="15"/>
  <c r="H109" i="15"/>
  <c r="G109" i="15"/>
  <c r="F109" i="15"/>
  <c r="E109" i="15"/>
  <c r="D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K108" i="15"/>
  <c r="J108" i="15"/>
  <c r="I108" i="15"/>
  <c r="H108" i="15"/>
  <c r="G108" i="15"/>
  <c r="F108" i="15"/>
  <c r="E108" i="15"/>
  <c r="D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K107" i="15"/>
  <c r="J107" i="15"/>
  <c r="I107" i="15"/>
  <c r="H107" i="15"/>
  <c r="G107" i="15"/>
  <c r="F107" i="15"/>
  <c r="E107" i="15"/>
  <c r="D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K106" i="15"/>
  <c r="J106" i="15"/>
  <c r="I106" i="15"/>
  <c r="H106" i="15"/>
  <c r="G106" i="15"/>
  <c r="F106" i="15"/>
  <c r="E106" i="15"/>
  <c r="D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K105" i="15"/>
  <c r="J105" i="15"/>
  <c r="I105" i="15"/>
  <c r="H105" i="15"/>
  <c r="G105" i="15"/>
  <c r="F105" i="15"/>
  <c r="E105" i="15"/>
  <c r="D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K104" i="15"/>
  <c r="J104" i="15"/>
  <c r="I104" i="15"/>
  <c r="H104" i="15"/>
  <c r="G104" i="15"/>
  <c r="F104" i="15"/>
  <c r="E104" i="15"/>
  <c r="D104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K103" i="15"/>
  <c r="J103" i="15"/>
  <c r="I103" i="15"/>
  <c r="H103" i="15"/>
  <c r="G103" i="15"/>
  <c r="F103" i="15"/>
  <c r="E103" i="15"/>
  <c r="D103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K102" i="15"/>
  <c r="J102" i="15"/>
  <c r="I102" i="15"/>
  <c r="H102" i="15"/>
  <c r="G102" i="15"/>
  <c r="F102" i="15"/>
  <c r="E102" i="15"/>
  <c r="D102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K101" i="15"/>
  <c r="J101" i="15"/>
  <c r="I101" i="15"/>
  <c r="H101" i="15"/>
  <c r="G101" i="15"/>
  <c r="F101" i="15"/>
  <c r="E101" i="15"/>
  <c r="D101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K100" i="15"/>
  <c r="J100" i="15"/>
  <c r="I100" i="15"/>
  <c r="H100" i="15"/>
  <c r="G100" i="15"/>
  <c r="F100" i="15"/>
  <c r="E100" i="15"/>
  <c r="D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K99" i="15"/>
  <c r="J99" i="15"/>
  <c r="I99" i="15"/>
  <c r="H99" i="15"/>
  <c r="G99" i="15"/>
  <c r="F99" i="15"/>
  <c r="E99" i="15"/>
  <c r="D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K98" i="15"/>
  <c r="J98" i="15"/>
  <c r="I98" i="15"/>
  <c r="H98" i="15"/>
  <c r="G98" i="15"/>
  <c r="F98" i="15"/>
  <c r="E98" i="15"/>
  <c r="D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K97" i="15"/>
  <c r="J97" i="15"/>
  <c r="I97" i="15"/>
  <c r="H97" i="15"/>
  <c r="G97" i="15"/>
  <c r="F97" i="15"/>
  <c r="E97" i="15"/>
  <c r="D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K96" i="15"/>
  <c r="J96" i="15"/>
  <c r="I96" i="15"/>
  <c r="H96" i="15"/>
  <c r="G96" i="15"/>
  <c r="F96" i="15"/>
  <c r="E96" i="15"/>
  <c r="D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K95" i="15"/>
  <c r="J95" i="15"/>
  <c r="I95" i="15"/>
  <c r="H95" i="15"/>
  <c r="G95" i="15"/>
  <c r="F95" i="15"/>
  <c r="E95" i="15"/>
  <c r="D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K94" i="15"/>
  <c r="J94" i="15"/>
  <c r="I94" i="15"/>
  <c r="H94" i="15"/>
  <c r="G94" i="15"/>
  <c r="F94" i="15"/>
  <c r="E94" i="15"/>
  <c r="D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K93" i="15"/>
  <c r="J93" i="15"/>
  <c r="I93" i="15"/>
  <c r="H93" i="15"/>
  <c r="G93" i="15"/>
  <c r="F93" i="15"/>
  <c r="E93" i="15"/>
  <c r="D93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K92" i="15"/>
  <c r="J92" i="15"/>
  <c r="I92" i="15"/>
  <c r="H92" i="15"/>
  <c r="G92" i="15"/>
  <c r="F92" i="15"/>
  <c r="E92" i="15"/>
  <c r="D92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K91" i="15"/>
  <c r="J91" i="15"/>
  <c r="I91" i="15"/>
  <c r="H91" i="15"/>
  <c r="G91" i="15"/>
  <c r="F91" i="15"/>
  <c r="E91" i="15"/>
  <c r="D91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K90" i="15"/>
  <c r="J90" i="15"/>
  <c r="I90" i="15"/>
  <c r="H90" i="15"/>
  <c r="G90" i="15"/>
  <c r="F90" i="15"/>
  <c r="E90" i="15"/>
  <c r="D90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K89" i="15"/>
  <c r="J89" i="15"/>
  <c r="I89" i="15"/>
  <c r="H89" i="15"/>
  <c r="G89" i="15"/>
  <c r="F89" i="15"/>
  <c r="E89" i="15"/>
  <c r="D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K88" i="15"/>
  <c r="J88" i="15"/>
  <c r="I88" i="15"/>
  <c r="H88" i="15"/>
  <c r="G88" i="15"/>
  <c r="F88" i="15"/>
  <c r="E88" i="15"/>
  <c r="D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K87" i="15"/>
  <c r="J87" i="15"/>
  <c r="I87" i="15"/>
  <c r="H87" i="15"/>
  <c r="G87" i="15"/>
  <c r="F87" i="15"/>
  <c r="E87" i="15"/>
  <c r="D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K86" i="15"/>
  <c r="J86" i="15"/>
  <c r="I86" i="15"/>
  <c r="H86" i="15"/>
  <c r="G86" i="15"/>
  <c r="F86" i="15"/>
  <c r="E86" i="15"/>
  <c r="D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K85" i="15"/>
  <c r="J85" i="15"/>
  <c r="I85" i="15"/>
  <c r="H85" i="15"/>
  <c r="G85" i="15"/>
  <c r="F85" i="15"/>
  <c r="E85" i="15"/>
  <c r="D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K84" i="15"/>
  <c r="J84" i="15"/>
  <c r="I84" i="15"/>
  <c r="H84" i="15"/>
  <c r="G84" i="15"/>
  <c r="F84" i="15"/>
  <c r="E84" i="15"/>
  <c r="D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K83" i="15"/>
  <c r="J83" i="15"/>
  <c r="I83" i="15"/>
  <c r="H83" i="15"/>
  <c r="G83" i="15"/>
  <c r="F83" i="15"/>
  <c r="E83" i="15"/>
  <c r="D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K82" i="15"/>
  <c r="L82" i="15" s="1"/>
  <c r="J82" i="15"/>
  <c r="I82" i="15"/>
  <c r="H82" i="15"/>
  <c r="G82" i="15"/>
  <c r="F82" i="15"/>
  <c r="E82" i="15"/>
  <c r="D82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K81" i="15"/>
  <c r="J81" i="15"/>
  <c r="I81" i="15"/>
  <c r="H81" i="15"/>
  <c r="G81" i="15"/>
  <c r="F81" i="15"/>
  <c r="E81" i="15"/>
  <c r="D81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K80" i="15"/>
  <c r="J80" i="15"/>
  <c r="I80" i="15"/>
  <c r="H80" i="15"/>
  <c r="G80" i="15"/>
  <c r="F80" i="15"/>
  <c r="E80" i="15"/>
  <c r="D80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K79" i="15"/>
  <c r="L79" i="15" s="1"/>
  <c r="J79" i="15"/>
  <c r="I79" i="15"/>
  <c r="H79" i="15"/>
  <c r="G79" i="15"/>
  <c r="F79" i="15"/>
  <c r="E79" i="15"/>
  <c r="D79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K78" i="15"/>
  <c r="J78" i="15"/>
  <c r="I78" i="15"/>
  <c r="H78" i="15"/>
  <c r="G78" i="15"/>
  <c r="F78" i="15"/>
  <c r="E78" i="15"/>
  <c r="D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K77" i="15"/>
  <c r="J77" i="15"/>
  <c r="I77" i="15"/>
  <c r="H77" i="15"/>
  <c r="G77" i="15"/>
  <c r="F77" i="15"/>
  <c r="E77" i="15"/>
  <c r="D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K76" i="15"/>
  <c r="J76" i="15"/>
  <c r="I76" i="15"/>
  <c r="H76" i="15"/>
  <c r="G76" i="15"/>
  <c r="F76" i="15"/>
  <c r="E76" i="15"/>
  <c r="D76" i="15"/>
  <c r="Y75" i="15"/>
  <c r="X75" i="15"/>
  <c r="X75" i="17" s="1"/>
  <c r="W75" i="15"/>
  <c r="V75" i="15"/>
  <c r="U75" i="15"/>
  <c r="T75" i="15"/>
  <c r="S75" i="15"/>
  <c r="R75" i="15"/>
  <c r="Q75" i="15"/>
  <c r="P75" i="15"/>
  <c r="O75" i="15"/>
  <c r="N75" i="15"/>
  <c r="M75" i="15"/>
  <c r="K75" i="15"/>
  <c r="J75" i="15"/>
  <c r="I75" i="15"/>
  <c r="H75" i="15"/>
  <c r="G75" i="15"/>
  <c r="F75" i="15"/>
  <c r="E75" i="15"/>
  <c r="D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K74" i="15"/>
  <c r="J74" i="15"/>
  <c r="I74" i="15"/>
  <c r="H74" i="15"/>
  <c r="G74" i="15"/>
  <c r="F74" i="15"/>
  <c r="E74" i="15"/>
  <c r="D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K73" i="15"/>
  <c r="J73" i="15"/>
  <c r="I73" i="15"/>
  <c r="H73" i="15"/>
  <c r="G73" i="15"/>
  <c r="F73" i="15"/>
  <c r="E73" i="15"/>
  <c r="D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K72" i="15"/>
  <c r="J72" i="15"/>
  <c r="I72" i="15"/>
  <c r="H72" i="15"/>
  <c r="G72" i="15"/>
  <c r="F72" i="15"/>
  <c r="E72" i="15"/>
  <c r="D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K71" i="15"/>
  <c r="J71" i="15"/>
  <c r="I71" i="15"/>
  <c r="H71" i="15"/>
  <c r="G71" i="15"/>
  <c r="F71" i="15"/>
  <c r="E71" i="15"/>
  <c r="D71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K70" i="15"/>
  <c r="J70" i="15"/>
  <c r="I70" i="15"/>
  <c r="H70" i="15"/>
  <c r="G70" i="15"/>
  <c r="F70" i="15"/>
  <c r="E70" i="15"/>
  <c r="D70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K69" i="15"/>
  <c r="J69" i="15"/>
  <c r="I69" i="15"/>
  <c r="H69" i="15"/>
  <c r="G69" i="15"/>
  <c r="F69" i="15"/>
  <c r="E69" i="15"/>
  <c r="D69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K68" i="15"/>
  <c r="J68" i="15"/>
  <c r="I68" i="15"/>
  <c r="H68" i="15"/>
  <c r="G68" i="15"/>
  <c r="F68" i="15"/>
  <c r="E68" i="15"/>
  <c r="D68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K67" i="15"/>
  <c r="J67" i="15"/>
  <c r="I67" i="15"/>
  <c r="H67" i="15"/>
  <c r="G67" i="15"/>
  <c r="F67" i="15"/>
  <c r="E67" i="15"/>
  <c r="D67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K66" i="15"/>
  <c r="J66" i="15"/>
  <c r="I66" i="15"/>
  <c r="H66" i="15"/>
  <c r="G66" i="15"/>
  <c r="F66" i="15"/>
  <c r="E66" i="15"/>
  <c r="D66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K65" i="15"/>
  <c r="J65" i="15"/>
  <c r="I65" i="15"/>
  <c r="H65" i="15"/>
  <c r="G65" i="15"/>
  <c r="F65" i="15"/>
  <c r="E65" i="15"/>
  <c r="D65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K64" i="15"/>
  <c r="J64" i="15"/>
  <c r="I64" i="15"/>
  <c r="H64" i="15"/>
  <c r="G64" i="15"/>
  <c r="F64" i="15"/>
  <c r="E64" i="15"/>
  <c r="D64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K63" i="15"/>
  <c r="J63" i="15"/>
  <c r="I63" i="15"/>
  <c r="H63" i="15"/>
  <c r="G63" i="15"/>
  <c r="F63" i="15"/>
  <c r="E63" i="15"/>
  <c r="D63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K62" i="15"/>
  <c r="J62" i="15"/>
  <c r="I62" i="15"/>
  <c r="H62" i="15"/>
  <c r="G62" i="15"/>
  <c r="F62" i="15"/>
  <c r="E62" i="15"/>
  <c r="D62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K61" i="15"/>
  <c r="J61" i="15"/>
  <c r="I61" i="15"/>
  <c r="H61" i="15"/>
  <c r="G61" i="15"/>
  <c r="F61" i="15"/>
  <c r="E61" i="15"/>
  <c r="D61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K60" i="15"/>
  <c r="J60" i="15"/>
  <c r="I60" i="15"/>
  <c r="H60" i="15"/>
  <c r="G60" i="15"/>
  <c r="F60" i="15"/>
  <c r="E60" i="15"/>
  <c r="D60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K59" i="15"/>
  <c r="L59" i="15" s="1"/>
  <c r="J59" i="15"/>
  <c r="I59" i="15"/>
  <c r="H59" i="15"/>
  <c r="G59" i="15"/>
  <c r="F59" i="15"/>
  <c r="E59" i="15"/>
  <c r="D59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K58" i="15"/>
  <c r="J58" i="15"/>
  <c r="I58" i="15"/>
  <c r="H58" i="15"/>
  <c r="G58" i="15"/>
  <c r="F58" i="15"/>
  <c r="E58" i="15"/>
  <c r="D58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K57" i="15"/>
  <c r="J57" i="15"/>
  <c r="I57" i="15"/>
  <c r="H57" i="15"/>
  <c r="G57" i="15"/>
  <c r="F57" i="15"/>
  <c r="E57" i="15"/>
  <c r="D57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K56" i="15"/>
  <c r="J56" i="15"/>
  <c r="I56" i="15"/>
  <c r="H56" i="15"/>
  <c r="G56" i="15"/>
  <c r="F56" i="15"/>
  <c r="E56" i="15"/>
  <c r="D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K55" i="15"/>
  <c r="L55" i="15" s="1"/>
  <c r="J55" i="15"/>
  <c r="I55" i="15"/>
  <c r="H55" i="15"/>
  <c r="G55" i="15"/>
  <c r="F55" i="15"/>
  <c r="E55" i="15"/>
  <c r="D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K54" i="15"/>
  <c r="J54" i="15"/>
  <c r="I54" i="15"/>
  <c r="H54" i="15"/>
  <c r="G54" i="15"/>
  <c r="F54" i="15"/>
  <c r="E54" i="15"/>
  <c r="D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K53" i="15"/>
  <c r="J53" i="15"/>
  <c r="I53" i="15"/>
  <c r="H53" i="15"/>
  <c r="G53" i="15"/>
  <c r="F53" i="15"/>
  <c r="E53" i="15"/>
  <c r="D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K52" i="15"/>
  <c r="J52" i="15"/>
  <c r="I52" i="15"/>
  <c r="H52" i="15"/>
  <c r="G52" i="15"/>
  <c r="F52" i="15"/>
  <c r="E52" i="15"/>
  <c r="D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K51" i="15"/>
  <c r="J51" i="15"/>
  <c r="I51" i="15"/>
  <c r="H51" i="15"/>
  <c r="G51" i="15"/>
  <c r="F51" i="15"/>
  <c r="E51" i="15"/>
  <c r="D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K50" i="15"/>
  <c r="J50" i="15"/>
  <c r="I50" i="15"/>
  <c r="H50" i="15"/>
  <c r="G50" i="15"/>
  <c r="F50" i="15"/>
  <c r="E50" i="15"/>
  <c r="D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K49" i="15"/>
  <c r="J49" i="15"/>
  <c r="I49" i="15"/>
  <c r="H49" i="15"/>
  <c r="G49" i="15"/>
  <c r="F49" i="15"/>
  <c r="E49" i="15"/>
  <c r="D49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K48" i="15"/>
  <c r="J48" i="15"/>
  <c r="I48" i="15"/>
  <c r="H48" i="15"/>
  <c r="G48" i="15"/>
  <c r="F48" i="15"/>
  <c r="E48" i="15"/>
  <c r="D48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K47" i="15"/>
  <c r="J47" i="15"/>
  <c r="I47" i="15"/>
  <c r="H47" i="15"/>
  <c r="G47" i="15"/>
  <c r="F47" i="15"/>
  <c r="E47" i="15"/>
  <c r="D47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K46" i="15"/>
  <c r="J46" i="15"/>
  <c r="I46" i="15"/>
  <c r="H46" i="15"/>
  <c r="G46" i="15"/>
  <c r="F46" i="15"/>
  <c r="E46" i="15"/>
  <c r="D46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K45" i="15"/>
  <c r="J45" i="15"/>
  <c r="I45" i="15"/>
  <c r="H45" i="15"/>
  <c r="G45" i="15"/>
  <c r="F45" i="15"/>
  <c r="E45" i="15"/>
  <c r="D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K44" i="15"/>
  <c r="J44" i="15"/>
  <c r="I44" i="15"/>
  <c r="H44" i="15"/>
  <c r="G44" i="15"/>
  <c r="F44" i="15"/>
  <c r="E44" i="15"/>
  <c r="D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K43" i="15"/>
  <c r="J43" i="15"/>
  <c r="I43" i="15"/>
  <c r="H43" i="15"/>
  <c r="G43" i="15"/>
  <c r="F43" i="15"/>
  <c r="E43" i="15"/>
  <c r="D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K42" i="15"/>
  <c r="J42" i="15"/>
  <c r="I42" i="15"/>
  <c r="H42" i="15"/>
  <c r="G42" i="15"/>
  <c r="F42" i="15"/>
  <c r="E42" i="15"/>
  <c r="D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K41" i="15"/>
  <c r="J41" i="15"/>
  <c r="I41" i="15"/>
  <c r="H41" i="15"/>
  <c r="G41" i="15"/>
  <c r="F41" i="15"/>
  <c r="E41" i="15"/>
  <c r="D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K40" i="15"/>
  <c r="J40" i="15"/>
  <c r="I40" i="15"/>
  <c r="H40" i="15"/>
  <c r="G40" i="15"/>
  <c r="F40" i="15"/>
  <c r="E40" i="15"/>
  <c r="D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K39" i="15"/>
  <c r="J39" i="15"/>
  <c r="I39" i="15"/>
  <c r="H39" i="15"/>
  <c r="G39" i="15"/>
  <c r="F39" i="15"/>
  <c r="E39" i="15"/>
  <c r="D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K38" i="15"/>
  <c r="J38" i="15"/>
  <c r="I38" i="15"/>
  <c r="H38" i="15"/>
  <c r="G38" i="15"/>
  <c r="F38" i="15"/>
  <c r="E38" i="15"/>
  <c r="D38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K37" i="15"/>
  <c r="J37" i="15"/>
  <c r="I37" i="15"/>
  <c r="H37" i="15"/>
  <c r="G37" i="15"/>
  <c r="F37" i="15"/>
  <c r="E37" i="15"/>
  <c r="D37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K36" i="15"/>
  <c r="J36" i="15"/>
  <c r="I36" i="15"/>
  <c r="H36" i="15"/>
  <c r="G36" i="15"/>
  <c r="F36" i="15"/>
  <c r="E36" i="15"/>
  <c r="D36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K35" i="15"/>
  <c r="J35" i="15"/>
  <c r="I35" i="15"/>
  <c r="H35" i="15"/>
  <c r="G35" i="15"/>
  <c r="F35" i="15"/>
  <c r="E35" i="15"/>
  <c r="D35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K34" i="15"/>
  <c r="J34" i="15"/>
  <c r="I34" i="15"/>
  <c r="H34" i="15"/>
  <c r="G34" i="15"/>
  <c r="F34" i="15"/>
  <c r="E34" i="15"/>
  <c r="D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K33" i="15"/>
  <c r="L33" i="15" s="1"/>
  <c r="J33" i="15"/>
  <c r="I33" i="15"/>
  <c r="H33" i="15"/>
  <c r="G33" i="15"/>
  <c r="F33" i="15"/>
  <c r="E33" i="15"/>
  <c r="D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K32" i="15"/>
  <c r="J32" i="15"/>
  <c r="I32" i="15"/>
  <c r="H32" i="15"/>
  <c r="G32" i="15"/>
  <c r="F32" i="15"/>
  <c r="E32" i="15"/>
  <c r="D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K31" i="15"/>
  <c r="J31" i="15"/>
  <c r="I31" i="15"/>
  <c r="H31" i="15"/>
  <c r="G31" i="15"/>
  <c r="F31" i="15"/>
  <c r="E31" i="15"/>
  <c r="D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K30" i="15"/>
  <c r="J30" i="15"/>
  <c r="I30" i="15"/>
  <c r="H30" i="15"/>
  <c r="G30" i="15"/>
  <c r="F30" i="15"/>
  <c r="E30" i="15"/>
  <c r="D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K29" i="15"/>
  <c r="L29" i="15" s="1"/>
  <c r="J29" i="15"/>
  <c r="I29" i="15"/>
  <c r="H29" i="15"/>
  <c r="G29" i="15"/>
  <c r="F29" i="15"/>
  <c r="E29" i="15"/>
  <c r="D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K28" i="15"/>
  <c r="J28" i="15"/>
  <c r="I28" i="15"/>
  <c r="H28" i="15"/>
  <c r="G28" i="15"/>
  <c r="F28" i="15"/>
  <c r="E28" i="15"/>
  <c r="D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K27" i="15"/>
  <c r="J27" i="15"/>
  <c r="I27" i="15"/>
  <c r="H27" i="15"/>
  <c r="G27" i="15"/>
  <c r="F27" i="15"/>
  <c r="E27" i="15"/>
  <c r="D27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K26" i="15"/>
  <c r="J26" i="15"/>
  <c r="I26" i="15"/>
  <c r="H26" i="15"/>
  <c r="G26" i="15"/>
  <c r="F26" i="15"/>
  <c r="E26" i="15"/>
  <c r="D26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K25" i="15"/>
  <c r="J25" i="15"/>
  <c r="I25" i="15"/>
  <c r="H25" i="15"/>
  <c r="G25" i="15"/>
  <c r="F25" i="15"/>
  <c r="E25" i="15"/>
  <c r="D25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K24" i="15"/>
  <c r="J24" i="15"/>
  <c r="I24" i="15"/>
  <c r="H24" i="15"/>
  <c r="G24" i="15"/>
  <c r="F24" i="15"/>
  <c r="E24" i="15"/>
  <c r="D24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K23" i="15"/>
  <c r="J23" i="15"/>
  <c r="I23" i="15"/>
  <c r="H23" i="15"/>
  <c r="G23" i="15"/>
  <c r="F23" i="15"/>
  <c r="E23" i="15"/>
  <c r="D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K22" i="15"/>
  <c r="J22" i="15"/>
  <c r="I22" i="15"/>
  <c r="H22" i="15"/>
  <c r="G22" i="15"/>
  <c r="F22" i="15"/>
  <c r="E22" i="15"/>
  <c r="D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K21" i="15"/>
  <c r="J21" i="15"/>
  <c r="I21" i="15"/>
  <c r="H21" i="15"/>
  <c r="G21" i="15"/>
  <c r="F21" i="15"/>
  <c r="E21" i="15"/>
  <c r="D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K20" i="15"/>
  <c r="J20" i="15"/>
  <c r="I20" i="15"/>
  <c r="H20" i="15"/>
  <c r="G20" i="15"/>
  <c r="F20" i="15"/>
  <c r="E20" i="15"/>
  <c r="D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K19" i="15"/>
  <c r="J19" i="15"/>
  <c r="I19" i="15"/>
  <c r="H19" i="15"/>
  <c r="G19" i="15"/>
  <c r="F19" i="15"/>
  <c r="E19" i="15"/>
  <c r="D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K18" i="15"/>
  <c r="J18" i="15"/>
  <c r="I18" i="15"/>
  <c r="H18" i="15"/>
  <c r="G18" i="15"/>
  <c r="F18" i="15"/>
  <c r="E18" i="15"/>
  <c r="D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K17" i="15"/>
  <c r="L17" i="15" s="1"/>
  <c r="J17" i="15"/>
  <c r="I17" i="15"/>
  <c r="H17" i="15"/>
  <c r="G17" i="15"/>
  <c r="F17" i="15"/>
  <c r="E17" i="15"/>
  <c r="D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K16" i="15"/>
  <c r="J16" i="15"/>
  <c r="I16" i="15"/>
  <c r="H16" i="15"/>
  <c r="G16" i="15"/>
  <c r="F16" i="15"/>
  <c r="E16" i="15"/>
  <c r="D16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K15" i="15"/>
  <c r="J15" i="15"/>
  <c r="I15" i="15"/>
  <c r="H15" i="15"/>
  <c r="G15" i="15"/>
  <c r="F15" i="15"/>
  <c r="E15" i="15"/>
  <c r="D15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K14" i="15"/>
  <c r="J14" i="15"/>
  <c r="I14" i="15"/>
  <c r="H14" i="15"/>
  <c r="G14" i="15"/>
  <c r="F14" i="15"/>
  <c r="E14" i="15"/>
  <c r="D14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K13" i="15"/>
  <c r="L13" i="15" s="1"/>
  <c r="J13" i="15"/>
  <c r="I13" i="15"/>
  <c r="H13" i="15"/>
  <c r="G13" i="15"/>
  <c r="F13" i="15"/>
  <c r="E13" i="15"/>
  <c r="D13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K12" i="15"/>
  <c r="J12" i="15"/>
  <c r="I12" i="15"/>
  <c r="H12" i="15"/>
  <c r="G12" i="15"/>
  <c r="F12" i="15"/>
  <c r="E12" i="15"/>
  <c r="D12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K11" i="15"/>
  <c r="J11" i="15"/>
  <c r="I11" i="15"/>
  <c r="H11" i="15"/>
  <c r="G11" i="15"/>
  <c r="F11" i="15"/>
  <c r="E11" i="15"/>
  <c r="D11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K10" i="15"/>
  <c r="J10" i="15"/>
  <c r="I10" i="15"/>
  <c r="H10" i="15"/>
  <c r="G10" i="15"/>
  <c r="F10" i="15"/>
  <c r="E10" i="15"/>
  <c r="D10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K9" i="15"/>
  <c r="L9" i="15" s="1"/>
  <c r="J9" i="15"/>
  <c r="I9" i="15"/>
  <c r="H9" i="15"/>
  <c r="G9" i="15"/>
  <c r="F9" i="15"/>
  <c r="E9" i="15"/>
  <c r="D9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K8" i="15"/>
  <c r="J8" i="15"/>
  <c r="I8" i="15"/>
  <c r="H8" i="15"/>
  <c r="G8" i="15"/>
  <c r="F8" i="15"/>
  <c r="E8" i="15"/>
  <c r="D8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K7" i="15"/>
  <c r="J7" i="15"/>
  <c r="I7" i="15"/>
  <c r="H7" i="15"/>
  <c r="G7" i="15"/>
  <c r="F7" i="15"/>
  <c r="E7" i="15"/>
  <c r="D7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K6" i="15"/>
  <c r="J6" i="15"/>
  <c r="I6" i="15"/>
  <c r="H6" i="15"/>
  <c r="G6" i="15"/>
  <c r="F6" i="15"/>
  <c r="E6" i="15"/>
  <c r="D6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K5" i="15"/>
  <c r="J5" i="15"/>
  <c r="I5" i="15"/>
  <c r="H5" i="15"/>
  <c r="G5" i="15"/>
  <c r="F5" i="15"/>
  <c r="E5" i="15"/>
  <c r="D5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K4" i="15"/>
  <c r="J4" i="15"/>
  <c r="I4" i="15"/>
  <c r="H4" i="15"/>
  <c r="G4" i="15"/>
  <c r="F4" i="15"/>
  <c r="E4" i="15"/>
  <c r="D4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K3" i="15"/>
  <c r="J3" i="15"/>
  <c r="I3" i="15"/>
  <c r="H3" i="15"/>
  <c r="G3" i="15"/>
  <c r="F3" i="15"/>
  <c r="E3" i="15"/>
  <c r="D3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K2" i="15"/>
  <c r="J2" i="15"/>
  <c r="I2" i="15"/>
  <c r="H2" i="15"/>
  <c r="G2" i="15"/>
  <c r="F2" i="15"/>
  <c r="E2" i="15"/>
  <c r="D2" i="15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138" i="12"/>
  <c r="K138" i="12"/>
  <c r="L137" i="12"/>
  <c r="K137" i="12"/>
  <c r="L136" i="12"/>
  <c r="K136" i="12"/>
  <c r="L135" i="12"/>
  <c r="K135" i="12"/>
  <c r="L134" i="12"/>
  <c r="K134" i="12"/>
  <c r="L133" i="12"/>
  <c r="K133" i="12"/>
  <c r="K133" i="11" s="1"/>
  <c r="L132" i="12"/>
  <c r="K132" i="12"/>
  <c r="L131" i="12"/>
  <c r="K131" i="12"/>
  <c r="L130" i="12"/>
  <c r="K130" i="12"/>
  <c r="L129" i="12"/>
  <c r="K129" i="12"/>
  <c r="L128" i="12"/>
  <c r="K128" i="12"/>
  <c r="L127" i="12"/>
  <c r="K127" i="12"/>
  <c r="K127" i="11" s="1"/>
  <c r="L126" i="12"/>
  <c r="K126" i="12"/>
  <c r="L125" i="12"/>
  <c r="K125" i="12"/>
  <c r="L124" i="12"/>
  <c r="K124" i="12"/>
  <c r="L123" i="12"/>
  <c r="K123" i="12"/>
  <c r="L122" i="12"/>
  <c r="K122" i="12"/>
  <c r="L121" i="12"/>
  <c r="K121" i="12"/>
  <c r="K121" i="11" s="1"/>
  <c r="L120" i="12"/>
  <c r="K120" i="12"/>
  <c r="L119" i="12"/>
  <c r="K119" i="12"/>
  <c r="L118" i="12"/>
  <c r="K118" i="12"/>
  <c r="L117" i="12"/>
  <c r="K117" i="12"/>
  <c r="L116" i="12"/>
  <c r="K116" i="12"/>
  <c r="L115" i="12"/>
  <c r="K115" i="12"/>
  <c r="K115" i="11" s="1"/>
  <c r="L114" i="12"/>
  <c r="K114" i="12"/>
  <c r="L113" i="12"/>
  <c r="K113" i="12"/>
  <c r="L112" i="12"/>
  <c r="K112" i="12"/>
  <c r="L111" i="12"/>
  <c r="K111" i="12"/>
  <c r="L110" i="12"/>
  <c r="K110" i="12"/>
  <c r="L109" i="12"/>
  <c r="K109" i="12"/>
  <c r="K109" i="11" s="1"/>
  <c r="L108" i="12"/>
  <c r="K108" i="12"/>
  <c r="L107" i="12"/>
  <c r="K107" i="12"/>
  <c r="L106" i="12"/>
  <c r="K106" i="12"/>
  <c r="L105" i="12"/>
  <c r="K105" i="12"/>
  <c r="L104" i="12"/>
  <c r="K104" i="12"/>
  <c r="L103" i="12"/>
  <c r="K103" i="12"/>
  <c r="K103" i="11" s="1"/>
  <c r="L102" i="12"/>
  <c r="K102" i="12"/>
  <c r="L101" i="12"/>
  <c r="K101" i="12"/>
  <c r="L100" i="12"/>
  <c r="K100" i="12"/>
  <c r="L99" i="12"/>
  <c r="K99" i="12"/>
  <c r="L98" i="12"/>
  <c r="K98" i="12"/>
  <c r="L97" i="12"/>
  <c r="K97" i="12"/>
  <c r="K97" i="11" s="1"/>
  <c r="L96" i="12"/>
  <c r="K96" i="12"/>
  <c r="L95" i="12"/>
  <c r="K95" i="12"/>
  <c r="L94" i="12"/>
  <c r="K94" i="12"/>
  <c r="L93" i="12"/>
  <c r="K93" i="12"/>
  <c r="L92" i="12"/>
  <c r="K92" i="12"/>
  <c r="L91" i="12"/>
  <c r="K91" i="12"/>
  <c r="K91" i="11" s="1"/>
  <c r="L90" i="12"/>
  <c r="K90" i="12"/>
  <c r="L89" i="12"/>
  <c r="K89" i="12"/>
  <c r="L88" i="12"/>
  <c r="K88" i="12"/>
  <c r="L87" i="12"/>
  <c r="K87" i="12"/>
  <c r="L86" i="12"/>
  <c r="K86" i="12"/>
  <c r="L85" i="12"/>
  <c r="K85" i="12"/>
  <c r="K85" i="11" s="1"/>
  <c r="L84" i="12"/>
  <c r="K84" i="12"/>
  <c r="L83" i="12"/>
  <c r="K83" i="12"/>
  <c r="L82" i="12"/>
  <c r="K82" i="12"/>
  <c r="L81" i="12"/>
  <c r="K81" i="12"/>
  <c r="L80" i="12"/>
  <c r="K80" i="12"/>
  <c r="L79" i="12"/>
  <c r="K79" i="12"/>
  <c r="K79" i="11" s="1"/>
  <c r="L78" i="12"/>
  <c r="K78" i="12"/>
  <c r="L77" i="12"/>
  <c r="K77" i="12"/>
  <c r="L76" i="12"/>
  <c r="K76" i="12"/>
  <c r="L75" i="12"/>
  <c r="K75" i="12"/>
  <c r="L74" i="12"/>
  <c r="K74" i="12"/>
  <c r="L73" i="12"/>
  <c r="K73" i="12"/>
  <c r="K73" i="11" s="1"/>
  <c r="L72" i="12"/>
  <c r="K72" i="12"/>
  <c r="L71" i="12"/>
  <c r="K71" i="12"/>
  <c r="L70" i="12"/>
  <c r="K70" i="12"/>
  <c r="L69" i="12"/>
  <c r="K69" i="12"/>
  <c r="L68" i="12"/>
  <c r="K68" i="12"/>
  <c r="L67" i="12"/>
  <c r="K67" i="12"/>
  <c r="K67" i="11" s="1"/>
  <c r="L66" i="12"/>
  <c r="K66" i="12"/>
  <c r="L65" i="12"/>
  <c r="K65" i="12"/>
  <c r="L64" i="12"/>
  <c r="K64" i="12"/>
  <c r="L63" i="12"/>
  <c r="K63" i="12"/>
  <c r="L62" i="12"/>
  <c r="K62" i="12"/>
  <c r="L61" i="12"/>
  <c r="K61" i="12"/>
  <c r="K61" i="11" s="1"/>
  <c r="L60" i="12"/>
  <c r="K60" i="12"/>
  <c r="L59" i="12"/>
  <c r="K59" i="12"/>
  <c r="L58" i="12"/>
  <c r="K58" i="12"/>
  <c r="L57" i="12"/>
  <c r="K57" i="12"/>
  <c r="L56" i="12"/>
  <c r="K56" i="12"/>
  <c r="L55" i="12"/>
  <c r="K55" i="12"/>
  <c r="K55" i="11" s="1"/>
  <c r="L54" i="12"/>
  <c r="K54" i="12"/>
  <c r="L53" i="12"/>
  <c r="K53" i="12"/>
  <c r="L52" i="12"/>
  <c r="K52" i="12"/>
  <c r="L51" i="12"/>
  <c r="K51" i="12"/>
  <c r="L50" i="12"/>
  <c r="K50" i="12"/>
  <c r="L49" i="12"/>
  <c r="K49" i="12"/>
  <c r="K49" i="11" s="1"/>
  <c r="L48" i="12"/>
  <c r="K48" i="12"/>
  <c r="L47" i="12"/>
  <c r="K47" i="12"/>
  <c r="L46" i="12"/>
  <c r="K46" i="12"/>
  <c r="L45" i="12"/>
  <c r="K45" i="12"/>
  <c r="L44" i="12"/>
  <c r="K44" i="12"/>
  <c r="L43" i="12"/>
  <c r="K43" i="12"/>
  <c r="K43" i="11" s="1"/>
  <c r="L42" i="12"/>
  <c r="K42" i="12"/>
  <c r="L41" i="12"/>
  <c r="K41" i="12"/>
  <c r="L40" i="12"/>
  <c r="K40" i="12"/>
  <c r="L39" i="12"/>
  <c r="K39" i="12"/>
  <c r="L38" i="12"/>
  <c r="K38" i="12"/>
  <c r="L37" i="12"/>
  <c r="K37" i="12"/>
  <c r="K37" i="11" s="1"/>
  <c r="L36" i="12"/>
  <c r="K36" i="12"/>
  <c r="L35" i="12"/>
  <c r="K35" i="12"/>
  <c r="L34" i="12"/>
  <c r="K34" i="12"/>
  <c r="L33" i="12"/>
  <c r="K33" i="12"/>
  <c r="L32" i="12"/>
  <c r="K32" i="12"/>
  <c r="L31" i="12"/>
  <c r="K31" i="12"/>
  <c r="K31" i="11" s="1"/>
  <c r="L30" i="12"/>
  <c r="K30" i="12"/>
  <c r="L29" i="12"/>
  <c r="K29" i="12"/>
  <c r="L28" i="12"/>
  <c r="K28" i="12"/>
  <c r="L27" i="12"/>
  <c r="K27" i="12"/>
  <c r="L26" i="12"/>
  <c r="K26" i="12"/>
  <c r="L25" i="12"/>
  <c r="K25" i="12"/>
  <c r="K25" i="11" s="1"/>
  <c r="L24" i="12"/>
  <c r="K24" i="12"/>
  <c r="L23" i="12"/>
  <c r="K23" i="12"/>
  <c r="L22" i="12"/>
  <c r="K22" i="12"/>
  <c r="L21" i="12"/>
  <c r="K21" i="12"/>
  <c r="L20" i="12"/>
  <c r="K20" i="12"/>
  <c r="L19" i="12"/>
  <c r="K19" i="12"/>
  <c r="K19" i="11" s="1"/>
  <c r="L18" i="12"/>
  <c r="K18" i="12"/>
  <c r="L17" i="12"/>
  <c r="K17" i="12"/>
  <c r="L16" i="12"/>
  <c r="K16" i="12"/>
  <c r="L15" i="12"/>
  <c r="K15" i="12"/>
  <c r="L14" i="12"/>
  <c r="K14" i="12"/>
  <c r="L13" i="12"/>
  <c r="K13" i="12"/>
  <c r="K13" i="11" s="1"/>
  <c r="L12" i="12"/>
  <c r="K12" i="12"/>
  <c r="L11" i="12"/>
  <c r="K11" i="12"/>
  <c r="L10" i="12"/>
  <c r="K10" i="12"/>
  <c r="L9" i="12"/>
  <c r="K9" i="12"/>
  <c r="L8" i="12"/>
  <c r="K8" i="12"/>
  <c r="L7" i="12"/>
  <c r="K7" i="12"/>
  <c r="K7" i="11" s="1"/>
  <c r="L6" i="12"/>
  <c r="K6" i="12"/>
  <c r="L5" i="12"/>
  <c r="K5" i="12"/>
  <c r="L4" i="12"/>
  <c r="K4" i="12"/>
  <c r="L3" i="12"/>
  <c r="K3" i="12"/>
  <c r="L2" i="12"/>
  <c r="K2" i="12"/>
  <c r="Y138" i="11"/>
  <c r="D62" i="11"/>
  <c r="F82" i="11"/>
  <c r="E82" i="11"/>
  <c r="D82" i="11"/>
  <c r="E83" i="11"/>
  <c r="D83" i="11"/>
  <c r="F88" i="11"/>
  <c r="E88" i="11"/>
  <c r="D88" i="11"/>
  <c r="I103" i="11"/>
  <c r="H103" i="11"/>
  <c r="G103" i="11"/>
  <c r="F103" i="11"/>
  <c r="E103" i="11"/>
  <c r="D103" i="11"/>
  <c r="D129" i="11"/>
  <c r="G27" i="11"/>
  <c r="F27" i="11"/>
  <c r="E27" i="11"/>
  <c r="D27" i="11"/>
  <c r="V138" i="11"/>
  <c r="O138" i="11"/>
  <c r="M138" i="11"/>
  <c r="J138" i="11"/>
  <c r="H138" i="11"/>
  <c r="G138" i="11"/>
  <c r="F138" i="11"/>
  <c r="E138" i="11"/>
  <c r="D138" i="11"/>
  <c r="Y137" i="11"/>
  <c r="V137" i="11"/>
  <c r="O137" i="11"/>
  <c r="M137" i="11"/>
  <c r="J137" i="11"/>
  <c r="H137" i="11"/>
  <c r="G137" i="11"/>
  <c r="F137" i="11"/>
  <c r="E137" i="11"/>
  <c r="D137" i="11"/>
  <c r="Y136" i="11"/>
  <c r="V136" i="11"/>
  <c r="O136" i="11"/>
  <c r="M136" i="11"/>
  <c r="J136" i="11"/>
  <c r="H136" i="11"/>
  <c r="G136" i="11"/>
  <c r="F136" i="11"/>
  <c r="E136" i="11"/>
  <c r="D136" i="11"/>
  <c r="Y135" i="11"/>
  <c r="V135" i="11"/>
  <c r="O135" i="11"/>
  <c r="M135" i="11"/>
  <c r="J135" i="11"/>
  <c r="H135" i="11"/>
  <c r="G135" i="11"/>
  <c r="F135" i="11"/>
  <c r="E135" i="11"/>
  <c r="D135" i="11"/>
  <c r="Y134" i="11"/>
  <c r="V134" i="11"/>
  <c r="O134" i="11"/>
  <c r="M134" i="11"/>
  <c r="J134" i="11"/>
  <c r="H134" i="11"/>
  <c r="G134" i="11"/>
  <c r="F134" i="11"/>
  <c r="E134" i="11"/>
  <c r="D134" i="11"/>
  <c r="Y133" i="11"/>
  <c r="V133" i="11"/>
  <c r="O133" i="11"/>
  <c r="M133" i="11"/>
  <c r="J133" i="11"/>
  <c r="H133" i="11"/>
  <c r="G133" i="11"/>
  <c r="F133" i="11"/>
  <c r="E133" i="11"/>
  <c r="D133" i="11"/>
  <c r="Y132" i="11"/>
  <c r="V132" i="11"/>
  <c r="O132" i="11"/>
  <c r="M132" i="11"/>
  <c r="J132" i="11"/>
  <c r="H132" i="11"/>
  <c r="G132" i="11"/>
  <c r="F132" i="11"/>
  <c r="E132" i="11"/>
  <c r="D132" i="11"/>
  <c r="Y131" i="11"/>
  <c r="V131" i="11"/>
  <c r="O131" i="11"/>
  <c r="M131" i="11"/>
  <c r="J131" i="11"/>
  <c r="H131" i="11"/>
  <c r="G131" i="11"/>
  <c r="F131" i="11"/>
  <c r="E131" i="11"/>
  <c r="D131" i="11"/>
  <c r="Y130" i="11"/>
  <c r="V130" i="11"/>
  <c r="O130" i="11"/>
  <c r="M130" i="11"/>
  <c r="J130" i="11"/>
  <c r="H130" i="11"/>
  <c r="G130" i="11"/>
  <c r="F130" i="11"/>
  <c r="E130" i="11"/>
  <c r="D130" i="11"/>
  <c r="Y129" i="11"/>
  <c r="V129" i="11"/>
  <c r="O129" i="11"/>
  <c r="M129" i="11"/>
  <c r="J129" i="11"/>
  <c r="H129" i="11"/>
  <c r="G129" i="11"/>
  <c r="F129" i="11"/>
  <c r="E129" i="11"/>
  <c r="Y128" i="11"/>
  <c r="V128" i="11"/>
  <c r="O128" i="11"/>
  <c r="M128" i="11"/>
  <c r="J128" i="11"/>
  <c r="H128" i="11"/>
  <c r="G128" i="11"/>
  <c r="F128" i="11"/>
  <c r="E128" i="11"/>
  <c r="D128" i="11"/>
  <c r="Y127" i="11"/>
  <c r="V127" i="11"/>
  <c r="O127" i="11"/>
  <c r="M127" i="11"/>
  <c r="J127" i="11"/>
  <c r="H127" i="11"/>
  <c r="G127" i="11"/>
  <c r="F127" i="11"/>
  <c r="E127" i="11"/>
  <c r="D127" i="11"/>
  <c r="Y126" i="11"/>
  <c r="V126" i="11"/>
  <c r="O126" i="11"/>
  <c r="M126" i="11"/>
  <c r="J126" i="11"/>
  <c r="H126" i="11"/>
  <c r="G126" i="11"/>
  <c r="F126" i="11"/>
  <c r="E126" i="11"/>
  <c r="D126" i="11"/>
  <c r="Y125" i="11"/>
  <c r="V125" i="11"/>
  <c r="O125" i="11"/>
  <c r="M125" i="11"/>
  <c r="J125" i="11"/>
  <c r="H125" i="11"/>
  <c r="G125" i="11"/>
  <c r="F125" i="11"/>
  <c r="E125" i="11"/>
  <c r="D125" i="11"/>
  <c r="Y124" i="11"/>
  <c r="V124" i="11"/>
  <c r="O124" i="11"/>
  <c r="M124" i="11"/>
  <c r="J124" i="11"/>
  <c r="H124" i="11"/>
  <c r="G124" i="11"/>
  <c r="F124" i="11"/>
  <c r="E124" i="11"/>
  <c r="D124" i="11"/>
  <c r="Y123" i="11"/>
  <c r="V123" i="11"/>
  <c r="O123" i="11"/>
  <c r="M123" i="11"/>
  <c r="J123" i="11"/>
  <c r="H123" i="11"/>
  <c r="G123" i="11"/>
  <c r="F123" i="11"/>
  <c r="E123" i="11"/>
  <c r="D123" i="11"/>
  <c r="Y122" i="11"/>
  <c r="V122" i="11"/>
  <c r="O122" i="11"/>
  <c r="M122" i="11"/>
  <c r="J122" i="11"/>
  <c r="H122" i="11"/>
  <c r="G122" i="11"/>
  <c r="F122" i="11"/>
  <c r="E122" i="11"/>
  <c r="D122" i="11"/>
  <c r="Y121" i="11"/>
  <c r="V121" i="11"/>
  <c r="O121" i="11"/>
  <c r="M121" i="11"/>
  <c r="J121" i="11"/>
  <c r="H121" i="11"/>
  <c r="G121" i="11"/>
  <c r="F121" i="11"/>
  <c r="E121" i="11"/>
  <c r="D121" i="11"/>
  <c r="Y120" i="11"/>
  <c r="V120" i="11"/>
  <c r="O120" i="11"/>
  <c r="M120" i="11"/>
  <c r="J120" i="11"/>
  <c r="H120" i="11"/>
  <c r="G120" i="11"/>
  <c r="F120" i="11"/>
  <c r="E120" i="11"/>
  <c r="D120" i="11"/>
  <c r="Y119" i="11"/>
  <c r="V119" i="11"/>
  <c r="O119" i="11"/>
  <c r="M119" i="11"/>
  <c r="J119" i="11"/>
  <c r="H119" i="11"/>
  <c r="G119" i="11"/>
  <c r="F119" i="11"/>
  <c r="E119" i="11"/>
  <c r="D119" i="11"/>
  <c r="Y118" i="11"/>
  <c r="V118" i="11"/>
  <c r="O118" i="11"/>
  <c r="M118" i="11"/>
  <c r="J118" i="11"/>
  <c r="H118" i="11"/>
  <c r="G118" i="11"/>
  <c r="F118" i="11"/>
  <c r="E118" i="11"/>
  <c r="D118" i="11"/>
  <c r="Y117" i="11"/>
  <c r="V117" i="11"/>
  <c r="O117" i="11"/>
  <c r="M117" i="11"/>
  <c r="J117" i="11"/>
  <c r="H117" i="11"/>
  <c r="G117" i="11"/>
  <c r="F117" i="11"/>
  <c r="E117" i="11"/>
  <c r="D117" i="11"/>
  <c r="Y116" i="11"/>
  <c r="V116" i="11"/>
  <c r="O116" i="11"/>
  <c r="M116" i="11"/>
  <c r="J116" i="11"/>
  <c r="H116" i="11"/>
  <c r="G116" i="11"/>
  <c r="F116" i="11"/>
  <c r="E116" i="11"/>
  <c r="D116" i="11"/>
  <c r="Y115" i="11"/>
  <c r="V115" i="11"/>
  <c r="O115" i="11"/>
  <c r="M115" i="11"/>
  <c r="J115" i="11"/>
  <c r="H115" i="11"/>
  <c r="G115" i="11"/>
  <c r="F115" i="11"/>
  <c r="E115" i="11"/>
  <c r="D115" i="11"/>
  <c r="Y114" i="11"/>
  <c r="V114" i="11"/>
  <c r="O114" i="11"/>
  <c r="M114" i="11"/>
  <c r="J114" i="11"/>
  <c r="H114" i="11"/>
  <c r="G114" i="11"/>
  <c r="F114" i="11"/>
  <c r="E114" i="11"/>
  <c r="D114" i="11"/>
  <c r="Y113" i="11"/>
  <c r="V113" i="11"/>
  <c r="O113" i="11"/>
  <c r="M113" i="11"/>
  <c r="J113" i="11"/>
  <c r="H113" i="11"/>
  <c r="G113" i="11"/>
  <c r="F113" i="11"/>
  <c r="E113" i="11"/>
  <c r="D113" i="11"/>
  <c r="Y112" i="11"/>
  <c r="V112" i="11"/>
  <c r="O112" i="11"/>
  <c r="M112" i="11"/>
  <c r="J112" i="11"/>
  <c r="H112" i="11"/>
  <c r="G112" i="11"/>
  <c r="F112" i="11"/>
  <c r="E112" i="11"/>
  <c r="D112" i="11"/>
  <c r="Y111" i="11"/>
  <c r="V111" i="11"/>
  <c r="O111" i="11"/>
  <c r="M111" i="11"/>
  <c r="J111" i="11"/>
  <c r="H111" i="11"/>
  <c r="G111" i="11"/>
  <c r="F111" i="11"/>
  <c r="E111" i="11"/>
  <c r="D111" i="11"/>
  <c r="Y110" i="11"/>
  <c r="V110" i="11"/>
  <c r="O110" i="11"/>
  <c r="M110" i="11"/>
  <c r="J110" i="11"/>
  <c r="H110" i="11"/>
  <c r="G110" i="11"/>
  <c r="F110" i="11"/>
  <c r="E110" i="11"/>
  <c r="D110" i="11"/>
  <c r="Y109" i="11"/>
  <c r="V109" i="11"/>
  <c r="O109" i="11"/>
  <c r="M109" i="11"/>
  <c r="J109" i="11"/>
  <c r="H109" i="11"/>
  <c r="G109" i="11"/>
  <c r="F109" i="11"/>
  <c r="E109" i="11"/>
  <c r="D109" i="11"/>
  <c r="Y108" i="11"/>
  <c r="V108" i="11"/>
  <c r="O108" i="11"/>
  <c r="M108" i="11"/>
  <c r="J108" i="11"/>
  <c r="H108" i="11"/>
  <c r="G108" i="11"/>
  <c r="F108" i="11"/>
  <c r="E108" i="11"/>
  <c r="D108" i="11"/>
  <c r="Y107" i="11"/>
  <c r="V107" i="11"/>
  <c r="O107" i="11"/>
  <c r="M107" i="11"/>
  <c r="J107" i="11"/>
  <c r="H107" i="11"/>
  <c r="G107" i="11"/>
  <c r="F107" i="11"/>
  <c r="E107" i="11"/>
  <c r="D107" i="11"/>
  <c r="Y106" i="11"/>
  <c r="V106" i="11"/>
  <c r="O106" i="11"/>
  <c r="M106" i="11"/>
  <c r="J106" i="11"/>
  <c r="H106" i="11"/>
  <c r="G106" i="11"/>
  <c r="F106" i="11"/>
  <c r="E106" i="11"/>
  <c r="D106" i="11"/>
  <c r="Y105" i="11"/>
  <c r="V105" i="11"/>
  <c r="O105" i="11"/>
  <c r="M105" i="11"/>
  <c r="J105" i="11"/>
  <c r="H105" i="11"/>
  <c r="G105" i="11"/>
  <c r="F105" i="11"/>
  <c r="E105" i="11"/>
  <c r="D105" i="11"/>
  <c r="Y104" i="11"/>
  <c r="V104" i="11"/>
  <c r="O104" i="11"/>
  <c r="M104" i="11"/>
  <c r="J104" i="11"/>
  <c r="H104" i="11"/>
  <c r="G104" i="11"/>
  <c r="F104" i="11"/>
  <c r="E104" i="11"/>
  <c r="D104" i="11"/>
  <c r="Y103" i="11"/>
  <c r="V103" i="11"/>
  <c r="O103" i="11"/>
  <c r="M103" i="11"/>
  <c r="J103" i="11"/>
  <c r="Y102" i="11"/>
  <c r="V102" i="11"/>
  <c r="O102" i="11"/>
  <c r="M102" i="11"/>
  <c r="J102" i="11"/>
  <c r="H102" i="11"/>
  <c r="G102" i="11"/>
  <c r="F102" i="11"/>
  <c r="E102" i="11"/>
  <c r="D102" i="11"/>
  <c r="Y101" i="11"/>
  <c r="V101" i="11"/>
  <c r="O101" i="11"/>
  <c r="M101" i="11"/>
  <c r="J101" i="11"/>
  <c r="H101" i="11"/>
  <c r="G101" i="11"/>
  <c r="F101" i="11"/>
  <c r="E101" i="11"/>
  <c r="D101" i="11"/>
  <c r="Y100" i="11"/>
  <c r="V100" i="11"/>
  <c r="O100" i="11"/>
  <c r="M100" i="11"/>
  <c r="J100" i="11"/>
  <c r="H100" i="11"/>
  <c r="G100" i="11"/>
  <c r="F100" i="11"/>
  <c r="E100" i="11"/>
  <c r="D100" i="11"/>
  <c r="Y99" i="11"/>
  <c r="V99" i="11"/>
  <c r="O99" i="11"/>
  <c r="M99" i="11"/>
  <c r="J99" i="11"/>
  <c r="H99" i="11"/>
  <c r="G99" i="11"/>
  <c r="F99" i="11"/>
  <c r="E99" i="11"/>
  <c r="D99" i="11"/>
  <c r="Y98" i="11"/>
  <c r="V98" i="11"/>
  <c r="O98" i="11"/>
  <c r="M98" i="11"/>
  <c r="J98" i="11"/>
  <c r="H98" i="11"/>
  <c r="G98" i="11"/>
  <c r="F98" i="11"/>
  <c r="E98" i="11"/>
  <c r="D98" i="11"/>
  <c r="Y97" i="11"/>
  <c r="V97" i="11"/>
  <c r="O97" i="11"/>
  <c r="M97" i="11"/>
  <c r="J97" i="11"/>
  <c r="H97" i="11"/>
  <c r="G97" i="11"/>
  <c r="F97" i="11"/>
  <c r="E97" i="11"/>
  <c r="D97" i="11"/>
  <c r="Y96" i="11"/>
  <c r="V96" i="11"/>
  <c r="O96" i="11"/>
  <c r="M96" i="11"/>
  <c r="J96" i="11"/>
  <c r="H96" i="11"/>
  <c r="G96" i="11"/>
  <c r="F96" i="11"/>
  <c r="E96" i="11"/>
  <c r="D96" i="11"/>
  <c r="Y95" i="11"/>
  <c r="V95" i="11"/>
  <c r="O95" i="11"/>
  <c r="M95" i="11"/>
  <c r="J95" i="11"/>
  <c r="H95" i="11"/>
  <c r="G95" i="11"/>
  <c r="F95" i="11"/>
  <c r="E95" i="11"/>
  <c r="D95" i="11"/>
  <c r="Y94" i="11"/>
  <c r="V94" i="11"/>
  <c r="O94" i="11"/>
  <c r="M94" i="11"/>
  <c r="J94" i="11"/>
  <c r="H94" i="11"/>
  <c r="G94" i="11"/>
  <c r="F94" i="11"/>
  <c r="E94" i="11"/>
  <c r="D94" i="11"/>
  <c r="Y93" i="11"/>
  <c r="V93" i="11"/>
  <c r="O93" i="11"/>
  <c r="M93" i="11"/>
  <c r="J93" i="11"/>
  <c r="H93" i="11"/>
  <c r="G93" i="11"/>
  <c r="F93" i="11"/>
  <c r="E93" i="11"/>
  <c r="D93" i="11"/>
  <c r="Y92" i="11"/>
  <c r="V92" i="11"/>
  <c r="O92" i="11"/>
  <c r="M92" i="11"/>
  <c r="J92" i="11"/>
  <c r="H92" i="11"/>
  <c r="G92" i="11"/>
  <c r="F92" i="11"/>
  <c r="E92" i="11"/>
  <c r="D92" i="11"/>
  <c r="Y91" i="11"/>
  <c r="V91" i="11"/>
  <c r="O91" i="11"/>
  <c r="M91" i="11"/>
  <c r="J91" i="11"/>
  <c r="H91" i="11"/>
  <c r="G91" i="11"/>
  <c r="F91" i="11"/>
  <c r="E91" i="11"/>
  <c r="D91" i="11"/>
  <c r="Y90" i="11"/>
  <c r="V90" i="11"/>
  <c r="O90" i="11"/>
  <c r="M90" i="11"/>
  <c r="J90" i="11"/>
  <c r="H90" i="11"/>
  <c r="G90" i="11"/>
  <c r="F90" i="11"/>
  <c r="E90" i="11"/>
  <c r="D90" i="11"/>
  <c r="Y89" i="11"/>
  <c r="V89" i="11"/>
  <c r="O89" i="11"/>
  <c r="M89" i="11"/>
  <c r="J89" i="11"/>
  <c r="H89" i="11"/>
  <c r="G89" i="11"/>
  <c r="F89" i="11"/>
  <c r="E89" i="11"/>
  <c r="D89" i="11"/>
  <c r="Y88" i="11"/>
  <c r="V88" i="11"/>
  <c r="O88" i="11"/>
  <c r="M88" i="11"/>
  <c r="J88" i="11"/>
  <c r="H88" i="11"/>
  <c r="G88" i="11"/>
  <c r="Y87" i="11"/>
  <c r="V87" i="11"/>
  <c r="O87" i="11"/>
  <c r="M87" i="11"/>
  <c r="J87" i="11"/>
  <c r="H87" i="11"/>
  <c r="G87" i="11"/>
  <c r="F87" i="11"/>
  <c r="E87" i="11"/>
  <c r="D87" i="11"/>
  <c r="Y86" i="11"/>
  <c r="V86" i="11"/>
  <c r="O86" i="11"/>
  <c r="M86" i="11"/>
  <c r="J86" i="11"/>
  <c r="H86" i="11"/>
  <c r="G86" i="11"/>
  <c r="F86" i="11"/>
  <c r="E86" i="11"/>
  <c r="D86" i="11"/>
  <c r="Y85" i="11"/>
  <c r="V85" i="11"/>
  <c r="O85" i="11"/>
  <c r="M85" i="11"/>
  <c r="J85" i="11"/>
  <c r="H85" i="11"/>
  <c r="G85" i="11"/>
  <c r="F85" i="11"/>
  <c r="E85" i="11"/>
  <c r="D85" i="11"/>
  <c r="Y84" i="11"/>
  <c r="V84" i="11"/>
  <c r="O84" i="11"/>
  <c r="M84" i="11"/>
  <c r="J84" i="11"/>
  <c r="H84" i="11"/>
  <c r="G84" i="11"/>
  <c r="F84" i="11"/>
  <c r="E84" i="11"/>
  <c r="D84" i="11"/>
  <c r="Y83" i="11"/>
  <c r="V83" i="11"/>
  <c r="O83" i="11"/>
  <c r="M83" i="11"/>
  <c r="J83" i="11"/>
  <c r="H83" i="11"/>
  <c r="G83" i="11"/>
  <c r="F83" i="11"/>
  <c r="Y82" i="11"/>
  <c r="V82" i="11"/>
  <c r="O82" i="11"/>
  <c r="M82" i="11"/>
  <c r="J82" i="11"/>
  <c r="H82" i="11"/>
  <c r="G82" i="11"/>
  <c r="Y81" i="11"/>
  <c r="V81" i="11"/>
  <c r="O81" i="11"/>
  <c r="M81" i="11"/>
  <c r="J81" i="11"/>
  <c r="H81" i="11"/>
  <c r="G81" i="11"/>
  <c r="F81" i="11"/>
  <c r="E81" i="11"/>
  <c r="D81" i="11"/>
  <c r="Y80" i="11"/>
  <c r="V80" i="11"/>
  <c r="O80" i="11"/>
  <c r="M80" i="11"/>
  <c r="J80" i="11"/>
  <c r="H80" i="11"/>
  <c r="G80" i="11"/>
  <c r="F80" i="11"/>
  <c r="E80" i="11"/>
  <c r="D80" i="11"/>
  <c r="Y79" i="11"/>
  <c r="V79" i="11"/>
  <c r="O79" i="11"/>
  <c r="M79" i="11"/>
  <c r="J79" i="11"/>
  <c r="H79" i="11"/>
  <c r="G79" i="11"/>
  <c r="F79" i="11"/>
  <c r="E79" i="11"/>
  <c r="D79" i="11"/>
  <c r="Y78" i="11"/>
  <c r="V78" i="11"/>
  <c r="O78" i="11"/>
  <c r="M78" i="11"/>
  <c r="J78" i="11"/>
  <c r="H78" i="11"/>
  <c r="G78" i="11"/>
  <c r="F78" i="11"/>
  <c r="E78" i="11"/>
  <c r="D78" i="11"/>
  <c r="Y77" i="11"/>
  <c r="V77" i="11"/>
  <c r="O77" i="11"/>
  <c r="M77" i="11"/>
  <c r="J77" i="11"/>
  <c r="H77" i="11"/>
  <c r="G77" i="11"/>
  <c r="F77" i="11"/>
  <c r="E77" i="11"/>
  <c r="D77" i="11"/>
  <c r="Y76" i="11"/>
  <c r="V76" i="11"/>
  <c r="O76" i="11"/>
  <c r="M76" i="11"/>
  <c r="J76" i="11"/>
  <c r="H76" i="11"/>
  <c r="G76" i="11"/>
  <c r="F76" i="11"/>
  <c r="E76" i="11"/>
  <c r="D76" i="11"/>
  <c r="Y75" i="11"/>
  <c r="V75" i="11"/>
  <c r="O75" i="11"/>
  <c r="M75" i="11"/>
  <c r="J75" i="11"/>
  <c r="H75" i="11"/>
  <c r="G75" i="11"/>
  <c r="F75" i="11"/>
  <c r="E75" i="11"/>
  <c r="D75" i="11"/>
  <c r="Y74" i="11"/>
  <c r="V74" i="11"/>
  <c r="O74" i="11"/>
  <c r="M74" i="11"/>
  <c r="J74" i="11"/>
  <c r="H74" i="11"/>
  <c r="G74" i="11"/>
  <c r="F74" i="11"/>
  <c r="E74" i="11"/>
  <c r="D74" i="11"/>
  <c r="Y73" i="11"/>
  <c r="V73" i="11"/>
  <c r="O73" i="11"/>
  <c r="M73" i="11"/>
  <c r="J73" i="11"/>
  <c r="H73" i="11"/>
  <c r="G73" i="11"/>
  <c r="F73" i="11"/>
  <c r="E73" i="11"/>
  <c r="D73" i="11"/>
  <c r="Y72" i="11"/>
  <c r="V72" i="11"/>
  <c r="O72" i="11"/>
  <c r="M72" i="11"/>
  <c r="J72" i="11"/>
  <c r="H72" i="11"/>
  <c r="G72" i="11"/>
  <c r="F72" i="11"/>
  <c r="E72" i="11"/>
  <c r="D72" i="11"/>
  <c r="Y71" i="11"/>
  <c r="V71" i="11"/>
  <c r="O71" i="11"/>
  <c r="M71" i="11"/>
  <c r="J71" i="11"/>
  <c r="H71" i="11"/>
  <c r="G71" i="11"/>
  <c r="F71" i="11"/>
  <c r="E71" i="11"/>
  <c r="D71" i="11"/>
  <c r="Y70" i="11"/>
  <c r="V70" i="11"/>
  <c r="O70" i="11"/>
  <c r="M70" i="11"/>
  <c r="J70" i="11"/>
  <c r="H70" i="11"/>
  <c r="G70" i="11"/>
  <c r="F70" i="11"/>
  <c r="E70" i="11"/>
  <c r="D70" i="11"/>
  <c r="Y69" i="11"/>
  <c r="V69" i="11"/>
  <c r="O69" i="11"/>
  <c r="M69" i="11"/>
  <c r="J69" i="11"/>
  <c r="H69" i="11"/>
  <c r="G69" i="11"/>
  <c r="F69" i="11"/>
  <c r="E69" i="11"/>
  <c r="D69" i="11"/>
  <c r="Y68" i="11"/>
  <c r="V68" i="11"/>
  <c r="O68" i="11"/>
  <c r="M68" i="11"/>
  <c r="J68" i="11"/>
  <c r="H68" i="11"/>
  <c r="G68" i="11"/>
  <c r="F68" i="11"/>
  <c r="E68" i="11"/>
  <c r="D68" i="11"/>
  <c r="Y67" i="11"/>
  <c r="V67" i="11"/>
  <c r="O67" i="11"/>
  <c r="M67" i="11"/>
  <c r="J67" i="11"/>
  <c r="H67" i="11"/>
  <c r="G67" i="11"/>
  <c r="F67" i="11"/>
  <c r="E67" i="11"/>
  <c r="D67" i="11"/>
  <c r="Y66" i="11"/>
  <c r="V66" i="11"/>
  <c r="O66" i="11"/>
  <c r="M66" i="11"/>
  <c r="J66" i="11"/>
  <c r="H66" i="11"/>
  <c r="G66" i="11"/>
  <c r="F66" i="11"/>
  <c r="E66" i="11"/>
  <c r="D66" i="11"/>
  <c r="Y65" i="11"/>
  <c r="V65" i="11"/>
  <c r="O65" i="11"/>
  <c r="M65" i="11"/>
  <c r="J65" i="11"/>
  <c r="H65" i="11"/>
  <c r="G65" i="11"/>
  <c r="F65" i="11"/>
  <c r="E65" i="11"/>
  <c r="D65" i="11"/>
  <c r="Y64" i="11"/>
  <c r="V64" i="11"/>
  <c r="O64" i="11"/>
  <c r="M64" i="11"/>
  <c r="J64" i="11"/>
  <c r="H64" i="11"/>
  <c r="G64" i="11"/>
  <c r="F64" i="11"/>
  <c r="E64" i="11"/>
  <c r="D64" i="11"/>
  <c r="Y63" i="11"/>
  <c r="V63" i="11"/>
  <c r="O63" i="11"/>
  <c r="M63" i="11"/>
  <c r="J63" i="11"/>
  <c r="H63" i="11"/>
  <c r="G63" i="11"/>
  <c r="F63" i="11"/>
  <c r="E63" i="11"/>
  <c r="D63" i="11"/>
  <c r="Y62" i="11"/>
  <c r="V62" i="11"/>
  <c r="O62" i="11"/>
  <c r="M62" i="11"/>
  <c r="J62" i="11"/>
  <c r="H62" i="11"/>
  <c r="G62" i="11"/>
  <c r="F62" i="11"/>
  <c r="E62" i="11"/>
  <c r="Y61" i="11"/>
  <c r="V61" i="11"/>
  <c r="O61" i="11"/>
  <c r="M61" i="11"/>
  <c r="J61" i="11"/>
  <c r="H61" i="11"/>
  <c r="G61" i="11"/>
  <c r="F61" i="11"/>
  <c r="E61" i="11"/>
  <c r="D61" i="11"/>
  <c r="Y60" i="11"/>
  <c r="V60" i="11"/>
  <c r="O60" i="11"/>
  <c r="M60" i="11"/>
  <c r="J60" i="11"/>
  <c r="H60" i="11"/>
  <c r="G60" i="11"/>
  <c r="F60" i="11"/>
  <c r="E60" i="11"/>
  <c r="D60" i="11"/>
  <c r="Y59" i="11"/>
  <c r="V59" i="11"/>
  <c r="O59" i="11"/>
  <c r="M59" i="11"/>
  <c r="J59" i="11"/>
  <c r="H59" i="11"/>
  <c r="G59" i="11"/>
  <c r="F59" i="11"/>
  <c r="E59" i="11"/>
  <c r="D59" i="11"/>
  <c r="Y58" i="11"/>
  <c r="V58" i="11"/>
  <c r="O58" i="11"/>
  <c r="M58" i="11"/>
  <c r="J58" i="11"/>
  <c r="H58" i="11"/>
  <c r="G58" i="11"/>
  <c r="F58" i="11"/>
  <c r="E58" i="11"/>
  <c r="D58" i="11"/>
  <c r="Y57" i="11"/>
  <c r="V57" i="11"/>
  <c r="O57" i="11"/>
  <c r="M57" i="11"/>
  <c r="J57" i="11"/>
  <c r="H57" i="11"/>
  <c r="G57" i="11"/>
  <c r="F57" i="11"/>
  <c r="E57" i="11"/>
  <c r="D57" i="11"/>
  <c r="Y56" i="11"/>
  <c r="V56" i="11"/>
  <c r="O56" i="11"/>
  <c r="M56" i="11"/>
  <c r="J56" i="11"/>
  <c r="H56" i="11"/>
  <c r="G56" i="11"/>
  <c r="F56" i="11"/>
  <c r="E56" i="11"/>
  <c r="D56" i="11"/>
  <c r="Y55" i="11"/>
  <c r="V55" i="11"/>
  <c r="O55" i="11"/>
  <c r="M55" i="11"/>
  <c r="J55" i="11"/>
  <c r="H55" i="11"/>
  <c r="G55" i="11"/>
  <c r="F55" i="11"/>
  <c r="E55" i="11"/>
  <c r="D55" i="11"/>
  <c r="Y54" i="11"/>
  <c r="V54" i="11"/>
  <c r="O54" i="11"/>
  <c r="M54" i="11"/>
  <c r="J54" i="11"/>
  <c r="H54" i="11"/>
  <c r="G54" i="11"/>
  <c r="F54" i="11"/>
  <c r="E54" i="11"/>
  <c r="D54" i="11"/>
  <c r="Y53" i="11"/>
  <c r="V53" i="11"/>
  <c r="O53" i="11"/>
  <c r="M53" i="11"/>
  <c r="J53" i="11"/>
  <c r="H53" i="11"/>
  <c r="G53" i="11"/>
  <c r="F53" i="11"/>
  <c r="E53" i="11"/>
  <c r="D53" i="11"/>
  <c r="Y52" i="11"/>
  <c r="V52" i="11"/>
  <c r="O52" i="11"/>
  <c r="M52" i="11"/>
  <c r="J52" i="11"/>
  <c r="H52" i="11"/>
  <c r="G52" i="11"/>
  <c r="F52" i="11"/>
  <c r="E52" i="11"/>
  <c r="D52" i="11"/>
  <c r="Y51" i="11"/>
  <c r="V51" i="11"/>
  <c r="O51" i="11"/>
  <c r="M51" i="11"/>
  <c r="J51" i="11"/>
  <c r="H51" i="11"/>
  <c r="G51" i="11"/>
  <c r="F51" i="11"/>
  <c r="E51" i="11"/>
  <c r="D51" i="11"/>
  <c r="Y50" i="11"/>
  <c r="V50" i="11"/>
  <c r="O50" i="11"/>
  <c r="M50" i="11"/>
  <c r="J50" i="11"/>
  <c r="H50" i="11"/>
  <c r="G50" i="11"/>
  <c r="F50" i="11"/>
  <c r="E50" i="11"/>
  <c r="D50" i="11"/>
  <c r="Y49" i="11"/>
  <c r="V49" i="11"/>
  <c r="O49" i="11"/>
  <c r="M49" i="11"/>
  <c r="J49" i="11"/>
  <c r="H49" i="11"/>
  <c r="G49" i="11"/>
  <c r="F49" i="11"/>
  <c r="E49" i="11"/>
  <c r="D49" i="11"/>
  <c r="Y48" i="11"/>
  <c r="V48" i="11"/>
  <c r="O48" i="11"/>
  <c r="M48" i="11"/>
  <c r="J48" i="11"/>
  <c r="H48" i="11"/>
  <c r="G48" i="11"/>
  <c r="F48" i="11"/>
  <c r="E48" i="11"/>
  <c r="D48" i="11"/>
  <c r="Y47" i="11"/>
  <c r="V47" i="11"/>
  <c r="O47" i="11"/>
  <c r="M47" i="11"/>
  <c r="J47" i="11"/>
  <c r="H47" i="11"/>
  <c r="G47" i="11"/>
  <c r="F47" i="11"/>
  <c r="E47" i="11"/>
  <c r="D47" i="11"/>
  <c r="Y46" i="11"/>
  <c r="V46" i="11"/>
  <c r="O46" i="11"/>
  <c r="M46" i="11"/>
  <c r="J46" i="11"/>
  <c r="H46" i="11"/>
  <c r="G46" i="11"/>
  <c r="F46" i="11"/>
  <c r="E46" i="11"/>
  <c r="D46" i="11"/>
  <c r="Y45" i="11"/>
  <c r="V45" i="11"/>
  <c r="O45" i="11"/>
  <c r="M45" i="11"/>
  <c r="J45" i="11"/>
  <c r="H45" i="11"/>
  <c r="G45" i="11"/>
  <c r="F45" i="11"/>
  <c r="E45" i="11"/>
  <c r="D45" i="11"/>
  <c r="Y44" i="11"/>
  <c r="V44" i="11"/>
  <c r="O44" i="11"/>
  <c r="M44" i="11"/>
  <c r="J44" i="11"/>
  <c r="H44" i="11"/>
  <c r="G44" i="11"/>
  <c r="F44" i="11"/>
  <c r="E44" i="11"/>
  <c r="D44" i="11"/>
  <c r="Y43" i="11"/>
  <c r="V43" i="11"/>
  <c r="O43" i="11"/>
  <c r="M43" i="11"/>
  <c r="J43" i="11"/>
  <c r="H43" i="11"/>
  <c r="G43" i="11"/>
  <c r="F43" i="11"/>
  <c r="E43" i="11"/>
  <c r="D43" i="11"/>
  <c r="Y42" i="11"/>
  <c r="V42" i="11"/>
  <c r="O42" i="11"/>
  <c r="M42" i="11"/>
  <c r="J42" i="11"/>
  <c r="H42" i="11"/>
  <c r="G42" i="11"/>
  <c r="F42" i="11"/>
  <c r="E42" i="11"/>
  <c r="D42" i="11"/>
  <c r="Y41" i="11"/>
  <c r="V41" i="11"/>
  <c r="O41" i="11"/>
  <c r="M41" i="11"/>
  <c r="J41" i="11"/>
  <c r="H41" i="11"/>
  <c r="G41" i="11"/>
  <c r="F41" i="11"/>
  <c r="E41" i="11"/>
  <c r="D41" i="11"/>
  <c r="Y40" i="11"/>
  <c r="V40" i="11"/>
  <c r="O40" i="11"/>
  <c r="M40" i="11"/>
  <c r="J40" i="11"/>
  <c r="H40" i="11"/>
  <c r="G40" i="11"/>
  <c r="F40" i="11"/>
  <c r="E40" i="11"/>
  <c r="D40" i="11"/>
  <c r="Y39" i="11"/>
  <c r="V39" i="11"/>
  <c r="O39" i="11"/>
  <c r="M39" i="11"/>
  <c r="J39" i="11"/>
  <c r="H39" i="11"/>
  <c r="G39" i="11"/>
  <c r="F39" i="11"/>
  <c r="E39" i="11"/>
  <c r="D39" i="11"/>
  <c r="Y38" i="11"/>
  <c r="V38" i="11"/>
  <c r="O38" i="11"/>
  <c r="M38" i="11"/>
  <c r="J38" i="11"/>
  <c r="H38" i="11"/>
  <c r="G38" i="11"/>
  <c r="F38" i="11"/>
  <c r="E38" i="11"/>
  <c r="D38" i="11"/>
  <c r="Y37" i="11"/>
  <c r="V37" i="11"/>
  <c r="O37" i="11"/>
  <c r="M37" i="11"/>
  <c r="J37" i="11"/>
  <c r="H37" i="11"/>
  <c r="G37" i="11"/>
  <c r="F37" i="11"/>
  <c r="E37" i="11"/>
  <c r="D37" i="11"/>
  <c r="Y36" i="11"/>
  <c r="V36" i="11"/>
  <c r="O36" i="11"/>
  <c r="M36" i="11"/>
  <c r="J36" i="11"/>
  <c r="H36" i="11"/>
  <c r="G36" i="11"/>
  <c r="F36" i="11"/>
  <c r="E36" i="11"/>
  <c r="D36" i="11"/>
  <c r="Y35" i="11"/>
  <c r="V35" i="11"/>
  <c r="O35" i="11"/>
  <c r="M35" i="11"/>
  <c r="J35" i="11"/>
  <c r="H35" i="11"/>
  <c r="G35" i="11"/>
  <c r="F35" i="11"/>
  <c r="E35" i="11"/>
  <c r="D35" i="11"/>
  <c r="Y34" i="11"/>
  <c r="V34" i="11"/>
  <c r="O34" i="11"/>
  <c r="M34" i="11"/>
  <c r="J34" i="11"/>
  <c r="H34" i="11"/>
  <c r="G34" i="11"/>
  <c r="F34" i="11"/>
  <c r="E34" i="11"/>
  <c r="D34" i="11"/>
  <c r="Y33" i="11"/>
  <c r="V33" i="11"/>
  <c r="O33" i="11"/>
  <c r="M33" i="11"/>
  <c r="J33" i="11"/>
  <c r="H33" i="11"/>
  <c r="G33" i="11"/>
  <c r="F33" i="11"/>
  <c r="E33" i="11"/>
  <c r="D33" i="11"/>
  <c r="Y32" i="11"/>
  <c r="V32" i="11"/>
  <c r="O32" i="11"/>
  <c r="M32" i="11"/>
  <c r="J32" i="11"/>
  <c r="H32" i="11"/>
  <c r="G32" i="11"/>
  <c r="F32" i="11"/>
  <c r="E32" i="11"/>
  <c r="D32" i="11"/>
  <c r="Y31" i="11"/>
  <c r="V31" i="11"/>
  <c r="O31" i="11"/>
  <c r="M31" i="11"/>
  <c r="J31" i="11"/>
  <c r="H31" i="11"/>
  <c r="G31" i="11"/>
  <c r="F31" i="11"/>
  <c r="E31" i="11"/>
  <c r="D31" i="11"/>
  <c r="Y30" i="11"/>
  <c r="V30" i="11"/>
  <c r="O30" i="11"/>
  <c r="M30" i="11"/>
  <c r="J30" i="11"/>
  <c r="H30" i="11"/>
  <c r="G30" i="11"/>
  <c r="F30" i="11"/>
  <c r="E30" i="11"/>
  <c r="D30" i="11"/>
  <c r="Y29" i="11"/>
  <c r="V29" i="11"/>
  <c r="O29" i="11"/>
  <c r="M29" i="11"/>
  <c r="J29" i="11"/>
  <c r="H29" i="11"/>
  <c r="G29" i="11"/>
  <c r="F29" i="11"/>
  <c r="E29" i="11"/>
  <c r="D29" i="11"/>
  <c r="Y28" i="11"/>
  <c r="W28" i="11"/>
  <c r="V28" i="11"/>
  <c r="O28" i="11"/>
  <c r="M28" i="11"/>
  <c r="J28" i="11"/>
  <c r="H28" i="11"/>
  <c r="G28" i="11"/>
  <c r="F28" i="11"/>
  <c r="E28" i="11"/>
  <c r="D28" i="11"/>
  <c r="Y27" i="11"/>
  <c r="V27" i="11"/>
  <c r="O27" i="11"/>
  <c r="M27" i="11"/>
  <c r="J27" i="11"/>
  <c r="H27" i="11"/>
  <c r="Y26" i="11"/>
  <c r="V26" i="11"/>
  <c r="O26" i="11"/>
  <c r="M26" i="11"/>
  <c r="J26" i="11"/>
  <c r="H26" i="11"/>
  <c r="G26" i="11"/>
  <c r="F26" i="11"/>
  <c r="E26" i="11"/>
  <c r="D26" i="11"/>
  <c r="Y25" i="11"/>
  <c r="V25" i="11"/>
  <c r="O25" i="11"/>
  <c r="M25" i="11"/>
  <c r="J25" i="11"/>
  <c r="H25" i="11"/>
  <c r="G25" i="11"/>
  <c r="F25" i="11"/>
  <c r="E25" i="11"/>
  <c r="D25" i="11"/>
  <c r="Y24" i="11"/>
  <c r="V24" i="11"/>
  <c r="O24" i="11"/>
  <c r="M24" i="11"/>
  <c r="J24" i="11"/>
  <c r="H24" i="11"/>
  <c r="G24" i="11"/>
  <c r="F24" i="11"/>
  <c r="E24" i="11"/>
  <c r="D24" i="11"/>
  <c r="Y23" i="11"/>
  <c r="V23" i="11"/>
  <c r="O23" i="11"/>
  <c r="M23" i="11"/>
  <c r="J23" i="11"/>
  <c r="H23" i="11"/>
  <c r="G23" i="11"/>
  <c r="F23" i="11"/>
  <c r="E23" i="11"/>
  <c r="D23" i="11"/>
  <c r="Y22" i="11"/>
  <c r="V22" i="11"/>
  <c r="O22" i="11"/>
  <c r="M22" i="11"/>
  <c r="J22" i="11"/>
  <c r="H22" i="11"/>
  <c r="G22" i="11"/>
  <c r="F22" i="11"/>
  <c r="E22" i="11"/>
  <c r="D22" i="11"/>
  <c r="Y21" i="11"/>
  <c r="V21" i="11"/>
  <c r="O21" i="11"/>
  <c r="M21" i="11"/>
  <c r="J21" i="11"/>
  <c r="H21" i="11"/>
  <c r="G21" i="11"/>
  <c r="F21" i="11"/>
  <c r="E21" i="11"/>
  <c r="D21" i="11"/>
  <c r="Y20" i="11"/>
  <c r="V20" i="11"/>
  <c r="O20" i="11"/>
  <c r="M20" i="11"/>
  <c r="J20" i="11"/>
  <c r="H20" i="11"/>
  <c r="G20" i="11"/>
  <c r="F20" i="11"/>
  <c r="E20" i="11"/>
  <c r="D20" i="11"/>
  <c r="Y19" i="11"/>
  <c r="V19" i="11"/>
  <c r="O19" i="11"/>
  <c r="M19" i="11"/>
  <c r="J19" i="11"/>
  <c r="H19" i="11"/>
  <c r="G19" i="11"/>
  <c r="F19" i="11"/>
  <c r="E19" i="11"/>
  <c r="D19" i="11"/>
  <c r="Y18" i="11"/>
  <c r="V18" i="11"/>
  <c r="O18" i="11"/>
  <c r="M18" i="11"/>
  <c r="J18" i="11"/>
  <c r="H18" i="11"/>
  <c r="G18" i="11"/>
  <c r="F18" i="11"/>
  <c r="E18" i="11"/>
  <c r="D18" i="11"/>
  <c r="Y17" i="11"/>
  <c r="X17" i="11"/>
  <c r="V17" i="11"/>
  <c r="O17" i="11"/>
  <c r="M17" i="11"/>
  <c r="J17" i="11"/>
  <c r="H17" i="11"/>
  <c r="G17" i="11"/>
  <c r="F17" i="11"/>
  <c r="E17" i="11"/>
  <c r="D17" i="11"/>
  <c r="Y16" i="11"/>
  <c r="V16" i="11"/>
  <c r="O16" i="11"/>
  <c r="M16" i="11"/>
  <c r="J16" i="11"/>
  <c r="H16" i="11"/>
  <c r="G16" i="11"/>
  <c r="F16" i="11"/>
  <c r="E16" i="11"/>
  <c r="D16" i="11"/>
  <c r="Y15" i="11"/>
  <c r="V15" i="11"/>
  <c r="O15" i="11"/>
  <c r="M15" i="11"/>
  <c r="J15" i="11"/>
  <c r="H15" i="11"/>
  <c r="G15" i="11"/>
  <c r="F15" i="11"/>
  <c r="E15" i="11"/>
  <c r="D15" i="11"/>
  <c r="Y14" i="11"/>
  <c r="V14" i="11"/>
  <c r="O14" i="11"/>
  <c r="M14" i="11"/>
  <c r="J14" i="11"/>
  <c r="H14" i="11"/>
  <c r="G14" i="11"/>
  <c r="F14" i="11"/>
  <c r="E14" i="11"/>
  <c r="D14" i="11"/>
  <c r="Y13" i="11"/>
  <c r="V13" i="11"/>
  <c r="O13" i="11"/>
  <c r="M13" i="11"/>
  <c r="J13" i="11"/>
  <c r="H13" i="11"/>
  <c r="G13" i="11"/>
  <c r="F13" i="11"/>
  <c r="E13" i="11"/>
  <c r="D13" i="11"/>
  <c r="Y12" i="11"/>
  <c r="V12" i="11"/>
  <c r="O12" i="11"/>
  <c r="M12" i="11"/>
  <c r="J12" i="11"/>
  <c r="H12" i="11"/>
  <c r="G12" i="11"/>
  <c r="F12" i="11"/>
  <c r="E12" i="11"/>
  <c r="D12" i="11"/>
  <c r="Y11" i="11"/>
  <c r="V11" i="11"/>
  <c r="O11" i="11"/>
  <c r="M11" i="11"/>
  <c r="J11" i="11"/>
  <c r="H11" i="11"/>
  <c r="G11" i="11"/>
  <c r="F11" i="11"/>
  <c r="E11" i="11"/>
  <c r="D11" i="11"/>
  <c r="Y10" i="11"/>
  <c r="V10" i="11"/>
  <c r="O10" i="11"/>
  <c r="M10" i="11"/>
  <c r="J10" i="11"/>
  <c r="H10" i="11"/>
  <c r="G10" i="11"/>
  <c r="F10" i="11"/>
  <c r="E10" i="11"/>
  <c r="D10" i="11"/>
  <c r="Y9" i="11"/>
  <c r="V9" i="11"/>
  <c r="O9" i="11"/>
  <c r="M9" i="11"/>
  <c r="J9" i="11"/>
  <c r="H9" i="11"/>
  <c r="G9" i="11"/>
  <c r="F9" i="11"/>
  <c r="E9" i="11"/>
  <c r="D9" i="11"/>
  <c r="Y8" i="11"/>
  <c r="V8" i="11"/>
  <c r="O8" i="11"/>
  <c r="M8" i="11"/>
  <c r="J8" i="11"/>
  <c r="H8" i="11"/>
  <c r="G8" i="11"/>
  <c r="F8" i="11"/>
  <c r="E8" i="11"/>
  <c r="D8" i="11"/>
  <c r="Y7" i="11"/>
  <c r="V7" i="11"/>
  <c r="O7" i="11"/>
  <c r="M7" i="11"/>
  <c r="J7" i="11"/>
  <c r="H7" i="11"/>
  <c r="G7" i="11"/>
  <c r="F7" i="11"/>
  <c r="E7" i="11"/>
  <c r="D7" i="11"/>
  <c r="Y6" i="11"/>
  <c r="V6" i="11"/>
  <c r="R6" i="11"/>
  <c r="O6" i="11"/>
  <c r="M6" i="11"/>
  <c r="J6" i="11"/>
  <c r="H6" i="11"/>
  <c r="G6" i="11"/>
  <c r="F6" i="11"/>
  <c r="E6" i="11"/>
  <c r="D6" i="11"/>
  <c r="Y5" i="11"/>
  <c r="V5" i="11"/>
  <c r="O5" i="11"/>
  <c r="M5" i="11"/>
  <c r="J5" i="11"/>
  <c r="H5" i="11"/>
  <c r="G5" i="11"/>
  <c r="F5" i="11"/>
  <c r="E5" i="11"/>
  <c r="D5" i="11"/>
  <c r="Y4" i="11"/>
  <c r="V4" i="11"/>
  <c r="O4" i="11"/>
  <c r="M4" i="11"/>
  <c r="J4" i="11"/>
  <c r="H4" i="11"/>
  <c r="G4" i="11"/>
  <c r="F4" i="11"/>
  <c r="E4" i="11"/>
  <c r="D4" i="11"/>
  <c r="Y3" i="11"/>
  <c r="V3" i="11"/>
  <c r="U3" i="11"/>
  <c r="T3" i="11"/>
  <c r="P3" i="11"/>
  <c r="O3" i="11"/>
  <c r="M3" i="11"/>
  <c r="J3" i="11"/>
  <c r="H3" i="11"/>
  <c r="G3" i="11"/>
  <c r="F3" i="11"/>
  <c r="E3" i="11"/>
  <c r="D3" i="11"/>
  <c r="Y2" i="11"/>
  <c r="V2" i="11"/>
  <c r="O2" i="11"/>
  <c r="M2" i="11"/>
  <c r="J2" i="11"/>
  <c r="H2" i="11"/>
  <c r="G2" i="11"/>
  <c r="F2" i="11"/>
  <c r="E2" i="11"/>
  <c r="D2" i="11"/>
  <c r="W138" i="12"/>
  <c r="W137" i="12"/>
  <c r="W136" i="12"/>
  <c r="W136" i="11" s="1"/>
  <c r="W135" i="12"/>
  <c r="W134" i="12"/>
  <c r="W133" i="12"/>
  <c r="W132" i="12"/>
  <c r="W131" i="12"/>
  <c r="W130" i="12"/>
  <c r="W129" i="12"/>
  <c r="W128" i="12"/>
  <c r="X128" i="12" s="1"/>
  <c r="X128" i="11" s="1"/>
  <c r="W127" i="12"/>
  <c r="W126" i="12"/>
  <c r="W125" i="12"/>
  <c r="W124" i="12"/>
  <c r="X124" i="12" s="1"/>
  <c r="X124" i="11" s="1"/>
  <c r="W123" i="12"/>
  <c r="W122" i="12"/>
  <c r="W121" i="12"/>
  <c r="W120" i="12"/>
  <c r="X120" i="12" s="1"/>
  <c r="X120" i="11" s="1"/>
  <c r="W119" i="12"/>
  <c r="W118" i="12"/>
  <c r="W118" i="11" s="1"/>
  <c r="W117" i="12"/>
  <c r="W116" i="12"/>
  <c r="W115" i="12"/>
  <c r="W114" i="12"/>
  <c r="W113" i="12"/>
  <c r="W112" i="12"/>
  <c r="W111" i="12"/>
  <c r="W110" i="12"/>
  <c r="W109" i="12"/>
  <c r="W108" i="12"/>
  <c r="W107" i="12"/>
  <c r="W106" i="12"/>
  <c r="W106" i="11" s="1"/>
  <c r="W105" i="12"/>
  <c r="W104" i="12"/>
  <c r="W103" i="12"/>
  <c r="W102" i="12"/>
  <c r="X102" i="12" s="1"/>
  <c r="X102" i="11" s="1"/>
  <c r="W101" i="12"/>
  <c r="X100" i="12"/>
  <c r="X100" i="11" s="1"/>
  <c r="W100" i="12"/>
  <c r="W100" i="11" s="1"/>
  <c r="W99" i="12"/>
  <c r="W98" i="12"/>
  <c r="W97" i="12"/>
  <c r="W96" i="12"/>
  <c r="W95" i="12"/>
  <c r="W94" i="12"/>
  <c r="W94" i="11" s="1"/>
  <c r="W93" i="12"/>
  <c r="W92" i="12"/>
  <c r="W91" i="12"/>
  <c r="W90" i="12"/>
  <c r="W89" i="12"/>
  <c r="W88" i="12"/>
  <c r="W88" i="11" s="1"/>
  <c r="W87" i="12"/>
  <c r="X87" i="12" s="1"/>
  <c r="X87" i="11" s="1"/>
  <c r="W86" i="12"/>
  <c r="W85" i="12"/>
  <c r="W84" i="12"/>
  <c r="W83" i="12"/>
  <c r="W82" i="12"/>
  <c r="W82" i="11" s="1"/>
  <c r="W81" i="12"/>
  <c r="W80" i="12"/>
  <c r="W79" i="12"/>
  <c r="W78" i="12"/>
  <c r="W77" i="12"/>
  <c r="W76" i="12"/>
  <c r="W75" i="12"/>
  <c r="W74" i="12"/>
  <c r="W73" i="12"/>
  <c r="W72" i="12"/>
  <c r="X72" i="12" s="1"/>
  <c r="X72" i="11" s="1"/>
  <c r="W71" i="12"/>
  <c r="W70" i="12"/>
  <c r="W70" i="11" s="1"/>
  <c r="W69" i="12"/>
  <c r="X69" i="12" s="1"/>
  <c r="X69" i="11" s="1"/>
  <c r="W68" i="12"/>
  <c r="W67" i="12"/>
  <c r="W66" i="12"/>
  <c r="X66" i="12" s="1"/>
  <c r="X66" i="11" s="1"/>
  <c r="W65" i="12"/>
  <c r="X65" i="12" s="1"/>
  <c r="X65" i="11" s="1"/>
  <c r="W64" i="12"/>
  <c r="W64" i="11" s="1"/>
  <c r="W63" i="12"/>
  <c r="W62" i="12"/>
  <c r="X62" i="12" s="1"/>
  <c r="X62" i="11" s="1"/>
  <c r="W61" i="12"/>
  <c r="X61" i="12" s="1"/>
  <c r="X61" i="11" s="1"/>
  <c r="W60" i="12"/>
  <c r="W59" i="12"/>
  <c r="W58" i="12"/>
  <c r="W57" i="12"/>
  <c r="W56" i="12"/>
  <c r="X56" i="12" s="1"/>
  <c r="X56" i="11" s="1"/>
  <c r="W55" i="12"/>
  <c r="W54" i="12"/>
  <c r="W53" i="12"/>
  <c r="X53" i="12" s="1"/>
  <c r="X53" i="11" s="1"/>
  <c r="X52" i="12"/>
  <c r="X52" i="11" s="1"/>
  <c r="W52" i="12"/>
  <c r="W52" i="11" s="1"/>
  <c r="W51" i="12"/>
  <c r="X51" i="12" s="1"/>
  <c r="X51" i="11" s="1"/>
  <c r="W50" i="12"/>
  <c r="W49" i="12"/>
  <c r="W48" i="12"/>
  <c r="X48" i="12" s="1"/>
  <c r="X48" i="11" s="1"/>
  <c r="W47" i="12"/>
  <c r="W46" i="12"/>
  <c r="W46" i="11" s="1"/>
  <c r="W45" i="12"/>
  <c r="W44" i="12"/>
  <c r="W43" i="12"/>
  <c r="W42" i="12"/>
  <c r="X42" i="12" s="1"/>
  <c r="X42" i="11" s="1"/>
  <c r="W41" i="12"/>
  <c r="X41" i="12" s="1"/>
  <c r="X41" i="11" s="1"/>
  <c r="W40" i="12"/>
  <c r="X40" i="12" s="1"/>
  <c r="X40" i="11" s="1"/>
  <c r="W39" i="12"/>
  <c r="W38" i="12"/>
  <c r="X38" i="12" s="1"/>
  <c r="X38" i="11" s="1"/>
  <c r="W37" i="12"/>
  <c r="W36" i="12"/>
  <c r="X36" i="12" s="1"/>
  <c r="X36" i="11" s="1"/>
  <c r="W35" i="12"/>
  <c r="X35" i="12" s="1"/>
  <c r="X35" i="11" s="1"/>
  <c r="W34" i="12"/>
  <c r="W34" i="11" s="1"/>
  <c r="W33" i="12"/>
  <c r="W32" i="12"/>
  <c r="X32" i="12" s="1"/>
  <c r="X32" i="11" s="1"/>
  <c r="W31" i="12"/>
  <c r="X31" i="12" s="1"/>
  <c r="X31" i="11" s="1"/>
  <c r="W30" i="12"/>
  <c r="X30" i="12" s="1"/>
  <c r="X30" i="11" s="1"/>
  <c r="W29" i="12"/>
  <c r="W28" i="12"/>
  <c r="X28" i="12" s="1"/>
  <c r="X28" i="11" s="1"/>
  <c r="W27" i="12"/>
  <c r="W26" i="12"/>
  <c r="W25" i="12"/>
  <c r="X25" i="12" s="1"/>
  <c r="X25" i="11" s="1"/>
  <c r="W24" i="12"/>
  <c r="W23" i="12"/>
  <c r="X23" i="12" s="1"/>
  <c r="X23" i="11" s="1"/>
  <c r="W22" i="12"/>
  <c r="W22" i="11" s="1"/>
  <c r="W21" i="12"/>
  <c r="X21" i="12" s="1"/>
  <c r="X21" i="11" s="1"/>
  <c r="W20" i="12"/>
  <c r="X20" i="12" s="1"/>
  <c r="X20" i="11" s="1"/>
  <c r="W19" i="12"/>
  <c r="X19" i="12" s="1"/>
  <c r="X19" i="11" s="1"/>
  <c r="W18" i="12"/>
  <c r="W17" i="12"/>
  <c r="X17" i="12" s="1"/>
  <c r="W16" i="12"/>
  <c r="W16" i="11" s="1"/>
  <c r="W15" i="12"/>
  <c r="X15" i="12" s="1"/>
  <c r="X15" i="11" s="1"/>
  <c r="W14" i="12"/>
  <c r="W13" i="12"/>
  <c r="W12" i="12"/>
  <c r="W11" i="12"/>
  <c r="X11" i="12" s="1"/>
  <c r="X11" i="11" s="1"/>
  <c r="W10" i="12"/>
  <c r="W10" i="11" s="1"/>
  <c r="W9" i="12"/>
  <c r="X9" i="12" s="1"/>
  <c r="X9" i="11" s="1"/>
  <c r="W8" i="12"/>
  <c r="W7" i="12"/>
  <c r="X7" i="12" s="1"/>
  <c r="X7" i="11" s="1"/>
  <c r="W6" i="12"/>
  <c r="W5" i="12"/>
  <c r="X5" i="12" s="1"/>
  <c r="X5" i="11" s="1"/>
  <c r="W4" i="12"/>
  <c r="X4" i="12" s="1"/>
  <c r="X4" i="11" s="1"/>
  <c r="W3" i="12"/>
  <c r="X3" i="12" s="1"/>
  <c r="X3" i="11" s="1"/>
  <c r="W2" i="12"/>
  <c r="W2" i="11" s="1"/>
  <c r="Z3" i="12"/>
  <c r="AA3" i="12" s="1"/>
  <c r="AB3" i="12" s="1"/>
  <c r="AC3" i="12" s="1"/>
  <c r="AD3" i="12" s="1"/>
  <c r="AE3" i="12" s="1"/>
  <c r="AF3" i="12" s="1"/>
  <c r="AG3" i="12" s="1"/>
  <c r="AH3" i="12" s="1"/>
  <c r="AI3" i="12" s="1"/>
  <c r="Z4" i="12"/>
  <c r="AA4" i="12" s="1"/>
  <c r="AB4" i="12" s="1"/>
  <c r="AC4" i="12" s="1"/>
  <c r="AD4" i="12" s="1"/>
  <c r="AE4" i="12" s="1"/>
  <c r="AF4" i="12" s="1"/>
  <c r="AG4" i="12" s="1"/>
  <c r="AH4" i="12" s="1"/>
  <c r="AI4" i="12" s="1"/>
  <c r="Z5" i="12"/>
  <c r="AA5" i="12" s="1"/>
  <c r="AB5" i="12" s="1"/>
  <c r="AC5" i="12" s="1"/>
  <c r="AD5" i="12" s="1"/>
  <c r="AE5" i="12" s="1"/>
  <c r="AF5" i="12" s="1"/>
  <c r="AG5" i="12" s="1"/>
  <c r="AH5" i="12" s="1"/>
  <c r="AI5" i="12" s="1"/>
  <c r="Z6" i="12"/>
  <c r="AA6" i="12" s="1"/>
  <c r="AB6" i="12"/>
  <c r="AC6" i="12" s="1"/>
  <c r="AD6" i="12" s="1"/>
  <c r="AE6" i="12" s="1"/>
  <c r="AF6" i="12" s="1"/>
  <c r="AG6" i="12" s="1"/>
  <c r="AH6" i="12" s="1"/>
  <c r="AI6" i="12" s="1"/>
  <c r="Z7" i="12"/>
  <c r="AA7" i="12" s="1"/>
  <c r="AB7" i="12" s="1"/>
  <c r="AC7" i="12" s="1"/>
  <c r="AD7" i="12" s="1"/>
  <c r="AE7" i="12" s="1"/>
  <c r="AF7" i="12" s="1"/>
  <c r="AG7" i="12" s="1"/>
  <c r="AH7" i="12" s="1"/>
  <c r="AI7" i="12" s="1"/>
  <c r="Z8" i="12"/>
  <c r="AA8" i="12" s="1"/>
  <c r="AB8" i="12" s="1"/>
  <c r="AC8" i="12" s="1"/>
  <c r="AD8" i="12" s="1"/>
  <c r="AE8" i="12" s="1"/>
  <c r="AF8" i="12" s="1"/>
  <c r="AG8" i="12" s="1"/>
  <c r="AH8" i="12" s="1"/>
  <c r="AI8" i="12" s="1"/>
  <c r="Z9" i="12"/>
  <c r="AA9" i="12" s="1"/>
  <c r="AB9" i="12" s="1"/>
  <c r="AC9" i="12" s="1"/>
  <c r="AD9" i="12" s="1"/>
  <c r="AE9" i="12" s="1"/>
  <c r="AF9" i="12" s="1"/>
  <c r="AG9" i="12" s="1"/>
  <c r="AH9" i="12" s="1"/>
  <c r="AI9" i="12" s="1"/>
  <c r="Z10" i="12"/>
  <c r="AA10" i="12" s="1"/>
  <c r="AB10" i="12" s="1"/>
  <c r="AC10" i="12" s="1"/>
  <c r="AD10" i="12" s="1"/>
  <c r="AE10" i="12" s="1"/>
  <c r="AF10" i="12" s="1"/>
  <c r="AG10" i="12" s="1"/>
  <c r="AH10" i="12" s="1"/>
  <c r="AI10" i="12" s="1"/>
  <c r="Z11" i="12"/>
  <c r="AA11" i="12" s="1"/>
  <c r="AB11" i="12" s="1"/>
  <c r="AC11" i="12" s="1"/>
  <c r="AD11" i="12" s="1"/>
  <c r="AE11" i="12" s="1"/>
  <c r="AF11" i="12" s="1"/>
  <c r="AG11" i="12" s="1"/>
  <c r="AH11" i="12" s="1"/>
  <c r="AI11" i="12" s="1"/>
  <c r="Z12" i="12"/>
  <c r="AA12" i="12" s="1"/>
  <c r="AB12" i="12" s="1"/>
  <c r="AC12" i="12" s="1"/>
  <c r="AD12" i="12" s="1"/>
  <c r="AE12" i="12" s="1"/>
  <c r="AF12" i="12" s="1"/>
  <c r="AG12" i="12" s="1"/>
  <c r="AH12" i="12" s="1"/>
  <c r="AI12" i="12" s="1"/>
  <c r="Z13" i="12"/>
  <c r="AA13" i="12" s="1"/>
  <c r="AB13" i="12" s="1"/>
  <c r="AC13" i="12" s="1"/>
  <c r="AD13" i="12" s="1"/>
  <c r="AE13" i="12" s="1"/>
  <c r="AF13" i="12" s="1"/>
  <c r="AG13" i="12" s="1"/>
  <c r="AH13" i="12" s="1"/>
  <c r="AI13" i="12" s="1"/>
  <c r="Z14" i="12"/>
  <c r="AA14" i="12" s="1"/>
  <c r="AB14" i="12" s="1"/>
  <c r="AC14" i="12" s="1"/>
  <c r="AD14" i="12" s="1"/>
  <c r="AE14" i="12" s="1"/>
  <c r="AF14" i="12" s="1"/>
  <c r="AG14" i="12" s="1"/>
  <c r="AH14" i="12" s="1"/>
  <c r="AI14" i="12" s="1"/>
  <c r="Z15" i="12"/>
  <c r="AA15" i="12" s="1"/>
  <c r="AB15" i="12" s="1"/>
  <c r="AC15" i="12"/>
  <c r="AD15" i="12" s="1"/>
  <c r="AE15" i="12" s="1"/>
  <c r="AF15" i="12" s="1"/>
  <c r="AG15" i="12" s="1"/>
  <c r="AH15" i="12" s="1"/>
  <c r="AI15" i="12" s="1"/>
  <c r="Z16" i="12"/>
  <c r="AA16" i="12" s="1"/>
  <c r="AB16" i="12" s="1"/>
  <c r="AC16" i="12" s="1"/>
  <c r="AD16" i="12" s="1"/>
  <c r="AE16" i="12" s="1"/>
  <c r="AF16" i="12" s="1"/>
  <c r="AG16" i="12" s="1"/>
  <c r="AH16" i="12" s="1"/>
  <c r="AI16" i="12" s="1"/>
  <c r="Z17" i="12"/>
  <c r="AA17" i="12" s="1"/>
  <c r="AB17" i="12" s="1"/>
  <c r="AC17" i="12" s="1"/>
  <c r="AD17" i="12" s="1"/>
  <c r="AE17" i="12" s="1"/>
  <c r="AF17" i="12" s="1"/>
  <c r="AG17" i="12" s="1"/>
  <c r="AH17" i="12" s="1"/>
  <c r="AI17" i="12" s="1"/>
  <c r="Z18" i="12"/>
  <c r="AA18" i="12" s="1"/>
  <c r="AB18" i="12" s="1"/>
  <c r="AC18" i="12" s="1"/>
  <c r="AD18" i="12" s="1"/>
  <c r="AE18" i="12" s="1"/>
  <c r="AF18" i="12" s="1"/>
  <c r="AG18" i="12" s="1"/>
  <c r="AH18" i="12" s="1"/>
  <c r="AI18" i="12" s="1"/>
  <c r="Z19" i="12"/>
  <c r="AA19" i="12" s="1"/>
  <c r="AB19" i="12" s="1"/>
  <c r="AC19" i="12" s="1"/>
  <c r="AD19" i="12" s="1"/>
  <c r="AE19" i="12" s="1"/>
  <c r="AF19" i="12" s="1"/>
  <c r="AG19" i="12" s="1"/>
  <c r="AH19" i="12" s="1"/>
  <c r="AI19" i="12" s="1"/>
  <c r="Z20" i="12"/>
  <c r="AA20" i="12" s="1"/>
  <c r="AB20" i="12" s="1"/>
  <c r="AC20" i="12" s="1"/>
  <c r="AD20" i="12" s="1"/>
  <c r="AE20" i="12" s="1"/>
  <c r="AF20" i="12" s="1"/>
  <c r="AG20" i="12" s="1"/>
  <c r="AH20" i="12" s="1"/>
  <c r="AI20" i="12" s="1"/>
  <c r="Z21" i="12"/>
  <c r="AA21" i="12" s="1"/>
  <c r="AB21" i="12" s="1"/>
  <c r="AC21" i="12" s="1"/>
  <c r="AD21" i="12" s="1"/>
  <c r="AE21" i="12" s="1"/>
  <c r="AF21" i="12" s="1"/>
  <c r="AG21" i="12" s="1"/>
  <c r="AH21" i="12" s="1"/>
  <c r="AI21" i="12" s="1"/>
  <c r="Z22" i="12"/>
  <c r="AA22" i="12" s="1"/>
  <c r="AB22" i="12" s="1"/>
  <c r="AC22" i="12" s="1"/>
  <c r="AD22" i="12" s="1"/>
  <c r="AE22" i="12" s="1"/>
  <c r="AF22" i="12" s="1"/>
  <c r="AG22" i="12" s="1"/>
  <c r="AH22" i="12" s="1"/>
  <c r="AI22" i="12" s="1"/>
  <c r="Z23" i="12"/>
  <c r="AA23" i="12"/>
  <c r="AB23" i="12" s="1"/>
  <c r="AC23" i="12" s="1"/>
  <c r="AD23" i="12" s="1"/>
  <c r="AE23" i="12" s="1"/>
  <c r="AF23" i="12" s="1"/>
  <c r="AG23" i="12" s="1"/>
  <c r="AH23" i="12" s="1"/>
  <c r="AI23" i="12" s="1"/>
  <c r="Z24" i="12"/>
  <c r="AA24" i="12" s="1"/>
  <c r="AB24" i="12" s="1"/>
  <c r="AC24" i="12" s="1"/>
  <c r="AD24" i="12" s="1"/>
  <c r="AE24" i="12" s="1"/>
  <c r="AF24" i="12" s="1"/>
  <c r="AG24" i="12" s="1"/>
  <c r="AH24" i="12" s="1"/>
  <c r="AI24" i="12" s="1"/>
  <c r="Z25" i="12"/>
  <c r="AA25" i="12" s="1"/>
  <c r="AB25" i="12" s="1"/>
  <c r="AC25" i="12" s="1"/>
  <c r="AD25" i="12" s="1"/>
  <c r="AE25" i="12" s="1"/>
  <c r="AF25" i="12" s="1"/>
  <c r="AG25" i="12" s="1"/>
  <c r="AH25" i="12" s="1"/>
  <c r="AI25" i="12" s="1"/>
  <c r="Z26" i="12"/>
  <c r="AA26" i="12" s="1"/>
  <c r="AB26" i="12" s="1"/>
  <c r="AC26" i="12" s="1"/>
  <c r="AD26" i="12" s="1"/>
  <c r="AE26" i="12" s="1"/>
  <c r="AF26" i="12" s="1"/>
  <c r="AG26" i="12" s="1"/>
  <c r="AH26" i="12" s="1"/>
  <c r="AI26" i="12" s="1"/>
  <c r="Z27" i="12"/>
  <c r="AA27" i="12" s="1"/>
  <c r="AB27" i="12" s="1"/>
  <c r="AC27" i="12" s="1"/>
  <c r="AD27" i="12" s="1"/>
  <c r="AE27" i="12" s="1"/>
  <c r="AF27" i="12" s="1"/>
  <c r="AG27" i="12" s="1"/>
  <c r="AH27" i="12" s="1"/>
  <c r="AI27" i="12" s="1"/>
  <c r="Z28" i="12"/>
  <c r="AA28" i="12" s="1"/>
  <c r="AB28" i="12" s="1"/>
  <c r="AC28" i="12" s="1"/>
  <c r="AD28" i="12" s="1"/>
  <c r="AE28" i="12" s="1"/>
  <c r="AF28" i="12" s="1"/>
  <c r="AG28" i="12" s="1"/>
  <c r="AH28" i="12" s="1"/>
  <c r="AI28" i="12" s="1"/>
  <c r="Z29" i="12"/>
  <c r="AA29" i="12" s="1"/>
  <c r="AB29" i="12" s="1"/>
  <c r="AC29" i="12" s="1"/>
  <c r="AD29" i="12" s="1"/>
  <c r="AE29" i="12" s="1"/>
  <c r="AF29" i="12" s="1"/>
  <c r="AG29" i="12" s="1"/>
  <c r="AH29" i="12" s="1"/>
  <c r="AI29" i="12" s="1"/>
  <c r="Z30" i="12"/>
  <c r="AA30" i="12" s="1"/>
  <c r="AB30" i="12" s="1"/>
  <c r="AC30" i="12" s="1"/>
  <c r="AD30" i="12" s="1"/>
  <c r="AE30" i="12" s="1"/>
  <c r="AF30" i="12" s="1"/>
  <c r="AG30" i="12" s="1"/>
  <c r="AH30" i="12" s="1"/>
  <c r="AI30" i="12" s="1"/>
  <c r="Z31" i="12"/>
  <c r="AA31" i="12" s="1"/>
  <c r="AB31" i="12" s="1"/>
  <c r="AC31" i="12" s="1"/>
  <c r="AD31" i="12" s="1"/>
  <c r="AE31" i="12" s="1"/>
  <c r="AF31" i="12" s="1"/>
  <c r="AG31" i="12" s="1"/>
  <c r="AH31" i="12" s="1"/>
  <c r="AI31" i="12" s="1"/>
  <c r="Z32" i="12"/>
  <c r="AA32" i="12" s="1"/>
  <c r="AB32" i="12" s="1"/>
  <c r="AC32" i="12" s="1"/>
  <c r="AD32" i="12" s="1"/>
  <c r="AE32" i="12" s="1"/>
  <c r="AF32" i="12" s="1"/>
  <c r="AG32" i="12" s="1"/>
  <c r="AH32" i="12" s="1"/>
  <c r="AI32" i="12" s="1"/>
  <c r="Z33" i="12"/>
  <c r="AA33" i="12" s="1"/>
  <c r="AB33" i="12" s="1"/>
  <c r="AC33" i="12" s="1"/>
  <c r="AD33" i="12" s="1"/>
  <c r="AE33" i="12" s="1"/>
  <c r="AF33" i="12" s="1"/>
  <c r="AG33" i="12" s="1"/>
  <c r="AH33" i="12" s="1"/>
  <c r="AI33" i="12" s="1"/>
  <c r="Z34" i="12"/>
  <c r="AA34" i="12" s="1"/>
  <c r="AB34" i="12" s="1"/>
  <c r="AC34" i="12" s="1"/>
  <c r="AD34" i="12" s="1"/>
  <c r="AE34" i="12" s="1"/>
  <c r="AF34" i="12" s="1"/>
  <c r="AG34" i="12" s="1"/>
  <c r="AH34" i="12" s="1"/>
  <c r="AI34" i="12" s="1"/>
  <c r="Z35" i="12"/>
  <c r="AA35" i="12"/>
  <c r="AB35" i="12" s="1"/>
  <c r="AC35" i="12" s="1"/>
  <c r="AD35" i="12" s="1"/>
  <c r="AE35" i="12" s="1"/>
  <c r="AF35" i="12" s="1"/>
  <c r="AG35" i="12" s="1"/>
  <c r="AH35" i="12" s="1"/>
  <c r="AI35" i="12" s="1"/>
  <c r="Z36" i="12"/>
  <c r="AA36" i="12" s="1"/>
  <c r="AB36" i="12" s="1"/>
  <c r="AC36" i="12" s="1"/>
  <c r="AD36" i="12" s="1"/>
  <c r="AE36" i="12" s="1"/>
  <c r="AF36" i="12" s="1"/>
  <c r="AG36" i="12" s="1"/>
  <c r="AH36" i="12" s="1"/>
  <c r="AI36" i="12" s="1"/>
  <c r="Z37" i="12"/>
  <c r="AA37" i="12" s="1"/>
  <c r="AB37" i="12" s="1"/>
  <c r="AC37" i="12" s="1"/>
  <c r="AD37" i="12" s="1"/>
  <c r="AE37" i="12" s="1"/>
  <c r="AF37" i="12" s="1"/>
  <c r="AG37" i="12" s="1"/>
  <c r="AH37" i="12" s="1"/>
  <c r="AI37" i="12" s="1"/>
  <c r="Z38" i="12"/>
  <c r="AA38" i="12" s="1"/>
  <c r="AB38" i="12" s="1"/>
  <c r="AC38" i="12" s="1"/>
  <c r="AD38" i="12" s="1"/>
  <c r="AE38" i="12" s="1"/>
  <c r="AF38" i="12" s="1"/>
  <c r="AG38" i="12" s="1"/>
  <c r="AH38" i="12" s="1"/>
  <c r="AI38" i="12" s="1"/>
  <c r="Z39" i="12"/>
  <c r="AA39" i="12" s="1"/>
  <c r="AB39" i="12" s="1"/>
  <c r="AC39" i="12"/>
  <c r="AD39" i="12" s="1"/>
  <c r="AE39" i="12" s="1"/>
  <c r="AF39" i="12" s="1"/>
  <c r="AG39" i="12" s="1"/>
  <c r="AH39" i="12" s="1"/>
  <c r="AI39" i="12" s="1"/>
  <c r="Z40" i="12"/>
  <c r="AA40" i="12" s="1"/>
  <c r="AB40" i="12" s="1"/>
  <c r="AC40" i="12" s="1"/>
  <c r="AD40" i="12" s="1"/>
  <c r="AE40" i="12" s="1"/>
  <c r="AF40" i="12" s="1"/>
  <c r="AG40" i="12" s="1"/>
  <c r="AH40" i="12" s="1"/>
  <c r="AI40" i="12" s="1"/>
  <c r="Z41" i="12"/>
  <c r="AA41" i="12" s="1"/>
  <c r="AB41" i="12" s="1"/>
  <c r="AC41" i="12" s="1"/>
  <c r="AD41" i="12" s="1"/>
  <c r="AE41" i="12" s="1"/>
  <c r="AF41" i="12" s="1"/>
  <c r="AG41" i="12" s="1"/>
  <c r="AH41" i="12" s="1"/>
  <c r="AI41" i="12" s="1"/>
  <c r="Z42" i="12"/>
  <c r="AA42" i="12" s="1"/>
  <c r="AB42" i="12" s="1"/>
  <c r="AC42" i="12" s="1"/>
  <c r="AD42" i="12" s="1"/>
  <c r="AE42" i="12" s="1"/>
  <c r="AF42" i="12" s="1"/>
  <c r="AG42" i="12" s="1"/>
  <c r="AH42" i="12" s="1"/>
  <c r="AI42" i="12" s="1"/>
  <c r="Z43" i="12"/>
  <c r="AA43" i="12" s="1"/>
  <c r="AB43" i="12" s="1"/>
  <c r="AC43" i="12" s="1"/>
  <c r="AD43" i="12" s="1"/>
  <c r="AE43" i="12" s="1"/>
  <c r="AF43" i="12" s="1"/>
  <c r="AG43" i="12" s="1"/>
  <c r="AH43" i="12" s="1"/>
  <c r="AI43" i="12" s="1"/>
  <c r="Z44" i="12"/>
  <c r="AA44" i="12"/>
  <c r="AB44" i="12" s="1"/>
  <c r="AC44" i="12" s="1"/>
  <c r="AD44" i="12" s="1"/>
  <c r="AE44" i="12" s="1"/>
  <c r="AF44" i="12" s="1"/>
  <c r="AG44" i="12" s="1"/>
  <c r="AH44" i="12" s="1"/>
  <c r="AI44" i="12" s="1"/>
  <c r="Z45" i="12"/>
  <c r="AA45" i="12" s="1"/>
  <c r="AB45" i="12" s="1"/>
  <c r="AC45" i="12" s="1"/>
  <c r="AD45" i="12" s="1"/>
  <c r="AE45" i="12" s="1"/>
  <c r="AF45" i="12" s="1"/>
  <c r="AG45" i="12" s="1"/>
  <c r="AH45" i="12" s="1"/>
  <c r="AI45" i="12" s="1"/>
  <c r="Z46" i="12"/>
  <c r="AA46" i="12" s="1"/>
  <c r="AB46" i="12" s="1"/>
  <c r="AC46" i="12" s="1"/>
  <c r="AD46" i="12" s="1"/>
  <c r="AE46" i="12" s="1"/>
  <c r="AF46" i="12" s="1"/>
  <c r="AG46" i="12" s="1"/>
  <c r="AH46" i="12" s="1"/>
  <c r="AI46" i="12" s="1"/>
  <c r="Z47" i="12"/>
  <c r="AA47" i="12" s="1"/>
  <c r="AB47" i="12" s="1"/>
  <c r="AC47" i="12" s="1"/>
  <c r="AD47" i="12" s="1"/>
  <c r="AE47" i="12" s="1"/>
  <c r="AF47" i="12" s="1"/>
  <c r="AG47" i="12" s="1"/>
  <c r="AH47" i="12" s="1"/>
  <c r="AI47" i="12" s="1"/>
  <c r="Z48" i="12"/>
  <c r="AA48" i="12" s="1"/>
  <c r="AB48" i="12" s="1"/>
  <c r="AC48" i="12" s="1"/>
  <c r="AD48" i="12" s="1"/>
  <c r="AE48" i="12" s="1"/>
  <c r="AF48" i="12" s="1"/>
  <c r="AG48" i="12" s="1"/>
  <c r="AH48" i="12" s="1"/>
  <c r="AI48" i="12" s="1"/>
  <c r="Z49" i="12"/>
  <c r="AA49" i="12" s="1"/>
  <c r="AB49" i="12" s="1"/>
  <c r="AC49" i="12" s="1"/>
  <c r="AD49" i="12" s="1"/>
  <c r="AE49" i="12" s="1"/>
  <c r="AF49" i="12" s="1"/>
  <c r="AG49" i="12" s="1"/>
  <c r="AH49" i="12" s="1"/>
  <c r="AI49" i="12" s="1"/>
  <c r="Z50" i="12"/>
  <c r="AA50" i="12" s="1"/>
  <c r="AB50" i="12" s="1"/>
  <c r="AC50" i="12" s="1"/>
  <c r="AD50" i="12" s="1"/>
  <c r="AE50" i="12" s="1"/>
  <c r="AF50" i="12" s="1"/>
  <c r="AG50" i="12" s="1"/>
  <c r="AH50" i="12" s="1"/>
  <c r="AI50" i="12" s="1"/>
  <c r="Z51" i="12"/>
  <c r="AA51" i="12" s="1"/>
  <c r="AB51" i="12" s="1"/>
  <c r="AC51" i="12" s="1"/>
  <c r="AD51" i="12" s="1"/>
  <c r="AE51" i="12" s="1"/>
  <c r="AF51" i="12" s="1"/>
  <c r="AG51" i="12" s="1"/>
  <c r="AH51" i="12" s="1"/>
  <c r="AI51" i="12" s="1"/>
  <c r="Z52" i="12"/>
  <c r="AA52" i="12" s="1"/>
  <c r="AB52" i="12" s="1"/>
  <c r="AC52" i="12" s="1"/>
  <c r="AD52" i="12" s="1"/>
  <c r="AE52" i="12" s="1"/>
  <c r="AF52" i="12" s="1"/>
  <c r="AG52" i="12" s="1"/>
  <c r="AH52" i="12" s="1"/>
  <c r="AI52" i="12" s="1"/>
  <c r="Z53" i="12"/>
  <c r="AA53" i="12" s="1"/>
  <c r="AB53" i="12" s="1"/>
  <c r="AC53" i="12" s="1"/>
  <c r="AD53" i="12" s="1"/>
  <c r="AE53" i="12" s="1"/>
  <c r="AF53" i="12" s="1"/>
  <c r="AG53" i="12" s="1"/>
  <c r="AH53" i="12" s="1"/>
  <c r="AI53" i="12" s="1"/>
  <c r="Z54" i="12"/>
  <c r="AA54" i="12" s="1"/>
  <c r="AB54" i="12" s="1"/>
  <c r="AC54" i="12" s="1"/>
  <c r="AD54" i="12" s="1"/>
  <c r="AE54" i="12" s="1"/>
  <c r="AF54" i="12" s="1"/>
  <c r="AG54" i="12" s="1"/>
  <c r="AH54" i="12" s="1"/>
  <c r="AI54" i="12" s="1"/>
  <c r="Z55" i="12"/>
  <c r="AA55" i="12" s="1"/>
  <c r="AB55" i="12"/>
  <c r="AC55" i="12" s="1"/>
  <c r="AD55" i="12" s="1"/>
  <c r="AE55" i="12" s="1"/>
  <c r="AF55" i="12" s="1"/>
  <c r="AG55" i="12" s="1"/>
  <c r="AH55" i="12" s="1"/>
  <c r="AI55" i="12" s="1"/>
  <c r="Z56" i="12"/>
  <c r="AA56" i="12" s="1"/>
  <c r="AB56" i="12" s="1"/>
  <c r="AC56" i="12" s="1"/>
  <c r="AD56" i="12" s="1"/>
  <c r="AE56" i="12" s="1"/>
  <c r="AF56" i="12" s="1"/>
  <c r="AG56" i="12" s="1"/>
  <c r="AH56" i="12" s="1"/>
  <c r="AI56" i="12" s="1"/>
  <c r="Z57" i="12"/>
  <c r="AA57" i="12" s="1"/>
  <c r="AB57" i="12" s="1"/>
  <c r="AC57" i="12" s="1"/>
  <c r="AD57" i="12" s="1"/>
  <c r="AE57" i="12" s="1"/>
  <c r="AF57" i="12" s="1"/>
  <c r="AG57" i="12" s="1"/>
  <c r="AH57" i="12" s="1"/>
  <c r="AI57" i="12" s="1"/>
  <c r="Z58" i="12"/>
  <c r="AA58" i="12" s="1"/>
  <c r="AB58" i="12" s="1"/>
  <c r="AC58" i="12" s="1"/>
  <c r="AD58" i="12" s="1"/>
  <c r="AE58" i="12" s="1"/>
  <c r="AF58" i="12" s="1"/>
  <c r="AG58" i="12" s="1"/>
  <c r="AH58" i="12" s="1"/>
  <c r="AI58" i="12" s="1"/>
  <c r="Z59" i="12"/>
  <c r="AA59" i="12"/>
  <c r="AB59" i="12" s="1"/>
  <c r="AC59" i="12" s="1"/>
  <c r="AD59" i="12" s="1"/>
  <c r="AE59" i="12" s="1"/>
  <c r="AF59" i="12" s="1"/>
  <c r="AG59" i="12" s="1"/>
  <c r="AH59" i="12" s="1"/>
  <c r="AI59" i="12" s="1"/>
  <c r="Z60" i="12"/>
  <c r="AA60" i="12" s="1"/>
  <c r="AB60" i="12" s="1"/>
  <c r="AC60" i="12" s="1"/>
  <c r="AD60" i="12" s="1"/>
  <c r="AE60" i="12" s="1"/>
  <c r="AF60" i="12" s="1"/>
  <c r="AG60" i="12" s="1"/>
  <c r="AH60" i="12" s="1"/>
  <c r="AI60" i="12" s="1"/>
  <c r="Z61" i="12"/>
  <c r="AA61" i="12" s="1"/>
  <c r="AB61" i="12" s="1"/>
  <c r="AC61" i="12" s="1"/>
  <c r="AD61" i="12" s="1"/>
  <c r="AE61" i="12" s="1"/>
  <c r="AF61" i="12" s="1"/>
  <c r="AG61" i="12" s="1"/>
  <c r="AH61" i="12" s="1"/>
  <c r="AI61" i="12" s="1"/>
  <c r="Z62" i="12"/>
  <c r="AA62" i="12" s="1"/>
  <c r="AB62" i="12"/>
  <c r="AC62" i="12" s="1"/>
  <c r="AD62" i="12" s="1"/>
  <c r="AE62" i="12" s="1"/>
  <c r="AF62" i="12" s="1"/>
  <c r="AG62" i="12" s="1"/>
  <c r="AH62" i="12" s="1"/>
  <c r="AI62" i="12" s="1"/>
  <c r="Z63" i="12"/>
  <c r="AA63" i="12" s="1"/>
  <c r="AB63" i="12" s="1"/>
  <c r="AC63" i="12" s="1"/>
  <c r="AD63" i="12" s="1"/>
  <c r="AE63" i="12" s="1"/>
  <c r="AF63" i="12" s="1"/>
  <c r="AG63" i="12" s="1"/>
  <c r="AH63" i="12" s="1"/>
  <c r="AI63" i="12" s="1"/>
  <c r="Z64" i="12"/>
  <c r="AA64" i="12" s="1"/>
  <c r="AB64" i="12" s="1"/>
  <c r="AC64" i="12" s="1"/>
  <c r="AD64" i="12" s="1"/>
  <c r="AE64" i="12" s="1"/>
  <c r="AF64" i="12" s="1"/>
  <c r="AG64" i="12" s="1"/>
  <c r="AH64" i="12" s="1"/>
  <c r="AI64" i="12" s="1"/>
  <c r="Z65" i="12"/>
  <c r="AA65" i="12" s="1"/>
  <c r="AB65" i="12" s="1"/>
  <c r="AC65" i="12" s="1"/>
  <c r="AD65" i="12" s="1"/>
  <c r="AE65" i="12" s="1"/>
  <c r="AF65" i="12" s="1"/>
  <c r="AG65" i="12" s="1"/>
  <c r="AH65" i="12" s="1"/>
  <c r="AI65" i="12" s="1"/>
  <c r="Z66" i="12"/>
  <c r="AA66" i="12" s="1"/>
  <c r="AB66" i="12" s="1"/>
  <c r="AC66" i="12" s="1"/>
  <c r="AD66" i="12" s="1"/>
  <c r="AE66" i="12" s="1"/>
  <c r="AF66" i="12" s="1"/>
  <c r="AG66" i="12" s="1"/>
  <c r="AH66" i="12" s="1"/>
  <c r="AI66" i="12" s="1"/>
  <c r="Z67" i="12"/>
  <c r="AA67" i="12" s="1"/>
  <c r="AB67" i="12" s="1"/>
  <c r="AC67" i="12" s="1"/>
  <c r="AD67" i="12" s="1"/>
  <c r="AE67" i="12" s="1"/>
  <c r="AF67" i="12" s="1"/>
  <c r="AG67" i="12" s="1"/>
  <c r="AH67" i="12" s="1"/>
  <c r="AI67" i="12" s="1"/>
  <c r="Z68" i="12"/>
  <c r="AA68" i="12" s="1"/>
  <c r="AB68" i="12" s="1"/>
  <c r="AC68" i="12" s="1"/>
  <c r="AD68" i="12" s="1"/>
  <c r="AE68" i="12" s="1"/>
  <c r="AF68" i="12" s="1"/>
  <c r="AG68" i="12" s="1"/>
  <c r="AH68" i="12" s="1"/>
  <c r="AI68" i="12" s="1"/>
  <c r="Z69" i="12"/>
  <c r="AA69" i="12" s="1"/>
  <c r="AB69" i="12" s="1"/>
  <c r="AC69" i="12" s="1"/>
  <c r="AD69" i="12" s="1"/>
  <c r="AE69" i="12" s="1"/>
  <c r="AF69" i="12" s="1"/>
  <c r="AG69" i="12" s="1"/>
  <c r="AH69" i="12" s="1"/>
  <c r="AI69" i="12" s="1"/>
  <c r="Z70" i="12"/>
  <c r="AA70" i="12" s="1"/>
  <c r="AB70" i="12" s="1"/>
  <c r="AC70" i="12" s="1"/>
  <c r="AD70" i="12" s="1"/>
  <c r="AE70" i="12" s="1"/>
  <c r="AF70" i="12" s="1"/>
  <c r="AG70" i="12" s="1"/>
  <c r="AH70" i="12" s="1"/>
  <c r="AI70" i="12" s="1"/>
  <c r="Z71" i="12"/>
  <c r="AA71" i="12" s="1"/>
  <c r="AB71" i="12" s="1"/>
  <c r="AC71" i="12" s="1"/>
  <c r="AD71" i="12" s="1"/>
  <c r="AE71" i="12" s="1"/>
  <c r="AF71" i="12" s="1"/>
  <c r="AG71" i="12" s="1"/>
  <c r="AH71" i="12" s="1"/>
  <c r="AI71" i="12" s="1"/>
  <c r="Z72" i="12"/>
  <c r="AA72" i="12"/>
  <c r="AB72" i="12" s="1"/>
  <c r="AC72" i="12" s="1"/>
  <c r="AD72" i="12" s="1"/>
  <c r="AE72" i="12" s="1"/>
  <c r="AF72" i="12" s="1"/>
  <c r="AG72" i="12" s="1"/>
  <c r="AH72" i="12" s="1"/>
  <c r="AI72" i="12" s="1"/>
  <c r="Z73" i="12"/>
  <c r="AA73" i="12" s="1"/>
  <c r="AB73" i="12" s="1"/>
  <c r="AC73" i="12" s="1"/>
  <c r="AD73" i="12" s="1"/>
  <c r="AE73" i="12" s="1"/>
  <c r="AF73" i="12" s="1"/>
  <c r="AG73" i="12" s="1"/>
  <c r="AH73" i="12" s="1"/>
  <c r="AI73" i="12" s="1"/>
  <c r="Z74" i="12"/>
  <c r="AA74" i="12" s="1"/>
  <c r="AB74" i="12" s="1"/>
  <c r="AC74" i="12" s="1"/>
  <c r="AD74" i="12" s="1"/>
  <c r="AE74" i="12" s="1"/>
  <c r="AF74" i="12" s="1"/>
  <c r="AG74" i="12" s="1"/>
  <c r="AH74" i="12" s="1"/>
  <c r="AI74" i="12" s="1"/>
  <c r="Z75" i="12"/>
  <c r="AA75" i="12" s="1"/>
  <c r="AB75" i="12" s="1"/>
  <c r="AC75" i="12" s="1"/>
  <c r="AD75" i="12" s="1"/>
  <c r="AE75" i="12" s="1"/>
  <c r="AF75" i="12" s="1"/>
  <c r="AG75" i="12" s="1"/>
  <c r="AH75" i="12" s="1"/>
  <c r="AI75" i="12" s="1"/>
  <c r="Z76" i="12"/>
  <c r="AA76" i="12" s="1"/>
  <c r="AB76" i="12" s="1"/>
  <c r="AC76" i="12" s="1"/>
  <c r="AD76" i="12" s="1"/>
  <c r="AE76" i="12" s="1"/>
  <c r="AF76" i="12" s="1"/>
  <c r="AG76" i="12" s="1"/>
  <c r="AH76" i="12" s="1"/>
  <c r="AI76" i="12" s="1"/>
  <c r="Z77" i="12"/>
  <c r="AA77" i="12" s="1"/>
  <c r="AB77" i="12" s="1"/>
  <c r="AC77" i="12" s="1"/>
  <c r="AD77" i="12" s="1"/>
  <c r="AE77" i="12" s="1"/>
  <c r="AF77" i="12" s="1"/>
  <c r="AG77" i="12" s="1"/>
  <c r="AH77" i="12" s="1"/>
  <c r="AI77" i="12" s="1"/>
  <c r="Z78" i="12"/>
  <c r="AA78" i="12" s="1"/>
  <c r="AB78" i="12" s="1"/>
  <c r="AC78" i="12" s="1"/>
  <c r="AD78" i="12" s="1"/>
  <c r="AE78" i="12" s="1"/>
  <c r="AF78" i="12" s="1"/>
  <c r="AG78" i="12" s="1"/>
  <c r="AH78" i="12" s="1"/>
  <c r="AI78" i="12" s="1"/>
  <c r="Z79" i="12"/>
  <c r="AA79" i="12" s="1"/>
  <c r="AB79" i="12" s="1"/>
  <c r="AC79" i="12" s="1"/>
  <c r="AD79" i="12" s="1"/>
  <c r="AE79" i="12" s="1"/>
  <c r="AF79" i="12" s="1"/>
  <c r="AG79" i="12" s="1"/>
  <c r="AH79" i="12" s="1"/>
  <c r="AI79" i="12" s="1"/>
  <c r="Z80" i="12"/>
  <c r="AA80" i="12" s="1"/>
  <c r="AB80" i="12" s="1"/>
  <c r="AC80" i="12" s="1"/>
  <c r="AD80" i="12" s="1"/>
  <c r="AE80" i="12" s="1"/>
  <c r="AF80" i="12" s="1"/>
  <c r="AG80" i="12" s="1"/>
  <c r="AH80" i="12" s="1"/>
  <c r="AI80" i="12" s="1"/>
  <c r="Z81" i="12"/>
  <c r="AA81" i="12" s="1"/>
  <c r="AB81" i="12" s="1"/>
  <c r="AC81" i="12" s="1"/>
  <c r="AD81" i="12" s="1"/>
  <c r="AE81" i="12" s="1"/>
  <c r="AF81" i="12" s="1"/>
  <c r="AG81" i="12" s="1"/>
  <c r="AH81" i="12" s="1"/>
  <c r="AI81" i="12" s="1"/>
  <c r="Z82" i="12"/>
  <c r="AA82" i="12" s="1"/>
  <c r="AB82" i="12" s="1"/>
  <c r="AC82" i="12" s="1"/>
  <c r="AD82" i="12" s="1"/>
  <c r="AE82" i="12" s="1"/>
  <c r="AF82" i="12" s="1"/>
  <c r="AG82" i="12" s="1"/>
  <c r="AH82" i="12" s="1"/>
  <c r="AI82" i="12" s="1"/>
  <c r="Z83" i="12"/>
  <c r="AA83" i="12" s="1"/>
  <c r="AB83" i="12" s="1"/>
  <c r="AC83" i="12" s="1"/>
  <c r="AD83" i="12" s="1"/>
  <c r="AE83" i="12" s="1"/>
  <c r="AF83" i="12" s="1"/>
  <c r="AG83" i="12" s="1"/>
  <c r="AH83" i="12" s="1"/>
  <c r="AI83" i="12" s="1"/>
  <c r="Z84" i="12"/>
  <c r="AA84" i="12" s="1"/>
  <c r="AB84" i="12" s="1"/>
  <c r="AC84" i="12" s="1"/>
  <c r="AD84" i="12" s="1"/>
  <c r="AE84" i="12" s="1"/>
  <c r="AF84" i="12" s="1"/>
  <c r="AG84" i="12" s="1"/>
  <c r="AH84" i="12" s="1"/>
  <c r="AI84" i="12" s="1"/>
  <c r="Z85" i="12"/>
  <c r="AA85" i="12" s="1"/>
  <c r="AB85" i="12"/>
  <c r="AC85" i="12" s="1"/>
  <c r="AD85" i="12" s="1"/>
  <c r="AE85" i="12" s="1"/>
  <c r="AF85" i="12" s="1"/>
  <c r="AG85" i="12" s="1"/>
  <c r="AH85" i="12" s="1"/>
  <c r="AI85" i="12" s="1"/>
  <c r="Z86" i="12"/>
  <c r="AA86" i="12" s="1"/>
  <c r="AB86" i="12" s="1"/>
  <c r="AC86" i="12" s="1"/>
  <c r="AD86" i="12" s="1"/>
  <c r="AE86" i="12" s="1"/>
  <c r="AF86" i="12" s="1"/>
  <c r="AG86" i="12" s="1"/>
  <c r="AH86" i="12" s="1"/>
  <c r="AI86" i="12" s="1"/>
  <c r="Z87" i="12"/>
  <c r="AA87" i="12" s="1"/>
  <c r="AB87" i="12" s="1"/>
  <c r="AC87" i="12" s="1"/>
  <c r="AD87" i="12" s="1"/>
  <c r="AE87" i="12" s="1"/>
  <c r="AF87" i="12" s="1"/>
  <c r="AG87" i="12" s="1"/>
  <c r="AH87" i="12" s="1"/>
  <c r="AI87" i="12" s="1"/>
  <c r="Z88" i="12"/>
  <c r="AA88" i="12" s="1"/>
  <c r="AB88" i="12" s="1"/>
  <c r="AC88" i="12" s="1"/>
  <c r="AD88" i="12" s="1"/>
  <c r="AE88" i="12" s="1"/>
  <c r="AF88" i="12" s="1"/>
  <c r="AG88" i="12" s="1"/>
  <c r="AH88" i="12" s="1"/>
  <c r="AI88" i="12" s="1"/>
  <c r="Z89" i="12"/>
  <c r="AA89" i="12"/>
  <c r="AB89" i="12" s="1"/>
  <c r="AC89" i="12" s="1"/>
  <c r="AD89" i="12" s="1"/>
  <c r="AE89" i="12" s="1"/>
  <c r="AF89" i="12" s="1"/>
  <c r="AG89" i="12" s="1"/>
  <c r="AH89" i="12" s="1"/>
  <c r="AI89" i="12" s="1"/>
  <c r="Z90" i="12"/>
  <c r="AA90" i="12" s="1"/>
  <c r="AB90" i="12" s="1"/>
  <c r="AC90" i="12" s="1"/>
  <c r="AD90" i="12" s="1"/>
  <c r="AE90" i="12" s="1"/>
  <c r="AF90" i="12" s="1"/>
  <c r="AG90" i="12" s="1"/>
  <c r="AH90" i="12" s="1"/>
  <c r="AI90" i="12" s="1"/>
  <c r="Z91" i="12"/>
  <c r="AA91" i="12" s="1"/>
  <c r="AB91" i="12" s="1"/>
  <c r="AC91" i="12" s="1"/>
  <c r="AD91" i="12" s="1"/>
  <c r="AE91" i="12" s="1"/>
  <c r="AF91" i="12" s="1"/>
  <c r="AG91" i="12" s="1"/>
  <c r="AH91" i="12" s="1"/>
  <c r="AI91" i="12" s="1"/>
  <c r="Z92" i="12"/>
  <c r="AA92" i="12" s="1"/>
  <c r="AB92" i="12" s="1"/>
  <c r="AC92" i="12" s="1"/>
  <c r="AD92" i="12" s="1"/>
  <c r="AE92" i="12" s="1"/>
  <c r="AF92" i="12" s="1"/>
  <c r="AG92" i="12" s="1"/>
  <c r="AH92" i="12" s="1"/>
  <c r="AI92" i="12" s="1"/>
  <c r="Z93" i="12"/>
  <c r="AA93" i="12" s="1"/>
  <c r="AB93" i="12" s="1"/>
  <c r="AC93" i="12" s="1"/>
  <c r="AD93" i="12" s="1"/>
  <c r="AE93" i="12" s="1"/>
  <c r="AF93" i="12" s="1"/>
  <c r="AG93" i="12" s="1"/>
  <c r="AH93" i="12" s="1"/>
  <c r="AI93" i="12" s="1"/>
  <c r="Z94" i="12"/>
  <c r="AA94" i="12" s="1"/>
  <c r="AB94" i="12" s="1"/>
  <c r="AC94" i="12" s="1"/>
  <c r="AD94" i="12" s="1"/>
  <c r="AE94" i="12" s="1"/>
  <c r="AF94" i="12" s="1"/>
  <c r="AG94" i="12" s="1"/>
  <c r="AH94" i="12" s="1"/>
  <c r="AI94" i="12" s="1"/>
  <c r="Z95" i="12"/>
  <c r="AA95" i="12" s="1"/>
  <c r="AB95" i="12" s="1"/>
  <c r="AC95" i="12" s="1"/>
  <c r="AD95" i="12" s="1"/>
  <c r="AE95" i="12" s="1"/>
  <c r="AF95" i="12" s="1"/>
  <c r="AG95" i="12" s="1"/>
  <c r="AH95" i="12" s="1"/>
  <c r="AI95" i="12" s="1"/>
  <c r="Z96" i="12"/>
  <c r="AA96" i="12" s="1"/>
  <c r="AB96" i="12" s="1"/>
  <c r="AC96" i="12" s="1"/>
  <c r="AD96" i="12" s="1"/>
  <c r="AE96" i="12" s="1"/>
  <c r="AF96" i="12" s="1"/>
  <c r="AG96" i="12" s="1"/>
  <c r="AH96" i="12" s="1"/>
  <c r="AI96" i="12" s="1"/>
  <c r="Z97" i="12"/>
  <c r="AA97" i="12" s="1"/>
  <c r="AB97" i="12" s="1"/>
  <c r="AC97" i="12" s="1"/>
  <c r="AD97" i="12" s="1"/>
  <c r="AE97" i="12" s="1"/>
  <c r="AF97" i="12" s="1"/>
  <c r="AG97" i="12" s="1"/>
  <c r="AH97" i="12" s="1"/>
  <c r="AI97" i="12" s="1"/>
  <c r="Z98" i="12"/>
  <c r="AA98" i="12"/>
  <c r="AB98" i="12" s="1"/>
  <c r="AC98" i="12" s="1"/>
  <c r="AD98" i="12" s="1"/>
  <c r="AE98" i="12" s="1"/>
  <c r="AF98" i="12" s="1"/>
  <c r="AG98" i="12" s="1"/>
  <c r="AH98" i="12" s="1"/>
  <c r="AI98" i="12" s="1"/>
  <c r="Z99" i="12"/>
  <c r="AA99" i="12" s="1"/>
  <c r="AB99" i="12" s="1"/>
  <c r="AC99" i="12" s="1"/>
  <c r="AD99" i="12" s="1"/>
  <c r="AE99" i="12" s="1"/>
  <c r="AF99" i="12" s="1"/>
  <c r="AG99" i="12" s="1"/>
  <c r="AH99" i="12" s="1"/>
  <c r="AI99" i="12" s="1"/>
  <c r="Z100" i="12"/>
  <c r="AA100" i="12" s="1"/>
  <c r="AB100" i="12" s="1"/>
  <c r="AC100" i="12" s="1"/>
  <c r="AD100" i="12" s="1"/>
  <c r="AE100" i="12" s="1"/>
  <c r="AF100" i="12" s="1"/>
  <c r="AG100" i="12" s="1"/>
  <c r="AH100" i="12" s="1"/>
  <c r="AI100" i="12" s="1"/>
  <c r="Z101" i="12"/>
  <c r="AA101" i="12" s="1"/>
  <c r="AB101" i="12" s="1"/>
  <c r="AC101" i="12" s="1"/>
  <c r="AD101" i="12" s="1"/>
  <c r="AE101" i="12" s="1"/>
  <c r="AF101" i="12" s="1"/>
  <c r="AG101" i="12" s="1"/>
  <c r="AH101" i="12" s="1"/>
  <c r="AI101" i="12" s="1"/>
  <c r="Z102" i="12"/>
  <c r="AA102" i="12" s="1"/>
  <c r="AB102" i="12" s="1"/>
  <c r="AC102" i="12" s="1"/>
  <c r="AD102" i="12" s="1"/>
  <c r="AE102" i="12" s="1"/>
  <c r="AF102" i="12" s="1"/>
  <c r="AG102" i="12" s="1"/>
  <c r="AH102" i="12" s="1"/>
  <c r="AI102" i="12" s="1"/>
  <c r="Z103" i="12"/>
  <c r="AA103" i="12" s="1"/>
  <c r="AB103" i="12" s="1"/>
  <c r="AC103" i="12" s="1"/>
  <c r="AD103" i="12" s="1"/>
  <c r="AE103" i="12" s="1"/>
  <c r="AF103" i="12" s="1"/>
  <c r="AG103" i="12" s="1"/>
  <c r="AH103" i="12" s="1"/>
  <c r="AI103" i="12" s="1"/>
  <c r="Z104" i="12"/>
  <c r="AA104" i="12" s="1"/>
  <c r="AB104" i="12" s="1"/>
  <c r="AC104" i="12" s="1"/>
  <c r="AD104" i="12" s="1"/>
  <c r="AE104" i="12" s="1"/>
  <c r="AF104" i="12" s="1"/>
  <c r="AG104" i="12" s="1"/>
  <c r="AH104" i="12" s="1"/>
  <c r="AI104" i="12" s="1"/>
  <c r="Z105" i="12"/>
  <c r="AA105" i="12" s="1"/>
  <c r="AB105" i="12" s="1"/>
  <c r="AC105" i="12" s="1"/>
  <c r="AD105" i="12" s="1"/>
  <c r="AE105" i="12" s="1"/>
  <c r="AF105" i="12" s="1"/>
  <c r="AG105" i="12" s="1"/>
  <c r="AH105" i="12" s="1"/>
  <c r="AI105" i="12" s="1"/>
  <c r="Z106" i="12"/>
  <c r="AA106" i="12" s="1"/>
  <c r="AB106" i="12" s="1"/>
  <c r="AC106" i="12" s="1"/>
  <c r="AD106" i="12" s="1"/>
  <c r="AE106" i="12" s="1"/>
  <c r="AF106" i="12" s="1"/>
  <c r="AG106" i="12" s="1"/>
  <c r="AH106" i="12" s="1"/>
  <c r="AI106" i="12" s="1"/>
  <c r="Z107" i="12"/>
  <c r="AA107" i="12" s="1"/>
  <c r="AB107" i="12" s="1"/>
  <c r="AC107" i="12" s="1"/>
  <c r="AD107" i="12" s="1"/>
  <c r="AE107" i="12" s="1"/>
  <c r="AF107" i="12" s="1"/>
  <c r="AG107" i="12" s="1"/>
  <c r="AH107" i="12" s="1"/>
  <c r="AI107" i="12" s="1"/>
  <c r="Z108" i="12"/>
  <c r="Z109" i="12"/>
  <c r="AA109" i="12" s="1"/>
  <c r="AB109" i="12" s="1"/>
  <c r="AC109" i="12" s="1"/>
  <c r="AD109" i="12" s="1"/>
  <c r="AE109" i="12" s="1"/>
  <c r="AF109" i="12" s="1"/>
  <c r="AG109" i="12" s="1"/>
  <c r="AH109" i="12" s="1"/>
  <c r="AI109" i="12" s="1"/>
  <c r="Z110" i="12"/>
  <c r="AA110" i="12" s="1"/>
  <c r="AB110" i="12" s="1"/>
  <c r="AC110" i="12" s="1"/>
  <c r="AD110" i="12" s="1"/>
  <c r="AE110" i="12" s="1"/>
  <c r="AF110" i="12" s="1"/>
  <c r="AG110" i="12" s="1"/>
  <c r="AH110" i="12" s="1"/>
  <c r="AI110" i="12" s="1"/>
  <c r="Z111" i="12"/>
  <c r="AA111" i="12" s="1"/>
  <c r="AB111" i="12" s="1"/>
  <c r="AC111" i="12" s="1"/>
  <c r="AD111" i="12" s="1"/>
  <c r="AE111" i="12" s="1"/>
  <c r="AF111" i="12" s="1"/>
  <c r="AG111" i="12" s="1"/>
  <c r="AH111" i="12" s="1"/>
  <c r="AI111" i="12" s="1"/>
  <c r="Z112" i="12"/>
  <c r="AA112" i="12" s="1"/>
  <c r="AB112" i="12" s="1"/>
  <c r="AC112" i="12" s="1"/>
  <c r="AD112" i="12" s="1"/>
  <c r="AE112" i="12" s="1"/>
  <c r="AF112" i="12" s="1"/>
  <c r="AG112" i="12" s="1"/>
  <c r="AH112" i="12" s="1"/>
  <c r="AI112" i="12" s="1"/>
  <c r="Z113" i="12"/>
  <c r="AA113" i="12" s="1"/>
  <c r="AB113" i="12" s="1"/>
  <c r="AC113" i="12" s="1"/>
  <c r="AD113" i="12" s="1"/>
  <c r="AE113" i="12" s="1"/>
  <c r="AF113" i="12" s="1"/>
  <c r="AG113" i="12" s="1"/>
  <c r="AH113" i="12" s="1"/>
  <c r="AI113" i="12" s="1"/>
  <c r="Z114" i="12"/>
  <c r="AA114" i="12" s="1"/>
  <c r="AB114" i="12" s="1"/>
  <c r="AC114" i="12" s="1"/>
  <c r="AD114" i="12" s="1"/>
  <c r="AE114" i="12" s="1"/>
  <c r="AF114" i="12" s="1"/>
  <c r="AG114" i="12" s="1"/>
  <c r="AH114" i="12" s="1"/>
  <c r="AI114" i="12" s="1"/>
  <c r="Z115" i="12"/>
  <c r="AA115" i="12" s="1"/>
  <c r="AB115" i="12" s="1"/>
  <c r="AC115" i="12" s="1"/>
  <c r="AD115" i="12" s="1"/>
  <c r="AE115" i="12" s="1"/>
  <c r="AF115" i="12" s="1"/>
  <c r="AG115" i="12" s="1"/>
  <c r="AH115" i="12" s="1"/>
  <c r="AI115" i="12" s="1"/>
  <c r="Z116" i="12"/>
  <c r="AA116" i="12" s="1"/>
  <c r="AB116" i="12" s="1"/>
  <c r="AC116" i="12" s="1"/>
  <c r="AD116" i="12" s="1"/>
  <c r="AE116" i="12" s="1"/>
  <c r="AF116" i="12" s="1"/>
  <c r="AG116" i="12" s="1"/>
  <c r="AH116" i="12" s="1"/>
  <c r="AI116" i="12" s="1"/>
  <c r="Z117" i="12"/>
  <c r="AA117" i="12" s="1"/>
  <c r="AB117" i="12" s="1"/>
  <c r="AC117" i="12" s="1"/>
  <c r="AD117" i="12" s="1"/>
  <c r="AE117" i="12" s="1"/>
  <c r="AF117" i="12" s="1"/>
  <c r="AG117" i="12" s="1"/>
  <c r="AH117" i="12" s="1"/>
  <c r="AI117" i="12" s="1"/>
  <c r="Z118" i="12"/>
  <c r="AA118" i="12" s="1"/>
  <c r="AB118" i="12" s="1"/>
  <c r="AC118" i="12" s="1"/>
  <c r="AD118" i="12" s="1"/>
  <c r="AE118" i="12" s="1"/>
  <c r="AF118" i="12" s="1"/>
  <c r="AG118" i="12" s="1"/>
  <c r="AH118" i="12" s="1"/>
  <c r="AI118" i="12" s="1"/>
  <c r="Z119" i="12"/>
  <c r="AA119" i="12" s="1"/>
  <c r="AB119" i="12" s="1"/>
  <c r="AC119" i="12" s="1"/>
  <c r="AD119" i="12" s="1"/>
  <c r="AE119" i="12" s="1"/>
  <c r="AF119" i="12" s="1"/>
  <c r="AG119" i="12" s="1"/>
  <c r="AH119" i="12" s="1"/>
  <c r="AI119" i="12" s="1"/>
  <c r="Z120" i="12"/>
  <c r="AA120" i="12" s="1"/>
  <c r="AB120" i="12" s="1"/>
  <c r="AC120" i="12" s="1"/>
  <c r="AD120" i="12" s="1"/>
  <c r="AE120" i="12" s="1"/>
  <c r="AF120" i="12" s="1"/>
  <c r="AG120" i="12" s="1"/>
  <c r="AH120" i="12" s="1"/>
  <c r="AI120" i="12" s="1"/>
  <c r="Z121" i="12"/>
  <c r="AA121" i="12" s="1"/>
  <c r="AB121" i="12" s="1"/>
  <c r="AC121" i="12" s="1"/>
  <c r="AD121" i="12" s="1"/>
  <c r="AE121" i="12" s="1"/>
  <c r="AF121" i="12" s="1"/>
  <c r="AG121" i="12" s="1"/>
  <c r="AH121" i="12" s="1"/>
  <c r="AI121" i="12" s="1"/>
  <c r="Z122" i="12"/>
  <c r="AA122" i="12" s="1"/>
  <c r="AB122" i="12" s="1"/>
  <c r="AC122" i="12" s="1"/>
  <c r="AD122" i="12" s="1"/>
  <c r="AE122" i="12" s="1"/>
  <c r="AF122" i="12" s="1"/>
  <c r="AG122" i="12" s="1"/>
  <c r="AH122" i="12" s="1"/>
  <c r="AI122" i="12" s="1"/>
  <c r="Z123" i="12"/>
  <c r="AA123" i="12" s="1"/>
  <c r="AB123" i="12" s="1"/>
  <c r="AC123" i="12" s="1"/>
  <c r="AD123" i="12" s="1"/>
  <c r="AE123" i="12" s="1"/>
  <c r="AF123" i="12" s="1"/>
  <c r="AG123" i="12" s="1"/>
  <c r="AH123" i="12" s="1"/>
  <c r="AI123" i="12" s="1"/>
  <c r="Z124" i="12"/>
  <c r="AA124" i="12" s="1"/>
  <c r="AB124" i="12" s="1"/>
  <c r="AC124" i="12" s="1"/>
  <c r="AD124" i="12" s="1"/>
  <c r="AE124" i="12" s="1"/>
  <c r="AF124" i="12" s="1"/>
  <c r="AG124" i="12" s="1"/>
  <c r="AH124" i="12" s="1"/>
  <c r="AI124" i="12" s="1"/>
  <c r="Z125" i="12"/>
  <c r="AA125" i="12" s="1"/>
  <c r="AB125" i="12" s="1"/>
  <c r="AC125" i="12" s="1"/>
  <c r="AD125" i="12" s="1"/>
  <c r="AE125" i="12" s="1"/>
  <c r="AF125" i="12" s="1"/>
  <c r="AG125" i="12" s="1"/>
  <c r="AH125" i="12" s="1"/>
  <c r="AI125" i="12" s="1"/>
  <c r="Z126" i="12"/>
  <c r="AA126" i="12"/>
  <c r="AB126" i="12" s="1"/>
  <c r="AC126" i="12" s="1"/>
  <c r="AD126" i="12" s="1"/>
  <c r="AE126" i="12" s="1"/>
  <c r="AF126" i="12" s="1"/>
  <c r="AG126" i="12" s="1"/>
  <c r="AH126" i="12" s="1"/>
  <c r="AI126" i="12" s="1"/>
  <c r="Z127" i="12"/>
  <c r="AA127" i="12" s="1"/>
  <c r="AB127" i="12" s="1"/>
  <c r="AC127" i="12" s="1"/>
  <c r="AD127" i="12" s="1"/>
  <c r="AE127" i="12" s="1"/>
  <c r="AF127" i="12" s="1"/>
  <c r="AG127" i="12" s="1"/>
  <c r="AH127" i="12" s="1"/>
  <c r="AI127" i="12" s="1"/>
  <c r="Z128" i="12"/>
  <c r="AA128" i="12" s="1"/>
  <c r="AB128" i="12" s="1"/>
  <c r="AC128" i="12" s="1"/>
  <c r="AD128" i="12" s="1"/>
  <c r="AE128" i="12" s="1"/>
  <c r="AF128" i="12" s="1"/>
  <c r="AG128" i="12" s="1"/>
  <c r="AH128" i="12" s="1"/>
  <c r="AI128" i="12" s="1"/>
  <c r="Z129" i="12"/>
  <c r="AA129" i="12" s="1"/>
  <c r="AB129" i="12" s="1"/>
  <c r="AC129" i="12" s="1"/>
  <c r="AD129" i="12" s="1"/>
  <c r="AE129" i="12" s="1"/>
  <c r="AF129" i="12" s="1"/>
  <c r="AG129" i="12" s="1"/>
  <c r="AH129" i="12" s="1"/>
  <c r="AI129" i="12" s="1"/>
  <c r="Z130" i="12"/>
  <c r="AA130" i="12" s="1"/>
  <c r="AB130" i="12" s="1"/>
  <c r="AC130" i="12" s="1"/>
  <c r="AD130" i="12" s="1"/>
  <c r="AE130" i="12" s="1"/>
  <c r="AF130" i="12" s="1"/>
  <c r="AG130" i="12" s="1"/>
  <c r="AH130" i="12" s="1"/>
  <c r="AI130" i="12" s="1"/>
  <c r="Z131" i="12"/>
  <c r="AA131" i="12" s="1"/>
  <c r="AB131" i="12" s="1"/>
  <c r="AC131" i="12" s="1"/>
  <c r="AD131" i="12" s="1"/>
  <c r="AE131" i="12" s="1"/>
  <c r="AF131" i="12" s="1"/>
  <c r="AG131" i="12" s="1"/>
  <c r="AH131" i="12" s="1"/>
  <c r="AI131" i="12" s="1"/>
  <c r="Z132" i="12"/>
  <c r="AA132" i="12" s="1"/>
  <c r="AB132" i="12" s="1"/>
  <c r="AC132" i="12" s="1"/>
  <c r="AD132" i="12" s="1"/>
  <c r="AE132" i="12" s="1"/>
  <c r="AF132" i="12" s="1"/>
  <c r="AG132" i="12" s="1"/>
  <c r="AH132" i="12" s="1"/>
  <c r="AI132" i="12" s="1"/>
  <c r="Z133" i="12"/>
  <c r="AA133" i="12" s="1"/>
  <c r="AB133" i="12" s="1"/>
  <c r="AC133" i="12" s="1"/>
  <c r="AD133" i="12" s="1"/>
  <c r="AE133" i="12" s="1"/>
  <c r="AF133" i="12" s="1"/>
  <c r="AG133" i="12" s="1"/>
  <c r="AH133" i="12" s="1"/>
  <c r="AI133" i="12" s="1"/>
  <c r="Z134" i="12"/>
  <c r="AA134" i="12" s="1"/>
  <c r="AB134" i="12" s="1"/>
  <c r="AC134" i="12" s="1"/>
  <c r="AD134" i="12" s="1"/>
  <c r="AE134" i="12" s="1"/>
  <c r="AF134" i="12" s="1"/>
  <c r="AG134" i="12" s="1"/>
  <c r="AH134" i="12" s="1"/>
  <c r="AI134" i="12" s="1"/>
  <c r="Z135" i="12"/>
  <c r="AA135" i="12" s="1"/>
  <c r="AB135" i="12" s="1"/>
  <c r="AC135" i="12" s="1"/>
  <c r="AD135" i="12" s="1"/>
  <c r="AE135" i="12" s="1"/>
  <c r="AF135" i="12" s="1"/>
  <c r="AG135" i="12" s="1"/>
  <c r="AH135" i="12" s="1"/>
  <c r="AI135" i="12" s="1"/>
  <c r="Z136" i="12"/>
  <c r="AA136" i="12" s="1"/>
  <c r="AB136" i="12" s="1"/>
  <c r="AC136" i="12" s="1"/>
  <c r="AD136" i="12" s="1"/>
  <c r="AE136" i="12" s="1"/>
  <c r="AF136" i="12" s="1"/>
  <c r="AG136" i="12" s="1"/>
  <c r="AH136" i="12" s="1"/>
  <c r="AI136" i="12" s="1"/>
  <c r="Z137" i="12"/>
  <c r="AA137" i="12" s="1"/>
  <c r="AB137" i="12" s="1"/>
  <c r="AC137" i="12" s="1"/>
  <c r="AD137" i="12" s="1"/>
  <c r="AE137" i="12" s="1"/>
  <c r="AF137" i="12" s="1"/>
  <c r="AG137" i="12" s="1"/>
  <c r="AH137" i="12" s="1"/>
  <c r="AI137" i="12" s="1"/>
  <c r="Z138" i="12"/>
  <c r="AA138" i="12" s="1"/>
  <c r="AB138" i="12" s="1"/>
  <c r="AC138" i="12" s="1"/>
  <c r="AD138" i="12" s="1"/>
  <c r="AE138" i="12" s="1"/>
  <c r="AF138" i="12" s="1"/>
  <c r="AG138" i="12" s="1"/>
  <c r="AH138" i="12" s="1"/>
  <c r="AI138" i="12" s="1"/>
  <c r="AA2" i="12"/>
  <c r="AB2" i="12" s="1"/>
  <c r="AC2" i="12" s="1"/>
  <c r="AD2" i="12" s="1"/>
  <c r="AE2" i="12" s="1"/>
  <c r="AF2" i="12" s="1"/>
  <c r="AG2" i="12" s="1"/>
  <c r="AH2" i="12" s="1"/>
  <c r="AI2" i="12" s="1"/>
  <c r="Z2" i="12"/>
  <c r="P3" i="12"/>
  <c r="Q3" i="12" s="1"/>
  <c r="R3" i="12" s="1"/>
  <c r="S3" i="12" s="1"/>
  <c r="T3" i="12" s="1"/>
  <c r="U3" i="12" s="1"/>
  <c r="P4" i="12"/>
  <c r="P5" i="12"/>
  <c r="P6" i="12"/>
  <c r="Q6" i="12" s="1"/>
  <c r="R6" i="12" s="1"/>
  <c r="S6" i="12" s="1"/>
  <c r="S6" i="11" s="1"/>
  <c r="P7" i="12"/>
  <c r="Q7" i="12" s="1"/>
  <c r="R7" i="12" s="1"/>
  <c r="S7" i="12" s="1"/>
  <c r="P8" i="12"/>
  <c r="P9" i="12"/>
  <c r="Q9" i="12" s="1"/>
  <c r="R9" i="12" s="1"/>
  <c r="S9" i="12" s="1"/>
  <c r="T9" i="12" s="1"/>
  <c r="U9" i="12" s="1"/>
  <c r="U9" i="11" s="1"/>
  <c r="P10" i="12"/>
  <c r="P11" i="12"/>
  <c r="Q11" i="12" s="1"/>
  <c r="P12" i="12"/>
  <c r="P13" i="12"/>
  <c r="Q13" i="12" s="1"/>
  <c r="R13" i="12" s="1"/>
  <c r="S13" i="12" s="1"/>
  <c r="T13" i="12" s="1"/>
  <c r="U13" i="12" s="1"/>
  <c r="U13" i="11" s="1"/>
  <c r="P14" i="12"/>
  <c r="P15" i="12"/>
  <c r="Q15" i="12" s="1"/>
  <c r="R15" i="12" s="1"/>
  <c r="S15" i="12" s="1"/>
  <c r="T15" i="12" s="1"/>
  <c r="U15" i="12" s="1"/>
  <c r="U15" i="11" s="1"/>
  <c r="P16" i="12"/>
  <c r="P17" i="12"/>
  <c r="P18" i="12"/>
  <c r="Q18" i="12" s="1"/>
  <c r="R18" i="12" s="1"/>
  <c r="S18" i="12" s="1"/>
  <c r="T18" i="12" s="1"/>
  <c r="U18" i="12" s="1"/>
  <c r="U18" i="11" s="1"/>
  <c r="P19" i="12"/>
  <c r="Q19" i="12" s="1"/>
  <c r="P20" i="12"/>
  <c r="P21" i="12"/>
  <c r="Q21" i="12" s="1"/>
  <c r="R21" i="12" s="1"/>
  <c r="S21" i="12" s="1"/>
  <c r="T21" i="12" s="1"/>
  <c r="U21" i="12" s="1"/>
  <c r="U21" i="11" s="1"/>
  <c r="P22" i="12"/>
  <c r="P23" i="12"/>
  <c r="Q23" i="12" s="1"/>
  <c r="P24" i="12"/>
  <c r="Q24" i="12" s="1"/>
  <c r="R24" i="12" s="1"/>
  <c r="R24" i="11" s="1"/>
  <c r="P25" i="12"/>
  <c r="P26" i="12"/>
  <c r="P27" i="12"/>
  <c r="P28" i="12"/>
  <c r="Q28" i="12" s="1"/>
  <c r="R28" i="12" s="1"/>
  <c r="S28" i="12" s="1"/>
  <c r="T28" i="12" s="1"/>
  <c r="U28" i="12" s="1"/>
  <c r="U28" i="11" s="1"/>
  <c r="P29" i="12"/>
  <c r="Q29" i="12" s="1"/>
  <c r="P30" i="12"/>
  <c r="P31" i="12"/>
  <c r="Q31" i="12" s="1"/>
  <c r="R31" i="12" s="1"/>
  <c r="S31" i="12" s="1"/>
  <c r="T31" i="12" s="1"/>
  <c r="U31" i="12" s="1"/>
  <c r="U31" i="11" s="1"/>
  <c r="P32" i="12"/>
  <c r="Q32" i="12" s="1"/>
  <c r="P33" i="12"/>
  <c r="P34" i="12"/>
  <c r="Q34" i="12" s="1"/>
  <c r="R34" i="12" s="1"/>
  <c r="S34" i="12" s="1"/>
  <c r="T34" i="12" s="1"/>
  <c r="U34" i="12" s="1"/>
  <c r="U34" i="11" s="1"/>
  <c r="P35" i="12"/>
  <c r="P36" i="12"/>
  <c r="Q36" i="12" s="1"/>
  <c r="P37" i="12"/>
  <c r="P38" i="12"/>
  <c r="Q38" i="12" s="1"/>
  <c r="R38" i="12" s="1"/>
  <c r="S38" i="12" s="1"/>
  <c r="T38" i="12" s="1"/>
  <c r="U38" i="12" s="1"/>
  <c r="U38" i="11" s="1"/>
  <c r="P39" i="12"/>
  <c r="P40" i="12"/>
  <c r="Q40" i="12" s="1"/>
  <c r="P41" i="12"/>
  <c r="P42" i="12"/>
  <c r="Q42" i="12" s="1"/>
  <c r="R42" i="12" s="1"/>
  <c r="R42" i="11" s="1"/>
  <c r="S42" i="12"/>
  <c r="P43" i="12"/>
  <c r="P44" i="12"/>
  <c r="Q44" i="12" s="1"/>
  <c r="R44" i="12" s="1"/>
  <c r="S44" i="12" s="1"/>
  <c r="T44" i="12" s="1"/>
  <c r="U44" i="12" s="1"/>
  <c r="U44" i="11" s="1"/>
  <c r="P45" i="12"/>
  <c r="P46" i="12"/>
  <c r="P47" i="12"/>
  <c r="P48" i="12"/>
  <c r="Q48" i="12" s="1"/>
  <c r="P49" i="12"/>
  <c r="P50" i="12"/>
  <c r="Q50" i="12" s="1"/>
  <c r="P51" i="12"/>
  <c r="Q51" i="12" s="1"/>
  <c r="P52" i="12"/>
  <c r="Q52" i="12" s="1"/>
  <c r="R52" i="12" s="1"/>
  <c r="S52" i="12" s="1"/>
  <c r="T52" i="12" s="1"/>
  <c r="U52" i="12" s="1"/>
  <c r="U52" i="11" s="1"/>
  <c r="P53" i="12"/>
  <c r="P54" i="12"/>
  <c r="P55" i="12"/>
  <c r="P56" i="12"/>
  <c r="P57" i="12"/>
  <c r="P58" i="12"/>
  <c r="P59" i="12"/>
  <c r="Q59" i="12" s="1"/>
  <c r="R59" i="12" s="1"/>
  <c r="S59" i="12" s="1"/>
  <c r="T59" i="12" s="1"/>
  <c r="P60" i="12"/>
  <c r="P61" i="12"/>
  <c r="P62" i="12"/>
  <c r="Q62" i="12" s="1"/>
  <c r="R62" i="12" s="1"/>
  <c r="P63" i="12"/>
  <c r="P64" i="12"/>
  <c r="P65" i="12"/>
  <c r="Q65" i="12" s="1"/>
  <c r="P66" i="12"/>
  <c r="P67" i="12"/>
  <c r="Q67" i="12" s="1"/>
  <c r="P68" i="12"/>
  <c r="P69" i="12"/>
  <c r="Q69" i="12" s="1"/>
  <c r="P70" i="12"/>
  <c r="P71" i="12"/>
  <c r="P72" i="12"/>
  <c r="Q72" i="12" s="1"/>
  <c r="P73" i="12"/>
  <c r="P74" i="12"/>
  <c r="Q74" i="12" s="1"/>
  <c r="P75" i="12"/>
  <c r="Q75" i="12" s="1"/>
  <c r="R75" i="12" s="1"/>
  <c r="S75" i="12" s="1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Q99" i="12" s="1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Q121" i="12" s="1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2" i="12"/>
  <c r="P2" i="11" s="1"/>
  <c r="N138" i="12"/>
  <c r="N138" i="11" s="1"/>
  <c r="N137" i="12"/>
  <c r="N137" i="11" s="1"/>
  <c r="N136" i="12"/>
  <c r="N136" i="11" s="1"/>
  <c r="N135" i="12"/>
  <c r="N135" i="11" s="1"/>
  <c r="N134" i="12"/>
  <c r="N134" i="11" s="1"/>
  <c r="N133" i="12"/>
  <c r="N133" i="11" s="1"/>
  <c r="N132" i="12"/>
  <c r="N132" i="11" s="1"/>
  <c r="N131" i="12"/>
  <c r="N131" i="11" s="1"/>
  <c r="N130" i="12"/>
  <c r="N130" i="11" s="1"/>
  <c r="N129" i="12"/>
  <c r="N129" i="11" s="1"/>
  <c r="N128" i="12"/>
  <c r="N128" i="11" s="1"/>
  <c r="N127" i="12"/>
  <c r="N127" i="11" s="1"/>
  <c r="N126" i="12"/>
  <c r="N126" i="11" s="1"/>
  <c r="N125" i="12"/>
  <c r="N125" i="11" s="1"/>
  <c r="N124" i="12"/>
  <c r="N124" i="11" s="1"/>
  <c r="N123" i="12"/>
  <c r="N123" i="11" s="1"/>
  <c r="N122" i="12"/>
  <c r="N122" i="11" s="1"/>
  <c r="N121" i="12"/>
  <c r="N121" i="11" s="1"/>
  <c r="N120" i="12"/>
  <c r="N120" i="11" s="1"/>
  <c r="N119" i="12"/>
  <c r="N119" i="11" s="1"/>
  <c r="N118" i="12"/>
  <c r="N118" i="11" s="1"/>
  <c r="N117" i="12"/>
  <c r="N117" i="11" s="1"/>
  <c r="N116" i="12"/>
  <c r="N116" i="11" s="1"/>
  <c r="N115" i="12"/>
  <c r="N115" i="11" s="1"/>
  <c r="N114" i="12"/>
  <c r="N114" i="11" s="1"/>
  <c r="N113" i="12"/>
  <c r="N113" i="11" s="1"/>
  <c r="N112" i="12"/>
  <c r="N112" i="11" s="1"/>
  <c r="N111" i="12"/>
  <c r="N111" i="11" s="1"/>
  <c r="N110" i="12"/>
  <c r="N110" i="11" s="1"/>
  <c r="N109" i="12"/>
  <c r="N109" i="11" s="1"/>
  <c r="N108" i="12"/>
  <c r="N108" i="11" s="1"/>
  <c r="N107" i="12"/>
  <c r="N107" i="11" s="1"/>
  <c r="N106" i="12"/>
  <c r="N106" i="11" s="1"/>
  <c r="N105" i="12"/>
  <c r="N105" i="11" s="1"/>
  <c r="N104" i="12"/>
  <c r="N104" i="11" s="1"/>
  <c r="N103" i="12"/>
  <c r="N103" i="11" s="1"/>
  <c r="N102" i="12"/>
  <c r="N102" i="11" s="1"/>
  <c r="N101" i="12"/>
  <c r="N101" i="11" s="1"/>
  <c r="N100" i="12"/>
  <c r="N100" i="11" s="1"/>
  <c r="N99" i="12"/>
  <c r="N99" i="11" s="1"/>
  <c r="N98" i="12"/>
  <c r="N98" i="11" s="1"/>
  <c r="N97" i="12"/>
  <c r="N97" i="11" s="1"/>
  <c r="N96" i="12"/>
  <c r="N96" i="11" s="1"/>
  <c r="N95" i="12"/>
  <c r="N95" i="11" s="1"/>
  <c r="N94" i="12"/>
  <c r="N94" i="11" s="1"/>
  <c r="N93" i="12"/>
  <c r="N93" i="11" s="1"/>
  <c r="N92" i="12"/>
  <c r="N92" i="11" s="1"/>
  <c r="N91" i="12"/>
  <c r="N91" i="11" s="1"/>
  <c r="N90" i="12"/>
  <c r="N90" i="11" s="1"/>
  <c r="N89" i="12"/>
  <c r="N89" i="11" s="1"/>
  <c r="N88" i="12"/>
  <c r="N88" i="11" s="1"/>
  <c r="N87" i="12"/>
  <c r="N87" i="11" s="1"/>
  <c r="N86" i="12"/>
  <c r="N86" i="11" s="1"/>
  <c r="N85" i="12"/>
  <c r="N85" i="11" s="1"/>
  <c r="N84" i="12"/>
  <c r="N84" i="11" s="1"/>
  <c r="N83" i="12"/>
  <c r="N83" i="11" s="1"/>
  <c r="N82" i="12"/>
  <c r="N82" i="11" s="1"/>
  <c r="N81" i="12"/>
  <c r="N81" i="11" s="1"/>
  <c r="N80" i="12"/>
  <c r="N80" i="11" s="1"/>
  <c r="N79" i="12"/>
  <c r="N79" i="11" s="1"/>
  <c r="N78" i="12"/>
  <c r="N78" i="11" s="1"/>
  <c r="N77" i="12"/>
  <c r="N77" i="11" s="1"/>
  <c r="N76" i="12"/>
  <c r="N76" i="11" s="1"/>
  <c r="N75" i="12"/>
  <c r="N75" i="11" s="1"/>
  <c r="N74" i="12"/>
  <c r="N74" i="11" s="1"/>
  <c r="N73" i="12"/>
  <c r="N73" i="11" s="1"/>
  <c r="N72" i="12"/>
  <c r="N72" i="11" s="1"/>
  <c r="N71" i="12"/>
  <c r="N71" i="11" s="1"/>
  <c r="N70" i="12"/>
  <c r="N70" i="11" s="1"/>
  <c r="N69" i="12"/>
  <c r="N69" i="11" s="1"/>
  <c r="N68" i="12"/>
  <c r="N68" i="11" s="1"/>
  <c r="N67" i="12"/>
  <c r="N67" i="11" s="1"/>
  <c r="N66" i="12"/>
  <c r="N66" i="11" s="1"/>
  <c r="N65" i="12"/>
  <c r="N65" i="11" s="1"/>
  <c r="N64" i="12"/>
  <c r="N64" i="11" s="1"/>
  <c r="N63" i="12"/>
  <c r="N63" i="11" s="1"/>
  <c r="N62" i="12"/>
  <c r="N62" i="11" s="1"/>
  <c r="N61" i="12"/>
  <c r="N61" i="11" s="1"/>
  <c r="N60" i="12"/>
  <c r="N60" i="11" s="1"/>
  <c r="N59" i="12"/>
  <c r="N59" i="11" s="1"/>
  <c r="N58" i="12"/>
  <c r="N58" i="11" s="1"/>
  <c r="N57" i="12"/>
  <c r="N57" i="11" s="1"/>
  <c r="N56" i="12"/>
  <c r="N56" i="11" s="1"/>
  <c r="N55" i="12"/>
  <c r="N55" i="11" s="1"/>
  <c r="N54" i="12"/>
  <c r="N54" i="11" s="1"/>
  <c r="N53" i="12"/>
  <c r="N53" i="11" s="1"/>
  <c r="N52" i="12"/>
  <c r="N52" i="11" s="1"/>
  <c r="N51" i="12"/>
  <c r="N51" i="11" s="1"/>
  <c r="N50" i="12"/>
  <c r="N50" i="11" s="1"/>
  <c r="N49" i="12"/>
  <c r="N49" i="11" s="1"/>
  <c r="N48" i="12"/>
  <c r="N48" i="11" s="1"/>
  <c r="N47" i="12"/>
  <c r="N47" i="11" s="1"/>
  <c r="N46" i="12"/>
  <c r="N46" i="11" s="1"/>
  <c r="N45" i="12"/>
  <c r="N45" i="11" s="1"/>
  <c r="N44" i="12"/>
  <c r="N44" i="11" s="1"/>
  <c r="N43" i="12"/>
  <c r="N43" i="11" s="1"/>
  <c r="N42" i="12"/>
  <c r="N42" i="11" s="1"/>
  <c r="N41" i="12"/>
  <c r="N41" i="11" s="1"/>
  <c r="N40" i="12"/>
  <c r="N40" i="11" s="1"/>
  <c r="N39" i="12"/>
  <c r="N39" i="11" s="1"/>
  <c r="N38" i="12"/>
  <c r="N38" i="11" s="1"/>
  <c r="N37" i="12"/>
  <c r="N37" i="11" s="1"/>
  <c r="N36" i="12"/>
  <c r="N36" i="11" s="1"/>
  <c r="N35" i="12"/>
  <c r="N35" i="11" s="1"/>
  <c r="N34" i="12"/>
  <c r="N34" i="11" s="1"/>
  <c r="N33" i="12"/>
  <c r="N33" i="11" s="1"/>
  <c r="N32" i="12"/>
  <c r="N32" i="11" s="1"/>
  <c r="N31" i="12"/>
  <c r="N31" i="11" s="1"/>
  <c r="N30" i="12"/>
  <c r="N30" i="11" s="1"/>
  <c r="N29" i="12"/>
  <c r="N29" i="11" s="1"/>
  <c r="N28" i="12"/>
  <c r="N28" i="11" s="1"/>
  <c r="N27" i="12"/>
  <c r="N27" i="11" s="1"/>
  <c r="N26" i="12"/>
  <c r="N26" i="11" s="1"/>
  <c r="N25" i="12"/>
  <c r="N25" i="11" s="1"/>
  <c r="N24" i="12"/>
  <c r="N24" i="11" s="1"/>
  <c r="N23" i="12"/>
  <c r="N23" i="11" s="1"/>
  <c r="N22" i="12"/>
  <c r="N22" i="11" s="1"/>
  <c r="N21" i="12"/>
  <c r="N21" i="11" s="1"/>
  <c r="N20" i="12"/>
  <c r="N20" i="11" s="1"/>
  <c r="N19" i="12"/>
  <c r="N19" i="11" s="1"/>
  <c r="N18" i="12"/>
  <c r="N18" i="11" s="1"/>
  <c r="N17" i="12"/>
  <c r="N17" i="11" s="1"/>
  <c r="N16" i="12"/>
  <c r="N16" i="11" s="1"/>
  <c r="N15" i="12"/>
  <c r="N15" i="11" s="1"/>
  <c r="N14" i="12"/>
  <c r="N14" i="11" s="1"/>
  <c r="N13" i="12"/>
  <c r="N13" i="11" s="1"/>
  <c r="N12" i="12"/>
  <c r="N12" i="11" s="1"/>
  <c r="N11" i="12"/>
  <c r="N11" i="11" s="1"/>
  <c r="N10" i="12"/>
  <c r="N10" i="11" s="1"/>
  <c r="N9" i="12"/>
  <c r="N9" i="11" s="1"/>
  <c r="N8" i="12"/>
  <c r="N8" i="11" s="1"/>
  <c r="N7" i="12"/>
  <c r="N7" i="11" s="1"/>
  <c r="N6" i="12"/>
  <c r="N6" i="11" s="1"/>
  <c r="N5" i="12"/>
  <c r="N5" i="11" s="1"/>
  <c r="N4" i="12"/>
  <c r="N4" i="11" s="1"/>
  <c r="N3" i="12"/>
  <c r="N3" i="11" s="1"/>
  <c r="N2" i="12"/>
  <c r="N2" i="11" s="1"/>
  <c r="K138" i="11"/>
  <c r="K137" i="11"/>
  <c r="K136" i="11"/>
  <c r="K135" i="11"/>
  <c r="K134" i="11"/>
  <c r="K132" i="11"/>
  <c r="K131" i="11"/>
  <c r="K130" i="11"/>
  <c r="K129" i="11"/>
  <c r="K128" i="11"/>
  <c r="K126" i="11"/>
  <c r="K125" i="11"/>
  <c r="K124" i="11"/>
  <c r="K123" i="11"/>
  <c r="K122" i="11"/>
  <c r="K120" i="11"/>
  <c r="K119" i="11"/>
  <c r="K118" i="11"/>
  <c r="K117" i="11"/>
  <c r="K116" i="11"/>
  <c r="K114" i="11"/>
  <c r="K113" i="11"/>
  <c r="K112" i="11"/>
  <c r="K111" i="11"/>
  <c r="K110" i="11"/>
  <c r="K108" i="11"/>
  <c r="K107" i="11"/>
  <c r="K106" i="11"/>
  <c r="K105" i="11"/>
  <c r="K104" i="11"/>
  <c r="K102" i="11"/>
  <c r="K101" i="11"/>
  <c r="K100" i="11"/>
  <c r="K99" i="11"/>
  <c r="K98" i="11"/>
  <c r="K96" i="11"/>
  <c r="K95" i="11"/>
  <c r="K94" i="11"/>
  <c r="K93" i="11"/>
  <c r="K92" i="11"/>
  <c r="K90" i="11"/>
  <c r="K89" i="11"/>
  <c r="K88" i="11"/>
  <c r="K87" i="11"/>
  <c r="K86" i="11"/>
  <c r="K84" i="11"/>
  <c r="K83" i="11"/>
  <c r="K82" i="11"/>
  <c r="K81" i="11"/>
  <c r="K80" i="11"/>
  <c r="K78" i="11"/>
  <c r="K77" i="11"/>
  <c r="K76" i="11"/>
  <c r="K75" i="11"/>
  <c r="K74" i="11"/>
  <c r="K72" i="11"/>
  <c r="K71" i="11"/>
  <c r="K70" i="11"/>
  <c r="K69" i="11"/>
  <c r="K68" i="11"/>
  <c r="K66" i="11"/>
  <c r="K65" i="11"/>
  <c r="K64" i="11"/>
  <c r="K63" i="11"/>
  <c r="K62" i="11"/>
  <c r="K60" i="11"/>
  <c r="K59" i="11"/>
  <c r="K58" i="11"/>
  <c r="K57" i="11"/>
  <c r="K56" i="11"/>
  <c r="K54" i="11"/>
  <c r="K53" i="11"/>
  <c r="K52" i="11"/>
  <c r="K51" i="11"/>
  <c r="K50" i="11"/>
  <c r="K48" i="11"/>
  <c r="K47" i="11"/>
  <c r="K46" i="11"/>
  <c r="K45" i="11"/>
  <c r="K44" i="11"/>
  <c r="K42" i="11"/>
  <c r="K41" i="11"/>
  <c r="K40" i="11"/>
  <c r="K39" i="11"/>
  <c r="K38" i="11"/>
  <c r="K36" i="11"/>
  <c r="K35" i="11"/>
  <c r="K34" i="11"/>
  <c r="K33" i="11"/>
  <c r="K32" i="11"/>
  <c r="K30" i="11"/>
  <c r="K29" i="11"/>
  <c r="K28" i="11"/>
  <c r="K27" i="11"/>
  <c r="K26" i="11"/>
  <c r="K24" i="11"/>
  <c r="K23" i="11"/>
  <c r="K22" i="11"/>
  <c r="K21" i="11"/>
  <c r="K20" i="11"/>
  <c r="K18" i="11"/>
  <c r="K17" i="11"/>
  <c r="K16" i="11"/>
  <c r="K15" i="11"/>
  <c r="K14" i="11"/>
  <c r="K12" i="11"/>
  <c r="K11" i="11"/>
  <c r="K10" i="11"/>
  <c r="K9" i="11"/>
  <c r="K8" i="11"/>
  <c r="K6" i="11"/>
  <c r="K5" i="11"/>
  <c r="K4" i="11"/>
  <c r="K3" i="11"/>
  <c r="K2" i="11"/>
  <c r="I3" i="12"/>
  <c r="I3" i="11" s="1"/>
  <c r="I4" i="12"/>
  <c r="I4" i="11" s="1"/>
  <c r="I5" i="12"/>
  <c r="I5" i="11" s="1"/>
  <c r="I6" i="12"/>
  <c r="I6" i="11" s="1"/>
  <c r="I7" i="12"/>
  <c r="I7" i="11" s="1"/>
  <c r="I8" i="12"/>
  <c r="I8" i="11" s="1"/>
  <c r="I9" i="12"/>
  <c r="I9" i="11" s="1"/>
  <c r="I10" i="12"/>
  <c r="I10" i="11" s="1"/>
  <c r="I11" i="12"/>
  <c r="I11" i="11" s="1"/>
  <c r="I12" i="12"/>
  <c r="I12" i="11" s="1"/>
  <c r="I13" i="12"/>
  <c r="I13" i="11" s="1"/>
  <c r="I14" i="12"/>
  <c r="I14" i="11" s="1"/>
  <c r="I15" i="12"/>
  <c r="I15" i="11" s="1"/>
  <c r="I16" i="12"/>
  <c r="I16" i="11" s="1"/>
  <c r="I17" i="12"/>
  <c r="I17" i="11" s="1"/>
  <c r="I18" i="12"/>
  <c r="I18" i="11" s="1"/>
  <c r="I19" i="12"/>
  <c r="I19" i="11" s="1"/>
  <c r="I20" i="12"/>
  <c r="I20" i="11" s="1"/>
  <c r="I21" i="12"/>
  <c r="I21" i="11" s="1"/>
  <c r="I22" i="12"/>
  <c r="I22" i="11" s="1"/>
  <c r="I23" i="12"/>
  <c r="I23" i="11" s="1"/>
  <c r="I24" i="12"/>
  <c r="I24" i="11" s="1"/>
  <c r="I25" i="12"/>
  <c r="I25" i="11" s="1"/>
  <c r="I26" i="12"/>
  <c r="I26" i="11" s="1"/>
  <c r="I27" i="12"/>
  <c r="I27" i="11" s="1"/>
  <c r="I28" i="12"/>
  <c r="I28" i="11" s="1"/>
  <c r="I29" i="12"/>
  <c r="I29" i="11" s="1"/>
  <c r="I30" i="12"/>
  <c r="I30" i="11" s="1"/>
  <c r="I31" i="12"/>
  <c r="I31" i="11" s="1"/>
  <c r="I32" i="12"/>
  <c r="I32" i="11" s="1"/>
  <c r="I33" i="12"/>
  <c r="I33" i="11" s="1"/>
  <c r="I34" i="12"/>
  <c r="I34" i="11" s="1"/>
  <c r="I35" i="12"/>
  <c r="I35" i="11" s="1"/>
  <c r="I36" i="12"/>
  <c r="I36" i="11" s="1"/>
  <c r="I37" i="12"/>
  <c r="I37" i="11" s="1"/>
  <c r="I38" i="12"/>
  <c r="I38" i="11" s="1"/>
  <c r="I39" i="12"/>
  <c r="I39" i="11" s="1"/>
  <c r="I40" i="12"/>
  <c r="I40" i="11" s="1"/>
  <c r="I41" i="12"/>
  <c r="I41" i="11" s="1"/>
  <c r="I42" i="12"/>
  <c r="I42" i="11" s="1"/>
  <c r="I43" i="12"/>
  <c r="I43" i="11" s="1"/>
  <c r="I44" i="12"/>
  <c r="I44" i="11" s="1"/>
  <c r="I45" i="12"/>
  <c r="I45" i="11" s="1"/>
  <c r="I46" i="12"/>
  <c r="I46" i="11" s="1"/>
  <c r="I47" i="12"/>
  <c r="I47" i="11" s="1"/>
  <c r="I48" i="12"/>
  <c r="I48" i="11" s="1"/>
  <c r="I49" i="12"/>
  <c r="I49" i="11" s="1"/>
  <c r="I50" i="12"/>
  <c r="I50" i="11" s="1"/>
  <c r="I51" i="12"/>
  <c r="I51" i="11" s="1"/>
  <c r="I52" i="12"/>
  <c r="I52" i="11" s="1"/>
  <c r="I53" i="12"/>
  <c r="I53" i="11" s="1"/>
  <c r="I54" i="12"/>
  <c r="I54" i="11" s="1"/>
  <c r="I55" i="12"/>
  <c r="I55" i="11" s="1"/>
  <c r="I56" i="12"/>
  <c r="I56" i="11" s="1"/>
  <c r="I57" i="12"/>
  <c r="I57" i="11" s="1"/>
  <c r="I58" i="12"/>
  <c r="I58" i="11" s="1"/>
  <c r="I59" i="12"/>
  <c r="I59" i="11" s="1"/>
  <c r="I60" i="12"/>
  <c r="I60" i="11" s="1"/>
  <c r="I61" i="12"/>
  <c r="I61" i="11" s="1"/>
  <c r="I62" i="12"/>
  <c r="I62" i="11" s="1"/>
  <c r="I63" i="12"/>
  <c r="I63" i="11" s="1"/>
  <c r="I64" i="12"/>
  <c r="I64" i="11" s="1"/>
  <c r="I65" i="12"/>
  <c r="I65" i="11" s="1"/>
  <c r="I66" i="12"/>
  <c r="I66" i="11" s="1"/>
  <c r="I67" i="12"/>
  <c r="I67" i="11" s="1"/>
  <c r="I68" i="12"/>
  <c r="I68" i="11" s="1"/>
  <c r="I69" i="12"/>
  <c r="I69" i="11" s="1"/>
  <c r="I70" i="12"/>
  <c r="I70" i="11" s="1"/>
  <c r="I71" i="12"/>
  <c r="I71" i="11" s="1"/>
  <c r="I72" i="12"/>
  <c r="I72" i="11" s="1"/>
  <c r="I73" i="12"/>
  <c r="I73" i="11" s="1"/>
  <c r="I74" i="12"/>
  <c r="I74" i="11" s="1"/>
  <c r="I75" i="12"/>
  <c r="I75" i="11" s="1"/>
  <c r="I76" i="12"/>
  <c r="I76" i="11" s="1"/>
  <c r="I77" i="12"/>
  <c r="I77" i="11" s="1"/>
  <c r="I78" i="12"/>
  <c r="I78" i="11" s="1"/>
  <c r="I79" i="12"/>
  <c r="I79" i="11" s="1"/>
  <c r="I80" i="12"/>
  <c r="I80" i="11" s="1"/>
  <c r="I81" i="12"/>
  <c r="I81" i="11" s="1"/>
  <c r="I82" i="12"/>
  <c r="I82" i="11" s="1"/>
  <c r="I83" i="12"/>
  <c r="I83" i="11" s="1"/>
  <c r="I84" i="12"/>
  <c r="I84" i="11" s="1"/>
  <c r="I85" i="12"/>
  <c r="I85" i="11" s="1"/>
  <c r="I86" i="12"/>
  <c r="I86" i="11" s="1"/>
  <c r="I87" i="12"/>
  <c r="I87" i="11" s="1"/>
  <c r="I88" i="12"/>
  <c r="I88" i="11" s="1"/>
  <c r="I89" i="12"/>
  <c r="I89" i="11" s="1"/>
  <c r="I90" i="12"/>
  <c r="I90" i="11" s="1"/>
  <c r="I91" i="12"/>
  <c r="I91" i="11" s="1"/>
  <c r="I92" i="12"/>
  <c r="I92" i="11" s="1"/>
  <c r="I93" i="12"/>
  <c r="I93" i="11" s="1"/>
  <c r="I94" i="12"/>
  <c r="I94" i="11" s="1"/>
  <c r="I95" i="12"/>
  <c r="I95" i="11" s="1"/>
  <c r="I96" i="12"/>
  <c r="I96" i="11" s="1"/>
  <c r="I97" i="12"/>
  <c r="I97" i="11" s="1"/>
  <c r="I98" i="12"/>
  <c r="I98" i="11" s="1"/>
  <c r="I99" i="12"/>
  <c r="I99" i="11" s="1"/>
  <c r="I100" i="12"/>
  <c r="I100" i="11" s="1"/>
  <c r="I101" i="12"/>
  <c r="I101" i="11" s="1"/>
  <c r="I102" i="12"/>
  <c r="I102" i="11" s="1"/>
  <c r="I103" i="12"/>
  <c r="I104" i="12"/>
  <c r="I104" i="11" s="1"/>
  <c r="I105" i="12"/>
  <c r="I105" i="11" s="1"/>
  <c r="I106" i="12"/>
  <c r="I106" i="11" s="1"/>
  <c r="I107" i="12"/>
  <c r="I107" i="11" s="1"/>
  <c r="I108" i="12"/>
  <c r="I108" i="11" s="1"/>
  <c r="I109" i="12"/>
  <c r="I109" i="11" s="1"/>
  <c r="I110" i="12"/>
  <c r="I110" i="11" s="1"/>
  <c r="I111" i="12"/>
  <c r="I111" i="11" s="1"/>
  <c r="I112" i="12"/>
  <c r="I112" i="11" s="1"/>
  <c r="I113" i="12"/>
  <c r="I113" i="11" s="1"/>
  <c r="I114" i="12"/>
  <c r="I114" i="11" s="1"/>
  <c r="I115" i="12"/>
  <c r="I115" i="11" s="1"/>
  <c r="I116" i="12"/>
  <c r="I116" i="11" s="1"/>
  <c r="I117" i="12"/>
  <c r="I117" i="11" s="1"/>
  <c r="I118" i="12"/>
  <c r="I118" i="11" s="1"/>
  <c r="I119" i="12"/>
  <c r="I119" i="11" s="1"/>
  <c r="I120" i="12"/>
  <c r="I120" i="11" s="1"/>
  <c r="I121" i="12"/>
  <c r="I121" i="11" s="1"/>
  <c r="I122" i="12"/>
  <c r="I122" i="11" s="1"/>
  <c r="I123" i="12"/>
  <c r="I123" i="11" s="1"/>
  <c r="I124" i="12"/>
  <c r="I124" i="11" s="1"/>
  <c r="I125" i="12"/>
  <c r="I125" i="11" s="1"/>
  <c r="I126" i="12"/>
  <c r="I126" i="11" s="1"/>
  <c r="I127" i="12"/>
  <c r="I127" i="11" s="1"/>
  <c r="I128" i="12"/>
  <c r="I128" i="11" s="1"/>
  <c r="I129" i="12"/>
  <c r="I129" i="11" s="1"/>
  <c r="I130" i="12"/>
  <c r="I130" i="11" s="1"/>
  <c r="I131" i="12"/>
  <c r="I131" i="11" s="1"/>
  <c r="I132" i="12"/>
  <c r="I132" i="11" s="1"/>
  <c r="I133" i="12"/>
  <c r="I133" i="11" s="1"/>
  <c r="I134" i="12"/>
  <c r="I134" i="11" s="1"/>
  <c r="I135" i="12"/>
  <c r="I135" i="11" s="1"/>
  <c r="I136" i="12"/>
  <c r="I136" i="11" s="1"/>
  <c r="I137" i="12"/>
  <c r="I137" i="11" s="1"/>
  <c r="I138" i="12"/>
  <c r="I138" i="11" s="1"/>
  <c r="I2" i="12"/>
  <c r="I2" i="11" s="1"/>
  <c r="W138" i="17" l="1"/>
  <c r="L46" i="15"/>
  <c r="L70" i="15"/>
  <c r="L86" i="15"/>
  <c r="L98" i="15"/>
  <c r="L106" i="15"/>
  <c r="L110" i="15"/>
  <c r="L118" i="15"/>
  <c r="L122" i="15"/>
  <c r="L130" i="15"/>
  <c r="L134" i="15"/>
  <c r="L5" i="16"/>
  <c r="L86" i="16"/>
  <c r="L29" i="16"/>
  <c r="L77" i="16"/>
  <c r="L137" i="16"/>
  <c r="L64" i="15"/>
  <c r="L76" i="15"/>
  <c r="L92" i="16"/>
  <c r="L104" i="16"/>
  <c r="L128" i="16"/>
  <c r="L32" i="15"/>
  <c r="L44" i="15"/>
  <c r="L92" i="15"/>
  <c r="L116" i="15"/>
  <c r="L128" i="15"/>
  <c r="L23" i="15"/>
  <c r="L59" i="16"/>
  <c r="L59" i="17" s="1"/>
  <c r="L83" i="16"/>
  <c r="L56" i="15"/>
  <c r="L84" i="15"/>
  <c r="L100" i="15"/>
  <c r="L32" i="16"/>
  <c r="L125" i="16"/>
  <c r="L68" i="16"/>
  <c r="T62" i="17"/>
  <c r="J63" i="17"/>
  <c r="W63" i="17"/>
  <c r="N64" i="17"/>
  <c r="D65" i="17"/>
  <c r="L2" i="15"/>
  <c r="L6" i="15"/>
  <c r="L18" i="15"/>
  <c r="L22" i="15"/>
  <c r="L26" i="15"/>
  <c r="L34" i="15"/>
  <c r="L38" i="15"/>
  <c r="L38" i="17" s="1"/>
  <c r="L95" i="15"/>
  <c r="L2" i="16"/>
  <c r="L2" i="17" s="1"/>
  <c r="L47" i="16"/>
  <c r="X59" i="17"/>
  <c r="O60" i="17"/>
  <c r="E61" i="17"/>
  <c r="R61" i="17"/>
  <c r="H62" i="17"/>
  <c r="L50" i="15"/>
  <c r="L58" i="15"/>
  <c r="L62" i="15"/>
  <c r="P56" i="17"/>
  <c r="F57" i="17"/>
  <c r="S57" i="17"/>
  <c r="I58" i="17"/>
  <c r="V58" i="17"/>
  <c r="L95" i="16"/>
  <c r="L95" i="17" s="1"/>
  <c r="L103" i="16"/>
  <c r="T8" i="17"/>
  <c r="J9" i="17"/>
  <c r="W9" i="17"/>
  <c r="N10" i="17"/>
  <c r="D11" i="17"/>
  <c r="P11" i="17"/>
  <c r="F12" i="17"/>
  <c r="S12" i="17"/>
  <c r="I13" i="17"/>
  <c r="V13" i="17"/>
  <c r="T53" i="17"/>
  <c r="J54" i="17"/>
  <c r="W54" i="17"/>
  <c r="N55" i="17"/>
  <c r="D56" i="17"/>
  <c r="L94" i="15"/>
  <c r="L38" i="16"/>
  <c r="P47" i="17"/>
  <c r="F48" i="17"/>
  <c r="S48" i="17"/>
  <c r="I49" i="17"/>
  <c r="V49" i="17"/>
  <c r="X50" i="17"/>
  <c r="O51" i="17"/>
  <c r="E52" i="17"/>
  <c r="R52" i="17"/>
  <c r="H53" i="17"/>
  <c r="L119" i="16"/>
  <c r="T44" i="17"/>
  <c r="J45" i="17"/>
  <c r="W45" i="17"/>
  <c r="N46" i="17"/>
  <c r="D47" i="17"/>
  <c r="L89" i="15"/>
  <c r="L101" i="15"/>
  <c r="L105" i="15"/>
  <c r="L41" i="16"/>
  <c r="L41" i="17" s="1"/>
  <c r="L122" i="16"/>
  <c r="L36" i="15"/>
  <c r="L125" i="15"/>
  <c r="L129" i="15"/>
  <c r="L65" i="16"/>
  <c r="L35" i="15"/>
  <c r="L60" i="15"/>
  <c r="L131" i="15"/>
  <c r="L68" i="15"/>
  <c r="X41" i="17"/>
  <c r="E43" i="17"/>
  <c r="H44" i="17"/>
  <c r="L14" i="15"/>
  <c r="L47" i="15"/>
  <c r="L80" i="15"/>
  <c r="T26" i="17"/>
  <c r="J27" i="17"/>
  <c r="W27" i="17"/>
  <c r="N28" i="17"/>
  <c r="D29" i="17"/>
  <c r="P29" i="17"/>
  <c r="F30" i="17"/>
  <c r="S30" i="17"/>
  <c r="I31" i="17"/>
  <c r="V31" i="17"/>
  <c r="X32" i="17"/>
  <c r="O33" i="17"/>
  <c r="E34" i="17"/>
  <c r="V40" i="17"/>
  <c r="O42" i="17"/>
  <c r="R43" i="17"/>
  <c r="G49" i="17"/>
  <c r="L88" i="15"/>
  <c r="L113" i="15"/>
  <c r="P131" i="17"/>
  <c r="X134" i="17"/>
  <c r="U137" i="17"/>
  <c r="X138" i="17"/>
  <c r="T17" i="17"/>
  <c r="J18" i="17"/>
  <c r="W18" i="17"/>
  <c r="N19" i="17"/>
  <c r="D20" i="17"/>
  <c r="P20" i="17"/>
  <c r="F21" i="17"/>
  <c r="S21" i="17"/>
  <c r="I22" i="17"/>
  <c r="V22" i="17"/>
  <c r="X23" i="17"/>
  <c r="O24" i="17"/>
  <c r="E25" i="17"/>
  <c r="R25" i="17"/>
  <c r="H26" i="17"/>
  <c r="X14" i="17"/>
  <c r="O15" i="17"/>
  <c r="E16" i="17"/>
  <c r="R16" i="17"/>
  <c r="H17" i="17"/>
  <c r="L5" i="15"/>
  <c r="L71" i="15"/>
  <c r="L83" i="15"/>
  <c r="L104" i="15"/>
  <c r="L104" i="17" s="1"/>
  <c r="L108" i="15"/>
  <c r="P2" i="17"/>
  <c r="F3" i="17"/>
  <c r="S3" i="17"/>
  <c r="I4" i="17"/>
  <c r="V4" i="17"/>
  <c r="X5" i="17"/>
  <c r="O6" i="17"/>
  <c r="E7" i="17"/>
  <c r="R7" i="17"/>
  <c r="H8" i="17"/>
  <c r="L41" i="15"/>
  <c r="L112" i="15"/>
  <c r="L137" i="15"/>
  <c r="L4" i="15"/>
  <c r="L8" i="15"/>
  <c r="L20" i="15"/>
  <c r="L20" i="17" s="1"/>
  <c r="L24" i="15"/>
  <c r="L53" i="15"/>
  <c r="L57" i="15"/>
  <c r="L74" i="15"/>
  <c r="L103" i="15"/>
  <c r="L124" i="15"/>
  <c r="K30" i="17"/>
  <c r="L107" i="15"/>
  <c r="L132" i="15"/>
  <c r="L40" i="15"/>
  <c r="L65" i="15"/>
  <c r="L136" i="15"/>
  <c r="T71" i="17"/>
  <c r="J72" i="17"/>
  <c r="W72" i="17"/>
  <c r="N73" i="17"/>
  <c r="D74" i="17"/>
  <c r="P74" i="17"/>
  <c r="F75" i="17"/>
  <c r="S75" i="17"/>
  <c r="I76" i="17"/>
  <c r="V76" i="17"/>
  <c r="X77" i="17"/>
  <c r="O78" i="17"/>
  <c r="E79" i="17"/>
  <c r="R79" i="17"/>
  <c r="H80" i="17"/>
  <c r="U80" i="17"/>
  <c r="X81" i="17"/>
  <c r="J89" i="17"/>
  <c r="M94" i="17"/>
  <c r="Y94" i="17"/>
  <c r="O95" i="17"/>
  <c r="E96" i="17"/>
  <c r="R96" i="17"/>
  <c r="H97" i="17"/>
  <c r="U97" i="17"/>
  <c r="L11" i="15"/>
  <c r="L11" i="17" s="1"/>
  <c r="L15" i="15"/>
  <c r="L27" i="15"/>
  <c r="L31" i="15"/>
  <c r="L52" i="15"/>
  <c r="L77" i="15"/>
  <c r="L77" i="17" s="1"/>
  <c r="L81" i="15"/>
  <c r="L127" i="15"/>
  <c r="P65" i="17"/>
  <c r="F66" i="17"/>
  <c r="S66" i="17"/>
  <c r="I67" i="17"/>
  <c r="V67" i="17"/>
  <c r="X68" i="17"/>
  <c r="O69" i="17"/>
  <c r="E70" i="17"/>
  <c r="R70" i="17"/>
  <c r="H71" i="17"/>
  <c r="H35" i="17"/>
  <c r="K2" i="17"/>
  <c r="X2" i="17"/>
  <c r="O3" i="17"/>
  <c r="E4" i="17"/>
  <c r="R4" i="17"/>
  <c r="H5" i="17"/>
  <c r="T5" i="17"/>
  <c r="J6" i="17"/>
  <c r="W6" i="17"/>
  <c r="N7" i="17"/>
  <c r="D8" i="17"/>
  <c r="P8" i="17"/>
  <c r="F9" i="17"/>
  <c r="S9" i="17"/>
  <c r="I10" i="17"/>
  <c r="V10" i="17"/>
  <c r="X11" i="17"/>
  <c r="O12" i="17"/>
  <c r="E13" i="17"/>
  <c r="R13" i="17"/>
  <c r="H14" i="17"/>
  <c r="T14" i="17"/>
  <c r="J15" i="17"/>
  <c r="W15" i="17"/>
  <c r="N16" i="17"/>
  <c r="D17" i="17"/>
  <c r="P17" i="17"/>
  <c r="F18" i="17"/>
  <c r="S18" i="17"/>
  <c r="I19" i="17"/>
  <c r="V19" i="17"/>
  <c r="X20" i="17"/>
  <c r="O21" i="17"/>
  <c r="E22" i="17"/>
  <c r="R22" i="17"/>
  <c r="H23" i="17"/>
  <c r="T23" i="17"/>
  <c r="J24" i="17"/>
  <c r="W24" i="17"/>
  <c r="N25" i="17"/>
  <c r="D26" i="17"/>
  <c r="P26" i="17"/>
  <c r="F27" i="17"/>
  <c r="S27" i="17"/>
  <c r="I28" i="17"/>
  <c r="V28" i="17"/>
  <c r="L29" i="17"/>
  <c r="X29" i="17"/>
  <c r="O30" i="17"/>
  <c r="E31" i="17"/>
  <c r="R31" i="17"/>
  <c r="H32" i="17"/>
  <c r="T32" i="17"/>
  <c r="J33" i="17"/>
  <c r="W33" i="17"/>
  <c r="N34" i="17"/>
  <c r="D35" i="17"/>
  <c r="P35" i="17"/>
  <c r="F36" i="17"/>
  <c r="S36" i="17"/>
  <c r="I37" i="17"/>
  <c r="V37" i="17"/>
  <c r="X38" i="17"/>
  <c r="O39" i="17"/>
  <c r="E40" i="17"/>
  <c r="R40" i="17"/>
  <c r="H41" i="17"/>
  <c r="T41" i="17"/>
  <c r="J42" i="17"/>
  <c r="W42" i="17"/>
  <c r="N43" i="17"/>
  <c r="D44" i="17"/>
  <c r="P44" i="17"/>
  <c r="F45" i="17"/>
  <c r="S45" i="17"/>
  <c r="I46" i="17"/>
  <c r="V46" i="17"/>
  <c r="X47" i="17"/>
  <c r="O48" i="17"/>
  <c r="E49" i="17"/>
  <c r="R49" i="17"/>
  <c r="H50" i="17"/>
  <c r="T50" i="17"/>
  <c r="J51" i="17"/>
  <c r="W51" i="17"/>
  <c r="N52" i="17"/>
  <c r="D53" i="17"/>
  <c r="P53" i="17"/>
  <c r="F54" i="17"/>
  <c r="S54" i="17"/>
  <c r="I55" i="17"/>
  <c r="V55" i="17"/>
  <c r="L56" i="17"/>
  <c r="X56" i="17"/>
  <c r="O57" i="17"/>
  <c r="E58" i="17"/>
  <c r="R58" i="17"/>
  <c r="H59" i="17"/>
  <c r="T59" i="17"/>
  <c r="J60" i="17"/>
  <c r="W60" i="17"/>
  <c r="N61" i="17"/>
  <c r="D62" i="17"/>
  <c r="P62" i="17"/>
  <c r="F63" i="17"/>
  <c r="S63" i="17"/>
  <c r="I64" i="17"/>
  <c r="V64" i="17"/>
  <c r="L65" i="17"/>
  <c r="X65" i="17"/>
  <c r="O66" i="17"/>
  <c r="E67" i="17"/>
  <c r="R67" i="17"/>
  <c r="H68" i="17"/>
  <c r="T68" i="17"/>
  <c r="J69" i="17"/>
  <c r="W69" i="17"/>
  <c r="N70" i="17"/>
  <c r="D71" i="17"/>
  <c r="P71" i="17"/>
  <c r="F72" i="17"/>
  <c r="S72" i="17"/>
  <c r="I73" i="17"/>
  <c r="V73" i="17"/>
  <c r="L74" i="17"/>
  <c r="X74" i="17"/>
  <c r="O75" i="17"/>
  <c r="E76" i="17"/>
  <c r="R76" i="17"/>
  <c r="H77" i="17"/>
  <c r="T77" i="17"/>
  <c r="J78" i="17"/>
  <c r="W78" i="17"/>
  <c r="F85" i="17"/>
  <c r="V124" i="17"/>
  <c r="X125" i="17"/>
  <c r="P38" i="17"/>
  <c r="N90" i="17"/>
  <c r="L10" i="15"/>
  <c r="L19" i="15"/>
  <c r="L28" i="15"/>
  <c r="M2" i="17"/>
  <c r="Y2" i="17"/>
  <c r="P3" i="17"/>
  <c r="F4" i="17"/>
  <c r="S4" i="17"/>
  <c r="I5" i="17"/>
  <c r="U5" i="17"/>
  <c r="L6" i="16"/>
  <c r="L6" i="17" s="1"/>
  <c r="K6" i="17"/>
  <c r="X6" i="17"/>
  <c r="O7" i="17"/>
  <c r="E8" i="17"/>
  <c r="Q8" i="17"/>
  <c r="G9" i="17"/>
  <c r="T9" i="17"/>
  <c r="J10" i="17"/>
  <c r="W10" i="17"/>
  <c r="M11" i="17"/>
  <c r="Y11" i="17"/>
  <c r="P12" i="17"/>
  <c r="F13" i="17"/>
  <c r="S13" i="17"/>
  <c r="I14" i="17"/>
  <c r="U14" i="17"/>
  <c r="L15" i="16"/>
  <c r="K15" i="17"/>
  <c r="X15" i="17"/>
  <c r="O16" i="17"/>
  <c r="E17" i="17"/>
  <c r="Q17" i="17"/>
  <c r="G18" i="17"/>
  <c r="T18" i="17"/>
  <c r="J19" i="17"/>
  <c r="W19" i="17"/>
  <c r="M20" i="17"/>
  <c r="Y20" i="17"/>
  <c r="P21" i="17"/>
  <c r="F22" i="17"/>
  <c r="S22" i="17"/>
  <c r="I23" i="17"/>
  <c r="U23" i="17"/>
  <c r="L24" i="16"/>
  <c r="K24" i="17"/>
  <c r="X24" i="17"/>
  <c r="O25" i="17"/>
  <c r="E26" i="17"/>
  <c r="Q26" i="17"/>
  <c r="G27" i="17"/>
  <c r="T27" i="17"/>
  <c r="J28" i="17"/>
  <c r="W28" i="17"/>
  <c r="M29" i="17"/>
  <c r="Y29" i="17"/>
  <c r="P30" i="17"/>
  <c r="F31" i="17"/>
  <c r="S31" i="17"/>
  <c r="I32" i="17"/>
  <c r="U32" i="17"/>
  <c r="L33" i="16"/>
  <c r="L33" i="17" s="1"/>
  <c r="K33" i="17"/>
  <c r="X33" i="17"/>
  <c r="O34" i="17"/>
  <c r="E35" i="17"/>
  <c r="Q35" i="17"/>
  <c r="G36" i="17"/>
  <c r="T36" i="17"/>
  <c r="J37" i="17"/>
  <c r="W37" i="17"/>
  <c r="M38" i="17"/>
  <c r="Y38" i="17"/>
  <c r="P39" i="17"/>
  <c r="F40" i="17"/>
  <c r="S40" i="17"/>
  <c r="I41" i="17"/>
  <c r="U41" i="17"/>
  <c r="L42" i="16"/>
  <c r="K42" i="17"/>
  <c r="X42" i="17"/>
  <c r="O43" i="17"/>
  <c r="E44" i="17"/>
  <c r="Q44" i="17"/>
  <c r="G45" i="17"/>
  <c r="T45" i="17"/>
  <c r="J46" i="17"/>
  <c r="W46" i="17"/>
  <c r="M47" i="17"/>
  <c r="Y47" i="17"/>
  <c r="P48" i="17"/>
  <c r="F49" i="17"/>
  <c r="S49" i="17"/>
  <c r="I50" i="17"/>
  <c r="U50" i="17"/>
  <c r="L51" i="16"/>
  <c r="K51" i="17"/>
  <c r="X51" i="17"/>
  <c r="O52" i="17"/>
  <c r="E53" i="17"/>
  <c r="Q53" i="17"/>
  <c r="G54" i="17"/>
  <c r="T54" i="17"/>
  <c r="J55" i="17"/>
  <c r="W55" i="17"/>
  <c r="M56" i="17"/>
  <c r="Y56" i="17"/>
  <c r="T35" i="17"/>
  <c r="I40" i="17"/>
  <c r="L50" i="17"/>
  <c r="S92" i="17"/>
  <c r="K98" i="17"/>
  <c r="L98" i="16"/>
  <c r="L98" i="17" s="1"/>
  <c r="L37" i="15"/>
  <c r="L42" i="15"/>
  <c r="L61" i="15"/>
  <c r="L66" i="15"/>
  <c r="L85" i="15"/>
  <c r="L90" i="15"/>
  <c r="L109" i="15"/>
  <c r="L114" i="15"/>
  <c r="L133" i="15"/>
  <c r="L138" i="15"/>
  <c r="N2" i="17"/>
  <c r="D3" i="17"/>
  <c r="Q3" i="17"/>
  <c r="G4" i="17"/>
  <c r="T4" i="17"/>
  <c r="J5" i="17"/>
  <c r="V5" i="17"/>
  <c r="M6" i="17"/>
  <c r="Y6" i="17"/>
  <c r="P7" i="17"/>
  <c r="F8" i="17"/>
  <c r="R8" i="17"/>
  <c r="H9" i="17"/>
  <c r="U9" i="17"/>
  <c r="L10" i="16"/>
  <c r="K10" i="17"/>
  <c r="X10" i="17"/>
  <c r="N11" i="17"/>
  <c r="D12" i="17"/>
  <c r="Q12" i="17"/>
  <c r="G13" i="17"/>
  <c r="T13" i="17"/>
  <c r="J14" i="17"/>
  <c r="V14" i="17"/>
  <c r="M15" i="17"/>
  <c r="Y15" i="17"/>
  <c r="P16" i="17"/>
  <c r="F17" i="17"/>
  <c r="R17" i="17"/>
  <c r="H18" i="17"/>
  <c r="U18" i="17"/>
  <c r="K19" i="17"/>
  <c r="X19" i="17"/>
  <c r="N20" i="17"/>
  <c r="D21" i="17"/>
  <c r="Q21" i="17"/>
  <c r="G22" i="17"/>
  <c r="T22" i="17"/>
  <c r="J23" i="17"/>
  <c r="V23" i="17"/>
  <c r="M24" i="17"/>
  <c r="Y24" i="17"/>
  <c r="P25" i="17"/>
  <c r="F26" i="17"/>
  <c r="R26" i="17"/>
  <c r="H27" i="17"/>
  <c r="U27" i="17"/>
  <c r="L28" i="16"/>
  <c r="K28" i="17"/>
  <c r="X28" i="17"/>
  <c r="N29" i="17"/>
  <c r="D30" i="17"/>
  <c r="Q30" i="17"/>
  <c r="G31" i="17"/>
  <c r="T31" i="17"/>
  <c r="J32" i="17"/>
  <c r="V32" i="17"/>
  <c r="M33" i="17"/>
  <c r="Y33" i="17"/>
  <c r="P34" i="17"/>
  <c r="F35" i="17"/>
  <c r="R35" i="17"/>
  <c r="H36" i="17"/>
  <c r="U36" i="17"/>
  <c r="K37" i="17"/>
  <c r="X37" i="17"/>
  <c r="N38" i="17"/>
  <c r="D39" i="17"/>
  <c r="Q39" i="17"/>
  <c r="G40" i="17"/>
  <c r="T40" i="17"/>
  <c r="J41" i="17"/>
  <c r="V41" i="17"/>
  <c r="M42" i="17"/>
  <c r="Y42" i="17"/>
  <c r="P43" i="17"/>
  <c r="F44" i="17"/>
  <c r="R44" i="17"/>
  <c r="H45" i="17"/>
  <c r="U45" i="17"/>
  <c r="L46" i="16"/>
  <c r="L46" i="17" s="1"/>
  <c r="K46" i="17"/>
  <c r="X46" i="17"/>
  <c r="N47" i="17"/>
  <c r="D48" i="17"/>
  <c r="Q48" i="17"/>
  <c r="T49" i="17"/>
  <c r="J50" i="17"/>
  <c r="V50" i="17"/>
  <c r="M51" i="17"/>
  <c r="Y51" i="17"/>
  <c r="P52" i="17"/>
  <c r="F53" i="17"/>
  <c r="R53" i="17"/>
  <c r="H54" i="17"/>
  <c r="U54" i="17"/>
  <c r="K55" i="17"/>
  <c r="X55" i="17"/>
  <c r="N56" i="17"/>
  <c r="D57" i="17"/>
  <c r="Q57" i="17"/>
  <c r="G58" i="17"/>
  <c r="T58" i="17"/>
  <c r="J59" i="17"/>
  <c r="V59" i="17"/>
  <c r="M60" i="17"/>
  <c r="Y60" i="17"/>
  <c r="P61" i="17"/>
  <c r="F62" i="17"/>
  <c r="R62" i="17"/>
  <c r="H63" i="17"/>
  <c r="U63" i="17"/>
  <c r="L64" i="16"/>
  <c r="L64" i="17" s="1"/>
  <c r="K64" i="17"/>
  <c r="X64" i="17"/>
  <c r="N65" i="17"/>
  <c r="D66" i="17"/>
  <c r="V107" i="17"/>
  <c r="M108" i="17"/>
  <c r="Y108" i="17"/>
  <c r="P109" i="17"/>
  <c r="F110" i="17"/>
  <c r="S110" i="17"/>
  <c r="I111" i="17"/>
  <c r="V111" i="17"/>
  <c r="M112" i="17"/>
  <c r="Y112" i="17"/>
  <c r="O113" i="17"/>
  <c r="E114" i="17"/>
  <c r="R114" i="17"/>
  <c r="H115" i="17"/>
  <c r="U115" i="17"/>
  <c r="K116" i="17"/>
  <c r="L116" i="16"/>
  <c r="L116" i="17" s="1"/>
  <c r="L14" i="17"/>
  <c r="F39" i="17"/>
  <c r="W89" i="17"/>
  <c r="I93" i="17"/>
  <c r="L51" i="15"/>
  <c r="L75" i="15"/>
  <c r="L99" i="15"/>
  <c r="L123" i="15"/>
  <c r="O2" i="17"/>
  <c r="E3" i="17"/>
  <c r="R3" i="17"/>
  <c r="H4" i="17"/>
  <c r="U4" i="17"/>
  <c r="K5" i="17"/>
  <c r="W5" i="17"/>
  <c r="N6" i="17"/>
  <c r="D7" i="17"/>
  <c r="Q7" i="17"/>
  <c r="G8" i="17"/>
  <c r="S8" i="17"/>
  <c r="I9" i="17"/>
  <c r="V9" i="17"/>
  <c r="M10" i="17"/>
  <c r="Y10" i="17"/>
  <c r="O11" i="17"/>
  <c r="E12" i="17"/>
  <c r="R12" i="17"/>
  <c r="H13" i="17"/>
  <c r="U13" i="17"/>
  <c r="K14" i="17"/>
  <c r="W14" i="17"/>
  <c r="N15" i="17"/>
  <c r="D16" i="17"/>
  <c r="Q16" i="17"/>
  <c r="G17" i="17"/>
  <c r="S17" i="17"/>
  <c r="I18" i="17"/>
  <c r="V18" i="17"/>
  <c r="L19" i="16"/>
  <c r="M19" i="17"/>
  <c r="Y19" i="17"/>
  <c r="O20" i="17"/>
  <c r="E21" i="17"/>
  <c r="R21" i="17"/>
  <c r="H22" i="17"/>
  <c r="U22" i="17"/>
  <c r="K23" i="17"/>
  <c r="W23" i="17"/>
  <c r="N24" i="17"/>
  <c r="D25" i="17"/>
  <c r="Q25" i="17"/>
  <c r="G26" i="17"/>
  <c r="S26" i="17"/>
  <c r="I27" i="17"/>
  <c r="V27" i="17"/>
  <c r="M28" i="17"/>
  <c r="Y28" i="17"/>
  <c r="O29" i="17"/>
  <c r="E30" i="17"/>
  <c r="R30" i="17"/>
  <c r="H31" i="17"/>
  <c r="U31" i="17"/>
  <c r="K32" i="17"/>
  <c r="W32" i="17"/>
  <c r="N33" i="17"/>
  <c r="D34" i="17"/>
  <c r="Q34" i="17"/>
  <c r="G35" i="17"/>
  <c r="S35" i="17"/>
  <c r="I36" i="17"/>
  <c r="V36" i="17"/>
  <c r="L37" i="16"/>
  <c r="M37" i="17"/>
  <c r="Y37" i="17"/>
  <c r="O38" i="17"/>
  <c r="E39" i="17"/>
  <c r="R39" i="17"/>
  <c r="H40" i="17"/>
  <c r="U40" i="17"/>
  <c r="K41" i="17"/>
  <c r="W41" i="17"/>
  <c r="N42" i="17"/>
  <c r="D43" i="17"/>
  <c r="Q43" i="17"/>
  <c r="G44" i="17"/>
  <c r="S44" i="17"/>
  <c r="I45" i="17"/>
  <c r="V45" i="17"/>
  <c r="M46" i="17"/>
  <c r="Y46" i="17"/>
  <c r="O47" i="17"/>
  <c r="E48" i="17"/>
  <c r="R48" i="17"/>
  <c r="H49" i="17"/>
  <c r="U49" i="17"/>
  <c r="K50" i="17"/>
  <c r="W50" i="17"/>
  <c r="N51" i="17"/>
  <c r="D52" i="17"/>
  <c r="Q52" i="17"/>
  <c r="G53" i="17"/>
  <c r="S53" i="17"/>
  <c r="I54" i="17"/>
  <c r="V54" i="17"/>
  <c r="L55" i="16"/>
  <c r="L55" i="17" s="1"/>
  <c r="M55" i="17"/>
  <c r="Y55" i="17"/>
  <c r="O56" i="17"/>
  <c r="E57" i="17"/>
  <c r="R57" i="17"/>
  <c r="H58" i="17"/>
  <c r="U58" i="17"/>
  <c r="K59" i="17"/>
  <c r="W59" i="17"/>
  <c r="N60" i="17"/>
  <c r="D61" i="17"/>
  <c r="Q61" i="17"/>
  <c r="G62" i="17"/>
  <c r="S62" i="17"/>
  <c r="I63" i="17"/>
  <c r="V63" i="17"/>
  <c r="M64" i="17"/>
  <c r="Y64" i="17"/>
  <c r="O65" i="17"/>
  <c r="E66" i="17"/>
  <c r="R66" i="17"/>
  <c r="H67" i="17"/>
  <c r="U67" i="17"/>
  <c r="K68" i="17"/>
  <c r="W68" i="17"/>
  <c r="N69" i="17"/>
  <c r="D70" i="17"/>
  <c r="Q70" i="17"/>
  <c r="G71" i="17"/>
  <c r="S71" i="17"/>
  <c r="I72" i="17"/>
  <c r="V72" i="17"/>
  <c r="L73" i="16"/>
  <c r="M73" i="17"/>
  <c r="Y73" i="17"/>
  <c r="O74" i="17"/>
  <c r="E75" i="17"/>
  <c r="R75" i="17"/>
  <c r="H76" i="17"/>
  <c r="U76" i="17"/>
  <c r="T80" i="17"/>
  <c r="J81" i="17"/>
  <c r="L86" i="17"/>
  <c r="W98" i="17"/>
  <c r="N99" i="17"/>
  <c r="D100" i="17"/>
  <c r="Q100" i="17"/>
  <c r="G101" i="17"/>
  <c r="S101" i="17"/>
  <c r="I102" i="17"/>
  <c r="V102" i="17"/>
  <c r="X103" i="17"/>
  <c r="N104" i="17"/>
  <c r="D105" i="17"/>
  <c r="Q105" i="17"/>
  <c r="G106" i="17"/>
  <c r="T106" i="17"/>
  <c r="J107" i="17"/>
  <c r="L23" i="17"/>
  <c r="R34" i="17"/>
  <c r="D2" i="17"/>
  <c r="Q2" i="17"/>
  <c r="G3" i="17"/>
  <c r="T3" i="17"/>
  <c r="J4" i="17"/>
  <c r="W4" i="17"/>
  <c r="M5" i="17"/>
  <c r="Y5" i="17"/>
  <c r="P6" i="17"/>
  <c r="F7" i="17"/>
  <c r="S7" i="17"/>
  <c r="I8" i="17"/>
  <c r="U8" i="17"/>
  <c r="L9" i="16"/>
  <c r="L9" i="17" s="1"/>
  <c r="K9" i="17"/>
  <c r="X9" i="17"/>
  <c r="O10" i="17"/>
  <c r="E11" i="17"/>
  <c r="Q11" i="17"/>
  <c r="G12" i="17"/>
  <c r="T12" i="17"/>
  <c r="J13" i="17"/>
  <c r="W13" i="17"/>
  <c r="M14" i="17"/>
  <c r="Y14" i="17"/>
  <c r="P15" i="17"/>
  <c r="F16" i="17"/>
  <c r="S16" i="17"/>
  <c r="I17" i="17"/>
  <c r="U17" i="17"/>
  <c r="L18" i="16"/>
  <c r="L18" i="17" s="1"/>
  <c r="K18" i="17"/>
  <c r="X18" i="17"/>
  <c r="O19" i="17"/>
  <c r="E20" i="17"/>
  <c r="Q20" i="17"/>
  <c r="G21" i="17"/>
  <c r="T21" i="17"/>
  <c r="J22" i="17"/>
  <c r="W22" i="17"/>
  <c r="M23" i="17"/>
  <c r="Y23" i="17"/>
  <c r="P24" i="17"/>
  <c r="F25" i="17"/>
  <c r="S25" i="17"/>
  <c r="I26" i="17"/>
  <c r="U26" i="17"/>
  <c r="L27" i="16"/>
  <c r="K27" i="17"/>
  <c r="X27" i="17"/>
  <c r="O28" i="17"/>
  <c r="E29" i="17"/>
  <c r="Q29" i="17"/>
  <c r="G30" i="17"/>
  <c r="T30" i="17"/>
  <c r="J31" i="17"/>
  <c r="W31" i="17"/>
  <c r="M32" i="17"/>
  <c r="Y32" i="17"/>
  <c r="P33" i="17"/>
  <c r="F34" i="17"/>
  <c r="S34" i="17"/>
  <c r="I35" i="17"/>
  <c r="U35" i="17"/>
  <c r="L36" i="16"/>
  <c r="L36" i="17" s="1"/>
  <c r="K36" i="17"/>
  <c r="X36" i="17"/>
  <c r="O37" i="17"/>
  <c r="E38" i="17"/>
  <c r="Q38" i="17"/>
  <c r="G39" i="17"/>
  <c r="T39" i="17"/>
  <c r="J40" i="17"/>
  <c r="W40" i="17"/>
  <c r="M41" i="17"/>
  <c r="Y41" i="17"/>
  <c r="P42" i="17"/>
  <c r="F43" i="17"/>
  <c r="S43" i="17"/>
  <c r="I44" i="17"/>
  <c r="U44" i="17"/>
  <c r="L45" i="16"/>
  <c r="K45" i="17"/>
  <c r="X45" i="17"/>
  <c r="O46" i="17"/>
  <c r="E47" i="17"/>
  <c r="Q47" i="17"/>
  <c r="G48" i="17"/>
  <c r="T48" i="17"/>
  <c r="J49" i="17"/>
  <c r="W49" i="17"/>
  <c r="M50" i="17"/>
  <c r="Y50" i="17"/>
  <c r="P51" i="17"/>
  <c r="F52" i="17"/>
  <c r="S52" i="17"/>
  <c r="I53" i="17"/>
  <c r="U53" i="17"/>
  <c r="L54" i="16"/>
  <c r="K54" i="17"/>
  <c r="X54" i="17"/>
  <c r="O55" i="17"/>
  <c r="E56" i="17"/>
  <c r="Q56" i="17"/>
  <c r="G57" i="17"/>
  <c r="T57" i="17"/>
  <c r="J58" i="17"/>
  <c r="W58" i="17"/>
  <c r="M59" i="17"/>
  <c r="Y59" i="17"/>
  <c r="P60" i="17"/>
  <c r="F61" i="17"/>
  <c r="S61" i="17"/>
  <c r="I62" i="17"/>
  <c r="U62" i="17"/>
  <c r="L63" i="16"/>
  <c r="K63" i="17"/>
  <c r="X63" i="17"/>
  <c r="O64" i="17"/>
  <c r="E65" i="17"/>
  <c r="Q65" i="17"/>
  <c r="G66" i="17"/>
  <c r="T66" i="17"/>
  <c r="J67" i="17"/>
  <c r="W67" i="17"/>
  <c r="M68" i="17"/>
  <c r="Y68" i="17"/>
  <c r="P69" i="17"/>
  <c r="F70" i="17"/>
  <c r="S70" i="17"/>
  <c r="I71" i="17"/>
  <c r="U71" i="17"/>
  <c r="L72" i="16"/>
  <c r="K72" i="17"/>
  <c r="X72" i="17"/>
  <c r="O73" i="17"/>
  <c r="E74" i="17"/>
  <c r="Q74" i="17"/>
  <c r="G75" i="17"/>
  <c r="T75" i="17"/>
  <c r="J76" i="17"/>
  <c r="W76" i="17"/>
  <c r="M77" i="17"/>
  <c r="Y77" i="17"/>
  <c r="P78" i="17"/>
  <c r="F79" i="17"/>
  <c r="S79" i="17"/>
  <c r="I80" i="17"/>
  <c r="O86" i="17"/>
  <c r="E87" i="17"/>
  <c r="R87" i="17"/>
  <c r="H88" i="17"/>
  <c r="U88" i="17"/>
  <c r="K89" i="17"/>
  <c r="L89" i="16"/>
  <c r="L89" i="17" s="1"/>
  <c r="J36" i="17"/>
  <c r="L81" i="16"/>
  <c r="K81" i="17"/>
  <c r="L45" i="15"/>
  <c r="L69" i="15"/>
  <c r="L93" i="15"/>
  <c r="L117" i="15"/>
  <c r="E2" i="17"/>
  <c r="R2" i="17"/>
  <c r="H3" i="17"/>
  <c r="U3" i="17"/>
  <c r="L4" i="16"/>
  <c r="L4" i="17" s="1"/>
  <c r="K4" i="17"/>
  <c r="X4" i="17"/>
  <c r="N5" i="17"/>
  <c r="D6" i="17"/>
  <c r="Q6" i="17"/>
  <c r="G7" i="17"/>
  <c r="T7" i="17"/>
  <c r="J8" i="17"/>
  <c r="V8" i="17"/>
  <c r="M9" i="17"/>
  <c r="Y9" i="17"/>
  <c r="P10" i="17"/>
  <c r="F11" i="17"/>
  <c r="R11" i="17"/>
  <c r="H12" i="17"/>
  <c r="U12" i="17"/>
  <c r="K13" i="17"/>
  <c r="X13" i="17"/>
  <c r="N14" i="17"/>
  <c r="D15" i="17"/>
  <c r="Q15" i="17"/>
  <c r="G16" i="17"/>
  <c r="T16" i="17"/>
  <c r="J17" i="17"/>
  <c r="V17" i="17"/>
  <c r="M18" i="17"/>
  <c r="Y18" i="17"/>
  <c r="P19" i="17"/>
  <c r="F20" i="17"/>
  <c r="R20" i="17"/>
  <c r="H21" i="17"/>
  <c r="U21" i="17"/>
  <c r="L22" i="16"/>
  <c r="K22" i="17"/>
  <c r="X22" i="17"/>
  <c r="N23" i="17"/>
  <c r="D24" i="17"/>
  <c r="Q24" i="17"/>
  <c r="G25" i="17"/>
  <c r="T25" i="17"/>
  <c r="J26" i="17"/>
  <c r="V26" i="17"/>
  <c r="M27" i="17"/>
  <c r="Y27" i="17"/>
  <c r="P28" i="17"/>
  <c r="F29" i="17"/>
  <c r="R29" i="17"/>
  <c r="H30" i="17"/>
  <c r="U30" i="17"/>
  <c r="K31" i="17"/>
  <c r="X31" i="17"/>
  <c r="N32" i="17"/>
  <c r="D33" i="17"/>
  <c r="Q33" i="17"/>
  <c r="G34" i="17"/>
  <c r="T34" i="17"/>
  <c r="J35" i="17"/>
  <c r="V35" i="17"/>
  <c r="M36" i="17"/>
  <c r="Y36" i="17"/>
  <c r="P37" i="17"/>
  <c r="F38" i="17"/>
  <c r="R38" i="17"/>
  <c r="H39" i="17"/>
  <c r="U39" i="17"/>
  <c r="L40" i="16"/>
  <c r="L40" i="17" s="1"/>
  <c r="K40" i="17"/>
  <c r="X40" i="17"/>
  <c r="N41" i="17"/>
  <c r="D42" i="17"/>
  <c r="Q42" i="17"/>
  <c r="G43" i="17"/>
  <c r="T43" i="17"/>
  <c r="J44" i="17"/>
  <c r="V44" i="17"/>
  <c r="M45" i="17"/>
  <c r="Y45" i="17"/>
  <c r="P46" i="17"/>
  <c r="F47" i="17"/>
  <c r="R47" i="17"/>
  <c r="H48" i="17"/>
  <c r="U48" i="17"/>
  <c r="K49" i="17"/>
  <c r="X49" i="17"/>
  <c r="N50" i="17"/>
  <c r="D51" i="17"/>
  <c r="Q51" i="17"/>
  <c r="G52" i="17"/>
  <c r="T52" i="17"/>
  <c r="J53" i="17"/>
  <c r="V53" i="17"/>
  <c r="M54" i="17"/>
  <c r="Y54" i="17"/>
  <c r="P55" i="17"/>
  <c r="F56" i="17"/>
  <c r="R56" i="17"/>
  <c r="H57" i="17"/>
  <c r="U57" i="17"/>
  <c r="L58" i="16"/>
  <c r="K58" i="17"/>
  <c r="X58" i="17"/>
  <c r="N59" i="17"/>
  <c r="D60" i="17"/>
  <c r="Q60" i="17"/>
  <c r="G61" i="17"/>
  <c r="T61" i="17"/>
  <c r="J62" i="17"/>
  <c r="V62" i="17"/>
  <c r="M63" i="17"/>
  <c r="Y63" i="17"/>
  <c r="P64" i="17"/>
  <c r="F65" i="17"/>
  <c r="R65" i="17"/>
  <c r="H66" i="17"/>
  <c r="U66" i="17"/>
  <c r="K67" i="17"/>
  <c r="X67" i="17"/>
  <c r="N68" i="17"/>
  <c r="D69" i="17"/>
  <c r="Q69" i="17"/>
  <c r="G70" i="17"/>
  <c r="T70" i="17"/>
  <c r="J71" i="17"/>
  <c r="V71" i="17"/>
  <c r="M72" i="17"/>
  <c r="Y72" i="17"/>
  <c r="P73" i="17"/>
  <c r="F74" i="17"/>
  <c r="R74" i="17"/>
  <c r="Q78" i="17"/>
  <c r="W80" i="17"/>
  <c r="N81" i="17"/>
  <c r="D82" i="17"/>
  <c r="Q82" i="17"/>
  <c r="G83" i="17"/>
  <c r="S83" i="17"/>
  <c r="I84" i="17"/>
  <c r="V84" i="17"/>
  <c r="L85" i="16"/>
  <c r="L85" i="17" s="1"/>
  <c r="M85" i="17"/>
  <c r="Y85" i="17"/>
  <c r="U92" i="17"/>
  <c r="S39" i="17"/>
  <c r="Q91" i="17"/>
  <c r="F2" i="17"/>
  <c r="S2" i="17"/>
  <c r="I3" i="17"/>
  <c r="V3" i="17"/>
  <c r="M4" i="17"/>
  <c r="Y4" i="17"/>
  <c r="O5" i="17"/>
  <c r="E6" i="17"/>
  <c r="R6" i="17"/>
  <c r="H7" i="17"/>
  <c r="U7" i="17"/>
  <c r="K8" i="17"/>
  <c r="W8" i="17"/>
  <c r="N9" i="17"/>
  <c r="D10" i="17"/>
  <c r="Q10" i="17"/>
  <c r="G11" i="17"/>
  <c r="S11" i="17"/>
  <c r="I12" i="17"/>
  <c r="V12" i="17"/>
  <c r="L13" i="16"/>
  <c r="L13" i="17" s="1"/>
  <c r="M13" i="17"/>
  <c r="Y13" i="17"/>
  <c r="O14" i="17"/>
  <c r="E15" i="17"/>
  <c r="R15" i="17"/>
  <c r="H16" i="17"/>
  <c r="U16" i="17"/>
  <c r="K17" i="17"/>
  <c r="W17" i="17"/>
  <c r="N18" i="17"/>
  <c r="D19" i="17"/>
  <c r="Q19" i="17"/>
  <c r="G20" i="17"/>
  <c r="S20" i="17"/>
  <c r="I21" i="17"/>
  <c r="V21" i="17"/>
  <c r="M22" i="17"/>
  <c r="Y22" i="17"/>
  <c r="O23" i="17"/>
  <c r="E24" i="17"/>
  <c r="R24" i="17"/>
  <c r="H25" i="17"/>
  <c r="U25" i="17"/>
  <c r="K26" i="17"/>
  <c r="W26" i="17"/>
  <c r="N27" i="17"/>
  <c r="D28" i="17"/>
  <c r="Q28" i="17"/>
  <c r="G29" i="17"/>
  <c r="S29" i="17"/>
  <c r="I30" i="17"/>
  <c r="V30" i="17"/>
  <c r="L31" i="16"/>
  <c r="L31" i="17" s="1"/>
  <c r="M31" i="17"/>
  <c r="Y31" i="17"/>
  <c r="O32" i="17"/>
  <c r="E33" i="17"/>
  <c r="R33" i="17"/>
  <c r="H34" i="17"/>
  <c r="U34" i="17"/>
  <c r="K35" i="17"/>
  <c r="W35" i="17"/>
  <c r="N36" i="17"/>
  <c r="D37" i="17"/>
  <c r="Q37" i="17"/>
  <c r="G38" i="17"/>
  <c r="S38" i="17"/>
  <c r="I39" i="17"/>
  <c r="V39" i="17"/>
  <c r="M40" i="17"/>
  <c r="Y40" i="17"/>
  <c r="O41" i="17"/>
  <c r="E42" i="17"/>
  <c r="R42" i="17"/>
  <c r="H43" i="17"/>
  <c r="U43" i="17"/>
  <c r="K44" i="17"/>
  <c r="W44" i="17"/>
  <c r="N45" i="17"/>
  <c r="D46" i="17"/>
  <c r="Q46" i="17"/>
  <c r="G47" i="17"/>
  <c r="S47" i="17"/>
  <c r="I48" i="17"/>
  <c r="V48" i="17"/>
  <c r="L49" i="16"/>
  <c r="M49" i="17"/>
  <c r="Y49" i="17"/>
  <c r="O50" i="17"/>
  <c r="E51" i="17"/>
  <c r="R51" i="17"/>
  <c r="H52" i="17"/>
  <c r="U52" i="17"/>
  <c r="K53" i="17"/>
  <c r="W53" i="17"/>
  <c r="N54" i="17"/>
  <c r="D55" i="17"/>
  <c r="Q55" i="17"/>
  <c r="G56" i="17"/>
  <c r="S56" i="17"/>
  <c r="I57" i="17"/>
  <c r="V57" i="17"/>
  <c r="M58" i="17"/>
  <c r="Y58" i="17"/>
  <c r="O59" i="17"/>
  <c r="E60" i="17"/>
  <c r="R60" i="17"/>
  <c r="H61" i="17"/>
  <c r="U61" i="17"/>
  <c r="K62" i="17"/>
  <c r="W62" i="17"/>
  <c r="N63" i="17"/>
  <c r="D64" i="17"/>
  <c r="Q64" i="17"/>
  <c r="G65" i="17"/>
  <c r="S65" i="17"/>
  <c r="I66" i="17"/>
  <c r="V66" i="17"/>
  <c r="L67" i="16"/>
  <c r="M67" i="17"/>
  <c r="Y67" i="17"/>
  <c r="O68" i="17"/>
  <c r="E69" i="17"/>
  <c r="R69" i="17"/>
  <c r="H70" i="17"/>
  <c r="U70" i="17"/>
  <c r="K71" i="17"/>
  <c r="W71" i="17"/>
  <c r="N72" i="17"/>
  <c r="D73" i="17"/>
  <c r="Q73" i="17"/>
  <c r="G74" i="17"/>
  <c r="S74" i="17"/>
  <c r="I75" i="17"/>
  <c r="V75" i="17"/>
  <c r="M76" i="17"/>
  <c r="Y76" i="17"/>
  <c r="O77" i="17"/>
  <c r="E78" i="17"/>
  <c r="R78" i="17"/>
  <c r="H79" i="17"/>
  <c r="U79" i="17"/>
  <c r="K80" i="17"/>
  <c r="L80" i="16"/>
  <c r="W101" i="17"/>
  <c r="O107" i="17"/>
  <c r="L3" i="15"/>
  <c r="L12" i="15"/>
  <c r="L21" i="15"/>
  <c r="L30" i="15"/>
  <c r="L49" i="15"/>
  <c r="L54" i="15"/>
  <c r="L73" i="15"/>
  <c r="L78" i="15"/>
  <c r="L97" i="15"/>
  <c r="L102" i="15"/>
  <c r="L121" i="15"/>
  <c r="L126" i="15"/>
  <c r="G2" i="17"/>
  <c r="T2" i="17"/>
  <c r="J3" i="17"/>
  <c r="W3" i="17"/>
  <c r="N4" i="17"/>
  <c r="D5" i="17"/>
  <c r="P5" i="17"/>
  <c r="F6" i="17"/>
  <c r="S6" i="17"/>
  <c r="I7" i="17"/>
  <c r="V7" i="17"/>
  <c r="L8" i="16"/>
  <c r="L8" i="17" s="1"/>
  <c r="X8" i="17"/>
  <c r="O9" i="17"/>
  <c r="E10" i="17"/>
  <c r="R10" i="17"/>
  <c r="H11" i="17"/>
  <c r="T11" i="17"/>
  <c r="J12" i="17"/>
  <c r="W12" i="17"/>
  <c r="N13" i="17"/>
  <c r="D14" i="17"/>
  <c r="P14" i="17"/>
  <c r="F15" i="17"/>
  <c r="S15" i="17"/>
  <c r="I16" i="17"/>
  <c r="V16" i="17"/>
  <c r="L17" i="16"/>
  <c r="L17" i="17" s="1"/>
  <c r="X17" i="17"/>
  <c r="O18" i="17"/>
  <c r="E19" i="17"/>
  <c r="R19" i="17"/>
  <c r="H20" i="17"/>
  <c r="T20" i="17"/>
  <c r="J21" i="17"/>
  <c r="W21" i="17"/>
  <c r="N22" i="17"/>
  <c r="D23" i="17"/>
  <c r="P23" i="17"/>
  <c r="F24" i="17"/>
  <c r="S24" i="17"/>
  <c r="I25" i="17"/>
  <c r="V25" i="17"/>
  <c r="L26" i="16"/>
  <c r="L26" i="17" s="1"/>
  <c r="X26" i="17"/>
  <c r="O27" i="17"/>
  <c r="E28" i="17"/>
  <c r="R28" i="17"/>
  <c r="H29" i="17"/>
  <c r="T29" i="17"/>
  <c r="J30" i="17"/>
  <c r="W30" i="17"/>
  <c r="N31" i="17"/>
  <c r="D32" i="17"/>
  <c r="P32" i="17"/>
  <c r="F33" i="17"/>
  <c r="S33" i="17"/>
  <c r="I34" i="17"/>
  <c r="V34" i="17"/>
  <c r="L35" i="16"/>
  <c r="L35" i="17" s="1"/>
  <c r="X35" i="17"/>
  <c r="O36" i="17"/>
  <c r="E37" i="17"/>
  <c r="R37" i="17"/>
  <c r="H38" i="17"/>
  <c r="T38" i="17"/>
  <c r="J39" i="17"/>
  <c r="W39" i="17"/>
  <c r="N40" i="17"/>
  <c r="D41" i="17"/>
  <c r="P41" i="17"/>
  <c r="F42" i="17"/>
  <c r="S42" i="17"/>
  <c r="I43" i="17"/>
  <c r="V43" i="17"/>
  <c r="L44" i="16"/>
  <c r="X44" i="17"/>
  <c r="O45" i="17"/>
  <c r="E46" i="17"/>
  <c r="R46" i="17"/>
  <c r="H47" i="17"/>
  <c r="T47" i="17"/>
  <c r="J48" i="17"/>
  <c r="W48" i="17"/>
  <c r="N49" i="17"/>
  <c r="D50" i="17"/>
  <c r="P50" i="17"/>
  <c r="F51" i="17"/>
  <c r="S51" i="17"/>
  <c r="I52" i="17"/>
  <c r="V52" i="17"/>
  <c r="L53" i="16"/>
  <c r="L53" i="17" s="1"/>
  <c r="X53" i="17"/>
  <c r="O54" i="17"/>
  <c r="E55" i="17"/>
  <c r="R55" i="17"/>
  <c r="H56" i="17"/>
  <c r="T56" i="17"/>
  <c r="J57" i="17"/>
  <c r="W57" i="17"/>
  <c r="N58" i="17"/>
  <c r="D59" i="17"/>
  <c r="P59" i="17"/>
  <c r="F60" i="17"/>
  <c r="S60" i="17"/>
  <c r="I61" i="17"/>
  <c r="V61" i="17"/>
  <c r="L62" i="16"/>
  <c r="L62" i="17" s="1"/>
  <c r="X62" i="17"/>
  <c r="O63" i="17"/>
  <c r="E64" i="17"/>
  <c r="R64" i="17"/>
  <c r="H65" i="17"/>
  <c r="T65" i="17"/>
  <c r="J66" i="17"/>
  <c r="W66" i="17"/>
  <c r="N67" i="17"/>
  <c r="D68" i="17"/>
  <c r="P68" i="17"/>
  <c r="F69" i="17"/>
  <c r="S69" i="17"/>
  <c r="I70" i="17"/>
  <c r="V70" i="17"/>
  <c r="L71" i="16"/>
  <c r="L71" i="17" s="1"/>
  <c r="X71" i="17"/>
  <c r="O72" i="17"/>
  <c r="E73" i="17"/>
  <c r="L122" i="17"/>
  <c r="N37" i="17"/>
  <c r="V93" i="17"/>
  <c r="L7" i="15"/>
  <c r="L16" i="15"/>
  <c r="L25" i="15"/>
  <c r="L39" i="15"/>
  <c r="L63" i="15"/>
  <c r="L87" i="15"/>
  <c r="L111" i="15"/>
  <c r="L135" i="15"/>
  <c r="H2" i="17"/>
  <c r="U2" i="17"/>
  <c r="L3" i="16"/>
  <c r="K3" i="17"/>
  <c r="X3" i="17"/>
  <c r="O4" i="17"/>
  <c r="E5" i="17"/>
  <c r="Q5" i="17"/>
  <c r="G6" i="17"/>
  <c r="T6" i="17"/>
  <c r="J7" i="17"/>
  <c r="W7" i="17"/>
  <c r="M8" i="17"/>
  <c r="Y8" i="17"/>
  <c r="P9" i="17"/>
  <c r="F10" i="17"/>
  <c r="S10" i="17"/>
  <c r="I11" i="17"/>
  <c r="U11" i="17"/>
  <c r="L12" i="16"/>
  <c r="L12" i="17" s="1"/>
  <c r="K12" i="17"/>
  <c r="X12" i="17"/>
  <c r="O13" i="17"/>
  <c r="E14" i="17"/>
  <c r="Q14" i="17"/>
  <c r="G15" i="17"/>
  <c r="T15" i="17"/>
  <c r="J16" i="17"/>
  <c r="W16" i="17"/>
  <c r="M17" i="17"/>
  <c r="Y17" i="17"/>
  <c r="P18" i="17"/>
  <c r="F19" i="17"/>
  <c r="S19" i="17"/>
  <c r="I20" i="17"/>
  <c r="U20" i="17"/>
  <c r="L21" i="16"/>
  <c r="K21" i="17"/>
  <c r="X21" i="17"/>
  <c r="O22" i="17"/>
  <c r="E23" i="17"/>
  <c r="Q23" i="17"/>
  <c r="G24" i="17"/>
  <c r="T24" i="17"/>
  <c r="J25" i="17"/>
  <c r="W25" i="17"/>
  <c r="M26" i="17"/>
  <c r="Y26" i="17"/>
  <c r="P27" i="17"/>
  <c r="F28" i="17"/>
  <c r="S28" i="17"/>
  <c r="I29" i="17"/>
  <c r="U29" i="17"/>
  <c r="L30" i="16"/>
  <c r="X30" i="17"/>
  <c r="O31" i="17"/>
  <c r="E32" i="17"/>
  <c r="Q32" i="17"/>
  <c r="G33" i="17"/>
  <c r="T33" i="17"/>
  <c r="J34" i="17"/>
  <c r="W34" i="17"/>
  <c r="M35" i="17"/>
  <c r="Y35" i="17"/>
  <c r="P36" i="17"/>
  <c r="F37" i="17"/>
  <c r="S37" i="17"/>
  <c r="I38" i="17"/>
  <c r="U38" i="17"/>
  <c r="L39" i="16"/>
  <c r="K39" i="17"/>
  <c r="X39" i="17"/>
  <c r="O40" i="17"/>
  <c r="E41" i="17"/>
  <c r="Q41" i="17"/>
  <c r="G42" i="17"/>
  <c r="T42" i="17"/>
  <c r="J43" i="17"/>
  <c r="W43" i="17"/>
  <c r="M44" i="17"/>
  <c r="Y44" i="17"/>
  <c r="P45" i="17"/>
  <c r="F46" i="17"/>
  <c r="S46" i="17"/>
  <c r="I47" i="17"/>
  <c r="U47" i="17"/>
  <c r="L48" i="16"/>
  <c r="K48" i="17"/>
  <c r="X48" i="17"/>
  <c r="O49" i="17"/>
  <c r="E50" i="17"/>
  <c r="Q50" i="17"/>
  <c r="G51" i="17"/>
  <c r="T51" i="17"/>
  <c r="J52" i="17"/>
  <c r="W52" i="17"/>
  <c r="M53" i="17"/>
  <c r="Y53" i="17"/>
  <c r="P54" i="17"/>
  <c r="F55" i="17"/>
  <c r="S55" i="17"/>
  <c r="I56" i="17"/>
  <c r="U56" i="17"/>
  <c r="L57" i="16"/>
  <c r="K57" i="17"/>
  <c r="X57" i="17"/>
  <c r="O58" i="17"/>
  <c r="E59" i="17"/>
  <c r="Q59" i="17"/>
  <c r="G60" i="17"/>
  <c r="T60" i="17"/>
  <c r="J61" i="17"/>
  <c r="W61" i="17"/>
  <c r="M62" i="17"/>
  <c r="Y62" i="17"/>
  <c r="P63" i="17"/>
  <c r="F64" i="17"/>
  <c r="S64" i="17"/>
  <c r="I65" i="17"/>
  <c r="U65" i="17"/>
  <c r="L66" i="16"/>
  <c r="K66" i="17"/>
  <c r="X66" i="17"/>
  <c r="V121" i="17"/>
  <c r="L32" i="17"/>
  <c r="W36" i="17"/>
  <c r="D91" i="17"/>
  <c r="I2" i="17"/>
  <c r="V2" i="17"/>
  <c r="M3" i="17"/>
  <c r="Y3" i="17"/>
  <c r="P4" i="17"/>
  <c r="F5" i="17"/>
  <c r="R5" i="17"/>
  <c r="H6" i="17"/>
  <c r="U6" i="17"/>
  <c r="K7" i="17"/>
  <c r="X7" i="17"/>
  <c r="N8" i="17"/>
  <c r="D9" i="17"/>
  <c r="Q9" i="17"/>
  <c r="G10" i="17"/>
  <c r="T10" i="17"/>
  <c r="J11" i="17"/>
  <c r="V11" i="17"/>
  <c r="M12" i="17"/>
  <c r="Y12" i="17"/>
  <c r="P13" i="17"/>
  <c r="F14" i="17"/>
  <c r="R14" i="17"/>
  <c r="H15" i="17"/>
  <c r="U15" i="17"/>
  <c r="L16" i="16"/>
  <c r="K16" i="17"/>
  <c r="X16" i="17"/>
  <c r="N17" i="17"/>
  <c r="D18" i="17"/>
  <c r="Q18" i="17"/>
  <c r="G19" i="17"/>
  <c r="T19" i="17"/>
  <c r="J20" i="17"/>
  <c r="V20" i="17"/>
  <c r="M21" i="17"/>
  <c r="Y21" i="17"/>
  <c r="P22" i="17"/>
  <c r="F23" i="17"/>
  <c r="R23" i="17"/>
  <c r="H24" i="17"/>
  <c r="U24" i="17"/>
  <c r="K25" i="17"/>
  <c r="X25" i="17"/>
  <c r="N26" i="17"/>
  <c r="D27" i="17"/>
  <c r="Q27" i="17"/>
  <c r="G28" i="17"/>
  <c r="T28" i="17"/>
  <c r="J29" i="17"/>
  <c r="V29" i="17"/>
  <c r="M30" i="17"/>
  <c r="Y30" i="17"/>
  <c r="P31" i="17"/>
  <c r="F32" i="17"/>
  <c r="R32" i="17"/>
  <c r="H33" i="17"/>
  <c r="U33" i="17"/>
  <c r="L34" i="16"/>
  <c r="L34" i="17" s="1"/>
  <c r="K34" i="17"/>
  <c r="X34" i="17"/>
  <c r="N35" i="17"/>
  <c r="D36" i="17"/>
  <c r="Q36" i="17"/>
  <c r="G37" i="17"/>
  <c r="T37" i="17"/>
  <c r="J38" i="17"/>
  <c r="V38" i="17"/>
  <c r="M39" i="17"/>
  <c r="Y39" i="17"/>
  <c r="P40" i="17"/>
  <c r="F41" i="17"/>
  <c r="R41" i="17"/>
  <c r="H42" i="17"/>
  <c r="U42" i="17"/>
  <c r="K43" i="17"/>
  <c r="X43" i="17"/>
  <c r="N44" i="17"/>
  <c r="D45" i="17"/>
  <c r="Q45" i="17"/>
  <c r="G46" i="17"/>
  <c r="T46" i="17"/>
  <c r="J47" i="17"/>
  <c r="V47" i="17"/>
  <c r="M48" i="17"/>
  <c r="Y48" i="17"/>
  <c r="P49" i="17"/>
  <c r="F50" i="17"/>
  <c r="R50" i="17"/>
  <c r="H51" i="17"/>
  <c r="U51" i="17"/>
  <c r="L52" i="16"/>
  <c r="K52" i="17"/>
  <c r="X52" i="17"/>
  <c r="N53" i="17"/>
  <c r="D54" i="17"/>
  <c r="Q54" i="17"/>
  <c r="G55" i="17"/>
  <c r="T55" i="17"/>
  <c r="J56" i="17"/>
  <c r="V56" i="17"/>
  <c r="M57" i="17"/>
  <c r="Y57" i="17"/>
  <c r="P58" i="17"/>
  <c r="F59" i="17"/>
  <c r="R59" i="17"/>
  <c r="H60" i="17"/>
  <c r="U60" i="17"/>
  <c r="K61" i="17"/>
  <c r="X61" i="17"/>
  <c r="N62" i="17"/>
  <c r="D63" i="17"/>
  <c r="Q63" i="17"/>
  <c r="G64" i="17"/>
  <c r="T64" i="17"/>
  <c r="J65" i="17"/>
  <c r="V65" i="17"/>
  <c r="M66" i="17"/>
  <c r="Y66" i="17"/>
  <c r="P67" i="17"/>
  <c r="F68" i="17"/>
  <c r="R68" i="17"/>
  <c r="H69" i="17"/>
  <c r="U69" i="17"/>
  <c r="L70" i="16"/>
  <c r="L70" i="17" s="1"/>
  <c r="K70" i="17"/>
  <c r="X70" i="17"/>
  <c r="N71" i="17"/>
  <c r="D72" i="17"/>
  <c r="Q72" i="17"/>
  <c r="G73" i="17"/>
  <c r="T73" i="17"/>
  <c r="D38" i="17"/>
  <c r="G92" i="17"/>
  <c r="L43" i="15"/>
  <c r="L48" i="15"/>
  <c r="L67" i="15"/>
  <c r="L72" i="15"/>
  <c r="L91" i="15"/>
  <c r="L96" i="15"/>
  <c r="L115" i="15"/>
  <c r="L120" i="15"/>
  <c r="J2" i="17"/>
  <c r="W2" i="17"/>
  <c r="N3" i="17"/>
  <c r="D4" i="17"/>
  <c r="Q4" i="17"/>
  <c r="G5" i="17"/>
  <c r="S5" i="17"/>
  <c r="I6" i="17"/>
  <c r="V6" i="17"/>
  <c r="L7" i="16"/>
  <c r="M7" i="17"/>
  <c r="Y7" i="17"/>
  <c r="O8" i="17"/>
  <c r="E9" i="17"/>
  <c r="R9" i="17"/>
  <c r="H10" i="17"/>
  <c r="U10" i="17"/>
  <c r="K11" i="17"/>
  <c r="W11" i="17"/>
  <c r="N12" i="17"/>
  <c r="D13" i="17"/>
  <c r="Q13" i="17"/>
  <c r="G14" i="17"/>
  <c r="S14" i="17"/>
  <c r="I15" i="17"/>
  <c r="V15" i="17"/>
  <c r="M16" i="17"/>
  <c r="Y16" i="17"/>
  <c r="O17" i="17"/>
  <c r="E18" i="17"/>
  <c r="R18" i="17"/>
  <c r="H19" i="17"/>
  <c r="U19" i="17"/>
  <c r="K20" i="17"/>
  <c r="W20" i="17"/>
  <c r="N21" i="17"/>
  <c r="D22" i="17"/>
  <c r="Q22" i="17"/>
  <c r="G23" i="17"/>
  <c r="S23" i="17"/>
  <c r="I24" i="17"/>
  <c r="V24" i="17"/>
  <c r="L25" i="16"/>
  <c r="M25" i="17"/>
  <c r="Y25" i="17"/>
  <c r="O26" i="17"/>
  <c r="E27" i="17"/>
  <c r="R27" i="17"/>
  <c r="H28" i="17"/>
  <c r="U28" i="17"/>
  <c r="K29" i="17"/>
  <c r="W29" i="17"/>
  <c r="N30" i="17"/>
  <c r="D31" i="17"/>
  <c r="Q31" i="17"/>
  <c r="G32" i="17"/>
  <c r="S32" i="17"/>
  <c r="I33" i="17"/>
  <c r="V33" i="17"/>
  <c r="M34" i="17"/>
  <c r="Y34" i="17"/>
  <c r="O35" i="17"/>
  <c r="E36" i="17"/>
  <c r="R36" i="17"/>
  <c r="H37" i="17"/>
  <c r="U37" i="17"/>
  <c r="K38" i="17"/>
  <c r="W38" i="17"/>
  <c r="N39" i="17"/>
  <c r="D40" i="17"/>
  <c r="Q40" i="17"/>
  <c r="G41" i="17"/>
  <c r="S41" i="17"/>
  <c r="I42" i="17"/>
  <c r="V42" i="17"/>
  <c r="L43" i="16"/>
  <c r="M43" i="17"/>
  <c r="Y43" i="17"/>
  <c r="O44" i="17"/>
  <c r="E45" i="17"/>
  <c r="R45" i="17"/>
  <c r="H46" i="17"/>
  <c r="U46" i="17"/>
  <c r="K47" i="17"/>
  <c r="W47" i="17"/>
  <c r="N48" i="17"/>
  <c r="D49" i="17"/>
  <c r="Q49" i="17"/>
  <c r="G50" i="17"/>
  <c r="S50" i="17"/>
  <c r="I51" i="17"/>
  <c r="V51" i="17"/>
  <c r="M52" i="17"/>
  <c r="Y52" i="17"/>
  <c r="O53" i="17"/>
  <c r="E54" i="17"/>
  <c r="R54" i="17"/>
  <c r="H55" i="17"/>
  <c r="U55" i="17"/>
  <c r="K56" i="17"/>
  <c r="W56" i="17"/>
  <c r="N57" i="17"/>
  <c r="D58" i="17"/>
  <c r="Q58" i="17"/>
  <c r="G59" i="17"/>
  <c r="S59" i="17"/>
  <c r="I60" i="17"/>
  <c r="V60" i="17"/>
  <c r="L61" i="16"/>
  <c r="L61" i="17" s="1"/>
  <c r="M61" i="17"/>
  <c r="Y61" i="17"/>
  <c r="O62" i="17"/>
  <c r="E63" i="17"/>
  <c r="R63" i="17"/>
  <c r="H64" i="17"/>
  <c r="U64" i="17"/>
  <c r="M70" i="17"/>
  <c r="S81" i="17"/>
  <c r="S111" i="17"/>
  <c r="O135" i="17"/>
  <c r="K77" i="17"/>
  <c r="W77" i="17"/>
  <c r="N78" i="17"/>
  <c r="D79" i="17"/>
  <c r="Q79" i="17"/>
  <c r="G80" i="17"/>
  <c r="S80" i="17"/>
  <c r="I81" i="17"/>
  <c r="V81" i="17"/>
  <c r="M82" i="17"/>
  <c r="Y82" i="17"/>
  <c r="O83" i="17"/>
  <c r="E84" i="17"/>
  <c r="R84" i="17"/>
  <c r="H85" i="17"/>
  <c r="U85" i="17"/>
  <c r="K86" i="17"/>
  <c r="W86" i="17"/>
  <c r="N87" i="17"/>
  <c r="D88" i="17"/>
  <c r="Q88" i="17"/>
  <c r="G89" i="17"/>
  <c r="S89" i="17"/>
  <c r="I90" i="17"/>
  <c r="V90" i="17"/>
  <c r="L91" i="16"/>
  <c r="M91" i="17"/>
  <c r="Y91" i="17"/>
  <c r="O92" i="17"/>
  <c r="E93" i="17"/>
  <c r="R93" i="17"/>
  <c r="H94" i="17"/>
  <c r="U94" i="17"/>
  <c r="K95" i="17"/>
  <c r="W95" i="17"/>
  <c r="N96" i="17"/>
  <c r="D97" i="17"/>
  <c r="Q97" i="17"/>
  <c r="G98" i="17"/>
  <c r="S98" i="17"/>
  <c r="I99" i="17"/>
  <c r="V99" i="17"/>
  <c r="M100" i="17"/>
  <c r="Y100" i="17"/>
  <c r="O101" i="17"/>
  <c r="E102" i="17"/>
  <c r="R102" i="17"/>
  <c r="H103" i="17"/>
  <c r="O110" i="17"/>
  <c r="E111" i="17"/>
  <c r="R111" i="17"/>
  <c r="H112" i="17"/>
  <c r="U112" i="17"/>
  <c r="K113" i="17"/>
  <c r="W113" i="17"/>
  <c r="N114" i="17"/>
  <c r="D115" i="17"/>
  <c r="Q115" i="17"/>
  <c r="T116" i="17"/>
  <c r="J117" i="17"/>
  <c r="W117" i="17"/>
  <c r="N118" i="17"/>
  <c r="D119" i="17"/>
  <c r="Q119" i="17"/>
  <c r="G120" i="17"/>
  <c r="T120" i="17"/>
  <c r="J121" i="17"/>
  <c r="X122" i="17"/>
  <c r="O123" i="17"/>
  <c r="E124" i="17"/>
  <c r="R124" i="17"/>
  <c r="H125" i="17"/>
  <c r="T125" i="17"/>
  <c r="J126" i="17"/>
  <c r="W126" i="17"/>
  <c r="M127" i="17"/>
  <c r="Y127" i="17"/>
  <c r="O128" i="17"/>
  <c r="E129" i="17"/>
  <c r="J135" i="17"/>
  <c r="W81" i="17"/>
  <c r="N82" i="17"/>
  <c r="D83" i="17"/>
  <c r="P83" i="17"/>
  <c r="F84" i="17"/>
  <c r="S84" i="17"/>
  <c r="I85" i="17"/>
  <c r="V85" i="17"/>
  <c r="X86" i="17"/>
  <c r="O87" i="17"/>
  <c r="E88" i="17"/>
  <c r="R88" i="17"/>
  <c r="H89" i="17"/>
  <c r="T89" i="17"/>
  <c r="J90" i="17"/>
  <c r="W90" i="17"/>
  <c r="N91" i="17"/>
  <c r="D92" i="17"/>
  <c r="P92" i="17"/>
  <c r="F93" i="17"/>
  <c r="S93" i="17"/>
  <c r="I94" i="17"/>
  <c r="V94" i="17"/>
  <c r="X95" i="17"/>
  <c r="O96" i="17"/>
  <c r="E97" i="17"/>
  <c r="R97" i="17"/>
  <c r="H98" i="17"/>
  <c r="T98" i="17"/>
  <c r="J99" i="17"/>
  <c r="W99" i="17"/>
  <c r="N100" i="17"/>
  <c r="D101" i="17"/>
  <c r="P101" i="17"/>
  <c r="F102" i="17"/>
  <c r="S102" i="17"/>
  <c r="I103" i="17"/>
  <c r="U103" i="17"/>
  <c r="M109" i="17"/>
  <c r="L109" i="16"/>
  <c r="Y109" i="17"/>
  <c r="P110" i="17"/>
  <c r="F111" i="17"/>
  <c r="I112" i="17"/>
  <c r="V112" i="17"/>
  <c r="L113" i="17"/>
  <c r="X113" i="17"/>
  <c r="O114" i="17"/>
  <c r="E115" i="17"/>
  <c r="R115" i="17"/>
  <c r="H116" i="17"/>
  <c r="U116" i="17"/>
  <c r="L117" i="16"/>
  <c r="L117" i="17" s="1"/>
  <c r="K117" i="17"/>
  <c r="X117" i="17"/>
  <c r="O118" i="17"/>
  <c r="E119" i="17"/>
  <c r="R119" i="17"/>
  <c r="H120" i="17"/>
  <c r="U120" i="17"/>
  <c r="K121" i="17"/>
  <c r="W121" i="17"/>
  <c r="M122" i="17"/>
  <c r="Y122" i="17"/>
  <c r="P123" i="17"/>
  <c r="F124" i="17"/>
  <c r="S124" i="17"/>
  <c r="I125" i="17"/>
  <c r="U125" i="17"/>
  <c r="L126" i="16"/>
  <c r="K126" i="17"/>
  <c r="X126" i="17"/>
  <c r="N127" i="17"/>
  <c r="D128" i="17"/>
  <c r="P128" i="17"/>
  <c r="F129" i="17"/>
  <c r="S129" i="17"/>
  <c r="I130" i="17"/>
  <c r="V130" i="17"/>
  <c r="L131" i="17"/>
  <c r="O82" i="17"/>
  <c r="E83" i="17"/>
  <c r="Q83" i="17"/>
  <c r="G84" i="17"/>
  <c r="T84" i="17"/>
  <c r="J85" i="17"/>
  <c r="W85" i="17"/>
  <c r="M86" i="17"/>
  <c r="Y86" i="17"/>
  <c r="P87" i="17"/>
  <c r="F88" i="17"/>
  <c r="S88" i="17"/>
  <c r="I89" i="17"/>
  <c r="U89" i="17"/>
  <c r="L90" i="16"/>
  <c r="K90" i="17"/>
  <c r="X90" i="17"/>
  <c r="O91" i="17"/>
  <c r="E92" i="17"/>
  <c r="Q92" i="17"/>
  <c r="G93" i="17"/>
  <c r="T93" i="17"/>
  <c r="J94" i="17"/>
  <c r="W94" i="17"/>
  <c r="M95" i="17"/>
  <c r="Y95" i="17"/>
  <c r="P96" i="17"/>
  <c r="F97" i="17"/>
  <c r="S97" i="17"/>
  <c r="I98" i="17"/>
  <c r="U98" i="17"/>
  <c r="L99" i="16"/>
  <c r="K99" i="17"/>
  <c r="X99" i="17"/>
  <c r="O100" i="17"/>
  <c r="E101" i="17"/>
  <c r="Q101" i="17"/>
  <c r="G102" i="17"/>
  <c r="T102" i="17"/>
  <c r="J103" i="17"/>
  <c r="V103" i="17"/>
  <c r="X104" i="17"/>
  <c r="O105" i="17"/>
  <c r="E106" i="17"/>
  <c r="R106" i="17"/>
  <c r="H107" i="17"/>
  <c r="T107" i="17"/>
  <c r="J108" i="17"/>
  <c r="W108" i="17"/>
  <c r="N109" i="17"/>
  <c r="D110" i="17"/>
  <c r="Q110" i="17"/>
  <c r="G111" i="17"/>
  <c r="T111" i="17"/>
  <c r="J112" i="17"/>
  <c r="W112" i="17"/>
  <c r="M113" i="17"/>
  <c r="Y113" i="17"/>
  <c r="P114" i="17"/>
  <c r="F115" i="17"/>
  <c r="S115" i="17"/>
  <c r="I116" i="17"/>
  <c r="V116" i="17"/>
  <c r="M117" i="17"/>
  <c r="Y117" i="17"/>
  <c r="P118" i="17"/>
  <c r="F119" i="17"/>
  <c r="S119" i="17"/>
  <c r="I120" i="17"/>
  <c r="V120" i="17"/>
  <c r="L121" i="16"/>
  <c r="L121" i="17" s="1"/>
  <c r="X121" i="17"/>
  <c r="N122" i="17"/>
  <c r="D123" i="17"/>
  <c r="Q123" i="17"/>
  <c r="G124" i="17"/>
  <c r="T124" i="17"/>
  <c r="J125" i="17"/>
  <c r="V125" i="17"/>
  <c r="G129" i="17"/>
  <c r="H75" i="17"/>
  <c r="U75" i="17"/>
  <c r="L76" i="16"/>
  <c r="L76" i="17" s="1"/>
  <c r="K76" i="17"/>
  <c r="X76" i="17"/>
  <c r="N77" i="17"/>
  <c r="D78" i="17"/>
  <c r="G79" i="17"/>
  <c r="T79" i="17"/>
  <c r="J80" i="17"/>
  <c r="V80" i="17"/>
  <c r="M81" i="17"/>
  <c r="Y81" i="17"/>
  <c r="P82" i="17"/>
  <c r="F83" i="17"/>
  <c r="R83" i="17"/>
  <c r="H84" i="17"/>
  <c r="U84" i="17"/>
  <c r="K85" i="17"/>
  <c r="X85" i="17"/>
  <c r="N86" i="17"/>
  <c r="D87" i="17"/>
  <c r="Q87" i="17"/>
  <c r="G88" i="17"/>
  <c r="T88" i="17"/>
  <c r="V89" i="17"/>
  <c r="M90" i="17"/>
  <c r="Y90" i="17"/>
  <c r="P91" i="17"/>
  <c r="F92" i="17"/>
  <c r="R92" i="17"/>
  <c r="H93" i="17"/>
  <c r="U93" i="17"/>
  <c r="L94" i="16"/>
  <c r="L94" i="17" s="1"/>
  <c r="K94" i="17"/>
  <c r="X94" i="17"/>
  <c r="N95" i="17"/>
  <c r="D96" i="17"/>
  <c r="Q96" i="17"/>
  <c r="G97" i="17"/>
  <c r="T97" i="17"/>
  <c r="J98" i="17"/>
  <c r="V98" i="17"/>
  <c r="M99" i="17"/>
  <c r="Y99" i="17"/>
  <c r="P100" i="17"/>
  <c r="F101" i="17"/>
  <c r="R101" i="17"/>
  <c r="H102" i="17"/>
  <c r="U102" i="17"/>
  <c r="K103" i="17"/>
  <c r="W103" i="17"/>
  <c r="M104" i="17"/>
  <c r="Y104" i="17"/>
  <c r="P105" i="17"/>
  <c r="F106" i="17"/>
  <c r="S106" i="17"/>
  <c r="I107" i="17"/>
  <c r="U107" i="17"/>
  <c r="L108" i="16"/>
  <c r="L108" i="17" s="1"/>
  <c r="K108" i="17"/>
  <c r="X108" i="17"/>
  <c r="O109" i="17"/>
  <c r="E110" i="17"/>
  <c r="R110" i="17"/>
  <c r="H111" i="17"/>
  <c r="U111" i="17"/>
  <c r="L112" i="16"/>
  <c r="K112" i="17"/>
  <c r="X112" i="17"/>
  <c r="N113" i="17"/>
  <c r="D114" i="17"/>
  <c r="Q114" i="17"/>
  <c r="G115" i="17"/>
  <c r="T115" i="17"/>
  <c r="J116" i="17"/>
  <c r="W116" i="17"/>
  <c r="N117" i="17"/>
  <c r="D118" i="17"/>
  <c r="Q118" i="17"/>
  <c r="G119" i="17"/>
  <c r="M121" i="17"/>
  <c r="U124" i="17"/>
  <c r="Q132" i="17"/>
  <c r="R73" i="17"/>
  <c r="H74" i="17"/>
  <c r="T74" i="17"/>
  <c r="J75" i="17"/>
  <c r="W75" i="17"/>
  <c r="N76" i="17"/>
  <c r="D77" i="17"/>
  <c r="P77" i="17"/>
  <c r="F78" i="17"/>
  <c r="S78" i="17"/>
  <c r="I79" i="17"/>
  <c r="V79" i="17"/>
  <c r="X80" i="17"/>
  <c r="O81" i="17"/>
  <c r="E82" i="17"/>
  <c r="R82" i="17"/>
  <c r="H83" i="17"/>
  <c r="T83" i="17"/>
  <c r="J84" i="17"/>
  <c r="W84" i="17"/>
  <c r="N85" i="17"/>
  <c r="D86" i="17"/>
  <c r="P86" i="17"/>
  <c r="F87" i="17"/>
  <c r="S87" i="17"/>
  <c r="I88" i="17"/>
  <c r="V88" i="17"/>
  <c r="X89" i="17"/>
  <c r="O90" i="17"/>
  <c r="E91" i="17"/>
  <c r="R91" i="17"/>
  <c r="H92" i="17"/>
  <c r="T92" i="17"/>
  <c r="J93" i="17"/>
  <c r="W93" i="17"/>
  <c r="N94" i="17"/>
  <c r="D95" i="17"/>
  <c r="P95" i="17"/>
  <c r="F96" i="17"/>
  <c r="S96" i="17"/>
  <c r="I97" i="17"/>
  <c r="V97" i="17"/>
  <c r="X98" i="17"/>
  <c r="O99" i="17"/>
  <c r="E100" i="17"/>
  <c r="R100" i="17"/>
  <c r="H101" i="17"/>
  <c r="T101" i="17"/>
  <c r="J102" i="17"/>
  <c r="W102" i="17"/>
  <c r="M103" i="17"/>
  <c r="Y103" i="17"/>
  <c r="O104" i="17"/>
  <c r="E105" i="17"/>
  <c r="R105" i="17"/>
  <c r="H106" i="17"/>
  <c r="U106" i="17"/>
  <c r="K107" i="17"/>
  <c r="W107" i="17"/>
  <c r="N108" i="17"/>
  <c r="D109" i="17"/>
  <c r="Q109" i="17"/>
  <c r="G110" i="17"/>
  <c r="T110" i="17"/>
  <c r="J111" i="17"/>
  <c r="W111" i="17"/>
  <c r="N112" i="17"/>
  <c r="D113" i="17"/>
  <c r="P113" i="17"/>
  <c r="F114" i="17"/>
  <c r="S114" i="17"/>
  <c r="I115" i="17"/>
  <c r="M116" i="17"/>
  <c r="Y116" i="17"/>
  <c r="P117" i="17"/>
  <c r="F118" i="17"/>
  <c r="S118" i="17"/>
  <c r="I119" i="17"/>
  <c r="W124" i="17"/>
  <c r="M125" i="17"/>
  <c r="R127" i="17"/>
  <c r="P135" i="17"/>
  <c r="S136" i="17"/>
  <c r="O67" i="17"/>
  <c r="E68" i="17"/>
  <c r="Q68" i="17"/>
  <c r="G69" i="17"/>
  <c r="T69" i="17"/>
  <c r="J70" i="17"/>
  <c r="W70" i="17"/>
  <c r="M71" i="17"/>
  <c r="Y71" i="17"/>
  <c r="P72" i="17"/>
  <c r="F73" i="17"/>
  <c r="S73" i="17"/>
  <c r="I74" i="17"/>
  <c r="U74" i="17"/>
  <c r="L75" i="16"/>
  <c r="L75" i="17" s="1"/>
  <c r="K75" i="17"/>
  <c r="O76" i="17"/>
  <c r="E77" i="17"/>
  <c r="Q77" i="17"/>
  <c r="G78" i="17"/>
  <c r="T78" i="17"/>
  <c r="J79" i="17"/>
  <c r="W79" i="17"/>
  <c r="M80" i="17"/>
  <c r="Y80" i="17"/>
  <c r="P81" i="17"/>
  <c r="F82" i="17"/>
  <c r="S82" i="17"/>
  <c r="I83" i="17"/>
  <c r="U83" i="17"/>
  <c r="L84" i="16"/>
  <c r="L84" i="17" s="1"/>
  <c r="K84" i="17"/>
  <c r="X84" i="17"/>
  <c r="O85" i="17"/>
  <c r="E86" i="17"/>
  <c r="Q86" i="17"/>
  <c r="G87" i="17"/>
  <c r="T87" i="17"/>
  <c r="J88" i="17"/>
  <c r="W88" i="17"/>
  <c r="M89" i="17"/>
  <c r="Y89" i="17"/>
  <c r="P90" i="17"/>
  <c r="F91" i="17"/>
  <c r="S91" i="17"/>
  <c r="I92" i="17"/>
  <c r="L93" i="16"/>
  <c r="K93" i="17"/>
  <c r="X93" i="17"/>
  <c r="O94" i="17"/>
  <c r="E95" i="17"/>
  <c r="Q95" i="17"/>
  <c r="G96" i="17"/>
  <c r="T96" i="17"/>
  <c r="J97" i="17"/>
  <c r="W97" i="17"/>
  <c r="M98" i="17"/>
  <c r="Y98" i="17"/>
  <c r="P99" i="17"/>
  <c r="F100" i="17"/>
  <c r="S100" i="17"/>
  <c r="I101" i="17"/>
  <c r="U101" i="17"/>
  <c r="L102" i="16"/>
  <c r="L102" i="17" s="1"/>
  <c r="K102" i="17"/>
  <c r="X102" i="17"/>
  <c r="N103" i="17"/>
  <c r="D104" i="17"/>
  <c r="P104" i="17"/>
  <c r="F105" i="17"/>
  <c r="S105" i="17"/>
  <c r="I106" i="17"/>
  <c r="V106" i="17"/>
  <c r="L107" i="16"/>
  <c r="X107" i="17"/>
  <c r="O108" i="17"/>
  <c r="E109" i="17"/>
  <c r="R109" i="17"/>
  <c r="H110" i="17"/>
  <c r="U110" i="17"/>
  <c r="L111" i="16"/>
  <c r="L111" i="17" s="1"/>
  <c r="K111" i="17"/>
  <c r="X111" i="17"/>
  <c r="O112" i="17"/>
  <c r="E113" i="17"/>
  <c r="J115" i="17"/>
  <c r="W115" i="17"/>
  <c r="J119" i="17"/>
  <c r="J74" i="17"/>
  <c r="V74" i="17"/>
  <c r="M75" i="17"/>
  <c r="Y75" i="17"/>
  <c r="P76" i="17"/>
  <c r="F77" i="17"/>
  <c r="R77" i="17"/>
  <c r="H78" i="17"/>
  <c r="U78" i="17"/>
  <c r="K79" i="17"/>
  <c r="X79" i="17"/>
  <c r="N80" i="17"/>
  <c r="D81" i="17"/>
  <c r="Q81" i="17"/>
  <c r="G82" i="17"/>
  <c r="T82" i="17"/>
  <c r="J83" i="17"/>
  <c r="V83" i="17"/>
  <c r="M84" i="17"/>
  <c r="Y84" i="17"/>
  <c r="P85" i="17"/>
  <c r="F86" i="17"/>
  <c r="R86" i="17"/>
  <c r="H87" i="17"/>
  <c r="U87" i="17"/>
  <c r="L88" i="16"/>
  <c r="K88" i="17"/>
  <c r="X88" i="17"/>
  <c r="N89" i="17"/>
  <c r="D90" i="17"/>
  <c r="Q90" i="17"/>
  <c r="G91" i="17"/>
  <c r="T91" i="17"/>
  <c r="J92" i="17"/>
  <c r="V92" i="17"/>
  <c r="M93" i="17"/>
  <c r="Y93" i="17"/>
  <c r="P94" i="17"/>
  <c r="F95" i="17"/>
  <c r="R95" i="17"/>
  <c r="H96" i="17"/>
  <c r="U96" i="17"/>
  <c r="K97" i="17"/>
  <c r="X97" i="17"/>
  <c r="N98" i="17"/>
  <c r="D99" i="17"/>
  <c r="Q99" i="17"/>
  <c r="G100" i="17"/>
  <c r="T100" i="17"/>
  <c r="J101" i="17"/>
  <c r="V101" i="17"/>
  <c r="M102" i="17"/>
  <c r="Y102" i="17"/>
  <c r="O103" i="17"/>
  <c r="E104" i="17"/>
  <c r="Q104" i="17"/>
  <c r="G105" i="17"/>
  <c r="T105" i="17"/>
  <c r="J106" i="17"/>
  <c r="W106" i="17"/>
  <c r="M107" i="17"/>
  <c r="Y107" i="17"/>
  <c r="P108" i="17"/>
  <c r="F109" i="17"/>
  <c r="S109" i="17"/>
  <c r="I110" i="17"/>
  <c r="V110" i="17"/>
  <c r="M111" i="17"/>
  <c r="Y111" i="17"/>
  <c r="P112" i="17"/>
  <c r="F113" i="17"/>
  <c r="R113" i="17"/>
  <c r="H114" i="17"/>
  <c r="U114" i="17"/>
  <c r="K115" i="17"/>
  <c r="L115" i="16"/>
  <c r="L115" i="17" s="1"/>
  <c r="K119" i="17"/>
  <c r="O134" i="17"/>
  <c r="E135" i="17"/>
  <c r="R135" i="17"/>
  <c r="H136" i="17"/>
  <c r="U136" i="17"/>
  <c r="K65" i="17"/>
  <c r="W65" i="17"/>
  <c r="N66" i="17"/>
  <c r="D67" i="17"/>
  <c r="Q67" i="17"/>
  <c r="G68" i="17"/>
  <c r="S68" i="17"/>
  <c r="I69" i="17"/>
  <c r="V69" i="17"/>
  <c r="Y70" i="17"/>
  <c r="O71" i="17"/>
  <c r="E72" i="17"/>
  <c r="R72" i="17"/>
  <c r="H73" i="17"/>
  <c r="U73" i="17"/>
  <c r="K74" i="17"/>
  <c r="W74" i="17"/>
  <c r="N75" i="17"/>
  <c r="D76" i="17"/>
  <c r="Q76" i="17"/>
  <c r="G77" i="17"/>
  <c r="S77" i="17"/>
  <c r="I78" i="17"/>
  <c r="V78" i="17"/>
  <c r="L79" i="16"/>
  <c r="L79" i="17" s="1"/>
  <c r="M79" i="17"/>
  <c r="Y79" i="17"/>
  <c r="O80" i="17"/>
  <c r="E81" i="17"/>
  <c r="R81" i="17"/>
  <c r="H82" i="17"/>
  <c r="U82" i="17"/>
  <c r="K83" i="17"/>
  <c r="W83" i="17"/>
  <c r="N84" i="17"/>
  <c r="D85" i="17"/>
  <c r="Q85" i="17"/>
  <c r="G86" i="17"/>
  <c r="S86" i="17"/>
  <c r="I87" i="17"/>
  <c r="V87" i="17"/>
  <c r="M88" i="17"/>
  <c r="Y88" i="17"/>
  <c r="O89" i="17"/>
  <c r="E90" i="17"/>
  <c r="R90" i="17"/>
  <c r="H91" i="17"/>
  <c r="U91" i="17"/>
  <c r="K92" i="17"/>
  <c r="W92" i="17"/>
  <c r="N93" i="17"/>
  <c r="D94" i="17"/>
  <c r="Q94" i="17"/>
  <c r="G95" i="17"/>
  <c r="S95" i="17"/>
  <c r="I96" i="17"/>
  <c r="V96" i="17"/>
  <c r="L97" i="16"/>
  <c r="L97" i="17" s="1"/>
  <c r="M97" i="17"/>
  <c r="Y97" i="17"/>
  <c r="O98" i="17"/>
  <c r="E99" i="17"/>
  <c r="R99" i="17"/>
  <c r="H100" i="17"/>
  <c r="U100" i="17"/>
  <c r="K101" i="17"/>
  <c r="N102" i="17"/>
  <c r="D103" i="17"/>
  <c r="P103" i="17"/>
  <c r="F104" i="17"/>
  <c r="R104" i="17"/>
  <c r="H105" i="17"/>
  <c r="U105" i="17"/>
  <c r="L106" i="16"/>
  <c r="L106" i="17" s="1"/>
  <c r="K106" i="17"/>
  <c r="X106" i="17"/>
  <c r="N107" i="17"/>
  <c r="D108" i="17"/>
  <c r="Q108" i="17"/>
  <c r="G109" i="17"/>
  <c r="T109" i="17"/>
  <c r="J110" i="17"/>
  <c r="N111" i="17"/>
  <c r="L119" i="17"/>
  <c r="F121" i="17"/>
  <c r="M133" i="17"/>
  <c r="Y133" i="17"/>
  <c r="L137" i="17"/>
  <c r="N79" i="17"/>
  <c r="D80" i="17"/>
  <c r="P80" i="17"/>
  <c r="F81" i="17"/>
  <c r="I82" i="17"/>
  <c r="V82" i="17"/>
  <c r="L83" i="17"/>
  <c r="X83" i="17"/>
  <c r="O84" i="17"/>
  <c r="E85" i="17"/>
  <c r="R85" i="17"/>
  <c r="H86" i="17"/>
  <c r="T86" i="17"/>
  <c r="J87" i="17"/>
  <c r="W87" i="17"/>
  <c r="N88" i="17"/>
  <c r="D89" i="17"/>
  <c r="P89" i="17"/>
  <c r="F90" i="17"/>
  <c r="S90" i="17"/>
  <c r="I91" i="17"/>
  <c r="V91" i="17"/>
  <c r="L92" i="17"/>
  <c r="X92" i="17"/>
  <c r="O93" i="17"/>
  <c r="E94" i="17"/>
  <c r="R94" i="17"/>
  <c r="H95" i="17"/>
  <c r="T95" i="17"/>
  <c r="J96" i="17"/>
  <c r="W96" i="17"/>
  <c r="N97" i="17"/>
  <c r="D98" i="17"/>
  <c r="P98" i="17"/>
  <c r="F99" i="17"/>
  <c r="S99" i="17"/>
  <c r="I100" i="17"/>
  <c r="V100" i="17"/>
  <c r="L101" i="17"/>
  <c r="X101" i="17"/>
  <c r="O102" i="17"/>
  <c r="E103" i="17"/>
  <c r="Q103" i="17"/>
  <c r="G104" i="17"/>
  <c r="S104" i="17"/>
  <c r="I105" i="17"/>
  <c r="V105" i="17"/>
  <c r="M106" i="17"/>
  <c r="Y106" i="17"/>
  <c r="E108" i="17"/>
  <c r="R108" i="17"/>
  <c r="H109" i="17"/>
  <c r="N119" i="17"/>
  <c r="D120" i="17"/>
  <c r="Q120" i="17"/>
  <c r="G121" i="17"/>
  <c r="S121" i="17"/>
  <c r="I122" i="17"/>
  <c r="U122" i="17"/>
  <c r="L123" i="16"/>
  <c r="K123" i="17"/>
  <c r="X123" i="17"/>
  <c r="O124" i="17"/>
  <c r="E125" i="17"/>
  <c r="Q125" i="17"/>
  <c r="G126" i="17"/>
  <c r="T126" i="17"/>
  <c r="V127" i="17"/>
  <c r="L128" i="17"/>
  <c r="X128" i="17"/>
  <c r="O129" i="17"/>
  <c r="E130" i="17"/>
  <c r="R130" i="17"/>
  <c r="H131" i="17"/>
  <c r="T131" i="17"/>
  <c r="J132" i="17"/>
  <c r="W132" i="17"/>
  <c r="P57" i="17"/>
  <c r="F58" i="17"/>
  <c r="S58" i="17"/>
  <c r="I59" i="17"/>
  <c r="U59" i="17"/>
  <c r="L60" i="16"/>
  <c r="L60" i="17" s="1"/>
  <c r="K60" i="17"/>
  <c r="X60" i="17"/>
  <c r="O61" i="17"/>
  <c r="E62" i="17"/>
  <c r="Q62" i="17"/>
  <c r="G63" i="17"/>
  <c r="T63" i="17"/>
  <c r="J64" i="17"/>
  <c r="W64" i="17"/>
  <c r="M65" i="17"/>
  <c r="Y65" i="17"/>
  <c r="P66" i="17"/>
  <c r="F67" i="17"/>
  <c r="S67" i="17"/>
  <c r="I68" i="17"/>
  <c r="U68" i="17"/>
  <c r="L69" i="16"/>
  <c r="K69" i="17"/>
  <c r="X69" i="17"/>
  <c r="O70" i="17"/>
  <c r="E71" i="17"/>
  <c r="Q71" i="17"/>
  <c r="G72" i="17"/>
  <c r="T72" i="17"/>
  <c r="J73" i="17"/>
  <c r="W73" i="17"/>
  <c r="M74" i="17"/>
  <c r="Y74" i="17"/>
  <c r="P75" i="17"/>
  <c r="F76" i="17"/>
  <c r="S76" i="17"/>
  <c r="I77" i="17"/>
  <c r="U77" i="17"/>
  <c r="L78" i="16"/>
  <c r="L78" i="17" s="1"/>
  <c r="K78" i="17"/>
  <c r="X78" i="17"/>
  <c r="O79" i="17"/>
  <c r="E80" i="17"/>
  <c r="Q80" i="17"/>
  <c r="G81" i="17"/>
  <c r="T81" i="17"/>
  <c r="J82" i="17"/>
  <c r="W82" i="17"/>
  <c r="M83" i="17"/>
  <c r="Y83" i="17"/>
  <c r="P84" i="17"/>
  <c r="S85" i="17"/>
  <c r="I86" i="17"/>
  <c r="U86" i="17"/>
  <c r="L87" i="16"/>
  <c r="K87" i="17"/>
  <c r="X87" i="17"/>
  <c r="O88" i="17"/>
  <c r="E89" i="17"/>
  <c r="Q89" i="17"/>
  <c r="G90" i="17"/>
  <c r="T90" i="17"/>
  <c r="J91" i="17"/>
  <c r="W91" i="17"/>
  <c r="M92" i="17"/>
  <c r="Y92" i="17"/>
  <c r="P93" i="17"/>
  <c r="F94" i="17"/>
  <c r="S94" i="17"/>
  <c r="I95" i="17"/>
  <c r="U95" i="17"/>
  <c r="L96" i="16"/>
  <c r="L96" i="17" s="1"/>
  <c r="K96" i="17"/>
  <c r="X96" i="17"/>
  <c r="O97" i="17"/>
  <c r="E98" i="17"/>
  <c r="Q98" i="17"/>
  <c r="G99" i="17"/>
  <c r="T99" i="17"/>
  <c r="J100" i="17"/>
  <c r="W100" i="17"/>
  <c r="M101" i="17"/>
  <c r="Y101" i="17"/>
  <c r="P102" i="17"/>
  <c r="F103" i="17"/>
  <c r="P107" i="17"/>
  <c r="R116" i="17"/>
  <c r="H117" i="17"/>
  <c r="U117" i="17"/>
  <c r="L118" i="16"/>
  <c r="K118" i="17"/>
  <c r="X118" i="17"/>
  <c r="T121" i="17"/>
  <c r="Y128" i="17"/>
  <c r="I131" i="17"/>
  <c r="Q66" i="17"/>
  <c r="G67" i="17"/>
  <c r="T67" i="17"/>
  <c r="J68" i="17"/>
  <c r="V68" i="17"/>
  <c r="M69" i="17"/>
  <c r="Y69" i="17"/>
  <c r="P70" i="17"/>
  <c r="F71" i="17"/>
  <c r="R71" i="17"/>
  <c r="H72" i="17"/>
  <c r="U72" i="17"/>
  <c r="K73" i="17"/>
  <c r="X73" i="17"/>
  <c r="N74" i="17"/>
  <c r="D75" i="17"/>
  <c r="Q75" i="17"/>
  <c r="G76" i="17"/>
  <c r="T76" i="17"/>
  <c r="J77" i="17"/>
  <c r="V77" i="17"/>
  <c r="M78" i="17"/>
  <c r="Y78" i="17"/>
  <c r="P79" i="17"/>
  <c r="F80" i="17"/>
  <c r="R80" i="17"/>
  <c r="H81" i="17"/>
  <c r="U81" i="17"/>
  <c r="L82" i="16"/>
  <c r="L82" i="17" s="1"/>
  <c r="K82" i="17"/>
  <c r="X82" i="17"/>
  <c r="N83" i="17"/>
  <c r="D84" i="17"/>
  <c r="Q84" i="17"/>
  <c r="G85" i="17"/>
  <c r="T85" i="17"/>
  <c r="J86" i="17"/>
  <c r="V86" i="17"/>
  <c r="M87" i="17"/>
  <c r="Y87" i="17"/>
  <c r="P88" i="17"/>
  <c r="F89" i="17"/>
  <c r="R89" i="17"/>
  <c r="H90" i="17"/>
  <c r="U90" i="17"/>
  <c r="K91" i="17"/>
  <c r="X91" i="17"/>
  <c r="N92" i="17"/>
  <c r="D93" i="17"/>
  <c r="Q93" i="17"/>
  <c r="G94" i="17"/>
  <c r="T94" i="17"/>
  <c r="J95" i="17"/>
  <c r="V95" i="17"/>
  <c r="M96" i="17"/>
  <c r="Y96" i="17"/>
  <c r="P97" i="17"/>
  <c r="F98" i="17"/>
  <c r="R98" i="17"/>
  <c r="H99" i="17"/>
  <c r="U99" i="17"/>
  <c r="L100" i="16"/>
  <c r="L100" i="17" s="1"/>
  <c r="K100" i="17"/>
  <c r="X100" i="17"/>
  <c r="D102" i="17"/>
  <c r="X105" i="17"/>
  <c r="J109" i="17"/>
  <c r="Q111" i="17"/>
  <c r="P115" i="17"/>
  <c r="F116" i="17"/>
  <c r="P119" i="17"/>
  <c r="F120" i="17"/>
  <c r="S120" i="17"/>
  <c r="I121" i="17"/>
  <c r="U121" i="17"/>
  <c r="K122" i="17"/>
  <c r="W122" i="17"/>
  <c r="N123" i="17"/>
  <c r="D124" i="17"/>
  <c r="Q124" i="17"/>
  <c r="G125" i="17"/>
  <c r="S125" i="17"/>
  <c r="I126" i="17"/>
  <c r="V126" i="17"/>
  <c r="L127" i="16"/>
  <c r="L127" i="17" s="1"/>
  <c r="X127" i="17"/>
  <c r="N128" i="17"/>
  <c r="D129" i="17"/>
  <c r="Q129" i="17"/>
  <c r="J131" i="17"/>
  <c r="I135" i="17"/>
  <c r="G116" i="17"/>
  <c r="S116" i="17"/>
  <c r="I117" i="17"/>
  <c r="V117" i="17"/>
  <c r="M118" i="17"/>
  <c r="Y118" i="17"/>
  <c r="O119" i="17"/>
  <c r="E120" i="17"/>
  <c r="R120" i="17"/>
  <c r="H121" i="17"/>
  <c r="J122" i="17"/>
  <c r="V122" i="17"/>
  <c r="M123" i="17"/>
  <c r="Y123" i="17"/>
  <c r="P124" i="17"/>
  <c r="F125" i="17"/>
  <c r="R125" i="17"/>
  <c r="H126" i="17"/>
  <c r="U126" i="17"/>
  <c r="K127" i="17"/>
  <c r="W127" i="17"/>
  <c r="M128" i="17"/>
  <c r="P129" i="17"/>
  <c r="F130" i="17"/>
  <c r="S130" i="17"/>
  <c r="U131" i="17"/>
  <c r="L132" i="16"/>
  <c r="L132" i="17" s="1"/>
  <c r="K132" i="17"/>
  <c r="X132" i="17"/>
  <c r="N133" i="17"/>
  <c r="D134" i="17"/>
  <c r="P134" i="17"/>
  <c r="F135" i="17"/>
  <c r="S135" i="17"/>
  <c r="I136" i="17"/>
  <c r="V136" i="17"/>
  <c r="X137" i="17"/>
  <c r="O138" i="17"/>
  <c r="G130" i="17"/>
  <c r="T130" i="17"/>
  <c r="V131" i="17"/>
  <c r="M132" i="17"/>
  <c r="Y132" i="17"/>
  <c r="O133" i="17"/>
  <c r="E134" i="17"/>
  <c r="Q134" i="17"/>
  <c r="G135" i="17"/>
  <c r="T135" i="17"/>
  <c r="J136" i="17"/>
  <c r="W136" i="17"/>
  <c r="M137" i="17"/>
  <c r="Y137" i="17"/>
  <c r="P138" i="17"/>
  <c r="R129" i="17"/>
  <c r="H130" i="17"/>
  <c r="U130" i="17"/>
  <c r="K131" i="17"/>
  <c r="W131" i="17"/>
  <c r="N132" i="17"/>
  <c r="D133" i="17"/>
  <c r="P133" i="17"/>
  <c r="F134" i="17"/>
  <c r="R134" i="17"/>
  <c r="H135" i="17"/>
  <c r="U135" i="17"/>
  <c r="L136" i="16"/>
  <c r="L136" i="17" s="1"/>
  <c r="K136" i="17"/>
  <c r="X136" i="17"/>
  <c r="N137" i="17"/>
  <c r="D138" i="17"/>
  <c r="Q138" i="17"/>
  <c r="X131" i="17"/>
  <c r="O132" i="17"/>
  <c r="E133" i="17"/>
  <c r="Q133" i="17"/>
  <c r="G134" i="17"/>
  <c r="S134" i="17"/>
  <c r="V135" i="17"/>
  <c r="M136" i="17"/>
  <c r="Y136" i="17"/>
  <c r="O137" i="17"/>
  <c r="E138" i="17"/>
  <c r="R138" i="17"/>
  <c r="M126" i="17"/>
  <c r="Y126" i="17"/>
  <c r="O127" i="17"/>
  <c r="E128" i="17"/>
  <c r="Q128" i="17"/>
  <c r="T129" i="17"/>
  <c r="J130" i="17"/>
  <c r="W130" i="17"/>
  <c r="M131" i="17"/>
  <c r="Y131" i="17"/>
  <c r="P132" i="17"/>
  <c r="F133" i="17"/>
  <c r="R133" i="17"/>
  <c r="H134" i="17"/>
  <c r="T134" i="17"/>
  <c r="W135" i="17"/>
  <c r="N136" i="17"/>
  <c r="D137" i="17"/>
  <c r="P137" i="17"/>
  <c r="F138" i="17"/>
  <c r="S138" i="17"/>
  <c r="Q113" i="17"/>
  <c r="G114" i="17"/>
  <c r="T114" i="17"/>
  <c r="V115" i="17"/>
  <c r="X116" i="17"/>
  <c r="E118" i="17"/>
  <c r="R118" i="17"/>
  <c r="H119" i="17"/>
  <c r="T119" i="17"/>
  <c r="J120" i="17"/>
  <c r="W120" i="17"/>
  <c r="Y121" i="17"/>
  <c r="O122" i="17"/>
  <c r="E123" i="17"/>
  <c r="R123" i="17"/>
  <c r="H124" i="17"/>
  <c r="K125" i="17"/>
  <c r="W125" i="17"/>
  <c r="N126" i="17"/>
  <c r="D127" i="17"/>
  <c r="P127" i="17"/>
  <c r="F128" i="17"/>
  <c r="R128" i="17"/>
  <c r="H129" i="17"/>
  <c r="U129" i="17"/>
  <c r="L130" i="16"/>
  <c r="L130" i="17" s="1"/>
  <c r="K130" i="17"/>
  <c r="X130" i="17"/>
  <c r="N131" i="17"/>
  <c r="D132" i="17"/>
  <c r="G133" i="17"/>
  <c r="S133" i="17"/>
  <c r="I134" i="17"/>
  <c r="U134" i="17"/>
  <c r="L135" i="16"/>
  <c r="K135" i="17"/>
  <c r="X135" i="17"/>
  <c r="O136" i="17"/>
  <c r="E137" i="17"/>
  <c r="Q137" i="17"/>
  <c r="G138" i="17"/>
  <c r="T138" i="17"/>
  <c r="U119" i="17"/>
  <c r="L120" i="16"/>
  <c r="L120" i="17" s="1"/>
  <c r="K120" i="17"/>
  <c r="X120" i="17"/>
  <c r="N121" i="17"/>
  <c r="D122" i="17"/>
  <c r="P122" i="17"/>
  <c r="F123" i="17"/>
  <c r="S123" i="17"/>
  <c r="I124" i="17"/>
  <c r="L125" i="17"/>
  <c r="O126" i="17"/>
  <c r="E127" i="17"/>
  <c r="Q127" i="17"/>
  <c r="G128" i="17"/>
  <c r="S128" i="17"/>
  <c r="I129" i="17"/>
  <c r="V129" i="17"/>
  <c r="M130" i="17"/>
  <c r="Y130" i="17"/>
  <c r="O131" i="17"/>
  <c r="E132" i="17"/>
  <c r="R132" i="17"/>
  <c r="H133" i="17"/>
  <c r="T133" i="17"/>
  <c r="J134" i="17"/>
  <c r="M135" i="17"/>
  <c r="Y135" i="17"/>
  <c r="P136" i="17"/>
  <c r="F137" i="17"/>
  <c r="R137" i="17"/>
  <c r="H138" i="17"/>
  <c r="U138" i="17"/>
  <c r="R103" i="17"/>
  <c r="H104" i="17"/>
  <c r="T104" i="17"/>
  <c r="J105" i="17"/>
  <c r="W105" i="17"/>
  <c r="N106" i="17"/>
  <c r="D107" i="17"/>
  <c r="F108" i="17"/>
  <c r="S108" i="17"/>
  <c r="I109" i="17"/>
  <c r="U109" i="17"/>
  <c r="K110" i="17"/>
  <c r="W110" i="17"/>
  <c r="D112" i="17"/>
  <c r="Q112" i="17"/>
  <c r="G113" i="17"/>
  <c r="S113" i="17"/>
  <c r="I114" i="17"/>
  <c r="V114" i="17"/>
  <c r="X115" i="17"/>
  <c r="N116" i="17"/>
  <c r="D117" i="17"/>
  <c r="Q117" i="17"/>
  <c r="G118" i="17"/>
  <c r="T118" i="17"/>
  <c r="V119" i="17"/>
  <c r="M120" i="17"/>
  <c r="Y120" i="17"/>
  <c r="O121" i="17"/>
  <c r="E122" i="17"/>
  <c r="Q122" i="17"/>
  <c r="G123" i="17"/>
  <c r="T123" i="17"/>
  <c r="J124" i="17"/>
  <c r="Y125" i="17"/>
  <c r="P126" i="17"/>
  <c r="F127" i="17"/>
  <c r="H128" i="17"/>
  <c r="T128" i="17"/>
  <c r="J129" i="17"/>
  <c r="W129" i="17"/>
  <c r="N130" i="17"/>
  <c r="D131" i="17"/>
  <c r="F132" i="17"/>
  <c r="S132" i="17"/>
  <c r="I133" i="17"/>
  <c r="U133" i="17"/>
  <c r="K134" i="17"/>
  <c r="W134" i="17"/>
  <c r="N135" i="17"/>
  <c r="D136" i="17"/>
  <c r="Q136" i="17"/>
  <c r="G137" i="17"/>
  <c r="I138" i="17"/>
  <c r="V138" i="17"/>
  <c r="N101" i="17"/>
  <c r="Q102" i="17"/>
  <c r="G103" i="17"/>
  <c r="S103" i="17"/>
  <c r="I104" i="17"/>
  <c r="U104" i="17"/>
  <c r="L105" i="16"/>
  <c r="L105" i="17" s="1"/>
  <c r="K105" i="17"/>
  <c r="O106" i="17"/>
  <c r="E107" i="17"/>
  <c r="Q107" i="17"/>
  <c r="G108" i="17"/>
  <c r="T108" i="17"/>
  <c r="V109" i="17"/>
  <c r="L110" i="16"/>
  <c r="L110" i="17" s="1"/>
  <c r="X110" i="17"/>
  <c r="O111" i="17"/>
  <c r="E112" i="17"/>
  <c r="R112" i="17"/>
  <c r="H113" i="17"/>
  <c r="T113" i="17"/>
  <c r="J114" i="17"/>
  <c r="W114" i="17"/>
  <c r="M115" i="17"/>
  <c r="Y115" i="17"/>
  <c r="O116" i="17"/>
  <c r="E117" i="17"/>
  <c r="R117" i="17"/>
  <c r="H118" i="17"/>
  <c r="U118" i="17"/>
  <c r="W119" i="17"/>
  <c r="N120" i="17"/>
  <c r="D121" i="17"/>
  <c r="P121" i="17"/>
  <c r="F122" i="17"/>
  <c r="R122" i="17"/>
  <c r="H123" i="17"/>
  <c r="U123" i="17"/>
  <c r="L124" i="16"/>
  <c r="K124" i="17"/>
  <c r="X124" i="17"/>
  <c r="N125" i="17"/>
  <c r="D126" i="17"/>
  <c r="Q126" i="17"/>
  <c r="G127" i="17"/>
  <c r="S127" i="17"/>
  <c r="I128" i="17"/>
  <c r="L129" i="16"/>
  <c r="K129" i="17"/>
  <c r="X129" i="17"/>
  <c r="O130" i="17"/>
  <c r="E131" i="17"/>
  <c r="Q131" i="17"/>
  <c r="G132" i="17"/>
  <c r="J133" i="17"/>
  <c r="V133" i="17"/>
  <c r="L134" i="16"/>
  <c r="L134" i="17" s="1"/>
  <c r="E136" i="17"/>
  <c r="R136" i="17"/>
  <c r="H137" i="17"/>
  <c r="T137" i="17"/>
  <c r="J138" i="17"/>
  <c r="T103" i="17"/>
  <c r="J104" i="17"/>
  <c r="V104" i="17"/>
  <c r="M105" i="17"/>
  <c r="Y105" i="17"/>
  <c r="P106" i="17"/>
  <c r="F107" i="17"/>
  <c r="R107" i="17"/>
  <c r="H108" i="17"/>
  <c r="U108" i="17"/>
  <c r="K109" i="17"/>
  <c r="W109" i="17"/>
  <c r="M110" i="17"/>
  <c r="Y110" i="17"/>
  <c r="P111" i="17"/>
  <c r="F112" i="17"/>
  <c r="S112" i="17"/>
  <c r="I113" i="17"/>
  <c r="U113" i="17"/>
  <c r="L114" i="16"/>
  <c r="K114" i="17"/>
  <c r="X114" i="17"/>
  <c r="N115" i="17"/>
  <c r="D116" i="17"/>
  <c r="P116" i="17"/>
  <c r="F117" i="17"/>
  <c r="S117" i="17"/>
  <c r="I118" i="17"/>
  <c r="V118" i="17"/>
  <c r="X119" i="17"/>
  <c r="O120" i="17"/>
  <c r="E121" i="17"/>
  <c r="Q121" i="17"/>
  <c r="G122" i="17"/>
  <c r="S122" i="17"/>
  <c r="V123" i="17"/>
  <c r="M124" i="17"/>
  <c r="Y124" i="17"/>
  <c r="O125" i="17"/>
  <c r="E126" i="17"/>
  <c r="R126" i="17"/>
  <c r="H127" i="17"/>
  <c r="J128" i="17"/>
  <c r="V128" i="17"/>
  <c r="M129" i="17"/>
  <c r="Y129" i="17"/>
  <c r="P130" i="17"/>
  <c r="F131" i="17"/>
  <c r="R131" i="17"/>
  <c r="H132" i="17"/>
  <c r="U132" i="17"/>
  <c r="K133" i="17"/>
  <c r="W133" i="17"/>
  <c r="M134" i="17"/>
  <c r="F136" i="17"/>
  <c r="I137" i="17"/>
  <c r="L138" i="16"/>
  <c r="K138" i="17"/>
  <c r="K104" i="17"/>
  <c r="W104" i="17"/>
  <c r="N105" i="17"/>
  <c r="D106" i="17"/>
  <c r="Q106" i="17"/>
  <c r="G107" i="17"/>
  <c r="S107" i="17"/>
  <c r="I108" i="17"/>
  <c r="V108" i="17"/>
  <c r="X109" i="17"/>
  <c r="N110" i="17"/>
  <c r="D111" i="17"/>
  <c r="G112" i="17"/>
  <c r="T112" i="17"/>
  <c r="J113" i="17"/>
  <c r="V113" i="17"/>
  <c r="M114" i="17"/>
  <c r="Y114" i="17"/>
  <c r="O115" i="17"/>
  <c r="E116" i="17"/>
  <c r="Q116" i="17"/>
  <c r="G117" i="17"/>
  <c r="T117" i="17"/>
  <c r="J118" i="17"/>
  <c r="W118" i="17"/>
  <c r="M119" i="17"/>
  <c r="Y119" i="17"/>
  <c r="P120" i="17"/>
  <c r="R121" i="17"/>
  <c r="H122" i="17"/>
  <c r="T122" i="17"/>
  <c r="J123" i="17"/>
  <c r="W123" i="17"/>
  <c r="N124" i="17"/>
  <c r="D125" i="17"/>
  <c r="P125" i="17"/>
  <c r="F126" i="17"/>
  <c r="S126" i="17"/>
  <c r="I127" i="17"/>
  <c r="U127" i="17"/>
  <c r="K128" i="17"/>
  <c r="W128" i="17"/>
  <c r="N129" i="17"/>
  <c r="D130" i="17"/>
  <c r="Q130" i="17"/>
  <c r="G131" i="17"/>
  <c r="S131" i="17"/>
  <c r="I132" i="17"/>
  <c r="L133" i="16"/>
  <c r="L133" i="17" s="1"/>
  <c r="X133" i="17"/>
  <c r="N134" i="17"/>
  <c r="D135" i="17"/>
  <c r="Q135" i="17"/>
  <c r="G136" i="17"/>
  <c r="T136" i="17"/>
  <c r="J137" i="17"/>
  <c r="V137" i="17"/>
  <c r="M138" i="17"/>
  <c r="K137" i="17"/>
  <c r="N138" i="17"/>
  <c r="R21" i="11"/>
  <c r="Q9" i="11"/>
  <c r="W21" i="11"/>
  <c r="T6" i="12"/>
  <c r="U6" i="12" s="1"/>
  <c r="U6" i="11" s="1"/>
  <c r="R9" i="11"/>
  <c r="Q6" i="11"/>
  <c r="W17" i="11"/>
  <c r="R44" i="11"/>
  <c r="W7" i="11"/>
  <c r="Q15" i="11"/>
  <c r="Q3" i="11"/>
  <c r="W15" i="11"/>
  <c r="W25" i="11"/>
  <c r="Q13" i="11"/>
  <c r="W42" i="11"/>
  <c r="W61" i="11"/>
  <c r="R28" i="11"/>
  <c r="T18" i="11"/>
  <c r="W36" i="11"/>
  <c r="W102" i="11"/>
  <c r="W124" i="11"/>
  <c r="X34" i="12"/>
  <c r="X34" i="11" s="1"/>
  <c r="P7" i="11"/>
  <c r="X2" i="12"/>
  <c r="X2" i="11" s="1"/>
  <c r="X46" i="12"/>
  <c r="X46" i="11" s="1"/>
  <c r="X136" i="12"/>
  <c r="X136" i="11" s="1"/>
  <c r="R3" i="11"/>
  <c r="Q34" i="11"/>
  <c r="Q42" i="11"/>
  <c r="P62" i="11"/>
  <c r="S34" i="11"/>
  <c r="X16" i="12"/>
  <c r="X16" i="11" s="1"/>
  <c r="X118" i="12"/>
  <c r="X118" i="11" s="1"/>
  <c r="P15" i="11"/>
  <c r="T31" i="11"/>
  <c r="R13" i="11"/>
  <c r="R15" i="11"/>
  <c r="W66" i="11"/>
  <c r="T15" i="11"/>
  <c r="Q38" i="11"/>
  <c r="S52" i="11"/>
  <c r="S24" i="12"/>
  <c r="T24" i="12" s="1"/>
  <c r="X64" i="12"/>
  <c r="X64" i="11" s="1"/>
  <c r="R18" i="11"/>
  <c r="Q21" i="11"/>
  <c r="P28" i="11"/>
  <c r="P32" i="11"/>
  <c r="P36" i="11"/>
  <c r="Q92" i="12"/>
  <c r="P92" i="11"/>
  <c r="X63" i="12"/>
  <c r="X63" i="11" s="1"/>
  <c r="W63" i="11"/>
  <c r="X73" i="12"/>
  <c r="X73" i="11" s="1"/>
  <c r="W73" i="11"/>
  <c r="X85" i="12"/>
  <c r="X85" i="11" s="1"/>
  <c r="W85" i="11"/>
  <c r="X95" i="12"/>
  <c r="X95" i="11" s="1"/>
  <c r="W95" i="11"/>
  <c r="X117" i="12"/>
  <c r="X117" i="11" s="1"/>
  <c r="W117" i="11"/>
  <c r="X127" i="12"/>
  <c r="X127" i="11" s="1"/>
  <c r="W127" i="11"/>
  <c r="Q134" i="12"/>
  <c r="P134" i="11"/>
  <c r="Q123" i="12"/>
  <c r="P123" i="11"/>
  <c r="Q112" i="12"/>
  <c r="P112" i="11"/>
  <c r="Q102" i="12"/>
  <c r="P102" i="11"/>
  <c r="Q91" i="12"/>
  <c r="P91" i="11"/>
  <c r="Q81" i="12"/>
  <c r="P81" i="11"/>
  <c r="Q70" i="12"/>
  <c r="P70" i="11"/>
  <c r="Q60" i="12"/>
  <c r="P60" i="11"/>
  <c r="R48" i="12"/>
  <c r="Q48" i="11"/>
  <c r="Q37" i="12"/>
  <c r="P37" i="11"/>
  <c r="Q27" i="12"/>
  <c r="P27" i="11"/>
  <c r="Q17" i="12"/>
  <c r="P17" i="11"/>
  <c r="X74" i="12"/>
  <c r="X74" i="11" s="1"/>
  <c r="W74" i="11"/>
  <c r="X86" i="12"/>
  <c r="X86" i="11" s="1"/>
  <c r="W86" i="11"/>
  <c r="X96" i="12"/>
  <c r="X96" i="11" s="1"/>
  <c r="W96" i="11"/>
  <c r="X106" i="12"/>
  <c r="X106" i="11" s="1"/>
  <c r="W40" i="11"/>
  <c r="Q135" i="12"/>
  <c r="P135" i="11"/>
  <c r="Q71" i="12"/>
  <c r="P71" i="11"/>
  <c r="Q122" i="12"/>
  <c r="P122" i="11"/>
  <c r="Q101" i="12"/>
  <c r="P101" i="11"/>
  <c r="Q8" i="12"/>
  <c r="P8" i="11"/>
  <c r="X43" i="12"/>
  <c r="X43" i="11" s="1"/>
  <c r="W43" i="11"/>
  <c r="R121" i="12"/>
  <c r="Q121" i="11"/>
  <c r="Q68" i="12"/>
  <c r="P68" i="11"/>
  <c r="Q58" i="12"/>
  <c r="P58" i="11"/>
  <c r="Q46" i="12"/>
  <c r="P46" i="11"/>
  <c r="R36" i="12"/>
  <c r="Q36" i="11"/>
  <c r="Q25" i="12"/>
  <c r="P25" i="11"/>
  <c r="T7" i="12"/>
  <c r="S7" i="11"/>
  <c r="X12" i="12"/>
  <c r="X12" i="11" s="1"/>
  <c r="W12" i="11"/>
  <c r="X22" i="12"/>
  <c r="X22" i="11" s="1"/>
  <c r="X33" i="12"/>
  <c r="X33" i="11" s="1"/>
  <c r="W33" i="11"/>
  <c r="X44" i="12"/>
  <c r="X44" i="11" s="1"/>
  <c r="W44" i="11"/>
  <c r="X54" i="12"/>
  <c r="X54" i="11" s="1"/>
  <c r="W54" i="11"/>
  <c r="W76" i="11"/>
  <c r="X76" i="12"/>
  <c r="X76" i="11" s="1"/>
  <c r="X98" i="12"/>
  <c r="X98" i="11" s="1"/>
  <c r="W98" i="11"/>
  <c r="X108" i="12"/>
  <c r="X108" i="11" s="1"/>
  <c r="W108" i="11"/>
  <c r="X119" i="12"/>
  <c r="X119" i="11" s="1"/>
  <c r="W119" i="11"/>
  <c r="W130" i="11"/>
  <c r="X130" i="12"/>
  <c r="X130" i="11" s="1"/>
  <c r="W4" i="11"/>
  <c r="Q7" i="11"/>
  <c r="P74" i="11"/>
  <c r="Q124" i="12"/>
  <c r="P124" i="11"/>
  <c r="W32" i="11"/>
  <c r="Q132" i="12"/>
  <c r="P132" i="11"/>
  <c r="Q120" i="12"/>
  <c r="P120" i="11"/>
  <c r="Q109" i="12"/>
  <c r="P109" i="11"/>
  <c r="R99" i="12"/>
  <c r="Q99" i="11"/>
  <c r="Q89" i="12"/>
  <c r="P89" i="11"/>
  <c r="R67" i="12"/>
  <c r="Q67" i="11"/>
  <c r="Q57" i="12"/>
  <c r="P57" i="11"/>
  <c r="Q45" i="12"/>
  <c r="P45" i="11"/>
  <c r="Q35" i="12"/>
  <c r="P35" i="11"/>
  <c r="U24" i="12"/>
  <c r="U24" i="11" s="1"/>
  <c r="T24" i="11"/>
  <c r="Q16" i="12"/>
  <c r="P16" i="11"/>
  <c r="X13" i="12"/>
  <c r="X13" i="11" s="1"/>
  <c r="W13" i="11"/>
  <c r="X45" i="12"/>
  <c r="X45" i="11" s="1"/>
  <c r="W45" i="11"/>
  <c r="X55" i="12"/>
  <c r="X55" i="11" s="1"/>
  <c r="W55" i="11"/>
  <c r="X77" i="12"/>
  <c r="X77" i="11" s="1"/>
  <c r="W77" i="11"/>
  <c r="X88" i="12"/>
  <c r="X88" i="11" s="1"/>
  <c r="X99" i="12"/>
  <c r="X99" i="11" s="1"/>
  <c r="W99" i="11"/>
  <c r="X109" i="12"/>
  <c r="X109" i="11" s="1"/>
  <c r="W109" i="11"/>
  <c r="X131" i="12"/>
  <c r="X131" i="11" s="1"/>
  <c r="W131" i="11"/>
  <c r="R7" i="11"/>
  <c r="P121" i="11"/>
  <c r="Q119" i="12"/>
  <c r="P119" i="11"/>
  <c r="Q98" i="12"/>
  <c r="P98" i="11"/>
  <c r="Q88" i="12"/>
  <c r="P88" i="11"/>
  <c r="Q78" i="12"/>
  <c r="P78" i="11"/>
  <c r="Q56" i="12"/>
  <c r="P56" i="11"/>
  <c r="X14" i="12"/>
  <c r="X14" i="11" s="1"/>
  <c r="W14" i="11"/>
  <c r="X24" i="12"/>
  <c r="X24" i="11" s="1"/>
  <c r="W24" i="11"/>
  <c r="X67" i="12"/>
  <c r="X67" i="11" s="1"/>
  <c r="W67" i="11"/>
  <c r="X78" i="12"/>
  <c r="X78" i="11" s="1"/>
  <c r="W78" i="11"/>
  <c r="X121" i="12"/>
  <c r="X121" i="11" s="1"/>
  <c r="W121" i="11"/>
  <c r="X132" i="12"/>
  <c r="X132" i="11" s="1"/>
  <c r="W132" i="11"/>
  <c r="W9" i="11"/>
  <c r="P23" i="11"/>
  <c r="P72" i="11"/>
  <c r="Q133" i="12"/>
  <c r="P133" i="11"/>
  <c r="X129" i="12"/>
  <c r="X129" i="11" s="1"/>
  <c r="W129" i="11"/>
  <c r="Q130" i="12"/>
  <c r="P130" i="11"/>
  <c r="Q118" i="12"/>
  <c r="P118" i="11"/>
  <c r="Q108" i="12"/>
  <c r="P108" i="11"/>
  <c r="Q97" i="12"/>
  <c r="P97" i="11"/>
  <c r="Q87" i="12"/>
  <c r="P87" i="11"/>
  <c r="Q77" i="12"/>
  <c r="P77" i="11"/>
  <c r="Q66" i="12"/>
  <c r="P66" i="11"/>
  <c r="Q55" i="12"/>
  <c r="P55" i="11"/>
  <c r="Q43" i="12"/>
  <c r="P43" i="11"/>
  <c r="Q33" i="12"/>
  <c r="P33" i="11"/>
  <c r="R23" i="12"/>
  <c r="Q23" i="11"/>
  <c r="Q5" i="12"/>
  <c r="P5" i="11"/>
  <c r="X57" i="12"/>
  <c r="X57" i="11" s="1"/>
  <c r="W57" i="11"/>
  <c r="X68" i="12"/>
  <c r="X68" i="11" s="1"/>
  <c r="W68" i="11"/>
  <c r="X90" i="12"/>
  <c r="X90" i="11" s="1"/>
  <c r="W90" i="11"/>
  <c r="X111" i="12"/>
  <c r="X111" i="11" s="1"/>
  <c r="W111" i="11"/>
  <c r="X122" i="12"/>
  <c r="X122" i="11" s="1"/>
  <c r="W122" i="11"/>
  <c r="P11" i="11"/>
  <c r="P48" i="11"/>
  <c r="P50" i="11"/>
  <c r="P51" i="11"/>
  <c r="Q111" i="12"/>
  <c r="P111" i="11"/>
  <c r="Q80" i="12"/>
  <c r="P80" i="11"/>
  <c r="Q47" i="12"/>
  <c r="P47" i="11"/>
  <c r="Q26" i="12"/>
  <c r="P26" i="11"/>
  <c r="X75" i="12"/>
  <c r="X75" i="11" s="1"/>
  <c r="W75" i="11"/>
  <c r="Q2" i="12"/>
  <c r="Q129" i="12"/>
  <c r="P129" i="11"/>
  <c r="Q117" i="12"/>
  <c r="P117" i="11"/>
  <c r="Q107" i="12"/>
  <c r="P107" i="11"/>
  <c r="Q86" i="12"/>
  <c r="P86" i="11"/>
  <c r="Q76" i="12"/>
  <c r="P76" i="11"/>
  <c r="Q54" i="12"/>
  <c r="P54" i="11"/>
  <c r="T42" i="12"/>
  <c r="S42" i="11"/>
  <c r="R32" i="12"/>
  <c r="Q32" i="11"/>
  <c r="Q22" i="12"/>
  <c r="P22" i="11"/>
  <c r="Q14" i="12"/>
  <c r="P14" i="11"/>
  <c r="Q4" i="12"/>
  <c r="P4" i="11"/>
  <c r="X26" i="12"/>
  <c r="X26" i="11" s="1"/>
  <c r="W26" i="11"/>
  <c r="X47" i="12"/>
  <c r="X47" i="11" s="1"/>
  <c r="W47" i="11"/>
  <c r="W58" i="11"/>
  <c r="X58" i="12"/>
  <c r="X58" i="11" s="1"/>
  <c r="X80" i="12"/>
  <c r="X80" i="11" s="1"/>
  <c r="W80" i="11"/>
  <c r="X91" i="12"/>
  <c r="X91" i="11" s="1"/>
  <c r="W91" i="11"/>
  <c r="X101" i="12"/>
  <c r="X101" i="11" s="1"/>
  <c r="W101" i="11"/>
  <c r="X112" i="12"/>
  <c r="X112" i="11" s="1"/>
  <c r="W112" i="11"/>
  <c r="P19" i="11"/>
  <c r="Q113" i="12"/>
  <c r="P113" i="11"/>
  <c r="Q82" i="12"/>
  <c r="P82" i="11"/>
  <c r="Q49" i="12"/>
  <c r="P49" i="11"/>
  <c r="Q128" i="12"/>
  <c r="P128" i="11"/>
  <c r="Q64" i="12"/>
  <c r="P64" i="11"/>
  <c r="Q53" i="12"/>
  <c r="P53" i="11"/>
  <c r="X27" i="12"/>
  <c r="X27" i="11" s="1"/>
  <c r="W27" i="11"/>
  <c r="X37" i="12"/>
  <c r="X37" i="11" s="1"/>
  <c r="W37" i="11"/>
  <c r="X59" i="12"/>
  <c r="X59" i="11" s="1"/>
  <c r="W59" i="11"/>
  <c r="X81" i="12"/>
  <c r="X81" i="11" s="1"/>
  <c r="W81" i="11"/>
  <c r="X135" i="12"/>
  <c r="X135" i="11" s="1"/>
  <c r="W135" i="11"/>
  <c r="Q138" i="12"/>
  <c r="P138" i="11"/>
  <c r="Q127" i="12"/>
  <c r="P127" i="11"/>
  <c r="Q115" i="12"/>
  <c r="P115" i="11"/>
  <c r="Q105" i="12"/>
  <c r="P105" i="11"/>
  <c r="Q95" i="12"/>
  <c r="P95" i="11"/>
  <c r="R74" i="12"/>
  <c r="Q74" i="11"/>
  <c r="Q63" i="12"/>
  <c r="P63" i="11"/>
  <c r="Q41" i="12"/>
  <c r="P41" i="11"/>
  <c r="Q12" i="12"/>
  <c r="P12" i="11"/>
  <c r="X6" i="12"/>
  <c r="X6" i="11" s="1"/>
  <c r="W6" i="11"/>
  <c r="X49" i="12"/>
  <c r="X49" i="11" s="1"/>
  <c r="W49" i="11"/>
  <c r="X60" i="12"/>
  <c r="X60" i="11" s="1"/>
  <c r="W60" i="11"/>
  <c r="X70" i="12"/>
  <c r="X70" i="11" s="1"/>
  <c r="X114" i="12"/>
  <c r="X114" i="11" s="1"/>
  <c r="W114" i="11"/>
  <c r="W3" i="11"/>
  <c r="W5" i="11"/>
  <c r="W23" i="11"/>
  <c r="S24" i="11"/>
  <c r="W53" i="11"/>
  <c r="P67" i="11"/>
  <c r="Q126" i="12"/>
  <c r="P126" i="11"/>
  <c r="Q104" i="12"/>
  <c r="P104" i="11"/>
  <c r="Q94" i="12"/>
  <c r="P94" i="11"/>
  <c r="Q84" i="12"/>
  <c r="P84" i="11"/>
  <c r="Q73" i="12"/>
  <c r="P73" i="11"/>
  <c r="R51" i="12"/>
  <c r="Q51" i="11"/>
  <c r="R40" i="12"/>
  <c r="Q40" i="11"/>
  <c r="Q30" i="12"/>
  <c r="P30" i="11"/>
  <c r="Q20" i="12"/>
  <c r="P20" i="11"/>
  <c r="R11" i="12"/>
  <c r="Q11" i="11"/>
  <c r="X18" i="12"/>
  <c r="X18" i="11" s="1"/>
  <c r="W18" i="11"/>
  <c r="X39" i="12"/>
  <c r="X39" i="11" s="1"/>
  <c r="W39" i="11"/>
  <c r="X50" i="12"/>
  <c r="X50" i="11" s="1"/>
  <c r="W50" i="11"/>
  <c r="X83" i="12"/>
  <c r="X83" i="11" s="1"/>
  <c r="W83" i="11"/>
  <c r="X104" i="12"/>
  <c r="X104" i="11" s="1"/>
  <c r="W104" i="11"/>
  <c r="X115" i="12"/>
  <c r="X115" i="11" s="1"/>
  <c r="W115" i="11"/>
  <c r="X125" i="12"/>
  <c r="X125" i="11" s="1"/>
  <c r="W125" i="11"/>
  <c r="W11" i="11"/>
  <c r="P99" i="11"/>
  <c r="Q136" i="12"/>
  <c r="P136" i="11"/>
  <c r="Q125" i="12"/>
  <c r="P125" i="11"/>
  <c r="Q114" i="12"/>
  <c r="P114" i="11"/>
  <c r="Q103" i="12"/>
  <c r="P103" i="11"/>
  <c r="Q93" i="12"/>
  <c r="P93" i="11"/>
  <c r="Q83" i="12"/>
  <c r="P83" i="11"/>
  <c r="R72" i="12"/>
  <c r="Q72" i="11"/>
  <c r="Q61" i="12"/>
  <c r="P61" i="11"/>
  <c r="R50" i="12"/>
  <c r="Q50" i="11"/>
  <c r="Q39" i="12"/>
  <c r="P39" i="11"/>
  <c r="R29" i="12"/>
  <c r="Q29" i="11"/>
  <c r="R19" i="12"/>
  <c r="Q19" i="11"/>
  <c r="Q10" i="12"/>
  <c r="P10" i="11"/>
  <c r="X8" i="12"/>
  <c r="X8" i="11" s="1"/>
  <c r="W8" i="11"/>
  <c r="X29" i="12"/>
  <c r="X29" i="11" s="1"/>
  <c r="W29" i="11"/>
  <c r="X84" i="12"/>
  <c r="X84" i="11" s="1"/>
  <c r="W84" i="11"/>
  <c r="X94" i="12"/>
  <c r="X94" i="11" s="1"/>
  <c r="X105" i="12"/>
  <c r="X105" i="11" s="1"/>
  <c r="W105" i="11"/>
  <c r="X116" i="12"/>
  <c r="X116" i="11" s="1"/>
  <c r="W116" i="11"/>
  <c r="X126" i="12"/>
  <c r="X126" i="11" s="1"/>
  <c r="W126" i="11"/>
  <c r="X137" i="12"/>
  <c r="X137" i="11" s="1"/>
  <c r="W137" i="11"/>
  <c r="W19" i="11"/>
  <c r="P29" i="11"/>
  <c r="P40" i="11"/>
  <c r="W65" i="11"/>
  <c r="S62" i="12"/>
  <c r="R62" i="11"/>
  <c r="X79" i="12"/>
  <c r="X79" i="11" s="1"/>
  <c r="W79" i="11"/>
  <c r="X89" i="12"/>
  <c r="X89" i="11" s="1"/>
  <c r="W89" i="11"/>
  <c r="X110" i="12"/>
  <c r="X110" i="11" s="1"/>
  <c r="W110" i="11"/>
  <c r="P9" i="11"/>
  <c r="P13" i="11"/>
  <c r="S18" i="11"/>
  <c r="P21" i="11"/>
  <c r="Q28" i="11"/>
  <c r="W30" i="11"/>
  <c r="W38" i="11"/>
  <c r="S44" i="11"/>
  <c r="Q62" i="11"/>
  <c r="W120" i="11"/>
  <c r="T44" i="11"/>
  <c r="W48" i="11"/>
  <c r="W51" i="11"/>
  <c r="S28" i="11"/>
  <c r="P31" i="11"/>
  <c r="P65" i="11"/>
  <c r="W69" i="11"/>
  <c r="X71" i="12"/>
  <c r="X71" i="11" s="1"/>
  <c r="W71" i="11"/>
  <c r="X92" i="12"/>
  <c r="X92" i="11" s="1"/>
  <c r="W92" i="11"/>
  <c r="X123" i="12"/>
  <c r="X123" i="11" s="1"/>
  <c r="W123" i="11"/>
  <c r="X133" i="12"/>
  <c r="X133" i="11" s="1"/>
  <c r="W133" i="11"/>
  <c r="S9" i="11"/>
  <c r="S13" i="11"/>
  <c r="S21" i="11"/>
  <c r="P24" i="11"/>
  <c r="T28" i="11"/>
  <c r="Q31" i="11"/>
  <c r="W41" i="11"/>
  <c r="P52" i="11"/>
  <c r="W62" i="11"/>
  <c r="P75" i="11"/>
  <c r="Q131" i="12"/>
  <c r="P131" i="11"/>
  <c r="Q110" i="12"/>
  <c r="P110" i="11"/>
  <c r="Q100" i="12"/>
  <c r="P100" i="11"/>
  <c r="Q90" i="12"/>
  <c r="P90" i="11"/>
  <c r="Q79" i="12"/>
  <c r="P79" i="11"/>
  <c r="R69" i="12"/>
  <c r="Q69" i="11"/>
  <c r="U59" i="12"/>
  <c r="U59" i="11" s="1"/>
  <c r="T59" i="11"/>
  <c r="X10" i="12"/>
  <c r="X10" i="11" s="1"/>
  <c r="X82" i="12"/>
  <c r="X82" i="11" s="1"/>
  <c r="X93" i="12"/>
  <c r="X93" i="11" s="1"/>
  <c r="W93" i="11"/>
  <c r="X103" i="12"/>
  <c r="X103" i="11" s="1"/>
  <c r="W103" i="11"/>
  <c r="X113" i="12"/>
  <c r="X113" i="11" s="1"/>
  <c r="W113" i="11"/>
  <c r="X134" i="12"/>
  <c r="X134" i="11" s="1"/>
  <c r="W134" i="11"/>
  <c r="T9" i="11"/>
  <c r="T13" i="11"/>
  <c r="T21" i="11"/>
  <c r="Q24" i="11"/>
  <c r="R31" i="11"/>
  <c r="Q52" i="11"/>
  <c r="Q75" i="11"/>
  <c r="S31" i="11"/>
  <c r="P34" i="11"/>
  <c r="P38" i="11"/>
  <c r="P42" i="11"/>
  <c r="R52" i="11"/>
  <c r="W72" i="11"/>
  <c r="R75" i="11"/>
  <c r="W87" i="11"/>
  <c r="R34" i="11"/>
  <c r="R38" i="11"/>
  <c r="T52" i="11"/>
  <c r="W56" i="11"/>
  <c r="P59" i="11"/>
  <c r="S38" i="11"/>
  <c r="Q59" i="11"/>
  <c r="Q137" i="12"/>
  <c r="P137" i="11"/>
  <c r="Q116" i="12"/>
  <c r="P116" i="11"/>
  <c r="Q106" i="12"/>
  <c r="P106" i="11"/>
  <c r="Q96" i="12"/>
  <c r="P96" i="11"/>
  <c r="Q85" i="12"/>
  <c r="P85" i="11"/>
  <c r="T75" i="12"/>
  <c r="S75" i="11"/>
  <c r="R65" i="12"/>
  <c r="Q65" i="11"/>
  <c r="X97" i="12"/>
  <c r="X97" i="11" s="1"/>
  <c r="W97" i="11"/>
  <c r="X107" i="12"/>
  <c r="X107" i="11" s="1"/>
  <c r="W107" i="11"/>
  <c r="X138" i="12"/>
  <c r="X138" i="11" s="1"/>
  <c r="W138" i="11"/>
  <c r="S3" i="11"/>
  <c r="P6" i="11"/>
  <c r="S15" i="11"/>
  <c r="P18" i="11"/>
  <c r="W31" i="11"/>
  <c r="T34" i="11"/>
  <c r="W35" i="11"/>
  <c r="T38" i="11"/>
  <c r="P44" i="11"/>
  <c r="R59" i="11"/>
  <c r="Q18" i="11"/>
  <c r="W20" i="11"/>
  <c r="Q44" i="11"/>
  <c r="S59" i="11"/>
  <c r="P69" i="11"/>
  <c r="W128" i="11"/>
  <c r="AA108" i="12"/>
  <c r="AB108" i="12" s="1"/>
  <c r="AC108" i="12" s="1"/>
  <c r="AD108" i="12" s="1"/>
  <c r="AE108" i="12" s="1"/>
  <c r="AF108" i="12" s="1"/>
  <c r="AG108" i="12" s="1"/>
  <c r="AH108" i="12" s="1"/>
  <c r="AI108" i="12" s="1"/>
  <c r="L44" i="17" l="1"/>
  <c r="L24" i="17"/>
  <c r="L91" i="17"/>
  <c r="L5" i="17"/>
  <c r="L68" i="17"/>
  <c r="L47" i="17"/>
  <c r="L118" i="17"/>
  <c r="L88" i="17"/>
  <c r="L126" i="17"/>
  <c r="L25" i="17"/>
  <c r="L103" i="17"/>
  <c r="L123" i="17"/>
  <c r="L22" i="17"/>
  <c r="L73" i="17"/>
  <c r="L51" i="17"/>
  <c r="L124" i="17"/>
  <c r="L30" i="17"/>
  <c r="L58" i="17"/>
  <c r="L129" i="17"/>
  <c r="L69" i="17"/>
  <c r="L7" i="17"/>
  <c r="L28" i="17"/>
  <c r="L15" i="17"/>
  <c r="L43" i="17"/>
  <c r="L16" i="17"/>
  <c r="L107" i="17"/>
  <c r="L57" i="17"/>
  <c r="L93" i="17"/>
  <c r="L19" i="17"/>
  <c r="L135" i="17"/>
  <c r="L80" i="17"/>
  <c r="L138" i="17"/>
  <c r="L112" i="17"/>
  <c r="L52" i="17"/>
  <c r="L48" i="17"/>
  <c r="L3" i="17"/>
  <c r="L67" i="17"/>
  <c r="L42" i="17"/>
  <c r="L114" i="17"/>
  <c r="L81" i="17"/>
  <c r="L87" i="17"/>
  <c r="L66" i="17"/>
  <c r="L27" i="17"/>
  <c r="L99" i="17"/>
  <c r="L109" i="17"/>
  <c r="L49" i="17"/>
  <c r="L54" i="17"/>
  <c r="L10" i="17"/>
  <c r="L72" i="17"/>
  <c r="L37" i="17"/>
  <c r="L90" i="17"/>
  <c r="L21" i="17"/>
  <c r="L45" i="17"/>
  <c r="L63" i="17"/>
  <c r="L39" i="17"/>
  <c r="T6" i="11"/>
  <c r="S74" i="12"/>
  <c r="R74" i="11"/>
  <c r="R64" i="12"/>
  <c r="Q64" i="11"/>
  <c r="R5" i="12"/>
  <c r="Q5" i="11"/>
  <c r="R77" i="12"/>
  <c r="Q77" i="11"/>
  <c r="S99" i="12"/>
  <c r="R99" i="11"/>
  <c r="R25" i="12"/>
  <c r="Q25" i="11"/>
  <c r="R37" i="12"/>
  <c r="Q37" i="11"/>
  <c r="R102" i="12"/>
  <c r="Q102" i="11"/>
  <c r="R137" i="12"/>
  <c r="Q137" i="11"/>
  <c r="R61" i="12"/>
  <c r="Q61" i="11"/>
  <c r="R125" i="12"/>
  <c r="Q125" i="11"/>
  <c r="R30" i="12"/>
  <c r="Q30" i="11"/>
  <c r="R54" i="12"/>
  <c r="Q54" i="11"/>
  <c r="R10" i="12"/>
  <c r="Q10" i="11"/>
  <c r="R72" i="11"/>
  <c r="S72" i="12"/>
  <c r="R136" i="12"/>
  <c r="Q136" i="11"/>
  <c r="R4" i="12"/>
  <c r="Q4" i="11"/>
  <c r="R76" i="12"/>
  <c r="Q76" i="11"/>
  <c r="R98" i="12"/>
  <c r="Q98" i="11"/>
  <c r="S65" i="12"/>
  <c r="R65" i="11"/>
  <c r="R79" i="12"/>
  <c r="Q79" i="11"/>
  <c r="S40" i="12"/>
  <c r="R40" i="11"/>
  <c r="R126" i="12"/>
  <c r="Q126" i="11"/>
  <c r="R95" i="12"/>
  <c r="Q95" i="11"/>
  <c r="R128" i="12"/>
  <c r="Q128" i="11"/>
  <c r="R26" i="12"/>
  <c r="Q26" i="11"/>
  <c r="S23" i="12"/>
  <c r="R23" i="11"/>
  <c r="R87" i="12"/>
  <c r="Q87" i="11"/>
  <c r="R133" i="12"/>
  <c r="Q133" i="11"/>
  <c r="R35" i="12"/>
  <c r="Q35" i="11"/>
  <c r="R109" i="12"/>
  <c r="Q109" i="11"/>
  <c r="R36" i="11"/>
  <c r="S36" i="12"/>
  <c r="R8" i="12"/>
  <c r="Q8" i="11"/>
  <c r="R48" i="11"/>
  <c r="S48" i="12"/>
  <c r="R112" i="12"/>
  <c r="Q112" i="11"/>
  <c r="U75" i="12"/>
  <c r="U75" i="11" s="1"/>
  <c r="T75" i="11"/>
  <c r="S19" i="12"/>
  <c r="R19" i="11"/>
  <c r="S51" i="12"/>
  <c r="R51" i="11"/>
  <c r="R14" i="12"/>
  <c r="Q14" i="11"/>
  <c r="R86" i="12"/>
  <c r="Q86" i="11"/>
  <c r="R119" i="12"/>
  <c r="Q119" i="11"/>
  <c r="R88" i="12"/>
  <c r="Q88" i="11"/>
  <c r="R85" i="12"/>
  <c r="Q85" i="11"/>
  <c r="R90" i="12"/>
  <c r="Q90" i="11"/>
  <c r="R83" i="12"/>
  <c r="Q83" i="11"/>
  <c r="T62" i="12"/>
  <c r="S62" i="11"/>
  <c r="R105" i="12"/>
  <c r="Q105" i="11"/>
  <c r="R49" i="12"/>
  <c r="Q49" i="11"/>
  <c r="R47" i="12"/>
  <c r="Q47" i="11"/>
  <c r="R33" i="12"/>
  <c r="Q33" i="11"/>
  <c r="R97" i="12"/>
  <c r="Q97" i="11"/>
  <c r="R45" i="12"/>
  <c r="Q45" i="11"/>
  <c r="R120" i="12"/>
  <c r="Q120" i="11"/>
  <c r="R46" i="12"/>
  <c r="Q46" i="11"/>
  <c r="R101" i="12"/>
  <c r="Q101" i="11"/>
  <c r="R60" i="12"/>
  <c r="Q60" i="11"/>
  <c r="R123" i="12"/>
  <c r="Q123" i="11"/>
  <c r="S69" i="12"/>
  <c r="R69" i="11"/>
  <c r="R104" i="12"/>
  <c r="Q104" i="11"/>
  <c r="R96" i="12"/>
  <c r="Q96" i="11"/>
  <c r="R100" i="12"/>
  <c r="Q100" i="11"/>
  <c r="S29" i="12"/>
  <c r="R29" i="11"/>
  <c r="R93" i="12"/>
  <c r="Q93" i="11"/>
  <c r="R73" i="12"/>
  <c r="Q73" i="11"/>
  <c r="R22" i="12"/>
  <c r="Q22" i="11"/>
  <c r="R107" i="12"/>
  <c r="Q107" i="11"/>
  <c r="R57" i="12"/>
  <c r="Q57" i="11"/>
  <c r="R132" i="12"/>
  <c r="Q132" i="11"/>
  <c r="R58" i="12"/>
  <c r="Q58" i="11"/>
  <c r="R122" i="12"/>
  <c r="Q122" i="11"/>
  <c r="R70" i="12"/>
  <c r="Q70" i="11"/>
  <c r="R134" i="12"/>
  <c r="Q134" i="11"/>
  <c r="R82" i="12"/>
  <c r="Q82" i="11"/>
  <c r="R43" i="12"/>
  <c r="Q43" i="11"/>
  <c r="R108" i="12"/>
  <c r="Q108" i="11"/>
  <c r="R106" i="12"/>
  <c r="Q106" i="11"/>
  <c r="R84" i="12"/>
  <c r="Q84" i="11"/>
  <c r="S32" i="12"/>
  <c r="R32" i="11"/>
  <c r="R56" i="12"/>
  <c r="Q56" i="11"/>
  <c r="R80" i="12"/>
  <c r="Q80" i="11"/>
  <c r="R110" i="12"/>
  <c r="Q110" i="11"/>
  <c r="R39" i="12"/>
  <c r="Q39" i="11"/>
  <c r="R103" i="12"/>
  <c r="Q103" i="11"/>
  <c r="S11" i="12"/>
  <c r="R11" i="11"/>
  <c r="R117" i="12"/>
  <c r="Q117" i="11"/>
  <c r="R41" i="12"/>
  <c r="Q41" i="11"/>
  <c r="R127" i="12"/>
  <c r="Q127" i="11"/>
  <c r="R113" i="12"/>
  <c r="Q113" i="11"/>
  <c r="R111" i="12"/>
  <c r="Q111" i="11"/>
  <c r="R55" i="12"/>
  <c r="Q55" i="11"/>
  <c r="R118" i="12"/>
  <c r="Q118" i="11"/>
  <c r="S67" i="12"/>
  <c r="R67" i="11"/>
  <c r="R68" i="12"/>
  <c r="Q68" i="11"/>
  <c r="R71" i="12"/>
  <c r="Q71" i="11"/>
  <c r="R17" i="12"/>
  <c r="Q17" i="11"/>
  <c r="R81" i="12"/>
  <c r="Q81" i="11"/>
  <c r="R92" i="12"/>
  <c r="Q92" i="11"/>
  <c r="R114" i="12"/>
  <c r="Q114" i="11"/>
  <c r="U42" i="12"/>
  <c r="U42" i="11" s="1"/>
  <c r="T42" i="11"/>
  <c r="R78" i="12"/>
  <c r="Q78" i="11"/>
  <c r="R12" i="12"/>
  <c r="Q12" i="11"/>
  <c r="R115" i="12"/>
  <c r="Q115" i="11"/>
  <c r="R116" i="12"/>
  <c r="Q116" i="11"/>
  <c r="R131" i="12"/>
  <c r="Q131" i="11"/>
  <c r="S50" i="12"/>
  <c r="R50" i="11"/>
  <c r="R20" i="12"/>
  <c r="Q20" i="11"/>
  <c r="R94" i="12"/>
  <c r="Q94" i="11"/>
  <c r="R129" i="12"/>
  <c r="Q129" i="11"/>
  <c r="R63" i="12"/>
  <c r="Q63" i="11"/>
  <c r="R138" i="12"/>
  <c r="Q138" i="11"/>
  <c r="R53" i="12"/>
  <c r="Q53" i="11"/>
  <c r="R2" i="12"/>
  <c r="Q2" i="11"/>
  <c r="R66" i="12"/>
  <c r="Q66" i="11"/>
  <c r="R130" i="12"/>
  <c r="Q130" i="11"/>
  <c r="R16" i="12"/>
  <c r="Q16" i="11"/>
  <c r="R89" i="12"/>
  <c r="Q89" i="11"/>
  <c r="R124" i="12"/>
  <c r="Q124" i="11"/>
  <c r="U7" i="12"/>
  <c r="U7" i="11" s="1"/>
  <c r="T7" i="11"/>
  <c r="S121" i="12"/>
  <c r="R121" i="11"/>
  <c r="R135" i="12"/>
  <c r="Q135" i="11"/>
  <c r="R27" i="12"/>
  <c r="Q27" i="11"/>
  <c r="R91" i="12"/>
  <c r="Q91" i="11"/>
  <c r="S135" i="12" l="1"/>
  <c r="R135" i="11"/>
  <c r="S130" i="12"/>
  <c r="R130" i="11"/>
  <c r="S129" i="12"/>
  <c r="R129" i="11"/>
  <c r="S115" i="12"/>
  <c r="R115" i="11"/>
  <c r="S81" i="12"/>
  <c r="R81" i="11"/>
  <c r="S55" i="12"/>
  <c r="R55" i="11"/>
  <c r="T11" i="12"/>
  <c r="S11" i="11"/>
  <c r="T32" i="12"/>
  <c r="S32" i="11"/>
  <c r="S134" i="12"/>
  <c r="R134" i="11"/>
  <c r="S107" i="12"/>
  <c r="R107" i="11"/>
  <c r="R96" i="11"/>
  <c r="S96" i="12"/>
  <c r="S46" i="12"/>
  <c r="R46" i="11"/>
  <c r="S49" i="12"/>
  <c r="R49" i="11"/>
  <c r="S88" i="12"/>
  <c r="R88" i="11"/>
  <c r="S35" i="12"/>
  <c r="R35" i="11"/>
  <c r="S95" i="12"/>
  <c r="R95" i="11"/>
  <c r="S76" i="12"/>
  <c r="R76" i="11"/>
  <c r="R30" i="11"/>
  <c r="S30" i="12"/>
  <c r="S25" i="12"/>
  <c r="R25" i="11"/>
  <c r="T121" i="12"/>
  <c r="S121" i="11"/>
  <c r="R66" i="11"/>
  <c r="S66" i="12"/>
  <c r="S94" i="12"/>
  <c r="R94" i="11"/>
  <c r="S12" i="12"/>
  <c r="R12" i="11"/>
  <c r="S17" i="12"/>
  <c r="R17" i="11"/>
  <c r="S111" i="12"/>
  <c r="R111" i="11"/>
  <c r="S103" i="12"/>
  <c r="R103" i="11"/>
  <c r="R84" i="11"/>
  <c r="S84" i="12"/>
  <c r="S70" i="12"/>
  <c r="R70" i="11"/>
  <c r="S22" i="12"/>
  <c r="R22" i="11"/>
  <c r="S104" i="12"/>
  <c r="R104" i="11"/>
  <c r="R120" i="11"/>
  <c r="S120" i="12"/>
  <c r="S105" i="12"/>
  <c r="R105" i="11"/>
  <c r="S119" i="12"/>
  <c r="R119" i="11"/>
  <c r="S112" i="12"/>
  <c r="R112" i="11"/>
  <c r="S133" i="12"/>
  <c r="R133" i="11"/>
  <c r="R126" i="11"/>
  <c r="S126" i="12"/>
  <c r="S4" i="12"/>
  <c r="R4" i="11"/>
  <c r="S125" i="12"/>
  <c r="R125" i="11"/>
  <c r="T99" i="12"/>
  <c r="S99" i="11"/>
  <c r="T48" i="12"/>
  <c r="S48" i="11"/>
  <c r="S2" i="12"/>
  <c r="R2" i="11"/>
  <c r="S20" i="12"/>
  <c r="R20" i="11"/>
  <c r="R78" i="11"/>
  <c r="S78" i="12"/>
  <c r="S71" i="12"/>
  <c r="R71" i="11"/>
  <c r="S113" i="12"/>
  <c r="R113" i="11"/>
  <c r="S39" i="12"/>
  <c r="R39" i="11"/>
  <c r="S106" i="12"/>
  <c r="R106" i="11"/>
  <c r="S122" i="12"/>
  <c r="R122" i="11"/>
  <c r="S73" i="12"/>
  <c r="R73" i="11"/>
  <c r="T69" i="12"/>
  <c r="S69" i="11"/>
  <c r="S45" i="12"/>
  <c r="R45" i="11"/>
  <c r="U62" i="12"/>
  <c r="U62" i="11" s="1"/>
  <c r="T62" i="11"/>
  <c r="S86" i="12"/>
  <c r="R86" i="11"/>
  <c r="S87" i="12"/>
  <c r="R87" i="11"/>
  <c r="T40" i="12"/>
  <c r="S40" i="11"/>
  <c r="S136" i="12"/>
  <c r="R136" i="11"/>
  <c r="S61" i="12"/>
  <c r="R61" i="11"/>
  <c r="S77" i="12"/>
  <c r="R77" i="11"/>
  <c r="T72" i="12"/>
  <c r="S72" i="11"/>
  <c r="S124" i="12"/>
  <c r="R124" i="11"/>
  <c r="S53" i="12"/>
  <c r="R53" i="11"/>
  <c r="T50" i="12"/>
  <c r="S50" i="11"/>
  <c r="S68" i="12"/>
  <c r="R68" i="11"/>
  <c r="S127" i="12"/>
  <c r="R127" i="11"/>
  <c r="S110" i="12"/>
  <c r="R110" i="11"/>
  <c r="R108" i="11"/>
  <c r="S108" i="12"/>
  <c r="S58" i="12"/>
  <c r="R58" i="11"/>
  <c r="S93" i="12"/>
  <c r="R93" i="11"/>
  <c r="S123" i="12"/>
  <c r="R123" i="11"/>
  <c r="S97" i="12"/>
  <c r="R97" i="11"/>
  <c r="S83" i="12"/>
  <c r="R83" i="11"/>
  <c r="S14" i="12"/>
  <c r="R14" i="11"/>
  <c r="S8" i="12"/>
  <c r="R8" i="11"/>
  <c r="T23" i="12"/>
  <c r="S23" i="11"/>
  <c r="S79" i="12"/>
  <c r="R79" i="11"/>
  <c r="S137" i="12"/>
  <c r="R137" i="11"/>
  <c r="S5" i="12"/>
  <c r="R5" i="11"/>
  <c r="T36" i="12"/>
  <c r="S36" i="11"/>
  <c r="S91" i="12"/>
  <c r="R91" i="11"/>
  <c r="S89" i="12"/>
  <c r="R89" i="11"/>
  <c r="R138" i="11"/>
  <c r="S138" i="12"/>
  <c r="S131" i="12"/>
  <c r="R131" i="11"/>
  <c r="R114" i="11"/>
  <c r="S114" i="12"/>
  <c r="T67" i="12"/>
  <c r="S67" i="11"/>
  <c r="S41" i="12"/>
  <c r="R41" i="11"/>
  <c r="S80" i="12"/>
  <c r="R80" i="11"/>
  <c r="S43" i="12"/>
  <c r="R43" i="11"/>
  <c r="R132" i="11"/>
  <c r="S132" i="12"/>
  <c r="T29" i="12"/>
  <c r="S29" i="11"/>
  <c r="R60" i="11"/>
  <c r="S60" i="12"/>
  <c r="S33" i="12"/>
  <c r="R33" i="11"/>
  <c r="R90" i="11"/>
  <c r="S90" i="12"/>
  <c r="T51" i="12"/>
  <c r="S51" i="11"/>
  <c r="S26" i="12"/>
  <c r="R26" i="11"/>
  <c r="T65" i="12"/>
  <c r="S65" i="11"/>
  <c r="S10" i="12"/>
  <c r="R10" i="11"/>
  <c r="R102" i="11"/>
  <c r="S102" i="12"/>
  <c r="S64" i="12"/>
  <c r="R64" i="11"/>
  <c r="S27" i="12"/>
  <c r="R27" i="11"/>
  <c r="R16" i="11"/>
  <c r="S16" i="12"/>
  <c r="S63" i="12"/>
  <c r="R63" i="11"/>
  <c r="S116" i="12"/>
  <c r="R116" i="11"/>
  <c r="S92" i="12"/>
  <c r="R92" i="11"/>
  <c r="S118" i="12"/>
  <c r="R118" i="11"/>
  <c r="S117" i="12"/>
  <c r="R117" i="11"/>
  <c r="S56" i="12"/>
  <c r="R56" i="11"/>
  <c r="S82" i="12"/>
  <c r="R82" i="11"/>
  <c r="S57" i="12"/>
  <c r="R57" i="11"/>
  <c r="S100" i="12"/>
  <c r="R100" i="11"/>
  <c r="S101" i="12"/>
  <c r="R101" i="11"/>
  <c r="S47" i="12"/>
  <c r="R47" i="11"/>
  <c r="S85" i="12"/>
  <c r="R85" i="11"/>
  <c r="T19" i="12"/>
  <c r="S19" i="11"/>
  <c r="S109" i="12"/>
  <c r="R109" i="11"/>
  <c r="S128" i="12"/>
  <c r="R128" i="11"/>
  <c r="S98" i="12"/>
  <c r="R98" i="11"/>
  <c r="R54" i="11"/>
  <c r="S54" i="12"/>
  <c r="S37" i="12"/>
  <c r="R37" i="11"/>
  <c r="T74" i="12"/>
  <c r="S74" i="11"/>
  <c r="T41" i="12" l="1"/>
  <c r="S41" i="11"/>
  <c r="T58" i="12"/>
  <c r="S58" i="11"/>
  <c r="T73" i="12"/>
  <c r="S73" i="11"/>
  <c r="T60" i="12"/>
  <c r="S60" i="11"/>
  <c r="T108" i="12"/>
  <c r="S108" i="11"/>
  <c r="T126" i="12"/>
  <c r="S126" i="11"/>
  <c r="T30" i="12"/>
  <c r="S30" i="11"/>
  <c r="T109" i="12"/>
  <c r="S109" i="11"/>
  <c r="T57" i="12"/>
  <c r="S57" i="11"/>
  <c r="T116" i="12"/>
  <c r="S116" i="11"/>
  <c r="T10" i="12"/>
  <c r="S10" i="11"/>
  <c r="U67" i="12"/>
  <c r="U67" i="11" s="1"/>
  <c r="T67" i="11"/>
  <c r="U36" i="12"/>
  <c r="U36" i="11" s="1"/>
  <c r="T36" i="11"/>
  <c r="S14" i="11"/>
  <c r="T14" i="12"/>
  <c r="T124" i="12"/>
  <c r="S124" i="11"/>
  <c r="T87" i="12"/>
  <c r="S87" i="11"/>
  <c r="T122" i="12"/>
  <c r="S122" i="11"/>
  <c r="T20" i="12"/>
  <c r="S20" i="11"/>
  <c r="T104" i="12"/>
  <c r="S104" i="11"/>
  <c r="T17" i="12"/>
  <c r="S17" i="11"/>
  <c r="T46" i="12"/>
  <c r="S46" i="11"/>
  <c r="T55" i="12"/>
  <c r="S55" i="11"/>
  <c r="T128" i="12"/>
  <c r="S128" i="11"/>
  <c r="T114" i="12"/>
  <c r="S114" i="11"/>
  <c r="T96" i="12"/>
  <c r="S96" i="11"/>
  <c r="T100" i="12"/>
  <c r="S100" i="11"/>
  <c r="T91" i="12"/>
  <c r="S91" i="11"/>
  <c r="U74" i="12"/>
  <c r="U74" i="11" s="1"/>
  <c r="T74" i="11"/>
  <c r="U19" i="12"/>
  <c r="U19" i="11" s="1"/>
  <c r="T19" i="11"/>
  <c r="T82" i="12"/>
  <c r="S82" i="11"/>
  <c r="T63" i="12"/>
  <c r="S63" i="11"/>
  <c r="U65" i="12"/>
  <c r="U65" i="11" s="1"/>
  <c r="T65" i="11"/>
  <c r="U29" i="12"/>
  <c r="U29" i="11" s="1"/>
  <c r="T29" i="11"/>
  <c r="T5" i="12"/>
  <c r="S5" i="11"/>
  <c r="T83" i="12"/>
  <c r="S83" i="11"/>
  <c r="T110" i="12"/>
  <c r="S110" i="11"/>
  <c r="U72" i="12"/>
  <c r="U72" i="11" s="1"/>
  <c r="T72" i="11"/>
  <c r="T86" i="12"/>
  <c r="S86" i="11"/>
  <c r="T106" i="12"/>
  <c r="S106" i="11"/>
  <c r="T2" i="12"/>
  <c r="S2" i="11"/>
  <c r="T133" i="12"/>
  <c r="S133" i="11"/>
  <c r="T22" i="12"/>
  <c r="S22" i="11"/>
  <c r="T12" i="12"/>
  <c r="S12" i="11"/>
  <c r="T76" i="12"/>
  <c r="S76" i="11"/>
  <c r="T81" i="12"/>
  <c r="S81" i="11"/>
  <c r="T33" i="12"/>
  <c r="S33" i="11"/>
  <c r="S8" i="11"/>
  <c r="T8" i="12"/>
  <c r="U40" i="12"/>
  <c r="U40" i="11" s="1"/>
  <c r="T40" i="11"/>
  <c r="T16" i="12"/>
  <c r="S16" i="11"/>
  <c r="T37" i="12"/>
  <c r="S37" i="11"/>
  <c r="T85" i="12"/>
  <c r="S85" i="11"/>
  <c r="T56" i="12"/>
  <c r="S56" i="11"/>
  <c r="T26" i="12"/>
  <c r="S26" i="11"/>
  <c r="T131" i="12"/>
  <c r="S131" i="11"/>
  <c r="T137" i="12"/>
  <c r="S137" i="11"/>
  <c r="T97" i="12"/>
  <c r="S97" i="11"/>
  <c r="T127" i="12"/>
  <c r="S127" i="11"/>
  <c r="T77" i="12"/>
  <c r="S77" i="11"/>
  <c r="T39" i="12"/>
  <c r="S39" i="11"/>
  <c r="U48" i="12"/>
  <c r="U48" i="11" s="1"/>
  <c r="T48" i="11"/>
  <c r="T112" i="12"/>
  <c r="S112" i="11"/>
  <c r="T70" i="12"/>
  <c r="S70" i="11"/>
  <c r="T94" i="12"/>
  <c r="S94" i="11"/>
  <c r="T95" i="12"/>
  <c r="S95" i="11"/>
  <c r="T107" i="12"/>
  <c r="S107" i="11"/>
  <c r="T115" i="12"/>
  <c r="S115" i="11"/>
  <c r="T54" i="12"/>
  <c r="S54" i="11"/>
  <c r="T84" i="12"/>
  <c r="S84" i="11"/>
  <c r="T66" i="12"/>
  <c r="S66" i="11"/>
  <c r="T138" i="12"/>
  <c r="S138" i="11"/>
  <c r="T47" i="12"/>
  <c r="S47" i="11"/>
  <c r="T117" i="12"/>
  <c r="S117" i="11"/>
  <c r="T27" i="12"/>
  <c r="S27" i="11"/>
  <c r="U51" i="12"/>
  <c r="U51" i="11" s="1"/>
  <c r="T51" i="11"/>
  <c r="T43" i="12"/>
  <c r="S43" i="11"/>
  <c r="T79" i="12"/>
  <c r="S79" i="11"/>
  <c r="T123" i="12"/>
  <c r="S123" i="11"/>
  <c r="T68" i="12"/>
  <c r="S68" i="11"/>
  <c r="T61" i="12"/>
  <c r="S61" i="11"/>
  <c r="T45" i="12"/>
  <c r="S45" i="11"/>
  <c r="T113" i="12"/>
  <c r="S113" i="11"/>
  <c r="U99" i="12"/>
  <c r="U99" i="11" s="1"/>
  <c r="T99" i="11"/>
  <c r="T119" i="12"/>
  <c r="S119" i="11"/>
  <c r="T35" i="12"/>
  <c r="S35" i="11"/>
  <c r="T134" i="12"/>
  <c r="S134" i="11"/>
  <c r="T129" i="12"/>
  <c r="S129" i="11"/>
  <c r="T132" i="12"/>
  <c r="S132" i="11"/>
  <c r="T90" i="12"/>
  <c r="S90" i="11"/>
  <c r="T98" i="12"/>
  <c r="S98" i="11"/>
  <c r="T101" i="12"/>
  <c r="S101" i="11"/>
  <c r="T118" i="12"/>
  <c r="S118" i="11"/>
  <c r="T64" i="12"/>
  <c r="S64" i="11"/>
  <c r="T80" i="12"/>
  <c r="S80" i="11"/>
  <c r="T89" i="12"/>
  <c r="S89" i="11"/>
  <c r="U23" i="12"/>
  <c r="U23" i="11" s="1"/>
  <c r="T23" i="11"/>
  <c r="T93" i="12"/>
  <c r="S93" i="11"/>
  <c r="U50" i="12"/>
  <c r="U50" i="11" s="1"/>
  <c r="T50" i="11"/>
  <c r="T136" i="12"/>
  <c r="S136" i="11"/>
  <c r="U69" i="12"/>
  <c r="U69" i="11" s="1"/>
  <c r="T69" i="11"/>
  <c r="T71" i="12"/>
  <c r="S71" i="11"/>
  <c r="T125" i="12"/>
  <c r="S125" i="11"/>
  <c r="T105" i="12"/>
  <c r="S105" i="11"/>
  <c r="T103" i="12"/>
  <c r="S103" i="11"/>
  <c r="U121" i="12"/>
  <c r="U121" i="11" s="1"/>
  <c r="T121" i="11"/>
  <c r="T88" i="12"/>
  <c r="S88" i="11"/>
  <c r="U32" i="12"/>
  <c r="U32" i="11" s="1"/>
  <c r="T32" i="11"/>
  <c r="T130" i="12"/>
  <c r="S130" i="11"/>
  <c r="T92" i="12"/>
  <c r="S92" i="11"/>
  <c r="T53" i="12"/>
  <c r="S53" i="11"/>
  <c r="T102" i="12"/>
  <c r="S102" i="11"/>
  <c r="T78" i="12"/>
  <c r="S78" i="11"/>
  <c r="T120" i="12"/>
  <c r="S120" i="11"/>
  <c r="T4" i="12"/>
  <c r="S4" i="11"/>
  <c r="T111" i="12"/>
  <c r="S111" i="11"/>
  <c r="T25" i="12"/>
  <c r="S25" i="11"/>
  <c r="T49" i="12"/>
  <c r="S49" i="11"/>
  <c r="U11" i="12"/>
  <c r="U11" i="11" s="1"/>
  <c r="T11" i="11"/>
  <c r="T135" i="12"/>
  <c r="S135" i="11"/>
  <c r="U93" i="12" l="1"/>
  <c r="U93" i="11" s="1"/>
  <c r="T93" i="11"/>
  <c r="U115" i="12"/>
  <c r="U115" i="11" s="1"/>
  <c r="T115" i="11"/>
  <c r="U114" i="12"/>
  <c r="U114" i="11" s="1"/>
  <c r="T114" i="11"/>
  <c r="U8" i="12"/>
  <c r="U8" i="11" s="1"/>
  <c r="T8" i="11"/>
  <c r="U4" i="12"/>
  <c r="U4" i="11" s="1"/>
  <c r="T4" i="11"/>
  <c r="U130" i="12"/>
  <c r="U130" i="11" s="1"/>
  <c r="T130" i="11"/>
  <c r="U125" i="12"/>
  <c r="U125" i="11" s="1"/>
  <c r="T125" i="11"/>
  <c r="U98" i="12"/>
  <c r="U98" i="11" s="1"/>
  <c r="T98" i="11"/>
  <c r="U119" i="12"/>
  <c r="U119" i="11" s="1"/>
  <c r="T119" i="11"/>
  <c r="U123" i="12"/>
  <c r="U123" i="11" s="1"/>
  <c r="T123" i="11"/>
  <c r="U47" i="12"/>
  <c r="U47" i="11" s="1"/>
  <c r="T47" i="11"/>
  <c r="U107" i="12"/>
  <c r="U107" i="11" s="1"/>
  <c r="T107" i="11"/>
  <c r="U39" i="12"/>
  <c r="U39" i="11" s="1"/>
  <c r="T39" i="11"/>
  <c r="U26" i="12"/>
  <c r="U26" i="11" s="1"/>
  <c r="T26" i="11"/>
  <c r="U133" i="12"/>
  <c r="U133" i="11" s="1"/>
  <c r="T133" i="11"/>
  <c r="U83" i="12"/>
  <c r="U83" i="11" s="1"/>
  <c r="T83" i="11"/>
  <c r="U128" i="12"/>
  <c r="U128" i="11" s="1"/>
  <c r="T128" i="11"/>
  <c r="U122" i="12"/>
  <c r="U122" i="11" s="1"/>
  <c r="T122" i="11"/>
  <c r="U10" i="12"/>
  <c r="U10" i="11" s="1"/>
  <c r="T10" i="11"/>
  <c r="U108" i="12"/>
  <c r="U108" i="11" s="1"/>
  <c r="T108" i="11"/>
  <c r="U105" i="12"/>
  <c r="U105" i="11" s="1"/>
  <c r="T105" i="11"/>
  <c r="U117" i="12"/>
  <c r="U117" i="11" s="1"/>
  <c r="T117" i="11"/>
  <c r="U20" i="12"/>
  <c r="U20" i="11" s="1"/>
  <c r="T20" i="11"/>
  <c r="U135" i="12"/>
  <c r="U135" i="11" s="1"/>
  <c r="T135" i="11"/>
  <c r="U120" i="12"/>
  <c r="U120" i="11" s="1"/>
  <c r="T120" i="11"/>
  <c r="U71" i="12"/>
  <c r="U71" i="11" s="1"/>
  <c r="T71" i="11"/>
  <c r="U89" i="12"/>
  <c r="U89" i="11" s="1"/>
  <c r="T89" i="11"/>
  <c r="U90" i="12"/>
  <c r="U90" i="11" s="1"/>
  <c r="T90" i="11"/>
  <c r="U79" i="12"/>
  <c r="U79" i="11" s="1"/>
  <c r="T79" i="11"/>
  <c r="U138" i="12"/>
  <c r="U138" i="11" s="1"/>
  <c r="T138" i="11"/>
  <c r="U95" i="12"/>
  <c r="U95" i="11" s="1"/>
  <c r="T95" i="11"/>
  <c r="U77" i="12"/>
  <c r="U77" i="11" s="1"/>
  <c r="T77" i="11"/>
  <c r="U56" i="12"/>
  <c r="U56" i="11" s="1"/>
  <c r="T56" i="11"/>
  <c r="U33" i="12"/>
  <c r="U33" i="11" s="1"/>
  <c r="T33" i="11"/>
  <c r="U2" i="12"/>
  <c r="U2" i="11" s="1"/>
  <c r="T2" i="11"/>
  <c r="U5" i="12"/>
  <c r="U5" i="11" s="1"/>
  <c r="T5" i="11"/>
  <c r="U55" i="12"/>
  <c r="U55" i="11" s="1"/>
  <c r="T55" i="11"/>
  <c r="U87" i="12"/>
  <c r="U87" i="11" s="1"/>
  <c r="T87" i="11"/>
  <c r="U116" i="12"/>
  <c r="U116" i="11" s="1"/>
  <c r="T116" i="11"/>
  <c r="U60" i="12"/>
  <c r="U60" i="11" s="1"/>
  <c r="T60" i="11"/>
  <c r="U92" i="12"/>
  <c r="U92" i="11" s="1"/>
  <c r="T92" i="11"/>
  <c r="U68" i="12"/>
  <c r="U68" i="11" s="1"/>
  <c r="T68" i="11"/>
  <c r="U82" i="12"/>
  <c r="U82" i="11" s="1"/>
  <c r="T82" i="11"/>
  <c r="U78" i="12"/>
  <c r="U78" i="11" s="1"/>
  <c r="T78" i="11"/>
  <c r="U88" i="12"/>
  <c r="U88" i="11" s="1"/>
  <c r="T88" i="11"/>
  <c r="U80" i="12"/>
  <c r="U80" i="11" s="1"/>
  <c r="T80" i="11"/>
  <c r="U132" i="12"/>
  <c r="U132" i="11" s="1"/>
  <c r="T132" i="11"/>
  <c r="U113" i="12"/>
  <c r="U113" i="11" s="1"/>
  <c r="T113" i="11"/>
  <c r="U43" i="12"/>
  <c r="U43" i="11" s="1"/>
  <c r="T43" i="11"/>
  <c r="U66" i="12"/>
  <c r="U66" i="11" s="1"/>
  <c r="T66" i="11"/>
  <c r="U94" i="12"/>
  <c r="U94" i="11" s="1"/>
  <c r="T94" i="11"/>
  <c r="U127" i="12"/>
  <c r="U127" i="11" s="1"/>
  <c r="T127" i="11"/>
  <c r="U85" i="12"/>
  <c r="U85" i="11" s="1"/>
  <c r="T85" i="11"/>
  <c r="U81" i="12"/>
  <c r="U81" i="11" s="1"/>
  <c r="T81" i="11"/>
  <c r="U106" i="12"/>
  <c r="U106" i="11" s="1"/>
  <c r="T106" i="11"/>
  <c r="U91" i="12"/>
  <c r="U91" i="11" s="1"/>
  <c r="T91" i="11"/>
  <c r="U46" i="12"/>
  <c r="U46" i="11" s="1"/>
  <c r="T46" i="11"/>
  <c r="U124" i="12"/>
  <c r="U124" i="11" s="1"/>
  <c r="T124" i="11"/>
  <c r="U57" i="12"/>
  <c r="U57" i="11" s="1"/>
  <c r="T57" i="11"/>
  <c r="U73" i="12"/>
  <c r="U73" i="11" s="1"/>
  <c r="T73" i="11"/>
  <c r="U14" i="12"/>
  <c r="U14" i="11" s="1"/>
  <c r="T14" i="11"/>
  <c r="U131" i="12"/>
  <c r="U131" i="11" s="1"/>
  <c r="T131" i="11"/>
  <c r="U110" i="12"/>
  <c r="U110" i="11" s="1"/>
  <c r="T110" i="11"/>
  <c r="U126" i="12"/>
  <c r="U126" i="11" s="1"/>
  <c r="T126" i="11"/>
  <c r="U49" i="12"/>
  <c r="U49" i="11" s="1"/>
  <c r="T49" i="11"/>
  <c r="U102" i="12"/>
  <c r="U102" i="11" s="1"/>
  <c r="T102" i="11"/>
  <c r="U136" i="12"/>
  <c r="U136" i="11" s="1"/>
  <c r="T136" i="11"/>
  <c r="U64" i="12"/>
  <c r="U64" i="11" s="1"/>
  <c r="T64" i="11"/>
  <c r="U129" i="12"/>
  <c r="U129" i="11" s="1"/>
  <c r="T129" i="11"/>
  <c r="U45" i="12"/>
  <c r="U45" i="11" s="1"/>
  <c r="T45" i="11"/>
  <c r="U84" i="12"/>
  <c r="U84" i="11" s="1"/>
  <c r="T84" i="11"/>
  <c r="U70" i="12"/>
  <c r="U70" i="11" s="1"/>
  <c r="T70" i="11"/>
  <c r="U97" i="12"/>
  <c r="U97" i="11" s="1"/>
  <c r="T97" i="11"/>
  <c r="U37" i="12"/>
  <c r="U37" i="11" s="1"/>
  <c r="T37" i="11"/>
  <c r="U76" i="12"/>
  <c r="U76" i="11" s="1"/>
  <c r="T76" i="11"/>
  <c r="U86" i="12"/>
  <c r="U86" i="11" s="1"/>
  <c r="T86" i="11"/>
  <c r="U100" i="12"/>
  <c r="U100" i="11" s="1"/>
  <c r="T100" i="11"/>
  <c r="U17" i="12"/>
  <c r="U17" i="11" s="1"/>
  <c r="T17" i="11"/>
  <c r="U109" i="12"/>
  <c r="U109" i="11" s="1"/>
  <c r="T109" i="11"/>
  <c r="U58" i="12"/>
  <c r="U58" i="11" s="1"/>
  <c r="T58" i="11"/>
  <c r="U111" i="12"/>
  <c r="U111" i="11" s="1"/>
  <c r="T111" i="11"/>
  <c r="U35" i="12"/>
  <c r="U35" i="11" s="1"/>
  <c r="T35" i="11"/>
  <c r="U101" i="12"/>
  <c r="U101" i="11" s="1"/>
  <c r="T101" i="11"/>
  <c r="U22" i="12"/>
  <c r="U22" i="11" s="1"/>
  <c r="T22" i="11"/>
  <c r="U25" i="12"/>
  <c r="U25" i="11" s="1"/>
  <c r="T25" i="11"/>
  <c r="U53" i="12"/>
  <c r="U53" i="11" s="1"/>
  <c r="T53" i="11"/>
  <c r="U103" i="12"/>
  <c r="U103" i="11" s="1"/>
  <c r="T103" i="11"/>
  <c r="U118" i="12"/>
  <c r="U118" i="11" s="1"/>
  <c r="T118" i="11"/>
  <c r="U134" i="12"/>
  <c r="U134" i="11" s="1"/>
  <c r="T134" i="11"/>
  <c r="U61" i="12"/>
  <c r="U61" i="11" s="1"/>
  <c r="T61" i="11"/>
  <c r="U27" i="12"/>
  <c r="U27" i="11" s="1"/>
  <c r="T27" i="11"/>
  <c r="U54" i="12"/>
  <c r="U54" i="11" s="1"/>
  <c r="T54" i="11"/>
  <c r="U112" i="12"/>
  <c r="U112" i="11" s="1"/>
  <c r="T112" i="11"/>
  <c r="U137" i="12"/>
  <c r="U137" i="11" s="1"/>
  <c r="T137" i="11"/>
  <c r="U16" i="12"/>
  <c r="U16" i="11" s="1"/>
  <c r="T16" i="11"/>
  <c r="U12" i="12"/>
  <c r="U12" i="11" s="1"/>
  <c r="T12" i="11"/>
  <c r="U63" i="12"/>
  <c r="U63" i="11" s="1"/>
  <c r="T63" i="11"/>
  <c r="U96" i="12"/>
  <c r="U96" i="11" s="1"/>
  <c r="T96" i="11"/>
  <c r="U104" i="12"/>
  <c r="U104" i="11" s="1"/>
  <c r="T104" i="11"/>
  <c r="U30" i="12"/>
  <c r="U30" i="11" s="1"/>
  <c r="T30" i="11"/>
  <c r="U41" i="12"/>
  <c r="U41" i="11" s="1"/>
  <c r="T41" i="11"/>
</calcChain>
</file>

<file path=xl/sharedStrings.xml><?xml version="1.0" encoding="utf-8"?>
<sst xmlns="http://schemas.openxmlformats.org/spreadsheetml/2006/main" count="5240" uniqueCount="380">
  <si>
    <t>Sigla</t>
  </si>
  <si>
    <t>Codigo</t>
  </si>
  <si>
    <t>Meso-região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</si>
  <si>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</si>
  <si>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</si>
  <si>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</si>
  <si>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</si>
  <si>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</si>
  <si>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</si>
  <si>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</si>
  <si>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</si>
  <si>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</si>
  <si>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</si>
  <si>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</si>
  <si>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</si>
  <si>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</si>
  <si>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</si>
  <si>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</si>
  <si>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</si>
  <si>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</si>
  <si>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</si>
  <si>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</si>
  <si>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</si>
  <si>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AC</t>
  </si>
  <si>
    <t>1201</t>
  </si>
  <si>
    <t>Vale do Juruá</t>
  </si>
  <si>
    <t>1202</t>
  </si>
  <si>
    <t>Vale do Acre</t>
  </si>
  <si>
    <t>AL</t>
  </si>
  <si>
    <t>2701</t>
  </si>
  <si>
    <t>Sertão Alagoano</t>
  </si>
  <si>
    <t>2702</t>
  </si>
  <si>
    <t>Agreste Alagoano</t>
  </si>
  <si>
    <t>2703</t>
  </si>
  <si>
    <t>Leste Alagoano</t>
  </si>
  <si>
    <t>AM</t>
  </si>
  <si>
    <t>1301</t>
  </si>
  <si>
    <t>Norte Amazonense</t>
  </si>
  <si>
    <t>1302</t>
  </si>
  <si>
    <t>Sudoeste Amazonense</t>
  </si>
  <si>
    <t>1303</t>
  </si>
  <si>
    <t>Centro Amazonense</t>
  </si>
  <si>
    <t>1304</t>
  </si>
  <si>
    <t>Sul Amazonense</t>
  </si>
  <si>
    <t>AP</t>
  </si>
  <si>
    <t>1601</t>
  </si>
  <si>
    <t>Norte do Amapá</t>
  </si>
  <si>
    <t>1602</t>
  </si>
  <si>
    <t>Sul do Amapá</t>
  </si>
  <si>
    <t>BA</t>
  </si>
  <si>
    <t>2901</t>
  </si>
  <si>
    <t>Extremo Oeste Baiano</t>
  </si>
  <si>
    <t>2902</t>
  </si>
  <si>
    <t>Vale São-Franciscano da Bahia</t>
  </si>
  <si>
    <t>2903</t>
  </si>
  <si>
    <t>Centro Norte Baiano</t>
  </si>
  <si>
    <t>2904</t>
  </si>
  <si>
    <t>Nordeste Baiano</t>
  </si>
  <si>
    <t>2905</t>
  </si>
  <si>
    <t>Metropolitana de Salvador</t>
  </si>
  <si>
    <t>2906</t>
  </si>
  <si>
    <t>Centro Sul Baiano</t>
  </si>
  <si>
    <t>2907</t>
  </si>
  <si>
    <t>Sul Baiano</t>
  </si>
  <si>
    <t>CE</t>
  </si>
  <si>
    <t>2301</t>
  </si>
  <si>
    <t>Noroeste Cearense</t>
  </si>
  <si>
    <t>2302</t>
  </si>
  <si>
    <t>Norte Cearense</t>
  </si>
  <si>
    <t>2303</t>
  </si>
  <si>
    <t>Metropolitana de Fortaleza</t>
  </si>
  <si>
    <t>2304</t>
  </si>
  <si>
    <t>Sertões Cearenses</t>
  </si>
  <si>
    <t>2305</t>
  </si>
  <si>
    <t>Jaguaribe</t>
  </si>
  <si>
    <t>2306</t>
  </si>
  <si>
    <t>Centro-Sul Cearense</t>
  </si>
  <si>
    <t>2307</t>
  </si>
  <si>
    <t>Sul Cearense</t>
  </si>
  <si>
    <t>DF</t>
  </si>
  <si>
    <t>5301</t>
  </si>
  <si>
    <t>Distrito Federal</t>
  </si>
  <si>
    <t>ES</t>
  </si>
  <si>
    <t>3201</t>
  </si>
  <si>
    <t>Noroeste Espírito-santense</t>
  </si>
  <si>
    <t>3202</t>
  </si>
  <si>
    <t>Litoral Norte Espírito-santense</t>
  </si>
  <si>
    <t>3203</t>
  </si>
  <si>
    <t>Central Espírito-santense</t>
  </si>
  <si>
    <t>3204</t>
  </si>
  <si>
    <t>Sul Espírito-santense</t>
  </si>
  <si>
    <t>GO</t>
  </si>
  <si>
    <t>5201</t>
  </si>
  <si>
    <t>Noroeste Goiano</t>
  </si>
  <si>
    <t>5202</t>
  </si>
  <si>
    <t>Norte Goiano</t>
  </si>
  <si>
    <t>5203</t>
  </si>
  <si>
    <t>Centro Goiano</t>
  </si>
  <si>
    <t>5204</t>
  </si>
  <si>
    <t>Leste Goiano</t>
  </si>
  <si>
    <t>5205</t>
  </si>
  <si>
    <t>Sul Goiano</t>
  </si>
  <si>
    <t>MA</t>
  </si>
  <si>
    <t>2101</t>
  </si>
  <si>
    <t>Norte Maranhense</t>
  </si>
  <si>
    <t>2102</t>
  </si>
  <si>
    <t>Oeste Maranhense</t>
  </si>
  <si>
    <t>2103</t>
  </si>
  <si>
    <t>Centro Maranhense</t>
  </si>
  <si>
    <t>2104</t>
  </si>
  <si>
    <t>Leste Maranhense</t>
  </si>
  <si>
    <t>2105</t>
  </si>
  <si>
    <t>Sul Maranhense</t>
  </si>
  <si>
    <t>MG</t>
  </si>
  <si>
    <t>3101</t>
  </si>
  <si>
    <t>Noroeste de Minas</t>
  </si>
  <si>
    <t>3102</t>
  </si>
  <si>
    <t>Norte de Minas</t>
  </si>
  <si>
    <t>3103</t>
  </si>
  <si>
    <t>Jequitinhonha</t>
  </si>
  <si>
    <t>3104</t>
  </si>
  <si>
    <t>Vale do Mucuri</t>
  </si>
  <si>
    <t>3105</t>
  </si>
  <si>
    <t>Triângulo Mineiro/Alto Paranaíba</t>
  </si>
  <si>
    <t>3106</t>
  </si>
  <si>
    <t>Central Mineira</t>
  </si>
  <si>
    <t>3107</t>
  </si>
  <si>
    <t>Metropolitana de Belo Horizonte</t>
  </si>
  <si>
    <t>3108</t>
  </si>
  <si>
    <t>Vale do Rio Doce</t>
  </si>
  <si>
    <t>3109</t>
  </si>
  <si>
    <t>Oeste de Minas</t>
  </si>
  <si>
    <t>3110</t>
  </si>
  <si>
    <t>Sul/Sudoeste de Minas</t>
  </si>
  <si>
    <t>3111</t>
  </si>
  <si>
    <t>Campo das Vertentes</t>
  </si>
  <si>
    <t>3112</t>
  </si>
  <si>
    <t>Zona da Mata</t>
  </si>
  <si>
    <t>MS</t>
  </si>
  <si>
    <t>5001</t>
  </si>
  <si>
    <t>Pantanais Sul Mato-grossense</t>
  </si>
  <si>
    <t>5002</t>
  </si>
  <si>
    <t>Centro Norte de Mato Grosso do Sul</t>
  </si>
  <si>
    <t>5003</t>
  </si>
  <si>
    <t>Leste de Mato Grosso do Sul</t>
  </si>
  <si>
    <t>5004</t>
  </si>
  <si>
    <t>Sudoeste de Mato Grosso do Sul</t>
  </si>
  <si>
    <t>MT</t>
  </si>
  <si>
    <t>5101</t>
  </si>
  <si>
    <t>Norte Mato-grossense</t>
  </si>
  <si>
    <t>5102</t>
  </si>
  <si>
    <t>Nordeste Mato-grossense</t>
  </si>
  <si>
    <t>5103</t>
  </si>
  <si>
    <t>Sudoeste Mato-grossense</t>
  </si>
  <si>
    <t>5104</t>
  </si>
  <si>
    <t>Centro-Sul Mato-grossense</t>
  </si>
  <si>
    <t>5105</t>
  </si>
  <si>
    <t>Sudeste Mato-grossense</t>
  </si>
  <si>
    <t>PA</t>
  </si>
  <si>
    <t>1501</t>
  </si>
  <si>
    <t>Baixo Amazonas</t>
  </si>
  <si>
    <t>1502</t>
  </si>
  <si>
    <t>Marajó</t>
  </si>
  <si>
    <t>1503</t>
  </si>
  <si>
    <t>Metropolitana de Belém</t>
  </si>
  <si>
    <t>1504</t>
  </si>
  <si>
    <t>Nordeste Paraense</t>
  </si>
  <si>
    <t>1505</t>
  </si>
  <si>
    <t>Sudoeste Paraense</t>
  </si>
  <si>
    <t>1506</t>
  </si>
  <si>
    <t>Sudeste Paraense</t>
  </si>
  <si>
    <t>PB</t>
  </si>
  <si>
    <t>2501</t>
  </si>
  <si>
    <t>Sertão Paraibano</t>
  </si>
  <si>
    <t>2502</t>
  </si>
  <si>
    <t>Borborema</t>
  </si>
  <si>
    <t>2503</t>
  </si>
  <si>
    <t>Agreste Paraibano</t>
  </si>
  <si>
    <t>2504</t>
  </si>
  <si>
    <t>Mata Paraibana</t>
  </si>
  <si>
    <t>PE</t>
  </si>
  <si>
    <t>2601</t>
  </si>
  <si>
    <t>Sertão Pernambucano</t>
  </si>
  <si>
    <t>2602</t>
  </si>
  <si>
    <t>São Francisco Pernambucano</t>
  </si>
  <si>
    <t>2603</t>
  </si>
  <si>
    <t>Agreste Pernambucano</t>
  </si>
  <si>
    <t>2604</t>
  </si>
  <si>
    <t>Mata Pernambucana</t>
  </si>
  <si>
    <t>2605</t>
  </si>
  <si>
    <t>Metropolitana de Recife</t>
  </si>
  <si>
    <t>PI</t>
  </si>
  <si>
    <t>2201</t>
  </si>
  <si>
    <t>Norte Piauiense</t>
  </si>
  <si>
    <t>2202</t>
  </si>
  <si>
    <t>Centro-Norte Piauiense</t>
  </si>
  <si>
    <t>2203</t>
  </si>
  <si>
    <t>Sudoeste Piauiense</t>
  </si>
  <si>
    <t>2204</t>
  </si>
  <si>
    <t>Sudeste Piauiense</t>
  </si>
  <si>
    <t>PR</t>
  </si>
  <si>
    <t>4101</t>
  </si>
  <si>
    <t>Noroeste Paranaense</t>
  </si>
  <si>
    <t>4102</t>
  </si>
  <si>
    <t>Centro Ocidental Paranaense</t>
  </si>
  <si>
    <t>4103</t>
  </si>
  <si>
    <t>Norte Central Paranaense</t>
  </si>
  <si>
    <t>4104</t>
  </si>
  <si>
    <t>Norte Pioneiro Paranaense</t>
  </si>
  <si>
    <t>4105</t>
  </si>
  <si>
    <t>Centro Oriental Paranaense</t>
  </si>
  <si>
    <t>4106</t>
  </si>
  <si>
    <t>Oeste Paranaense</t>
  </si>
  <si>
    <t>4107</t>
  </si>
  <si>
    <t>Sudoeste Paranaense</t>
  </si>
  <si>
    <t>4108</t>
  </si>
  <si>
    <t>Centro-Sul Paranaense</t>
  </si>
  <si>
    <t>4109</t>
  </si>
  <si>
    <t>Sudeste Paranaense</t>
  </si>
  <si>
    <t>4110</t>
  </si>
  <si>
    <t>Metropolitana de Curitiba</t>
  </si>
  <si>
    <t>RJ</t>
  </si>
  <si>
    <t>3301</t>
  </si>
  <si>
    <t>Noroeste Fluminense</t>
  </si>
  <si>
    <t>3302</t>
  </si>
  <si>
    <t>Norte Fluminense</t>
  </si>
  <si>
    <t>3303</t>
  </si>
  <si>
    <t>Centro Fluminense</t>
  </si>
  <si>
    <t>3304</t>
  </si>
  <si>
    <t>Baixadas</t>
  </si>
  <si>
    <t>3305</t>
  </si>
  <si>
    <t>Sul Fluminense</t>
  </si>
  <si>
    <t>3306</t>
  </si>
  <si>
    <t>Metropolitana do Rio de Janeiro</t>
  </si>
  <si>
    <t>RN</t>
  </si>
  <si>
    <t>2401</t>
  </si>
  <si>
    <t>Oeste Potiguar</t>
  </si>
  <si>
    <t>2402</t>
  </si>
  <si>
    <t>Central Potiguar</t>
  </si>
  <si>
    <t>2403</t>
  </si>
  <si>
    <t>Agreste Potiguar</t>
  </si>
  <si>
    <t>2404</t>
  </si>
  <si>
    <t>Leste Potiguar</t>
  </si>
  <si>
    <t>RO</t>
  </si>
  <si>
    <t>1101</t>
  </si>
  <si>
    <t>Madeira-Guaporé</t>
  </si>
  <si>
    <t>1102</t>
  </si>
  <si>
    <t>Leste Rondoniense</t>
  </si>
  <si>
    <t>RR</t>
  </si>
  <si>
    <t>1401</t>
  </si>
  <si>
    <t>Norte de Roraima</t>
  </si>
  <si>
    <t>1402</t>
  </si>
  <si>
    <t>Sul de Roraima</t>
  </si>
  <si>
    <t>RS</t>
  </si>
  <si>
    <t>4301</t>
  </si>
  <si>
    <t>Noroeste Rio-grandense</t>
  </si>
  <si>
    <t>4302</t>
  </si>
  <si>
    <t>Nordeste Rio-grandense</t>
  </si>
  <si>
    <t>4303</t>
  </si>
  <si>
    <t>Centro Ocidental Rio-grandense</t>
  </si>
  <si>
    <t>4304</t>
  </si>
  <si>
    <t>Centro Oriental Rio-grandense</t>
  </si>
  <si>
    <t>4305</t>
  </si>
  <si>
    <t>Metropolitana de Porto Alegre</t>
  </si>
  <si>
    <t>4306</t>
  </si>
  <si>
    <t>Sudoeste Rio-grandense</t>
  </si>
  <si>
    <t>4307</t>
  </si>
  <si>
    <t>Sudeste Rio-grandense</t>
  </si>
  <si>
    <t>SC</t>
  </si>
  <si>
    <t>4201</t>
  </si>
  <si>
    <t>Oeste Catarinense</t>
  </si>
  <si>
    <t>4202</t>
  </si>
  <si>
    <t>Norte Catarinense</t>
  </si>
  <si>
    <t>4203</t>
  </si>
  <si>
    <t>Serrana</t>
  </si>
  <si>
    <t>4204</t>
  </si>
  <si>
    <t>Vale do Itajaí</t>
  </si>
  <si>
    <t>4205</t>
  </si>
  <si>
    <t>Grande Florianópolis</t>
  </si>
  <si>
    <t>4206</t>
  </si>
  <si>
    <t>Sul Catarinense</t>
  </si>
  <si>
    <t>SE</t>
  </si>
  <si>
    <t>2801</t>
  </si>
  <si>
    <t>Sertão Sergipano</t>
  </si>
  <si>
    <t>2802</t>
  </si>
  <si>
    <t>Agreste Sergipano</t>
  </si>
  <si>
    <t>2803</t>
  </si>
  <si>
    <t>Leste Sergipano</t>
  </si>
  <si>
    <t>SP</t>
  </si>
  <si>
    <t>3501</t>
  </si>
  <si>
    <t>São José do Rio Preto</t>
  </si>
  <si>
    <t>3502</t>
  </si>
  <si>
    <t>Ribeirão Preto</t>
  </si>
  <si>
    <t>3503</t>
  </si>
  <si>
    <t>Araçatuba</t>
  </si>
  <si>
    <t>3504</t>
  </si>
  <si>
    <t>Bauru</t>
  </si>
  <si>
    <t>3505</t>
  </si>
  <si>
    <t>Araraquara</t>
  </si>
  <si>
    <t>3506</t>
  </si>
  <si>
    <t>Piracicaba</t>
  </si>
  <si>
    <t>3507</t>
  </si>
  <si>
    <t>Campinas</t>
  </si>
  <si>
    <t>3508</t>
  </si>
  <si>
    <t>Presidente Prudente</t>
  </si>
  <si>
    <t>3509</t>
  </si>
  <si>
    <t>Marília</t>
  </si>
  <si>
    <t>3510</t>
  </si>
  <si>
    <t>Assis</t>
  </si>
  <si>
    <t>3511</t>
  </si>
  <si>
    <t>Itapetininga</t>
  </si>
  <si>
    <t>3512</t>
  </si>
  <si>
    <t>Macro Metropolitana Paulista</t>
  </si>
  <si>
    <t>3513</t>
  </si>
  <si>
    <t>Vale do Paraíba Paulista</t>
  </si>
  <si>
    <t>3514</t>
  </si>
  <si>
    <t>Litoral Sul Paulista</t>
  </si>
  <si>
    <t>3515</t>
  </si>
  <si>
    <t>Metropolitana de São Paulo</t>
  </si>
  <si>
    <t>TO</t>
  </si>
  <si>
    <t>1701</t>
  </si>
  <si>
    <t>Ocidental do Tocantins</t>
  </si>
  <si>
    <t>1702</t>
  </si>
  <si>
    <t>Oriental do Tocantins</t>
  </si>
  <si>
    <t>Estado</t>
  </si>
  <si>
    <t>12</t>
  </si>
  <si>
    <t>Acre</t>
  </si>
  <si>
    <t>27</t>
  </si>
  <si>
    <t>Alagoas</t>
  </si>
  <si>
    <t>13</t>
  </si>
  <si>
    <t>Amazonas</t>
  </si>
  <si>
    <t>16</t>
  </si>
  <si>
    <t>Amapá</t>
  </si>
  <si>
    <t>29</t>
  </si>
  <si>
    <t>Bahia</t>
  </si>
  <si>
    <t>23</t>
  </si>
  <si>
    <t>Ceará</t>
  </si>
  <si>
    <t>53</t>
  </si>
  <si>
    <t>32</t>
  </si>
  <si>
    <t>Espírito Santo</t>
  </si>
  <si>
    <t>52</t>
  </si>
  <si>
    <t>Goiás</t>
  </si>
  <si>
    <t>21</t>
  </si>
  <si>
    <t>Maranhão</t>
  </si>
  <si>
    <t>31</t>
  </si>
  <si>
    <t>Minas Gerais</t>
  </si>
  <si>
    <t>50</t>
  </si>
  <si>
    <t>Mato Grosso do Sul</t>
  </si>
  <si>
    <t>51</t>
  </si>
  <si>
    <t>Mato Grosso</t>
  </si>
  <si>
    <t>15</t>
  </si>
  <si>
    <t>Pará</t>
  </si>
  <si>
    <t>25</t>
  </si>
  <si>
    <t>Paraíba</t>
  </si>
  <si>
    <t>26</t>
  </si>
  <si>
    <t>Pernambuco</t>
  </si>
  <si>
    <t>22</t>
  </si>
  <si>
    <t>Piauí</t>
  </si>
  <si>
    <t>41</t>
  </si>
  <si>
    <t>Paraná</t>
  </si>
  <si>
    <t>33</t>
  </si>
  <si>
    <t>Rio de Janeiro</t>
  </si>
  <si>
    <t>24</t>
  </si>
  <si>
    <t>Rio Grande do Norte</t>
  </si>
  <si>
    <t>11</t>
  </si>
  <si>
    <t>Rondônia</t>
  </si>
  <si>
    <t>14</t>
  </si>
  <si>
    <t>Roraima</t>
  </si>
  <si>
    <t>43</t>
  </si>
  <si>
    <t>Rio Grande do Sul</t>
  </si>
  <si>
    <t>42</t>
  </si>
  <si>
    <t>Santa Catarina</t>
  </si>
  <si>
    <t>28</t>
  </si>
  <si>
    <t>Sergipe</t>
  </si>
  <si>
    <t>35</t>
  </si>
  <si>
    <t>São Paulo</t>
  </si>
  <si>
    <t>17</t>
  </si>
  <si>
    <t>Tocantins</t>
  </si>
  <si>
    <t>NM_MESO</t>
  </si>
  <si>
    <t>CD_GEOCME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</si>
</sst>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0E+00"/>
    <numFmt numFmtId="166" formatCode="#,##0.000"/>
    <numFmt numFmtId="167" formatCode="0.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</font>
    <font>
      <sz val="10"/>
      <color rgb="FFFF0000"/>
      <name val="Arial"/>
      <family val="2"/>
    </font>
    <font>
      <u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4">
    <xf numFmtId="0" fontId="0" fillId="0" borderId="0" xfId="0"/>
    <xf numFmtId="0" fontId="2" fillId="0" borderId="0" xfId="1"/>
    <xf numFmtId="164" fontId="2" fillId="0" borderId="0" xfId="1" applyNumberFormat="1"/>
    <xf numFmtId="4" fontId="2" fillId="0" borderId="0" xfId="1" applyNumberFormat="1"/>
    <xf numFmtId="165" fontId="2" fillId="0" borderId="0" xfId="1" applyNumberFormat="1"/>
    <xf numFmtId="3" fontId="2" fillId="0" borderId="0" xfId="1" applyNumberFormat="1"/>
    <xf numFmtId="0" fontId="2" fillId="0" borderId="0" xfId="1" applyNumberFormat="1"/>
    <xf numFmtId="1" fontId="0" fillId="0" borderId="0" xfId="0" applyNumberFormat="1" applyAlignment="1">
      <alignment horizontal="center"/>
    </xf>
    <xf numFmtId="3" fontId="1" fillId="0" borderId="0" xfId="0" applyNumberFormat="1" applyFont="1"/>
    <xf numFmtId="0" fontId="1" fillId="0" borderId="0" xfId="0" applyFont="1"/>
    <xf numFmtId="3" fontId="3" fillId="0" borderId="0" xfId="1" applyNumberFormat="1" applyFont="1"/>
    <xf numFmtId="0" fontId="5" fillId="0" borderId="0" xfId="2"/>
    <xf numFmtId="4" fontId="5" fillId="0" borderId="0" xfId="2" applyNumberFormat="1"/>
    <xf numFmtId="164" fontId="5" fillId="0" borderId="0" xfId="2" applyNumberFormat="1"/>
    <xf numFmtId="0" fontId="5" fillId="0" borderId="0" xfId="1" applyFont="1"/>
    <xf numFmtId="0" fontId="4" fillId="0" borderId="0" xfId="0" applyFont="1"/>
    <xf numFmtId="166" fontId="5" fillId="0" borderId="0" xfId="2" applyNumberFormat="1"/>
    <xf numFmtId="0" fontId="6" fillId="0" borderId="0" xfId="1" applyFont="1"/>
    <xf numFmtId="1" fontId="0" fillId="0" borderId="0" xfId="0" applyNumberFormat="1" applyFont="1" applyAlignment="1">
      <alignment horizontal="center"/>
    </xf>
    <xf numFmtId="1" fontId="7" fillId="0" borderId="0" xfId="0" applyNumberFormat="1" applyFont="1"/>
    <xf numFmtId="0" fontId="7" fillId="0" borderId="0" xfId="0" applyFont="1"/>
    <xf numFmtId="0" fontId="2" fillId="0" borderId="0" xfId="1" applyFont="1"/>
    <xf numFmtId="14" fontId="7" fillId="0" borderId="0" xfId="0" applyNumberFormat="1" applyFont="1"/>
    <xf numFmtId="3" fontId="7" fillId="0" borderId="0" xfId="0" applyNumberFormat="1" applyFont="1"/>
    <xf numFmtId="0" fontId="2" fillId="2" borderId="0" xfId="1" applyFill="1"/>
    <xf numFmtId="1" fontId="0" fillId="2" borderId="0" xfId="0" applyNumberFormat="1" applyFill="1" applyAlignment="1">
      <alignment horizontal="center"/>
    </xf>
    <xf numFmtId="0" fontId="0" fillId="2" borderId="0" xfId="0" applyFill="1"/>
    <xf numFmtId="167" fontId="0" fillId="2" borderId="0" xfId="0" applyNumberFormat="1" applyFill="1" applyAlignment="1">
      <alignment horizontal="center"/>
    </xf>
    <xf numFmtId="4" fontId="5" fillId="0" borderId="0" xfId="2" applyNumberFormat="1" applyFont="1"/>
    <xf numFmtId="2" fontId="0" fillId="0" borderId="0" xfId="0" applyNumberFormat="1" applyAlignment="1">
      <alignment horizontal="center"/>
    </xf>
    <xf numFmtId="4" fontId="1" fillId="0" borderId="0" xfId="0" applyNumberFormat="1" applyFont="1"/>
    <xf numFmtId="3" fontId="5" fillId="0" borderId="0" xfId="2" applyNumberFormat="1" applyFont="1"/>
    <xf numFmtId="0" fontId="5" fillId="0" borderId="0" xfId="1" applyNumberFormat="1" applyFont="1"/>
    <xf numFmtId="2" fontId="4" fillId="0" borderId="0" xfId="0" applyNumberFormat="1" applyFont="1" applyAlignment="1">
      <alignment horizontal="center"/>
    </xf>
  </cellXfs>
  <cellStyles count="3">
    <cellStyle name="Normal" xfId="0" builtinId="0"/>
    <cellStyle name="Normal 2" xfId="1" xr:uid="{068E34A7-5C3B-44C8-83FD-D1981381C001}"/>
    <cellStyle name="Normal 3" xfId="2" xr:uid="{7C9AFECB-1ECD-4B8D-B41A-15973071F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6884-3D61-48C3-8B11-9822B900E9AC}">
  <dimension ref="A1:W138"/>
  <sheetViews>
    <sheetView zoomScaleNormal="100" workbookViewId="0">
      <selection activeCell="W1" sqref="W1"/>
    </sheetView>
  </sheetViews>
  <sheetFormatPr defaultRowHeight="12.75" customHeight="1" x14ac:dyDescent="0.2"/>
  <cols>
    <col min="1" max="1" width="4" style="11" customWidth="1"/>
    <col min="2" max="2" width="10" style="11" customWidth="1"/>
    <col min="3" max="3" width="30" style="11" customWidth="1"/>
    <col min="4" max="23" width="10" style="13" customWidth="1"/>
    <col min="24" max="256" width="10.28515625" style="11" customWidth="1"/>
    <col min="257" max="257" width="4" style="11" customWidth="1"/>
    <col min="258" max="258" width="10" style="11" customWidth="1"/>
    <col min="259" max="259" width="30" style="11" customWidth="1"/>
    <col min="260" max="279" width="10" style="11" customWidth="1"/>
    <col min="280" max="512" width="10.28515625" style="11" customWidth="1"/>
    <col min="513" max="513" width="4" style="11" customWidth="1"/>
    <col min="514" max="514" width="10" style="11" customWidth="1"/>
    <col min="515" max="515" width="30" style="11" customWidth="1"/>
    <col min="516" max="535" width="10" style="11" customWidth="1"/>
    <col min="536" max="768" width="10.28515625" style="11" customWidth="1"/>
    <col min="769" max="769" width="4" style="11" customWidth="1"/>
    <col min="770" max="770" width="10" style="11" customWidth="1"/>
    <col min="771" max="771" width="30" style="11" customWidth="1"/>
    <col min="772" max="791" width="10" style="11" customWidth="1"/>
    <col min="792" max="1024" width="10.28515625" style="11" customWidth="1"/>
    <col min="1025" max="1025" width="4" style="11" customWidth="1"/>
    <col min="1026" max="1026" width="10" style="11" customWidth="1"/>
    <col min="1027" max="1027" width="30" style="11" customWidth="1"/>
    <col min="1028" max="1047" width="10" style="11" customWidth="1"/>
    <col min="1048" max="1280" width="10.28515625" style="11" customWidth="1"/>
    <col min="1281" max="1281" width="4" style="11" customWidth="1"/>
    <col min="1282" max="1282" width="10" style="11" customWidth="1"/>
    <col min="1283" max="1283" width="30" style="11" customWidth="1"/>
    <col min="1284" max="1303" width="10" style="11" customWidth="1"/>
    <col min="1304" max="1536" width="10.28515625" style="11" customWidth="1"/>
    <col min="1537" max="1537" width="4" style="11" customWidth="1"/>
    <col min="1538" max="1538" width="10" style="11" customWidth="1"/>
    <col min="1539" max="1539" width="30" style="11" customWidth="1"/>
    <col min="1540" max="1559" width="10" style="11" customWidth="1"/>
    <col min="1560" max="1792" width="10.28515625" style="11" customWidth="1"/>
    <col min="1793" max="1793" width="4" style="11" customWidth="1"/>
    <col min="1794" max="1794" width="10" style="11" customWidth="1"/>
    <col min="1795" max="1795" width="30" style="11" customWidth="1"/>
    <col min="1796" max="1815" width="10" style="11" customWidth="1"/>
    <col min="1816" max="2048" width="10.28515625" style="11" customWidth="1"/>
    <col min="2049" max="2049" width="4" style="11" customWidth="1"/>
    <col min="2050" max="2050" width="10" style="11" customWidth="1"/>
    <col min="2051" max="2051" width="30" style="11" customWidth="1"/>
    <col min="2052" max="2071" width="10" style="11" customWidth="1"/>
    <col min="2072" max="2304" width="10.28515625" style="11" customWidth="1"/>
    <col min="2305" max="2305" width="4" style="11" customWidth="1"/>
    <col min="2306" max="2306" width="10" style="11" customWidth="1"/>
    <col min="2307" max="2307" width="30" style="11" customWidth="1"/>
    <col min="2308" max="2327" width="10" style="11" customWidth="1"/>
    <col min="2328" max="2560" width="10.28515625" style="11" customWidth="1"/>
    <col min="2561" max="2561" width="4" style="11" customWidth="1"/>
    <col min="2562" max="2562" width="10" style="11" customWidth="1"/>
    <col min="2563" max="2563" width="30" style="11" customWidth="1"/>
    <col min="2564" max="2583" width="10" style="11" customWidth="1"/>
    <col min="2584" max="2816" width="10.28515625" style="11" customWidth="1"/>
    <col min="2817" max="2817" width="4" style="11" customWidth="1"/>
    <col min="2818" max="2818" width="10" style="11" customWidth="1"/>
    <col min="2819" max="2819" width="30" style="11" customWidth="1"/>
    <col min="2820" max="2839" width="10" style="11" customWidth="1"/>
    <col min="2840" max="3072" width="10.28515625" style="11" customWidth="1"/>
    <col min="3073" max="3073" width="4" style="11" customWidth="1"/>
    <col min="3074" max="3074" width="10" style="11" customWidth="1"/>
    <col min="3075" max="3075" width="30" style="11" customWidth="1"/>
    <col min="3076" max="3095" width="10" style="11" customWidth="1"/>
    <col min="3096" max="3328" width="10.28515625" style="11" customWidth="1"/>
    <col min="3329" max="3329" width="4" style="11" customWidth="1"/>
    <col min="3330" max="3330" width="10" style="11" customWidth="1"/>
    <col min="3331" max="3331" width="30" style="11" customWidth="1"/>
    <col min="3332" max="3351" width="10" style="11" customWidth="1"/>
    <col min="3352" max="3584" width="10.28515625" style="11" customWidth="1"/>
    <col min="3585" max="3585" width="4" style="11" customWidth="1"/>
    <col min="3586" max="3586" width="10" style="11" customWidth="1"/>
    <col min="3587" max="3587" width="30" style="11" customWidth="1"/>
    <col min="3588" max="3607" width="10" style="11" customWidth="1"/>
    <col min="3608" max="3840" width="10.28515625" style="11" customWidth="1"/>
    <col min="3841" max="3841" width="4" style="11" customWidth="1"/>
    <col min="3842" max="3842" width="10" style="11" customWidth="1"/>
    <col min="3843" max="3843" width="30" style="11" customWidth="1"/>
    <col min="3844" max="3863" width="10" style="11" customWidth="1"/>
    <col min="3864" max="4096" width="10.28515625" style="11" customWidth="1"/>
    <col min="4097" max="4097" width="4" style="11" customWidth="1"/>
    <col min="4098" max="4098" width="10" style="11" customWidth="1"/>
    <col min="4099" max="4099" width="30" style="11" customWidth="1"/>
    <col min="4100" max="4119" width="10" style="11" customWidth="1"/>
    <col min="4120" max="4352" width="10.28515625" style="11" customWidth="1"/>
    <col min="4353" max="4353" width="4" style="11" customWidth="1"/>
    <col min="4354" max="4354" width="10" style="11" customWidth="1"/>
    <col min="4355" max="4355" width="30" style="11" customWidth="1"/>
    <col min="4356" max="4375" width="10" style="11" customWidth="1"/>
    <col min="4376" max="4608" width="10.28515625" style="11" customWidth="1"/>
    <col min="4609" max="4609" width="4" style="11" customWidth="1"/>
    <col min="4610" max="4610" width="10" style="11" customWidth="1"/>
    <col min="4611" max="4611" width="30" style="11" customWidth="1"/>
    <col min="4612" max="4631" width="10" style="11" customWidth="1"/>
    <col min="4632" max="4864" width="10.28515625" style="11" customWidth="1"/>
    <col min="4865" max="4865" width="4" style="11" customWidth="1"/>
    <col min="4866" max="4866" width="10" style="11" customWidth="1"/>
    <col min="4867" max="4867" width="30" style="11" customWidth="1"/>
    <col min="4868" max="4887" width="10" style="11" customWidth="1"/>
    <col min="4888" max="5120" width="10.28515625" style="11" customWidth="1"/>
    <col min="5121" max="5121" width="4" style="11" customWidth="1"/>
    <col min="5122" max="5122" width="10" style="11" customWidth="1"/>
    <col min="5123" max="5123" width="30" style="11" customWidth="1"/>
    <col min="5124" max="5143" width="10" style="11" customWidth="1"/>
    <col min="5144" max="5376" width="10.28515625" style="11" customWidth="1"/>
    <col min="5377" max="5377" width="4" style="11" customWidth="1"/>
    <col min="5378" max="5378" width="10" style="11" customWidth="1"/>
    <col min="5379" max="5379" width="30" style="11" customWidth="1"/>
    <col min="5380" max="5399" width="10" style="11" customWidth="1"/>
    <col min="5400" max="5632" width="10.28515625" style="11" customWidth="1"/>
    <col min="5633" max="5633" width="4" style="11" customWidth="1"/>
    <col min="5634" max="5634" width="10" style="11" customWidth="1"/>
    <col min="5635" max="5635" width="30" style="11" customWidth="1"/>
    <col min="5636" max="5655" width="10" style="11" customWidth="1"/>
    <col min="5656" max="5888" width="10.28515625" style="11" customWidth="1"/>
    <col min="5889" max="5889" width="4" style="11" customWidth="1"/>
    <col min="5890" max="5890" width="10" style="11" customWidth="1"/>
    <col min="5891" max="5891" width="30" style="11" customWidth="1"/>
    <col min="5892" max="5911" width="10" style="11" customWidth="1"/>
    <col min="5912" max="6144" width="10.28515625" style="11" customWidth="1"/>
    <col min="6145" max="6145" width="4" style="11" customWidth="1"/>
    <col min="6146" max="6146" width="10" style="11" customWidth="1"/>
    <col min="6147" max="6147" width="30" style="11" customWidth="1"/>
    <col min="6148" max="6167" width="10" style="11" customWidth="1"/>
    <col min="6168" max="6400" width="10.28515625" style="11" customWidth="1"/>
    <col min="6401" max="6401" width="4" style="11" customWidth="1"/>
    <col min="6402" max="6402" width="10" style="11" customWidth="1"/>
    <col min="6403" max="6403" width="30" style="11" customWidth="1"/>
    <col min="6404" max="6423" width="10" style="11" customWidth="1"/>
    <col min="6424" max="6656" width="10.28515625" style="11" customWidth="1"/>
    <col min="6657" max="6657" width="4" style="11" customWidth="1"/>
    <col min="6658" max="6658" width="10" style="11" customWidth="1"/>
    <col min="6659" max="6659" width="30" style="11" customWidth="1"/>
    <col min="6660" max="6679" width="10" style="11" customWidth="1"/>
    <col min="6680" max="6912" width="10.28515625" style="11" customWidth="1"/>
    <col min="6913" max="6913" width="4" style="11" customWidth="1"/>
    <col min="6914" max="6914" width="10" style="11" customWidth="1"/>
    <col min="6915" max="6915" width="30" style="11" customWidth="1"/>
    <col min="6916" max="6935" width="10" style="11" customWidth="1"/>
    <col min="6936" max="7168" width="10.28515625" style="11" customWidth="1"/>
    <col min="7169" max="7169" width="4" style="11" customWidth="1"/>
    <col min="7170" max="7170" width="10" style="11" customWidth="1"/>
    <col min="7171" max="7171" width="30" style="11" customWidth="1"/>
    <col min="7172" max="7191" width="10" style="11" customWidth="1"/>
    <col min="7192" max="7424" width="10.28515625" style="11" customWidth="1"/>
    <col min="7425" max="7425" width="4" style="11" customWidth="1"/>
    <col min="7426" max="7426" width="10" style="11" customWidth="1"/>
    <col min="7427" max="7427" width="30" style="11" customWidth="1"/>
    <col min="7428" max="7447" width="10" style="11" customWidth="1"/>
    <col min="7448" max="7680" width="10.28515625" style="11" customWidth="1"/>
    <col min="7681" max="7681" width="4" style="11" customWidth="1"/>
    <col min="7682" max="7682" width="10" style="11" customWidth="1"/>
    <col min="7683" max="7683" width="30" style="11" customWidth="1"/>
    <col min="7684" max="7703" width="10" style="11" customWidth="1"/>
    <col min="7704" max="7936" width="10.28515625" style="11" customWidth="1"/>
    <col min="7937" max="7937" width="4" style="11" customWidth="1"/>
    <col min="7938" max="7938" width="10" style="11" customWidth="1"/>
    <col min="7939" max="7939" width="30" style="11" customWidth="1"/>
    <col min="7940" max="7959" width="10" style="11" customWidth="1"/>
    <col min="7960" max="8192" width="10.28515625" style="11" customWidth="1"/>
    <col min="8193" max="8193" width="4" style="11" customWidth="1"/>
    <col min="8194" max="8194" width="10" style="11" customWidth="1"/>
    <col min="8195" max="8195" width="30" style="11" customWidth="1"/>
    <col min="8196" max="8215" width="10" style="11" customWidth="1"/>
    <col min="8216" max="8448" width="10.28515625" style="11" customWidth="1"/>
    <col min="8449" max="8449" width="4" style="11" customWidth="1"/>
    <col min="8450" max="8450" width="10" style="11" customWidth="1"/>
    <col min="8451" max="8451" width="30" style="11" customWidth="1"/>
    <col min="8452" max="8471" width="10" style="11" customWidth="1"/>
    <col min="8472" max="8704" width="10.28515625" style="11" customWidth="1"/>
    <col min="8705" max="8705" width="4" style="11" customWidth="1"/>
    <col min="8706" max="8706" width="10" style="11" customWidth="1"/>
    <col min="8707" max="8707" width="30" style="11" customWidth="1"/>
    <col min="8708" max="8727" width="10" style="11" customWidth="1"/>
    <col min="8728" max="8960" width="10.28515625" style="11" customWidth="1"/>
    <col min="8961" max="8961" width="4" style="11" customWidth="1"/>
    <col min="8962" max="8962" width="10" style="11" customWidth="1"/>
    <col min="8963" max="8963" width="30" style="11" customWidth="1"/>
    <col min="8964" max="8983" width="10" style="11" customWidth="1"/>
    <col min="8984" max="9216" width="10.28515625" style="11" customWidth="1"/>
    <col min="9217" max="9217" width="4" style="11" customWidth="1"/>
    <col min="9218" max="9218" width="10" style="11" customWidth="1"/>
    <col min="9219" max="9219" width="30" style="11" customWidth="1"/>
    <col min="9220" max="9239" width="10" style="11" customWidth="1"/>
    <col min="9240" max="9472" width="10.28515625" style="11" customWidth="1"/>
    <col min="9473" max="9473" width="4" style="11" customWidth="1"/>
    <col min="9474" max="9474" width="10" style="11" customWidth="1"/>
    <col min="9475" max="9475" width="30" style="11" customWidth="1"/>
    <col min="9476" max="9495" width="10" style="11" customWidth="1"/>
    <col min="9496" max="9728" width="10.28515625" style="11" customWidth="1"/>
    <col min="9729" max="9729" width="4" style="11" customWidth="1"/>
    <col min="9730" max="9730" width="10" style="11" customWidth="1"/>
    <col min="9731" max="9731" width="30" style="11" customWidth="1"/>
    <col min="9732" max="9751" width="10" style="11" customWidth="1"/>
    <col min="9752" max="9984" width="10.28515625" style="11" customWidth="1"/>
    <col min="9985" max="9985" width="4" style="11" customWidth="1"/>
    <col min="9986" max="9986" width="10" style="11" customWidth="1"/>
    <col min="9987" max="9987" width="30" style="11" customWidth="1"/>
    <col min="9988" max="10007" width="10" style="11" customWidth="1"/>
    <col min="10008" max="10240" width="10.28515625" style="11" customWidth="1"/>
    <col min="10241" max="10241" width="4" style="11" customWidth="1"/>
    <col min="10242" max="10242" width="10" style="11" customWidth="1"/>
    <col min="10243" max="10243" width="30" style="11" customWidth="1"/>
    <col min="10244" max="10263" width="10" style="11" customWidth="1"/>
    <col min="10264" max="10496" width="10.28515625" style="11" customWidth="1"/>
    <col min="10497" max="10497" width="4" style="11" customWidth="1"/>
    <col min="10498" max="10498" width="10" style="11" customWidth="1"/>
    <col min="10499" max="10499" width="30" style="11" customWidth="1"/>
    <col min="10500" max="10519" width="10" style="11" customWidth="1"/>
    <col min="10520" max="10752" width="10.28515625" style="11" customWidth="1"/>
    <col min="10753" max="10753" width="4" style="11" customWidth="1"/>
    <col min="10754" max="10754" width="10" style="11" customWidth="1"/>
    <col min="10755" max="10755" width="30" style="11" customWidth="1"/>
    <col min="10756" max="10775" width="10" style="11" customWidth="1"/>
    <col min="10776" max="11008" width="10.28515625" style="11" customWidth="1"/>
    <col min="11009" max="11009" width="4" style="11" customWidth="1"/>
    <col min="11010" max="11010" width="10" style="11" customWidth="1"/>
    <col min="11011" max="11011" width="30" style="11" customWidth="1"/>
    <col min="11012" max="11031" width="10" style="11" customWidth="1"/>
    <col min="11032" max="11264" width="10.28515625" style="11" customWidth="1"/>
    <col min="11265" max="11265" width="4" style="11" customWidth="1"/>
    <col min="11266" max="11266" width="10" style="11" customWidth="1"/>
    <col min="11267" max="11267" width="30" style="11" customWidth="1"/>
    <col min="11268" max="11287" width="10" style="11" customWidth="1"/>
    <col min="11288" max="11520" width="10.28515625" style="11" customWidth="1"/>
    <col min="11521" max="11521" width="4" style="11" customWidth="1"/>
    <col min="11522" max="11522" width="10" style="11" customWidth="1"/>
    <col min="11523" max="11523" width="30" style="11" customWidth="1"/>
    <col min="11524" max="11543" width="10" style="11" customWidth="1"/>
    <col min="11544" max="11776" width="10.28515625" style="11" customWidth="1"/>
    <col min="11777" max="11777" width="4" style="11" customWidth="1"/>
    <col min="11778" max="11778" width="10" style="11" customWidth="1"/>
    <col min="11779" max="11779" width="30" style="11" customWidth="1"/>
    <col min="11780" max="11799" width="10" style="11" customWidth="1"/>
    <col min="11800" max="12032" width="10.28515625" style="11" customWidth="1"/>
    <col min="12033" max="12033" width="4" style="11" customWidth="1"/>
    <col min="12034" max="12034" width="10" style="11" customWidth="1"/>
    <col min="12035" max="12035" width="30" style="11" customWidth="1"/>
    <col min="12036" max="12055" width="10" style="11" customWidth="1"/>
    <col min="12056" max="12288" width="10.28515625" style="11" customWidth="1"/>
    <col min="12289" max="12289" width="4" style="11" customWidth="1"/>
    <col min="12290" max="12290" width="10" style="11" customWidth="1"/>
    <col min="12291" max="12291" width="30" style="11" customWidth="1"/>
    <col min="12292" max="12311" width="10" style="11" customWidth="1"/>
    <col min="12312" max="12544" width="10.28515625" style="11" customWidth="1"/>
    <col min="12545" max="12545" width="4" style="11" customWidth="1"/>
    <col min="12546" max="12546" width="10" style="11" customWidth="1"/>
    <col min="12547" max="12547" width="30" style="11" customWidth="1"/>
    <col min="12548" max="12567" width="10" style="11" customWidth="1"/>
    <col min="12568" max="12800" width="10.28515625" style="11" customWidth="1"/>
    <col min="12801" max="12801" width="4" style="11" customWidth="1"/>
    <col min="12802" max="12802" width="10" style="11" customWidth="1"/>
    <col min="12803" max="12803" width="30" style="11" customWidth="1"/>
    <col min="12804" max="12823" width="10" style="11" customWidth="1"/>
    <col min="12824" max="13056" width="10.28515625" style="11" customWidth="1"/>
    <col min="13057" max="13057" width="4" style="11" customWidth="1"/>
    <col min="13058" max="13058" width="10" style="11" customWidth="1"/>
    <col min="13059" max="13059" width="30" style="11" customWidth="1"/>
    <col min="13060" max="13079" width="10" style="11" customWidth="1"/>
    <col min="13080" max="13312" width="10.28515625" style="11" customWidth="1"/>
    <col min="13313" max="13313" width="4" style="11" customWidth="1"/>
    <col min="13314" max="13314" width="10" style="11" customWidth="1"/>
    <col min="13315" max="13315" width="30" style="11" customWidth="1"/>
    <col min="13316" max="13335" width="10" style="11" customWidth="1"/>
    <col min="13336" max="13568" width="10.28515625" style="11" customWidth="1"/>
    <col min="13569" max="13569" width="4" style="11" customWidth="1"/>
    <col min="13570" max="13570" width="10" style="11" customWidth="1"/>
    <col min="13571" max="13571" width="30" style="11" customWidth="1"/>
    <col min="13572" max="13591" width="10" style="11" customWidth="1"/>
    <col min="13592" max="13824" width="10.28515625" style="11" customWidth="1"/>
    <col min="13825" max="13825" width="4" style="11" customWidth="1"/>
    <col min="13826" max="13826" width="10" style="11" customWidth="1"/>
    <col min="13827" max="13827" width="30" style="11" customWidth="1"/>
    <col min="13828" max="13847" width="10" style="11" customWidth="1"/>
    <col min="13848" max="14080" width="10.28515625" style="11" customWidth="1"/>
    <col min="14081" max="14081" width="4" style="11" customWidth="1"/>
    <col min="14082" max="14082" width="10" style="11" customWidth="1"/>
    <col min="14083" max="14083" width="30" style="11" customWidth="1"/>
    <col min="14084" max="14103" width="10" style="11" customWidth="1"/>
    <col min="14104" max="14336" width="10.28515625" style="11" customWidth="1"/>
    <col min="14337" max="14337" width="4" style="11" customWidth="1"/>
    <col min="14338" max="14338" width="10" style="11" customWidth="1"/>
    <col min="14339" max="14339" width="30" style="11" customWidth="1"/>
    <col min="14340" max="14359" width="10" style="11" customWidth="1"/>
    <col min="14360" max="14592" width="10.28515625" style="11" customWidth="1"/>
    <col min="14593" max="14593" width="4" style="11" customWidth="1"/>
    <col min="14594" max="14594" width="10" style="11" customWidth="1"/>
    <col min="14595" max="14595" width="30" style="11" customWidth="1"/>
    <col min="14596" max="14615" width="10" style="11" customWidth="1"/>
    <col min="14616" max="14848" width="10.28515625" style="11" customWidth="1"/>
    <col min="14849" max="14849" width="4" style="11" customWidth="1"/>
    <col min="14850" max="14850" width="10" style="11" customWidth="1"/>
    <col min="14851" max="14851" width="30" style="11" customWidth="1"/>
    <col min="14852" max="14871" width="10" style="11" customWidth="1"/>
    <col min="14872" max="15104" width="10.28515625" style="11" customWidth="1"/>
    <col min="15105" max="15105" width="4" style="11" customWidth="1"/>
    <col min="15106" max="15106" width="10" style="11" customWidth="1"/>
    <col min="15107" max="15107" width="30" style="11" customWidth="1"/>
    <col min="15108" max="15127" width="10" style="11" customWidth="1"/>
    <col min="15128" max="15360" width="10.28515625" style="11" customWidth="1"/>
    <col min="15361" max="15361" width="4" style="11" customWidth="1"/>
    <col min="15362" max="15362" width="10" style="11" customWidth="1"/>
    <col min="15363" max="15363" width="30" style="11" customWidth="1"/>
    <col min="15364" max="15383" width="10" style="11" customWidth="1"/>
    <col min="15384" max="15616" width="10.28515625" style="11" customWidth="1"/>
    <col min="15617" max="15617" width="4" style="11" customWidth="1"/>
    <col min="15618" max="15618" width="10" style="11" customWidth="1"/>
    <col min="15619" max="15619" width="30" style="11" customWidth="1"/>
    <col min="15620" max="15639" width="10" style="11" customWidth="1"/>
    <col min="15640" max="15872" width="10.28515625" style="11" customWidth="1"/>
    <col min="15873" max="15873" width="4" style="11" customWidth="1"/>
    <col min="15874" max="15874" width="10" style="11" customWidth="1"/>
    <col min="15875" max="15875" width="30" style="11" customWidth="1"/>
    <col min="15876" max="15895" width="10" style="11" customWidth="1"/>
    <col min="15896" max="16128" width="10.28515625" style="11" customWidth="1"/>
    <col min="16129" max="16129" width="4" style="11" customWidth="1"/>
    <col min="16130" max="16130" width="10" style="11" customWidth="1"/>
    <col min="16131" max="16131" width="30" style="11" customWidth="1"/>
    <col min="16132" max="16151" width="10" style="11" customWidth="1"/>
    <col min="16152" max="16384" width="10.28515625" style="11" customWidth="1"/>
  </cols>
  <sheetData>
    <row r="1" spans="1:23" x14ac:dyDescent="0.2">
      <c r="A1" s="11" t="s">
        <v>0</v>
      </c>
      <c r="B1" s="11" t="s">
        <v>1</v>
      </c>
      <c r="C1" s="11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pans="1:23" x14ac:dyDescent="0.2">
      <c r="A2" s="11" t="s">
        <v>23</v>
      </c>
      <c r="B2" s="11" t="s">
        <v>24</v>
      </c>
      <c r="C2" s="11" t="s">
        <v>25</v>
      </c>
      <c r="D2" s="13">
        <v>1005021.3966321052</v>
      </c>
      <c r="E2" s="13">
        <v>1005897.5242188855</v>
      </c>
      <c r="F2" s="13">
        <v>1014540.7137451149</v>
      </c>
      <c r="G2" s="13">
        <v>1092503.2562620109</v>
      </c>
      <c r="H2" s="13">
        <v>1116065.6899169921</v>
      </c>
      <c r="I2" s="13">
        <v>1268092.3468028978</v>
      </c>
      <c r="J2" s="13">
        <v>1395713.4779708581</v>
      </c>
      <c r="K2" s="13">
        <v>1496288.465551489</v>
      </c>
      <c r="L2" s="13">
        <v>1616720.2560000001</v>
      </c>
      <c r="M2" s="13">
        <v>1521408.1777123301</v>
      </c>
      <c r="N2" s="13">
        <v>1562338.0100178916</v>
      </c>
      <c r="O2" s="13">
        <v>1719504.7703650894</v>
      </c>
      <c r="P2" s="13">
        <v>1870680.2786186289</v>
      </c>
      <c r="Q2" s="13">
        <v>1685723.8953525745</v>
      </c>
      <c r="R2" s="13">
        <v>1734594.2821326298</v>
      </c>
      <c r="S2" s="13">
        <v>1759701.224602866</v>
      </c>
      <c r="T2" s="13">
        <v>1772016.9723018769</v>
      </c>
      <c r="U2" s="13">
        <v>1728227.3684695051</v>
      </c>
      <c r="V2" s="13">
        <v>1737443.0098517998</v>
      </c>
      <c r="W2" s="13">
        <v>2081752.759501131</v>
      </c>
    </row>
    <row r="3" spans="1:23" x14ac:dyDescent="0.2">
      <c r="A3" s="11" t="s">
        <v>23</v>
      </c>
      <c r="B3" s="11" t="s">
        <v>26</v>
      </c>
      <c r="C3" s="11" t="s">
        <v>27</v>
      </c>
      <c r="D3" s="13">
        <v>4639695.6861778302</v>
      </c>
      <c r="E3" s="13">
        <v>4617583.1425108686</v>
      </c>
      <c r="F3" s="13">
        <v>4832954.2961968556</v>
      </c>
      <c r="G3" s="13">
        <v>5093570.1466920925</v>
      </c>
      <c r="H3" s="13">
        <v>5164164.5734728705</v>
      </c>
      <c r="I3" s="13">
        <v>5640150.1174210813</v>
      </c>
      <c r="J3" s="13">
        <v>6062801.2049552221</v>
      </c>
      <c r="K3" s="13">
        <v>6535518.7997169327</v>
      </c>
      <c r="L3" s="13">
        <v>6725635.2670000019</v>
      </c>
      <c r="M3" s="13">
        <v>6740731.8433846701</v>
      </c>
      <c r="N3" s="13">
        <v>7108300.0872284258</v>
      </c>
      <c r="O3" s="13">
        <v>7408740.4041174231</v>
      </c>
      <c r="P3" s="13">
        <v>8057536.0185505934</v>
      </c>
      <c r="Q3" s="13">
        <v>7656685.752400496</v>
      </c>
      <c r="R3" s="13">
        <v>6990876.9606311303</v>
      </c>
      <c r="S3" s="13">
        <v>6974170.422874473</v>
      </c>
      <c r="T3" s="13">
        <v>7205949.3731332626</v>
      </c>
      <c r="U3" s="13">
        <v>7053797.0310211731</v>
      </c>
      <c r="V3" s="13">
        <v>6957351.5798006551</v>
      </c>
      <c r="W3" s="13">
        <v>8045352.2571835648</v>
      </c>
    </row>
    <row r="4" spans="1:23" x14ac:dyDescent="0.2">
      <c r="A4" s="11" t="s">
        <v>28</v>
      </c>
      <c r="B4" s="11" t="s">
        <v>29</v>
      </c>
      <c r="C4" s="11" t="s">
        <v>30</v>
      </c>
      <c r="D4" s="13">
        <v>1688698.8936518445</v>
      </c>
      <c r="E4" s="13">
        <v>1420907.4274426203</v>
      </c>
      <c r="F4" s="13">
        <v>1617420.8126862433</v>
      </c>
      <c r="G4" s="13">
        <v>1711094.5406883245</v>
      </c>
      <c r="H4" s="13">
        <v>1787765.254230862</v>
      </c>
      <c r="I4" s="13">
        <v>1895814.0908334302</v>
      </c>
      <c r="J4" s="13">
        <v>1957305.2137095553</v>
      </c>
      <c r="K4" s="13">
        <v>1873822.8568128101</v>
      </c>
      <c r="L4" s="13">
        <v>1893456.9079999998</v>
      </c>
      <c r="M4" s="13">
        <v>2084575.0740911874</v>
      </c>
      <c r="N4" s="13">
        <v>2194443.2650901726</v>
      </c>
      <c r="O4" s="13">
        <v>2242885.9606900546</v>
      </c>
      <c r="P4" s="13">
        <v>2222112.2802113341</v>
      </c>
      <c r="Q4" s="13">
        <v>2259318.158099168</v>
      </c>
      <c r="R4" s="13">
        <v>2184027.1644089357</v>
      </c>
      <c r="S4" s="13">
        <v>2236623.5662071924</v>
      </c>
      <c r="T4" s="13">
        <v>2232278.2309583328</v>
      </c>
      <c r="U4" s="13">
        <v>2333596.9534900496</v>
      </c>
      <c r="V4" s="13">
        <v>2415121.3627356463</v>
      </c>
      <c r="W4" s="13">
        <v>2543769.2712604892</v>
      </c>
    </row>
    <row r="5" spans="1:23" x14ac:dyDescent="0.2">
      <c r="A5" s="11" t="s">
        <v>28</v>
      </c>
      <c r="B5" s="11" t="s">
        <v>31</v>
      </c>
      <c r="C5" s="11" t="s">
        <v>32</v>
      </c>
      <c r="D5" s="13">
        <v>2988073.9695719583</v>
      </c>
      <c r="E5" s="13">
        <v>2668308.8075404656</v>
      </c>
      <c r="F5" s="13">
        <v>2726389.3459206591</v>
      </c>
      <c r="G5" s="13">
        <v>2851962.880170384</v>
      </c>
      <c r="H5" s="13">
        <v>3011153.1537994561</v>
      </c>
      <c r="I5" s="13">
        <v>3284011.1307300492</v>
      </c>
      <c r="J5" s="13">
        <v>3471642.2259350615</v>
      </c>
      <c r="K5" s="13">
        <v>3652448.1403374686</v>
      </c>
      <c r="L5" s="13">
        <v>3827720.9470000002</v>
      </c>
      <c r="M5" s="13">
        <v>3971467.0112307477</v>
      </c>
      <c r="N5" s="13">
        <v>4569477.3773172488</v>
      </c>
      <c r="O5" s="13">
        <v>4594413.2525453856</v>
      </c>
      <c r="P5" s="13">
        <v>4765856.8946092017</v>
      </c>
      <c r="Q5" s="13">
        <v>5210777.8132764632</v>
      </c>
      <c r="R5" s="13">
        <v>4898770.3747130325</v>
      </c>
      <c r="S5" s="13">
        <v>5117695.5531726377</v>
      </c>
      <c r="T5" s="13">
        <v>5259699.4226845596</v>
      </c>
      <c r="U5" s="13">
        <v>5676494.5708349887</v>
      </c>
      <c r="V5" s="13">
        <v>5901911.5300543411</v>
      </c>
      <c r="W5" s="13">
        <v>6253577.621141118</v>
      </c>
    </row>
    <row r="6" spans="1:23" x14ac:dyDescent="0.2">
      <c r="A6" s="11" t="s">
        <v>28</v>
      </c>
      <c r="B6" s="11" t="s">
        <v>33</v>
      </c>
      <c r="C6" s="11" t="s">
        <v>34</v>
      </c>
      <c r="D6" s="13">
        <v>17240314.811387308</v>
      </c>
      <c r="E6" s="13">
        <v>16931235.590616006</v>
      </c>
      <c r="F6" s="13">
        <v>17360066.809348602</v>
      </c>
      <c r="G6" s="13">
        <v>17710300.580332473</v>
      </c>
      <c r="H6" s="13">
        <v>18635947.139513932</v>
      </c>
      <c r="I6" s="13">
        <v>19970631.492940761</v>
      </c>
      <c r="J6" s="13">
        <v>20473869.129624043</v>
      </c>
      <c r="K6" s="13">
        <v>20693080.845714424</v>
      </c>
      <c r="L6" s="13">
        <v>21411860.005000006</v>
      </c>
      <c r="M6" s="13">
        <v>23170076.983920895</v>
      </c>
      <c r="N6" s="13">
        <v>22871440.15596801</v>
      </c>
      <c r="O6" s="13">
        <v>22823336.822258476</v>
      </c>
      <c r="P6" s="13">
        <v>23238477.286047474</v>
      </c>
      <c r="Q6" s="13">
        <v>24328170.061928537</v>
      </c>
      <c r="R6" s="13">
        <v>24299385.475542508</v>
      </c>
      <c r="S6" s="13">
        <v>24986211.316747025</v>
      </c>
      <c r="T6" s="13">
        <v>24372518.428343382</v>
      </c>
      <c r="U6" s="13">
        <v>25119807.337274507</v>
      </c>
      <c r="V6" s="13">
        <v>25035662.559863392</v>
      </c>
      <c r="W6" s="13">
        <v>27336930.565801416</v>
      </c>
    </row>
    <row r="7" spans="1:23" x14ac:dyDescent="0.2">
      <c r="A7" s="11" t="s">
        <v>35</v>
      </c>
      <c r="B7" s="11" t="s">
        <v>36</v>
      </c>
      <c r="C7" s="11" t="s">
        <v>37</v>
      </c>
      <c r="D7" s="13">
        <v>328010.64140742243</v>
      </c>
      <c r="E7" s="13">
        <v>329017.22397335659</v>
      </c>
      <c r="F7" s="13">
        <v>342594.32510408241</v>
      </c>
      <c r="G7" s="13">
        <v>350902.35758639587</v>
      </c>
      <c r="H7" s="13">
        <v>380063.08691252419</v>
      </c>
      <c r="I7" s="13">
        <v>409067.08284259948</v>
      </c>
      <c r="J7" s="13">
        <v>449804.45795203437</v>
      </c>
      <c r="K7" s="13">
        <v>470952.93489784899</v>
      </c>
      <c r="L7" s="13">
        <v>493112.19500000001</v>
      </c>
      <c r="M7" s="13">
        <v>538009.16450495203</v>
      </c>
      <c r="N7" s="13">
        <v>516916.09881866525</v>
      </c>
      <c r="O7" s="13">
        <v>553740.36641398829</v>
      </c>
      <c r="P7" s="13">
        <v>602520.89459113625</v>
      </c>
      <c r="Q7" s="13">
        <v>598772.82425266365</v>
      </c>
      <c r="R7" s="13">
        <v>568568.23824957421</v>
      </c>
      <c r="S7" s="13">
        <v>578695.35868687264</v>
      </c>
      <c r="T7" s="13">
        <v>566601.66048439208</v>
      </c>
      <c r="U7" s="13">
        <v>600316.13418964879</v>
      </c>
      <c r="V7" s="13">
        <v>595643.27161081252</v>
      </c>
      <c r="W7" s="13">
        <v>617379.56104778836</v>
      </c>
    </row>
    <row r="8" spans="1:23" x14ac:dyDescent="0.2">
      <c r="A8" s="11" t="s">
        <v>35</v>
      </c>
      <c r="B8" s="11" t="s">
        <v>38</v>
      </c>
      <c r="C8" s="11" t="s">
        <v>39</v>
      </c>
      <c r="D8" s="13">
        <v>1183021.2222218695</v>
      </c>
      <c r="E8" s="13">
        <v>1128364.6629720835</v>
      </c>
      <c r="F8" s="13">
        <v>1112310.7591431749</v>
      </c>
      <c r="G8" s="13">
        <v>1147695.2519846584</v>
      </c>
      <c r="H8" s="13">
        <v>1273660.8657704336</v>
      </c>
      <c r="I8" s="13">
        <v>1211351.7721542029</v>
      </c>
      <c r="J8" s="13">
        <v>1263630.6148182272</v>
      </c>
      <c r="K8" s="13">
        <v>1318052.8987885723</v>
      </c>
      <c r="L8" s="13">
        <v>1482611.6809999999</v>
      </c>
      <c r="M8" s="13">
        <v>1692188.7013608417</v>
      </c>
      <c r="N8" s="13">
        <v>1747445.3574917808</v>
      </c>
      <c r="O8" s="13">
        <v>1957346.693763983</v>
      </c>
      <c r="P8" s="13">
        <v>2006958.9090688983</v>
      </c>
      <c r="Q8" s="13">
        <v>1940329.6904607799</v>
      </c>
      <c r="R8" s="13">
        <v>1896084.4756971137</v>
      </c>
      <c r="S8" s="13">
        <v>1959420.9340417273</v>
      </c>
      <c r="T8" s="13">
        <v>2053067.0338692728</v>
      </c>
      <c r="U8" s="13">
        <v>2098369.324264315</v>
      </c>
      <c r="V8" s="13">
        <v>2114947.1828187015</v>
      </c>
      <c r="W8" s="13">
        <v>2140794.1166019221</v>
      </c>
    </row>
    <row r="9" spans="1:23" x14ac:dyDescent="0.2">
      <c r="A9" s="11" t="s">
        <v>35</v>
      </c>
      <c r="B9" s="11" t="s">
        <v>40</v>
      </c>
      <c r="C9" s="11" t="s">
        <v>41</v>
      </c>
      <c r="D9" s="13">
        <v>39523815.960360155</v>
      </c>
      <c r="E9" s="13">
        <v>40712878.00491365</v>
      </c>
      <c r="F9" s="13">
        <v>45676033.21938014</v>
      </c>
      <c r="G9" s="13">
        <v>46389879.49744752</v>
      </c>
      <c r="H9" s="13">
        <v>50917620.092794418</v>
      </c>
      <c r="I9" s="13">
        <v>52211227.539312862</v>
      </c>
      <c r="J9" s="13">
        <v>53042224.83324302</v>
      </c>
      <c r="K9" s="13">
        <v>51787398.122975186</v>
      </c>
      <c r="L9" s="13">
        <v>57525612.445</v>
      </c>
      <c r="M9" s="13">
        <v>61393000.885443337</v>
      </c>
      <c r="N9" s="13">
        <v>57842010.205850475</v>
      </c>
      <c r="O9" s="13">
        <v>61762078.934887201</v>
      </c>
      <c r="P9" s="13">
        <v>59449999.396716528</v>
      </c>
      <c r="Q9" s="13">
        <v>54995543.377719715</v>
      </c>
      <c r="R9" s="13">
        <v>52227088.244527802</v>
      </c>
      <c r="S9" s="13">
        <v>52571912.489482962</v>
      </c>
      <c r="T9" s="13">
        <v>54079177.664351679</v>
      </c>
      <c r="U9" s="13">
        <v>56117785.984075464</v>
      </c>
      <c r="V9" s="13">
        <v>56501263.011993162</v>
      </c>
      <c r="W9" s="13">
        <v>57556148.101716205</v>
      </c>
    </row>
    <row r="10" spans="1:23" x14ac:dyDescent="0.2">
      <c r="A10" s="11" t="s">
        <v>35</v>
      </c>
      <c r="B10" s="11" t="s">
        <v>42</v>
      </c>
      <c r="C10" s="11" t="s">
        <v>43</v>
      </c>
      <c r="D10" s="13">
        <v>936877.9768915883</v>
      </c>
      <c r="E10" s="13">
        <v>893146.52323761804</v>
      </c>
      <c r="F10" s="13">
        <v>914136.96549527906</v>
      </c>
      <c r="G10" s="13">
        <v>990542.5554176505</v>
      </c>
      <c r="H10" s="13">
        <v>1225343.1689769637</v>
      </c>
      <c r="I10" s="13">
        <v>1199379.6061829312</v>
      </c>
      <c r="J10" s="13">
        <v>1227826.8313988473</v>
      </c>
      <c r="K10" s="13">
        <v>1242262.0773777873</v>
      </c>
      <c r="L10" s="13">
        <v>1375786.3629999999</v>
      </c>
      <c r="M10" s="13">
        <v>1678980.4711697618</v>
      </c>
      <c r="N10" s="13">
        <v>1680466.4685615802</v>
      </c>
      <c r="O10" s="13">
        <v>1799400.7292952365</v>
      </c>
      <c r="P10" s="13">
        <v>1874273.1719819363</v>
      </c>
      <c r="Q10" s="13">
        <v>1833129.6576898121</v>
      </c>
      <c r="R10" s="13">
        <v>1793681.6070111517</v>
      </c>
      <c r="S10" s="13">
        <v>1945343.7550353422</v>
      </c>
      <c r="T10" s="13">
        <v>1925512.544357372</v>
      </c>
      <c r="U10" s="13">
        <v>1967143.6684429427</v>
      </c>
      <c r="V10" s="13">
        <v>2012942.9176684238</v>
      </c>
      <c r="W10" s="13">
        <v>2004439.8727954908</v>
      </c>
    </row>
    <row r="11" spans="1:23" x14ac:dyDescent="0.2">
      <c r="A11" s="11" t="s">
        <v>44</v>
      </c>
      <c r="B11" s="11" t="s">
        <v>45</v>
      </c>
      <c r="C11" s="11" t="s">
        <v>46</v>
      </c>
      <c r="D11" s="13">
        <v>303495.73855035868</v>
      </c>
      <c r="E11" s="13">
        <v>300548.60018537211</v>
      </c>
      <c r="F11" s="13">
        <v>331412.11886481557</v>
      </c>
      <c r="G11" s="13">
        <v>361010.93403718271</v>
      </c>
      <c r="H11" s="13">
        <v>390635.3520605872</v>
      </c>
      <c r="I11" s="13">
        <v>465618.93603204028</v>
      </c>
      <c r="J11" s="13">
        <v>497532.65845983458</v>
      </c>
      <c r="K11" s="13">
        <v>516840.7643990441</v>
      </c>
      <c r="L11" s="13">
        <v>493286</v>
      </c>
      <c r="M11" s="13">
        <v>529451.6954591251</v>
      </c>
      <c r="N11" s="13">
        <v>573709.67397663416</v>
      </c>
      <c r="O11" s="13">
        <v>650597.53708162997</v>
      </c>
      <c r="P11" s="13">
        <v>585027.99065314955</v>
      </c>
      <c r="Q11" s="13">
        <v>545926.1902483718</v>
      </c>
      <c r="R11" s="13">
        <v>561166.19437541987</v>
      </c>
      <c r="S11" s="13">
        <v>595614.28597865882</v>
      </c>
      <c r="T11" s="13">
        <v>597116.30966001237</v>
      </c>
      <c r="U11" s="13">
        <v>610301.11025323032</v>
      </c>
      <c r="V11" s="13">
        <v>607041.87026699085</v>
      </c>
      <c r="W11" s="13">
        <v>577785.66504486627</v>
      </c>
    </row>
    <row r="12" spans="1:23" x14ac:dyDescent="0.2">
      <c r="A12" s="11" t="s">
        <v>44</v>
      </c>
      <c r="B12" s="11" t="s">
        <v>47</v>
      </c>
      <c r="C12" s="11" t="s">
        <v>48</v>
      </c>
      <c r="D12" s="13">
        <v>5725048.6446035737</v>
      </c>
      <c r="E12" s="13">
        <v>5382811.0746869668</v>
      </c>
      <c r="F12" s="13">
        <v>5579034.8840601658</v>
      </c>
      <c r="G12" s="13">
        <v>5833446.8586906055</v>
      </c>
      <c r="H12" s="13">
        <v>6723511.1830419581</v>
      </c>
      <c r="I12" s="13">
        <v>7144248.3162070233</v>
      </c>
      <c r="J12" s="13">
        <v>7589471.771650088</v>
      </c>
      <c r="K12" s="13">
        <v>7604778.0526658436</v>
      </c>
      <c r="L12" s="13">
        <v>7744509.3509999998</v>
      </c>
      <c r="M12" s="13">
        <v>8157171.5778492214</v>
      </c>
      <c r="N12" s="13">
        <v>8946160.440252386</v>
      </c>
      <c r="O12" s="13">
        <v>9503571.9404592309</v>
      </c>
      <c r="P12" s="13">
        <v>9300097.4191319291</v>
      </c>
      <c r="Q12" s="13">
        <v>8960039.022001395</v>
      </c>
      <c r="R12" s="13">
        <v>8537256.3581803087</v>
      </c>
      <c r="S12" s="13">
        <v>8878048.1506032012</v>
      </c>
      <c r="T12" s="13">
        <v>9238222.7829346787</v>
      </c>
      <c r="U12" s="13">
        <v>9220532.9037345555</v>
      </c>
      <c r="V12" s="13">
        <v>9139347.3252240214</v>
      </c>
      <c r="W12" s="13">
        <v>8945425.0913358498</v>
      </c>
    </row>
    <row r="13" spans="1:23" x14ac:dyDescent="0.2">
      <c r="A13" s="11" t="s">
        <v>49</v>
      </c>
      <c r="B13" s="11" t="s">
        <v>50</v>
      </c>
      <c r="C13" s="11" t="s">
        <v>51</v>
      </c>
      <c r="D13" s="13">
        <v>6179244.3070590952</v>
      </c>
      <c r="E13" s="13">
        <v>7018812.8027699525</v>
      </c>
      <c r="F13" s="13">
        <v>8887933.0748667587</v>
      </c>
      <c r="G13" s="13">
        <v>7602538.9007838611</v>
      </c>
      <c r="H13" s="13">
        <v>6659216.3903576275</v>
      </c>
      <c r="I13" s="13">
        <v>8330178.5618138677</v>
      </c>
      <c r="J13" s="13">
        <v>9308099.1455050223</v>
      </c>
      <c r="K13" s="13">
        <v>8798591.9430404622</v>
      </c>
      <c r="L13" s="13">
        <v>7766683.2070000013</v>
      </c>
      <c r="M13" s="13">
        <v>9433740.4499839507</v>
      </c>
      <c r="N13" s="13">
        <v>11345783.034614231</v>
      </c>
      <c r="O13" s="13">
        <v>10477641.420434108</v>
      </c>
      <c r="P13" s="13">
        <v>11382294.515920285</v>
      </c>
      <c r="Q13" s="13">
        <v>11783858.406951582</v>
      </c>
      <c r="R13" s="13">
        <v>9196412.6346104611</v>
      </c>
      <c r="S13" s="13">
        <v>10897236.974455433</v>
      </c>
      <c r="T13" s="13">
        <v>13900309.889437161</v>
      </c>
      <c r="U13" s="13">
        <v>11824855.253472172</v>
      </c>
      <c r="V13" s="13">
        <v>15744499.093361588</v>
      </c>
      <c r="W13" s="13">
        <v>17268848.414942168</v>
      </c>
    </row>
    <row r="14" spans="1:23" x14ac:dyDescent="0.2">
      <c r="A14" s="11" t="s">
        <v>49</v>
      </c>
      <c r="B14" s="11" t="s">
        <v>52</v>
      </c>
      <c r="C14" s="11" t="s">
        <v>53</v>
      </c>
      <c r="D14" s="13">
        <v>6368049.3832525443</v>
      </c>
      <c r="E14" s="13">
        <v>6082138.78429968</v>
      </c>
      <c r="F14" s="13">
        <v>5868769.2547639208</v>
      </c>
      <c r="G14" s="13">
        <v>5591458.5291938819</v>
      </c>
      <c r="H14" s="13">
        <v>6021635.6032323167</v>
      </c>
      <c r="I14" s="13">
        <v>6915918.5882014697</v>
      </c>
      <c r="J14" s="13">
        <v>7352215.5938753337</v>
      </c>
      <c r="K14" s="13">
        <v>6438226.6826941324</v>
      </c>
      <c r="L14" s="13">
        <v>7172320.834999999</v>
      </c>
      <c r="M14" s="13">
        <v>6933720.7806648891</v>
      </c>
      <c r="N14" s="13">
        <v>7425393.2452483661</v>
      </c>
      <c r="O14" s="13">
        <v>6630217.8303236943</v>
      </c>
      <c r="P14" s="13">
        <v>7027069.2994885053</v>
      </c>
      <c r="Q14" s="13">
        <v>7441059.719665328</v>
      </c>
      <c r="R14" s="13">
        <v>7402112.4910419108</v>
      </c>
      <c r="S14" s="13">
        <v>8031294.0539431022</v>
      </c>
      <c r="T14" s="13">
        <v>8744204.3861856312</v>
      </c>
      <c r="U14" s="13">
        <v>9164189.7925025616</v>
      </c>
      <c r="V14" s="13">
        <v>9098483.8767545242</v>
      </c>
      <c r="W14" s="13">
        <v>9094004.1945080552</v>
      </c>
    </row>
    <row r="15" spans="1:23" x14ac:dyDescent="0.2">
      <c r="A15" s="11" t="s">
        <v>49</v>
      </c>
      <c r="B15" s="11" t="s">
        <v>54</v>
      </c>
      <c r="C15" s="11" t="s">
        <v>55</v>
      </c>
      <c r="D15" s="13">
        <v>10933996.951278292</v>
      </c>
      <c r="E15" s="13">
        <v>10944052.637056231</v>
      </c>
      <c r="F15" s="13">
        <v>11389600.747428946</v>
      </c>
      <c r="G15" s="13">
        <v>12148371.661338637</v>
      </c>
      <c r="H15" s="13">
        <v>12795493.889744205</v>
      </c>
      <c r="I15" s="13">
        <v>13593565.079759195</v>
      </c>
      <c r="J15" s="13">
        <v>14493315.235719977</v>
      </c>
      <c r="K15" s="13">
        <v>15784417.772791784</v>
      </c>
      <c r="L15" s="13">
        <v>16764558.841999995</v>
      </c>
      <c r="M15" s="13">
        <v>17443453.036049645</v>
      </c>
      <c r="N15" s="13">
        <v>17892278.454102337</v>
      </c>
      <c r="O15" s="13">
        <v>19519271.555876508</v>
      </c>
      <c r="P15" s="13">
        <v>19728607.515462313</v>
      </c>
      <c r="Q15" s="13">
        <v>19605939.291165691</v>
      </c>
      <c r="R15" s="13">
        <v>19984396.528450143</v>
      </c>
      <c r="S15" s="13">
        <v>20418737.954847824</v>
      </c>
      <c r="T15" s="13">
        <v>20799918.138813026</v>
      </c>
      <c r="U15" s="13">
        <v>20841042.540213428</v>
      </c>
      <c r="V15" s="13">
        <v>20117815.798877463</v>
      </c>
      <c r="W15" s="13">
        <v>21224395.643548783</v>
      </c>
    </row>
    <row r="16" spans="1:23" x14ac:dyDescent="0.2">
      <c r="A16" s="11" t="s">
        <v>49</v>
      </c>
      <c r="B16" s="11" t="s">
        <v>56</v>
      </c>
      <c r="C16" s="11" t="s">
        <v>57</v>
      </c>
      <c r="D16" s="13">
        <v>7697095.156211081</v>
      </c>
      <c r="E16" s="13">
        <v>7342538.711796701</v>
      </c>
      <c r="F16" s="13">
        <v>7566723.4894982828</v>
      </c>
      <c r="G16" s="13">
        <v>8309475.8928320939</v>
      </c>
      <c r="H16" s="13">
        <v>8946375.5161796026</v>
      </c>
      <c r="I16" s="13">
        <v>9734581.1653598342</v>
      </c>
      <c r="J16" s="13">
        <v>9594536.1171118747</v>
      </c>
      <c r="K16" s="13">
        <v>9355913.3414552826</v>
      </c>
      <c r="L16" s="13">
        <v>10080852.539000001</v>
      </c>
      <c r="M16" s="13">
        <v>10277035.75902443</v>
      </c>
      <c r="N16" s="13">
        <v>10566143.187701147</v>
      </c>
      <c r="O16" s="13">
        <v>11364696.035591409</v>
      </c>
      <c r="P16" s="13">
        <v>10659169.863240371</v>
      </c>
      <c r="Q16" s="13">
        <v>10690718.743277095</v>
      </c>
      <c r="R16" s="13">
        <v>10469779.527090641</v>
      </c>
      <c r="S16" s="13">
        <v>10457945.768576192</v>
      </c>
      <c r="T16" s="13">
        <v>10617492.772765275</v>
      </c>
      <c r="U16" s="13">
        <v>10968991.493470248</v>
      </c>
      <c r="V16" s="13">
        <v>11122200.581004638</v>
      </c>
      <c r="W16" s="13">
        <v>10725685.886165047</v>
      </c>
    </row>
    <row r="17" spans="1:23" x14ac:dyDescent="0.2">
      <c r="A17" s="11" t="s">
        <v>49</v>
      </c>
      <c r="B17" s="11" t="s">
        <v>58</v>
      </c>
      <c r="C17" s="11" t="s">
        <v>59</v>
      </c>
      <c r="D17" s="13">
        <v>54806309.231736287</v>
      </c>
      <c r="E17" s="13">
        <v>55066116.613593012</v>
      </c>
      <c r="F17" s="13">
        <v>60214001.930539124</v>
      </c>
      <c r="G17" s="13">
        <v>65771835.787769005</v>
      </c>
      <c r="H17" s="13">
        <v>65078160.65054024</v>
      </c>
      <c r="I17" s="13">
        <v>68902299.155108944</v>
      </c>
      <c r="J17" s="13">
        <v>68820485.07108286</v>
      </c>
      <c r="K17" s="13">
        <v>76456185.987121791</v>
      </c>
      <c r="L17" s="13">
        <v>77140855.589999989</v>
      </c>
      <c r="M17" s="13">
        <v>73675486.378906354</v>
      </c>
      <c r="N17" s="13">
        <v>71598927.525750294</v>
      </c>
      <c r="O17" s="13">
        <v>75983843.33767271</v>
      </c>
      <c r="P17" s="13">
        <v>77469010.286854878</v>
      </c>
      <c r="Q17" s="13">
        <v>79266376.789763287</v>
      </c>
      <c r="R17" s="13">
        <v>79150632.713089257</v>
      </c>
      <c r="S17" s="13">
        <v>77270683.781985551</v>
      </c>
      <c r="T17" s="13">
        <v>75082087.204324618</v>
      </c>
      <c r="U17" s="13">
        <v>73545976.516372576</v>
      </c>
      <c r="V17" s="13">
        <v>67928372.940773174</v>
      </c>
      <c r="W17" s="13">
        <v>70496821.193992034</v>
      </c>
    </row>
    <row r="18" spans="1:23" x14ac:dyDescent="0.2">
      <c r="A18" s="11" t="s">
        <v>49</v>
      </c>
      <c r="B18" s="11" t="s">
        <v>60</v>
      </c>
      <c r="C18" s="11" t="s">
        <v>61</v>
      </c>
      <c r="D18" s="13">
        <v>11098737.394762106</v>
      </c>
      <c r="E18" s="13">
        <v>10760301.601682644</v>
      </c>
      <c r="F18" s="13">
        <v>11230534.533378439</v>
      </c>
      <c r="G18" s="13">
        <v>12024127.755658614</v>
      </c>
      <c r="H18" s="13">
        <v>12711850.491968635</v>
      </c>
      <c r="I18" s="13">
        <v>13197247.447279388</v>
      </c>
      <c r="J18" s="13">
        <v>13481474.13545193</v>
      </c>
      <c r="K18" s="13">
        <v>14414747.917356161</v>
      </c>
      <c r="L18" s="13">
        <v>15415117.168000001</v>
      </c>
      <c r="M18" s="13">
        <v>15998710.45775005</v>
      </c>
      <c r="N18" s="13">
        <v>16116970.966715921</v>
      </c>
      <c r="O18" s="13">
        <v>17027985.943124384</v>
      </c>
      <c r="P18" s="13">
        <v>17840202.977917131</v>
      </c>
      <c r="Q18" s="13">
        <v>18044098.14262791</v>
      </c>
      <c r="R18" s="13">
        <v>17941561.012014054</v>
      </c>
      <c r="S18" s="13">
        <v>17960268.939644594</v>
      </c>
      <c r="T18" s="13">
        <v>18292680.127077699</v>
      </c>
      <c r="U18" s="13">
        <v>18373104.366652809</v>
      </c>
      <c r="V18" s="13">
        <v>17991353.392851502</v>
      </c>
      <c r="W18" s="13">
        <v>18439366.393808052</v>
      </c>
    </row>
    <row r="19" spans="1:23" x14ac:dyDescent="0.2">
      <c r="A19" s="11" t="s">
        <v>49</v>
      </c>
      <c r="B19" s="11" t="s">
        <v>62</v>
      </c>
      <c r="C19" s="11" t="s">
        <v>63</v>
      </c>
      <c r="D19" s="13">
        <v>14703263.218301695</v>
      </c>
      <c r="E19" s="13">
        <v>14638797.081659243</v>
      </c>
      <c r="F19" s="13">
        <v>15271892.898304883</v>
      </c>
      <c r="G19" s="13">
        <v>15553643.691522714</v>
      </c>
      <c r="H19" s="13">
        <v>16236634.268094387</v>
      </c>
      <c r="I19" s="13">
        <v>17701266.83648191</v>
      </c>
      <c r="J19" s="13">
        <v>18513438.431414016</v>
      </c>
      <c r="K19" s="13">
        <v>18313758.854314622</v>
      </c>
      <c r="L19" s="13">
        <v>20079159.194999997</v>
      </c>
      <c r="M19" s="13">
        <v>20045997.6881303</v>
      </c>
      <c r="N19" s="13">
        <v>21202865.371139973</v>
      </c>
      <c r="O19" s="13">
        <v>21963062.72573055</v>
      </c>
      <c r="P19" s="13">
        <v>21082373.358118657</v>
      </c>
      <c r="Q19" s="13">
        <v>21216971.727829754</v>
      </c>
      <c r="R19" s="13">
        <v>19994995.626522075</v>
      </c>
      <c r="S19" s="13">
        <v>19401004.724431187</v>
      </c>
      <c r="T19" s="13">
        <v>20186303.024250235</v>
      </c>
      <c r="U19" s="13">
        <v>20044624.532703031</v>
      </c>
      <c r="V19" s="13">
        <v>19119003.565084718</v>
      </c>
      <c r="W19" s="13">
        <v>19819489.853914756</v>
      </c>
    </row>
    <row r="20" spans="1:23" x14ac:dyDescent="0.2">
      <c r="A20" s="11" t="s">
        <v>64</v>
      </c>
      <c r="B20" s="11" t="s">
        <v>65</v>
      </c>
      <c r="C20" s="11" t="s">
        <v>66</v>
      </c>
      <c r="D20" s="13">
        <v>5482668.6721937964</v>
      </c>
      <c r="E20" s="13">
        <v>5647686.9328837562</v>
      </c>
      <c r="F20" s="13">
        <v>6006586.3076273547</v>
      </c>
      <c r="G20" s="13">
        <v>6227078.0379800517</v>
      </c>
      <c r="H20" s="13">
        <v>6434732.0283225523</v>
      </c>
      <c r="I20" s="13">
        <v>6481347.3622299088</v>
      </c>
      <c r="J20" s="13">
        <v>7035836.5900788652</v>
      </c>
      <c r="K20" s="13">
        <v>7070362.0451052738</v>
      </c>
      <c r="L20" s="13">
        <v>7872066.4740000004</v>
      </c>
      <c r="M20" s="13">
        <v>8071922.5590903219</v>
      </c>
      <c r="N20" s="13">
        <v>8073426.5414609462</v>
      </c>
      <c r="O20" s="13">
        <v>8529178.0414400771</v>
      </c>
      <c r="P20" s="13">
        <v>9112351.9286113176</v>
      </c>
      <c r="Q20" s="13">
        <v>8867161.1369672623</v>
      </c>
      <c r="R20" s="13">
        <v>8964505.9377806205</v>
      </c>
      <c r="S20" s="13">
        <v>9842125.3305449523</v>
      </c>
      <c r="T20" s="13">
        <v>9797710.526972739</v>
      </c>
      <c r="U20" s="13">
        <v>9972534.5957420506</v>
      </c>
      <c r="V20" s="13">
        <v>9836611.7424191665</v>
      </c>
      <c r="W20" s="13">
        <v>10092473.770939969</v>
      </c>
    </row>
    <row r="21" spans="1:23" x14ac:dyDescent="0.2">
      <c r="A21" s="11" t="s">
        <v>64</v>
      </c>
      <c r="B21" s="11" t="s">
        <v>67</v>
      </c>
      <c r="C21" s="11" t="s">
        <v>68</v>
      </c>
      <c r="D21" s="13">
        <v>4236304.6498401817</v>
      </c>
      <c r="E21" s="13">
        <v>4252935.9799742596</v>
      </c>
      <c r="F21" s="13">
        <v>4595137.1589484345</v>
      </c>
      <c r="G21" s="13">
        <v>4666297.4085774124</v>
      </c>
      <c r="H21" s="13">
        <v>4908956.6535804532</v>
      </c>
      <c r="I21" s="13">
        <v>4676674.5071963314</v>
      </c>
      <c r="J21" s="13">
        <v>5343715.3903306741</v>
      </c>
      <c r="K21" s="13">
        <v>5186288.9976788592</v>
      </c>
      <c r="L21" s="13">
        <v>6133806.7740000002</v>
      </c>
      <c r="M21" s="13">
        <v>6609389.2759770453</v>
      </c>
      <c r="N21" s="13">
        <v>6123724.9334172793</v>
      </c>
      <c r="O21" s="13">
        <v>6520625.1184430365</v>
      </c>
      <c r="P21" s="13">
        <v>7524727.5269634556</v>
      </c>
      <c r="Q21" s="13">
        <v>7416765.5233997125</v>
      </c>
      <c r="R21" s="13">
        <v>7650963.5454942686</v>
      </c>
      <c r="S21" s="13">
        <v>8642392.9308696669</v>
      </c>
      <c r="T21" s="13">
        <v>9020097.0340106133</v>
      </c>
      <c r="U21" s="13">
        <v>8847347.3029374164</v>
      </c>
      <c r="V21" s="13">
        <v>8791996.1396930162</v>
      </c>
      <c r="W21" s="13">
        <v>10567469.298787987</v>
      </c>
    </row>
    <row r="22" spans="1:23" x14ac:dyDescent="0.2">
      <c r="A22" s="11" t="s">
        <v>64</v>
      </c>
      <c r="B22" s="11" t="s">
        <v>69</v>
      </c>
      <c r="C22" s="11" t="s">
        <v>70</v>
      </c>
      <c r="D22" s="13">
        <v>33889218.54599449</v>
      </c>
      <c r="E22" s="13">
        <v>33417368.7965663</v>
      </c>
      <c r="F22" s="13">
        <v>35393758.246535905</v>
      </c>
      <c r="G22" s="13">
        <v>36836906.679489881</v>
      </c>
      <c r="H22" s="13">
        <v>38858196.982110925</v>
      </c>
      <c r="I22" s="13">
        <v>40667769.72525271</v>
      </c>
      <c r="J22" s="13">
        <v>43984277.043604441</v>
      </c>
      <c r="K22" s="13">
        <v>46571489.266839683</v>
      </c>
      <c r="L22" s="13">
        <v>49982117.111999996</v>
      </c>
      <c r="M22" s="13">
        <v>51622309.855209313</v>
      </c>
      <c r="N22" s="13">
        <v>52648637.24397888</v>
      </c>
      <c r="O22" s="13">
        <v>54600029.824611679</v>
      </c>
      <c r="P22" s="13">
        <v>57450312.869190931</v>
      </c>
      <c r="Q22" s="13">
        <v>55169768.31442406</v>
      </c>
      <c r="R22" s="13">
        <v>53463072.650893204</v>
      </c>
      <c r="S22" s="13">
        <v>53295749.346352987</v>
      </c>
      <c r="T22" s="13">
        <v>54221007.420673937</v>
      </c>
      <c r="U22" s="13">
        <v>54063176.150317252</v>
      </c>
      <c r="V22" s="13">
        <v>50407025.459835045</v>
      </c>
      <c r="W22" s="13">
        <v>52815264.211365685</v>
      </c>
    </row>
    <row r="23" spans="1:23" x14ac:dyDescent="0.2">
      <c r="A23" s="11" t="s">
        <v>64</v>
      </c>
      <c r="B23" s="11" t="s">
        <v>71</v>
      </c>
      <c r="C23" s="11" t="s">
        <v>72</v>
      </c>
      <c r="D23" s="13">
        <v>3038055.1185828131</v>
      </c>
      <c r="E23" s="13">
        <v>3097270.0498228101</v>
      </c>
      <c r="F23" s="13">
        <v>2995816.4434548384</v>
      </c>
      <c r="G23" s="13">
        <v>3207779.3152834484</v>
      </c>
      <c r="H23" s="13">
        <v>3426838.3924232866</v>
      </c>
      <c r="I23" s="13">
        <v>3342960.6531777191</v>
      </c>
      <c r="J23" s="13">
        <v>3895900.0916007133</v>
      </c>
      <c r="K23" s="13">
        <v>3763153.3887790716</v>
      </c>
      <c r="L23" s="13">
        <v>4044685.7060000002</v>
      </c>
      <c r="M23" s="13">
        <v>4533040.346463142</v>
      </c>
      <c r="N23" s="13">
        <v>4043345.3053044933</v>
      </c>
      <c r="O23" s="13">
        <v>4249443.9776532492</v>
      </c>
      <c r="P23" s="13">
        <v>4716918.4249638068</v>
      </c>
      <c r="Q23" s="13">
        <v>4593548.4730666289</v>
      </c>
      <c r="R23" s="13">
        <v>4647860.8979895441</v>
      </c>
      <c r="S23" s="13">
        <v>4887502.9275269108</v>
      </c>
      <c r="T23" s="13">
        <v>4772873.9989113361</v>
      </c>
      <c r="U23" s="13">
        <v>5045279.0064703031</v>
      </c>
      <c r="V23" s="13">
        <v>5096041.6870334493</v>
      </c>
      <c r="W23" s="13">
        <v>5016175.1213033907</v>
      </c>
    </row>
    <row r="24" spans="1:23" x14ac:dyDescent="0.2">
      <c r="A24" s="11" t="s">
        <v>64</v>
      </c>
      <c r="B24" s="11" t="s">
        <v>73</v>
      </c>
      <c r="C24" s="11" t="s">
        <v>74</v>
      </c>
      <c r="D24" s="13">
        <v>2755850.178720545</v>
      </c>
      <c r="E24" s="13">
        <v>2774967.8051014431</v>
      </c>
      <c r="F24" s="13">
        <v>2895319.0688997493</v>
      </c>
      <c r="G24" s="13">
        <v>2852167.7884511412</v>
      </c>
      <c r="H24" s="13">
        <v>3068766.2861294006</v>
      </c>
      <c r="I24" s="13">
        <v>3163728.9451975576</v>
      </c>
      <c r="J24" s="13">
        <v>3440627.2190814032</v>
      </c>
      <c r="K24" s="13">
        <v>3390052.7617661962</v>
      </c>
      <c r="L24" s="13">
        <v>3658911.0030000005</v>
      </c>
      <c r="M24" s="13">
        <v>3863582.0308167469</v>
      </c>
      <c r="N24" s="13">
        <v>4010967.2934313207</v>
      </c>
      <c r="O24" s="13">
        <v>4524621.2485141223</v>
      </c>
      <c r="P24" s="13">
        <v>4645896.9101306805</v>
      </c>
      <c r="Q24" s="13">
        <v>4484068.444957572</v>
      </c>
      <c r="R24" s="13">
        <v>4285351.7516948013</v>
      </c>
      <c r="S24" s="13">
        <v>4621642.1998553965</v>
      </c>
      <c r="T24" s="13">
        <v>4530636.5940964883</v>
      </c>
      <c r="U24" s="13">
        <v>4697633.1663489901</v>
      </c>
      <c r="V24" s="13">
        <v>4798857.5284121484</v>
      </c>
      <c r="W24" s="13">
        <v>4958464.3940610737</v>
      </c>
    </row>
    <row r="25" spans="1:23" x14ac:dyDescent="0.2">
      <c r="A25" s="11" t="s">
        <v>64</v>
      </c>
      <c r="B25" s="11" t="s">
        <v>75</v>
      </c>
      <c r="C25" s="11" t="s">
        <v>76</v>
      </c>
      <c r="D25" s="13">
        <v>1484209.4744467437</v>
      </c>
      <c r="E25" s="13">
        <v>1534860.9655650742</v>
      </c>
      <c r="F25" s="13">
        <v>1500028.0770775268</v>
      </c>
      <c r="G25" s="13">
        <v>1540324.5220851193</v>
      </c>
      <c r="H25" s="13">
        <v>1659093.0053772249</v>
      </c>
      <c r="I25" s="13">
        <v>1666816.150043482</v>
      </c>
      <c r="J25" s="13">
        <v>1829324.2589543201</v>
      </c>
      <c r="K25" s="13">
        <v>1832750.8992574818</v>
      </c>
      <c r="L25" s="13">
        <v>2090007.3930000004</v>
      </c>
      <c r="M25" s="13">
        <v>2176019.6285033245</v>
      </c>
      <c r="N25" s="13">
        <v>2156366.6491021994</v>
      </c>
      <c r="O25" s="13">
        <v>2220428.1872979887</v>
      </c>
      <c r="P25" s="13">
        <v>2513076.7548008817</v>
      </c>
      <c r="Q25" s="13">
        <v>2352408.5632424774</v>
      </c>
      <c r="R25" s="13">
        <v>2283646.7121582539</v>
      </c>
      <c r="S25" s="13">
        <v>2330103.2554447684</v>
      </c>
      <c r="T25" s="13">
        <v>2349256.7136361259</v>
      </c>
      <c r="U25" s="13">
        <v>2406528.1266389415</v>
      </c>
      <c r="V25" s="13">
        <v>2430987.0510966652</v>
      </c>
      <c r="W25" s="13">
        <v>2399382.3914997354</v>
      </c>
    </row>
    <row r="26" spans="1:23" x14ac:dyDescent="0.2">
      <c r="A26" s="11" t="s">
        <v>64</v>
      </c>
      <c r="B26" s="11" t="s">
        <v>77</v>
      </c>
      <c r="C26" s="11" t="s">
        <v>78</v>
      </c>
      <c r="D26" s="13">
        <v>3672189.342797623</v>
      </c>
      <c r="E26" s="13">
        <v>3703193.4138265508</v>
      </c>
      <c r="F26" s="13">
        <v>3621472.2603469342</v>
      </c>
      <c r="G26" s="13">
        <v>3730492.3216858883</v>
      </c>
      <c r="H26" s="13">
        <v>4287092.057952649</v>
      </c>
      <c r="I26" s="13">
        <v>4320447.2116951207</v>
      </c>
      <c r="J26" s="13">
        <v>4765567.5489347763</v>
      </c>
      <c r="K26" s="13">
        <v>5046340.513341438</v>
      </c>
      <c r="L26" s="13">
        <v>5554704.8190000011</v>
      </c>
      <c r="M26" s="13">
        <v>5931153.37117883</v>
      </c>
      <c r="N26" s="13">
        <v>5882036.7765508872</v>
      </c>
      <c r="O26" s="13">
        <v>6101226.7796957288</v>
      </c>
      <c r="P26" s="13">
        <v>7024617.8269899208</v>
      </c>
      <c r="Q26" s="13">
        <v>6701195.7131997189</v>
      </c>
      <c r="R26" s="13">
        <v>6517645.6312054545</v>
      </c>
      <c r="S26" s="13">
        <v>6896369.9145836756</v>
      </c>
      <c r="T26" s="13">
        <v>6606309.1105687637</v>
      </c>
      <c r="U26" s="13">
        <v>6875426.06139962</v>
      </c>
      <c r="V26" s="13">
        <v>6721430.6672531078</v>
      </c>
      <c r="W26" s="13">
        <v>6486235.5349170389</v>
      </c>
    </row>
    <row r="27" spans="1:23" x14ac:dyDescent="0.2">
      <c r="A27" s="11" t="s">
        <v>79</v>
      </c>
      <c r="B27" s="11" t="s">
        <v>80</v>
      </c>
      <c r="C27" s="11" t="s">
        <v>81</v>
      </c>
      <c r="D27" s="13">
        <v>102400476.976758</v>
      </c>
      <c r="E27" s="13">
        <v>97336121.993861705</v>
      </c>
      <c r="F27" s="13">
        <v>103654667.69087499</v>
      </c>
      <c r="G27" s="13">
        <v>108935954.33871301</v>
      </c>
      <c r="H27" s="13">
        <v>114053011.324012</v>
      </c>
      <c r="I27" s="13">
        <v>118218602.119587</v>
      </c>
      <c r="J27" s="13">
        <v>128336689.833674</v>
      </c>
      <c r="K27" s="13">
        <v>134795963.43608701</v>
      </c>
      <c r="L27" s="13">
        <v>144174101.595</v>
      </c>
      <c r="M27" s="13">
        <v>142698451.65892401</v>
      </c>
      <c r="N27" s="13">
        <v>140350549.175751</v>
      </c>
      <c r="O27" s="13">
        <v>139945048.92967099</v>
      </c>
      <c r="P27" s="13">
        <v>145641742.97832301</v>
      </c>
      <c r="Q27" s="13">
        <v>147865594.73435599</v>
      </c>
      <c r="R27" s="13">
        <v>149422860.93633401</v>
      </c>
      <c r="S27" s="13">
        <v>149750006.78192416</v>
      </c>
      <c r="T27" s="13">
        <v>149221954.68041655</v>
      </c>
      <c r="U27" s="13">
        <v>153735093.97348043</v>
      </c>
      <c r="V27" s="13">
        <v>140291067.78152749</v>
      </c>
      <c r="W27" s="13">
        <v>135952558.90907699</v>
      </c>
    </row>
    <row r="28" spans="1:23" x14ac:dyDescent="0.2">
      <c r="A28" s="11" t="s">
        <v>82</v>
      </c>
      <c r="B28" s="11" t="s">
        <v>83</v>
      </c>
      <c r="C28" s="11" t="s">
        <v>84</v>
      </c>
      <c r="D28" s="13">
        <v>3288989.7963512274</v>
      </c>
      <c r="E28" s="13">
        <v>3313821.3670057496</v>
      </c>
      <c r="F28" s="13">
        <v>3621576.6389890308</v>
      </c>
      <c r="G28" s="13">
        <v>4063860.5542857298</v>
      </c>
      <c r="H28" s="13">
        <v>4480394.5385661349</v>
      </c>
      <c r="I28" s="13">
        <v>4541903.2312498037</v>
      </c>
      <c r="J28" s="13">
        <v>4582192.6576613933</v>
      </c>
      <c r="K28" s="13">
        <v>4657678.2239422388</v>
      </c>
      <c r="L28" s="13">
        <v>5057570.193</v>
      </c>
      <c r="M28" s="13">
        <v>5493088.3601035103</v>
      </c>
      <c r="N28" s="13">
        <v>5856383.822427582</v>
      </c>
      <c r="O28" s="13">
        <v>5500693.1526021538</v>
      </c>
      <c r="P28" s="13">
        <v>5916305.0727614388</v>
      </c>
      <c r="Q28" s="13">
        <v>5818866.8013658402</v>
      </c>
      <c r="R28" s="13">
        <v>5469957.7096167617</v>
      </c>
      <c r="S28" s="13">
        <v>5310030.6333461637</v>
      </c>
      <c r="T28" s="13">
        <v>5285320.1798827359</v>
      </c>
      <c r="U28" s="13">
        <v>5252740.1877128053</v>
      </c>
      <c r="V28" s="13">
        <v>5419055.2812948106</v>
      </c>
      <c r="W28" s="13">
        <v>5663601.5942257643</v>
      </c>
    </row>
    <row r="29" spans="1:23" x14ac:dyDescent="0.2">
      <c r="A29" s="11" t="s">
        <v>82</v>
      </c>
      <c r="B29" s="11" t="s">
        <v>85</v>
      </c>
      <c r="C29" s="11" t="s">
        <v>86</v>
      </c>
      <c r="D29" s="13">
        <v>7498852.4203108391</v>
      </c>
      <c r="E29" s="13">
        <v>8058161.205544062</v>
      </c>
      <c r="F29" s="13">
        <v>8293338.8119940255</v>
      </c>
      <c r="G29" s="13">
        <v>9453936.6253225375</v>
      </c>
      <c r="H29" s="13">
        <v>11620327.597622493</v>
      </c>
      <c r="I29" s="13">
        <v>12194431.243497567</v>
      </c>
      <c r="J29" s="13">
        <v>13705077.095085548</v>
      </c>
      <c r="K29" s="13">
        <v>10974882.090066034</v>
      </c>
      <c r="L29" s="13">
        <v>11774354.231000001</v>
      </c>
      <c r="M29" s="13">
        <v>13583431.434630094</v>
      </c>
      <c r="N29" s="13">
        <v>13191275.005051192</v>
      </c>
      <c r="O29" s="13">
        <v>12749046.91025706</v>
      </c>
      <c r="P29" s="13">
        <v>12011245.528334625</v>
      </c>
      <c r="Q29" s="13">
        <v>11589355.953422328</v>
      </c>
      <c r="R29" s="13">
        <v>10060868.409863126</v>
      </c>
      <c r="S29" s="13">
        <v>10333114.448545657</v>
      </c>
      <c r="T29" s="13">
        <v>10755024.19629892</v>
      </c>
      <c r="U29" s="13">
        <v>10229045.26521945</v>
      </c>
      <c r="V29" s="13">
        <v>9761458.0373718999</v>
      </c>
      <c r="W29" s="13">
        <v>10585938.565357903</v>
      </c>
    </row>
    <row r="30" spans="1:23" x14ac:dyDescent="0.2">
      <c r="A30" s="11" t="s">
        <v>82</v>
      </c>
      <c r="B30" s="11" t="s">
        <v>87</v>
      </c>
      <c r="C30" s="11" t="s">
        <v>88</v>
      </c>
      <c r="D30" s="13">
        <v>35661978.595667243</v>
      </c>
      <c r="E30" s="13">
        <v>35663232.827827968</v>
      </c>
      <c r="F30" s="13">
        <v>43512511.963343427</v>
      </c>
      <c r="G30" s="13">
        <v>47442669.744387038</v>
      </c>
      <c r="H30" s="13">
        <v>49227562.935049042</v>
      </c>
      <c r="I30" s="13">
        <v>51805640.930099025</v>
      </c>
      <c r="J30" s="13">
        <v>56375901.504771411</v>
      </c>
      <c r="K30" s="13">
        <v>50836241.106648043</v>
      </c>
      <c r="L30" s="13">
        <v>57316274.109000012</v>
      </c>
      <c r="M30" s="13">
        <v>60326351.134617567</v>
      </c>
      <c r="N30" s="13">
        <v>59329496.278612211</v>
      </c>
      <c r="O30" s="13">
        <v>53494553.42684143</v>
      </c>
      <c r="P30" s="13">
        <v>54921948.069782406</v>
      </c>
      <c r="Q30" s="13">
        <v>49711145.961750604</v>
      </c>
      <c r="R30" s="13">
        <v>44111471.140384816</v>
      </c>
      <c r="S30" s="13">
        <v>42612618.279051706</v>
      </c>
      <c r="T30" s="13">
        <v>49579907.77313754</v>
      </c>
      <c r="U30" s="13">
        <v>47281877.774474293</v>
      </c>
      <c r="V30" s="13">
        <v>46406124.191784166</v>
      </c>
      <c r="W30" s="13">
        <v>56847435.35800194</v>
      </c>
    </row>
    <row r="31" spans="1:23" x14ac:dyDescent="0.2">
      <c r="A31" s="11" t="s">
        <v>82</v>
      </c>
      <c r="B31" s="11" t="s">
        <v>89</v>
      </c>
      <c r="C31" s="11" t="s">
        <v>90</v>
      </c>
      <c r="D31" s="13">
        <v>4936396.4291953081</v>
      </c>
      <c r="E31" s="13">
        <v>5447694.8382848175</v>
      </c>
      <c r="F31" s="13">
        <v>5972214.9454230163</v>
      </c>
      <c r="G31" s="13">
        <v>6675228.8244772637</v>
      </c>
      <c r="H31" s="13">
        <v>6696448.6943574585</v>
      </c>
      <c r="I31" s="13">
        <v>8231509.6865942646</v>
      </c>
      <c r="J31" s="13">
        <v>9216953.3363962006</v>
      </c>
      <c r="K31" s="13">
        <v>8576803.3241017386</v>
      </c>
      <c r="L31" s="13">
        <v>11162086.012</v>
      </c>
      <c r="M31" s="13">
        <v>18434647.094250705</v>
      </c>
      <c r="N31" s="13">
        <v>21561355.468279444</v>
      </c>
      <c r="O31" s="13">
        <v>21554948.887179248</v>
      </c>
      <c r="P31" s="13">
        <v>22151761.476662181</v>
      </c>
      <c r="Q31" s="13">
        <v>15426667.598277876</v>
      </c>
      <c r="R31" s="13">
        <v>9673316.1858863402</v>
      </c>
      <c r="S31" s="13">
        <v>11135725.375619076</v>
      </c>
      <c r="T31" s="13">
        <v>14619229.472489595</v>
      </c>
      <c r="U31" s="13">
        <v>14406584.84604831</v>
      </c>
      <c r="V31" s="13">
        <v>11473063.168177227</v>
      </c>
      <c r="W31" s="13">
        <v>15188348.048935451</v>
      </c>
    </row>
    <row r="32" spans="1:23" x14ac:dyDescent="0.2">
      <c r="A32" s="11" t="s">
        <v>91</v>
      </c>
      <c r="B32" s="11" t="s">
        <v>92</v>
      </c>
      <c r="C32" s="11" t="s">
        <v>93</v>
      </c>
      <c r="D32" s="13">
        <v>2258129.7501982138</v>
      </c>
      <c r="E32" s="13">
        <v>2311669.8002227559</v>
      </c>
      <c r="F32" s="13">
        <v>2452102.0607838668</v>
      </c>
      <c r="G32" s="13">
        <v>2328253.7801404353</v>
      </c>
      <c r="H32" s="13">
        <v>2336554.7201880817</v>
      </c>
      <c r="I32" s="13">
        <v>2491886.193869153</v>
      </c>
      <c r="J32" s="13">
        <v>2494073.3517298242</v>
      </c>
      <c r="K32" s="13">
        <v>2586976.5710588908</v>
      </c>
      <c r="L32" s="13">
        <v>2777011.9920000001</v>
      </c>
      <c r="M32" s="13">
        <v>2945950.6587324063</v>
      </c>
      <c r="N32" s="13">
        <v>3261010.0818297127</v>
      </c>
      <c r="O32" s="13">
        <v>3338591.3900338206</v>
      </c>
      <c r="P32" s="13">
        <v>3345085.760871931</v>
      </c>
      <c r="Q32" s="13">
        <v>3314528.6544702947</v>
      </c>
      <c r="R32" s="13">
        <v>3175847.7850966277</v>
      </c>
      <c r="S32" s="13">
        <v>3243296.3745181831</v>
      </c>
      <c r="T32" s="13">
        <v>3314042.6890089992</v>
      </c>
      <c r="U32" s="13">
        <v>3360513.3378753224</v>
      </c>
      <c r="V32" s="13">
        <v>3721536.9186620764</v>
      </c>
      <c r="W32" s="13">
        <v>4026021.4667085488</v>
      </c>
    </row>
    <row r="33" spans="1:23" x14ac:dyDescent="0.2">
      <c r="A33" s="11" t="s">
        <v>91</v>
      </c>
      <c r="B33" s="11" t="s">
        <v>94</v>
      </c>
      <c r="C33" s="11" t="s">
        <v>95</v>
      </c>
      <c r="D33" s="13">
        <v>3432921.0381024382</v>
      </c>
      <c r="E33" s="13">
        <v>3603390.3640847481</v>
      </c>
      <c r="F33" s="13">
        <v>3757656.9452926982</v>
      </c>
      <c r="G33" s="13">
        <v>3713495.2177001447</v>
      </c>
      <c r="H33" s="13">
        <v>3879627.7979559447</v>
      </c>
      <c r="I33" s="13">
        <v>5096673.759115953</v>
      </c>
      <c r="J33" s="13">
        <v>4661364.8940888336</v>
      </c>
      <c r="K33" s="13">
        <v>4388463.440240656</v>
      </c>
      <c r="L33" s="13">
        <v>4764891.0580000002</v>
      </c>
      <c r="M33" s="13">
        <v>5128433.348522434</v>
      </c>
      <c r="N33" s="13">
        <v>5360531.9928134056</v>
      </c>
      <c r="O33" s="13">
        <v>4643003.4662418831</v>
      </c>
      <c r="P33" s="13">
        <v>4359523.0850526094</v>
      </c>
      <c r="Q33" s="13">
        <v>4763507.1966506587</v>
      </c>
      <c r="R33" s="13">
        <v>3974483.7935370789</v>
      </c>
      <c r="S33" s="13">
        <v>4103545.1040245257</v>
      </c>
      <c r="T33" s="13">
        <v>4291997.1397793563</v>
      </c>
      <c r="U33" s="13">
        <v>4350234.5486387918</v>
      </c>
      <c r="V33" s="13">
        <v>4282624.494106045</v>
      </c>
      <c r="W33" s="13">
        <v>4884233.126616532</v>
      </c>
    </row>
    <row r="34" spans="1:23" x14ac:dyDescent="0.2">
      <c r="A34" s="11" t="s">
        <v>91</v>
      </c>
      <c r="B34" s="11" t="s">
        <v>96</v>
      </c>
      <c r="C34" s="11" t="s">
        <v>97</v>
      </c>
      <c r="D34" s="13">
        <v>36411968.740710802</v>
      </c>
      <c r="E34" s="13">
        <v>36636021.897564024</v>
      </c>
      <c r="F34" s="13">
        <v>37946286.937123448</v>
      </c>
      <c r="G34" s="13">
        <v>39017190.843897283</v>
      </c>
      <c r="H34" s="13">
        <v>43774075.124018818</v>
      </c>
      <c r="I34" s="13">
        <v>47044034.250691935</v>
      </c>
      <c r="J34" s="13">
        <v>48901575.387293994</v>
      </c>
      <c r="K34" s="13">
        <v>52436630.842925966</v>
      </c>
      <c r="L34" s="13">
        <v>56874615.402999997</v>
      </c>
      <c r="M34" s="13">
        <v>59452232.68864724</v>
      </c>
      <c r="N34" s="13">
        <v>61200485.710399032</v>
      </c>
      <c r="O34" s="13">
        <v>62300973.358853839</v>
      </c>
      <c r="P34" s="13">
        <v>65744456.346770532</v>
      </c>
      <c r="Q34" s="13">
        <v>62657186.043539353</v>
      </c>
      <c r="R34" s="13">
        <v>59024108.373502351</v>
      </c>
      <c r="S34" s="13">
        <v>61132641.872241475</v>
      </c>
      <c r="T34" s="13">
        <v>59123214.388208747</v>
      </c>
      <c r="U34" s="13">
        <v>60447742.676311418</v>
      </c>
      <c r="V34" s="13">
        <v>58620549.577994727</v>
      </c>
      <c r="W34" s="13">
        <v>60900117.260971524</v>
      </c>
    </row>
    <row r="35" spans="1:23" x14ac:dyDescent="0.2">
      <c r="A35" s="11" t="s">
        <v>91</v>
      </c>
      <c r="B35" s="11" t="s">
        <v>98</v>
      </c>
      <c r="C35" s="11" t="s">
        <v>99</v>
      </c>
      <c r="D35" s="13">
        <v>6366843.4037297741</v>
      </c>
      <c r="E35" s="13">
        <v>6976728.047390827</v>
      </c>
      <c r="F35" s="13">
        <v>7453221.3087986996</v>
      </c>
      <c r="G35" s="13">
        <v>7564413.1413002815</v>
      </c>
      <c r="H35" s="13">
        <v>7712145.6460307213</v>
      </c>
      <c r="I35" s="13">
        <v>8552410.1520434823</v>
      </c>
      <c r="J35" s="13">
        <v>9189221.4570431113</v>
      </c>
      <c r="K35" s="13">
        <v>9671469.1956550851</v>
      </c>
      <c r="L35" s="13">
        <v>10208749.572999999</v>
      </c>
      <c r="M35" s="13">
        <v>10926884.788245549</v>
      </c>
      <c r="N35" s="13">
        <v>11823130.864969606</v>
      </c>
      <c r="O35" s="13">
        <v>12371475.250573995</v>
      </c>
      <c r="P35" s="13">
        <v>12436023.549936371</v>
      </c>
      <c r="Q35" s="13">
        <v>12519678.690451479</v>
      </c>
      <c r="R35" s="13">
        <v>12798145.716319585</v>
      </c>
      <c r="S35" s="13">
        <v>12443886.015105585</v>
      </c>
      <c r="T35" s="13">
        <v>12581573.777039656</v>
      </c>
      <c r="U35" s="13">
        <v>13207941.594340282</v>
      </c>
      <c r="V35" s="13">
        <v>13744770.106727922</v>
      </c>
      <c r="W35" s="13">
        <v>14727327.956706507</v>
      </c>
    </row>
    <row r="36" spans="1:23" x14ac:dyDescent="0.2">
      <c r="A36" s="11" t="s">
        <v>91</v>
      </c>
      <c r="B36" s="11" t="s">
        <v>100</v>
      </c>
      <c r="C36" s="11" t="s">
        <v>101</v>
      </c>
      <c r="D36" s="13">
        <v>24916109.670181341</v>
      </c>
      <c r="E36" s="13">
        <v>26331277.611168105</v>
      </c>
      <c r="F36" s="13">
        <v>27362482.714300096</v>
      </c>
      <c r="G36" s="13">
        <v>24857694.159309205</v>
      </c>
      <c r="H36" s="13">
        <v>24980484.483093966</v>
      </c>
      <c r="I36" s="13">
        <v>27197178.664675981</v>
      </c>
      <c r="J36" s="13">
        <v>30648957.927228611</v>
      </c>
      <c r="K36" s="13">
        <v>31604598.772308167</v>
      </c>
      <c r="L36" s="13">
        <v>32144841.452000011</v>
      </c>
      <c r="M36" s="13">
        <v>33527939.883703541</v>
      </c>
      <c r="N36" s="13">
        <v>37029907.401996017</v>
      </c>
      <c r="O36" s="13">
        <v>37714921.081958286</v>
      </c>
      <c r="P36" s="13">
        <v>35843463.241089575</v>
      </c>
      <c r="Q36" s="13">
        <v>35820859.471258059</v>
      </c>
      <c r="R36" s="13">
        <v>36332818.06659466</v>
      </c>
      <c r="S36" s="13">
        <v>36533299.33806143</v>
      </c>
      <c r="T36" s="13">
        <v>35281158.245501854</v>
      </c>
      <c r="U36" s="13">
        <v>35880193.122112602</v>
      </c>
      <c r="V36" s="13">
        <v>37904760.65504963</v>
      </c>
      <c r="W36" s="13">
        <v>43210666.614549212</v>
      </c>
    </row>
    <row r="37" spans="1:23" x14ac:dyDescent="0.2">
      <c r="A37" s="11" t="s">
        <v>102</v>
      </c>
      <c r="B37" s="11" t="s">
        <v>103</v>
      </c>
      <c r="C37" s="11" t="s">
        <v>104</v>
      </c>
      <c r="D37" s="13">
        <v>14628529.113088718</v>
      </c>
      <c r="E37" s="13">
        <v>15025799.106516391</v>
      </c>
      <c r="F37" s="13">
        <v>16099593.419645686</v>
      </c>
      <c r="G37" s="13">
        <v>17505543.495549116</v>
      </c>
      <c r="H37" s="13">
        <v>20209861.176660109</v>
      </c>
      <c r="I37" s="13">
        <v>19310805.189565118</v>
      </c>
      <c r="J37" s="13">
        <v>21616243.658071067</v>
      </c>
      <c r="K37" s="13">
        <v>21634629.907314461</v>
      </c>
      <c r="L37" s="13">
        <v>24055758.495999992</v>
      </c>
      <c r="M37" s="13">
        <v>24892517.105955489</v>
      </c>
      <c r="N37" s="13">
        <v>26210820.234333985</v>
      </c>
      <c r="O37" s="13">
        <v>25541285.975306127</v>
      </c>
      <c r="P37" s="13">
        <v>27896377.489767894</v>
      </c>
      <c r="Q37" s="13">
        <v>25959507.829772983</v>
      </c>
      <c r="R37" s="13">
        <v>26022711.484603185</v>
      </c>
      <c r="S37" s="13">
        <v>26158788.008969773</v>
      </c>
      <c r="T37" s="13">
        <v>27599744.750289075</v>
      </c>
      <c r="U37" s="13">
        <v>25686264.676654216</v>
      </c>
      <c r="V37" s="13">
        <v>25078336.59129535</v>
      </c>
      <c r="W37" s="13">
        <v>25284744.56900521</v>
      </c>
    </row>
    <row r="38" spans="1:23" x14ac:dyDescent="0.2">
      <c r="A38" s="11" t="s">
        <v>102</v>
      </c>
      <c r="B38" s="11" t="s">
        <v>105</v>
      </c>
      <c r="C38" s="11" t="s">
        <v>106</v>
      </c>
      <c r="D38" s="13">
        <v>6454374.4872249151</v>
      </c>
      <c r="E38" s="13">
        <v>7023230.8718921235</v>
      </c>
      <c r="F38" s="13">
        <v>7194706.2801076192</v>
      </c>
      <c r="G38" s="13">
        <v>7503469.1884779623</v>
      </c>
      <c r="H38" s="13">
        <v>8394708.3206619509</v>
      </c>
      <c r="I38" s="13">
        <v>8018395.7686290164</v>
      </c>
      <c r="J38" s="13">
        <v>8570559.4367665816</v>
      </c>
      <c r="K38" s="13">
        <v>8445316.3174379691</v>
      </c>
      <c r="L38" s="13">
        <v>8635888.9400000013</v>
      </c>
      <c r="M38" s="13">
        <v>9121742.3579876218</v>
      </c>
      <c r="N38" s="13">
        <v>10118483.566435903</v>
      </c>
      <c r="O38" s="13">
        <v>10777987.503972616</v>
      </c>
      <c r="P38" s="13">
        <v>11319494.501302516</v>
      </c>
      <c r="Q38" s="13">
        <v>11348064.871306151</v>
      </c>
      <c r="R38" s="13">
        <v>11851455.319917744</v>
      </c>
      <c r="S38" s="13">
        <v>11182500.4055364</v>
      </c>
      <c r="T38" s="13">
        <v>11491408.83072569</v>
      </c>
      <c r="U38" s="13">
        <v>11242174.505231969</v>
      </c>
      <c r="V38" s="13">
        <v>11457613.8452949</v>
      </c>
      <c r="W38" s="13">
        <v>12439064.880080089</v>
      </c>
    </row>
    <row r="39" spans="1:23" x14ac:dyDescent="0.2">
      <c r="A39" s="11" t="s">
        <v>102</v>
      </c>
      <c r="B39" s="11" t="s">
        <v>107</v>
      </c>
      <c r="C39" s="11" t="s">
        <v>108</v>
      </c>
      <c r="D39" s="13">
        <v>2942523.4095852347</v>
      </c>
      <c r="E39" s="13">
        <v>3044825.68328438</v>
      </c>
      <c r="F39" s="13">
        <v>3126577.7875424642</v>
      </c>
      <c r="G39" s="13">
        <v>3151996.1964332946</v>
      </c>
      <c r="H39" s="13">
        <v>3412382.9547992446</v>
      </c>
      <c r="I39" s="13">
        <v>3386260.7180776922</v>
      </c>
      <c r="J39" s="13">
        <v>3913519.529760424</v>
      </c>
      <c r="K39" s="13">
        <v>4035717.4951729393</v>
      </c>
      <c r="L39" s="13">
        <v>3982611.5840000003</v>
      </c>
      <c r="M39" s="13">
        <v>4217776.2989853667</v>
      </c>
      <c r="N39" s="13">
        <v>4330679.6852528779</v>
      </c>
      <c r="O39" s="13">
        <v>5906192.7600668361</v>
      </c>
      <c r="P39" s="13">
        <v>5433000.2260678289</v>
      </c>
      <c r="Q39" s="13">
        <v>5219710.9320589229</v>
      </c>
      <c r="R39" s="13">
        <v>5498226.0373325963</v>
      </c>
      <c r="S39" s="13">
        <v>5742515.4726925595</v>
      </c>
      <c r="T39" s="13">
        <v>6045393.664168492</v>
      </c>
      <c r="U39" s="13">
        <v>5834327.5386529248</v>
      </c>
      <c r="V39" s="13">
        <v>6086318.1646565776</v>
      </c>
      <c r="W39" s="13">
        <v>6673644.2807956235</v>
      </c>
    </row>
    <row r="40" spans="1:23" x14ac:dyDescent="0.2">
      <c r="A40" s="11" t="s">
        <v>102</v>
      </c>
      <c r="B40" s="11" t="s">
        <v>109</v>
      </c>
      <c r="C40" s="11" t="s">
        <v>110</v>
      </c>
      <c r="D40" s="13">
        <v>4106738.0053014178</v>
      </c>
      <c r="E40" s="13">
        <v>4607268.5993321929</v>
      </c>
      <c r="F40" s="13">
        <v>4890542.1016275389</v>
      </c>
      <c r="G40" s="13">
        <v>4912220.3501925906</v>
      </c>
      <c r="H40" s="13">
        <v>5489764.3650460234</v>
      </c>
      <c r="I40" s="13">
        <v>5308359.0753284711</v>
      </c>
      <c r="J40" s="13">
        <v>5819016.8998481585</v>
      </c>
      <c r="K40" s="13">
        <v>5996800.7329897052</v>
      </c>
      <c r="L40" s="13">
        <v>5873304.9540000008</v>
      </c>
      <c r="M40" s="13">
        <v>6111832.4457412427</v>
      </c>
      <c r="N40" s="13">
        <v>6226486.6766027138</v>
      </c>
      <c r="O40" s="13">
        <v>6433964.5842830101</v>
      </c>
      <c r="P40" s="13">
        <v>6981352.1160104303</v>
      </c>
      <c r="Q40" s="13">
        <v>6610209.1576974979</v>
      </c>
      <c r="R40" s="13">
        <v>6885911.1351125343</v>
      </c>
      <c r="S40" s="13">
        <v>6898729.4712995458</v>
      </c>
      <c r="T40" s="13">
        <v>7077898.2914953763</v>
      </c>
      <c r="U40" s="13">
        <v>6863461.6204397492</v>
      </c>
      <c r="V40" s="13">
        <v>7074838.4137460077</v>
      </c>
      <c r="W40" s="13">
        <v>7374508.0580702247</v>
      </c>
    </row>
    <row r="41" spans="1:23" x14ac:dyDescent="0.2">
      <c r="A41" s="11" t="s">
        <v>102</v>
      </c>
      <c r="B41" s="11" t="s">
        <v>111</v>
      </c>
      <c r="C41" s="11" t="s">
        <v>112</v>
      </c>
      <c r="D41" s="13">
        <v>2119391.6725277412</v>
      </c>
      <c r="E41" s="13">
        <v>2773431.3859236888</v>
      </c>
      <c r="F41" s="13">
        <v>2882080.6242731125</v>
      </c>
      <c r="G41" s="13">
        <v>3037350.1492844261</v>
      </c>
      <c r="H41" s="13">
        <v>2518466.8472277988</v>
      </c>
      <c r="I41" s="13">
        <v>2871301.1318967249</v>
      </c>
      <c r="J41" s="13">
        <v>4216095.4482773384</v>
      </c>
      <c r="K41" s="13">
        <v>4335217.5823174203</v>
      </c>
      <c r="L41" s="13">
        <v>3762069.1349999988</v>
      </c>
      <c r="M41" s="13">
        <v>3795176.3061094722</v>
      </c>
      <c r="N41" s="13">
        <v>4848757.1826770594</v>
      </c>
      <c r="O41" s="13">
        <v>5196146.9146616533</v>
      </c>
      <c r="P41" s="13">
        <v>5054626.767313119</v>
      </c>
      <c r="Q41" s="13">
        <v>4680722.637674992</v>
      </c>
      <c r="R41" s="13">
        <v>3861028.3652133509</v>
      </c>
      <c r="S41" s="13">
        <v>4810311.8897986133</v>
      </c>
      <c r="T41" s="13">
        <v>5279855.3240811909</v>
      </c>
      <c r="U41" s="13">
        <v>5066083.8961041057</v>
      </c>
      <c r="V41" s="13">
        <v>6723824.9006838063</v>
      </c>
      <c r="W41" s="13">
        <v>7443291.3602989148</v>
      </c>
    </row>
    <row r="42" spans="1:23" x14ac:dyDescent="0.2">
      <c r="A42" s="11" t="s">
        <v>113</v>
      </c>
      <c r="B42" s="11" t="s">
        <v>114</v>
      </c>
      <c r="C42" s="11" t="s">
        <v>115</v>
      </c>
      <c r="D42" s="13">
        <v>3698010.7084313831</v>
      </c>
      <c r="E42" s="13">
        <v>4093114.1057817042</v>
      </c>
      <c r="F42" s="13">
        <v>4351721.7382508134</v>
      </c>
      <c r="G42" s="13">
        <v>4490958.431427029</v>
      </c>
      <c r="H42" s="13">
        <v>4133665.0422644517</v>
      </c>
      <c r="I42" s="13">
        <v>4488510.8386488175</v>
      </c>
      <c r="J42" s="13">
        <v>5023642.788248905</v>
      </c>
      <c r="K42" s="13">
        <v>4975522.7853067433</v>
      </c>
      <c r="L42" s="13">
        <v>5700623.4750000015</v>
      </c>
      <c r="M42" s="13">
        <v>6745576.7300218642</v>
      </c>
      <c r="N42" s="13">
        <v>7253734.9493213817</v>
      </c>
      <c r="O42" s="13">
        <v>7388330.6597462138</v>
      </c>
      <c r="P42" s="13">
        <v>7006412.8800793178</v>
      </c>
      <c r="Q42" s="13">
        <v>6794274.8123747008</v>
      </c>
      <c r="R42" s="13">
        <v>7452850.5464923214</v>
      </c>
      <c r="S42" s="13">
        <v>7201791.1561766332</v>
      </c>
      <c r="T42" s="13">
        <v>7906698.2520851679</v>
      </c>
      <c r="U42" s="13">
        <v>7807824.8230615975</v>
      </c>
      <c r="V42" s="13">
        <v>8614440.2739683073</v>
      </c>
      <c r="W42" s="13">
        <v>9898671.7988152225</v>
      </c>
    </row>
    <row r="43" spans="1:23" x14ac:dyDescent="0.2">
      <c r="A43" s="11" t="s">
        <v>113</v>
      </c>
      <c r="B43" s="11" t="s">
        <v>116</v>
      </c>
      <c r="C43" s="11" t="s">
        <v>117</v>
      </c>
      <c r="D43" s="13">
        <v>9357463.6804695968</v>
      </c>
      <c r="E43" s="13">
        <v>9495237.3563214839</v>
      </c>
      <c r="F43" s="13">
        <v>10296480.161961103</v>
      </c>
      <c r="G43" s="13">
        <v>10991716.407014091</v>
      </c>
      <c r="H43" s="13">
        <v>11361810.053318217</v>
      </c>
      <c r="I43" s="13">
        <v>12258658.742241405</v>
      </c>
      <c r="J43" s="13">
        <v>12756865.230887435</v>
      </c>
      <c r="K43" s="13">
        <v>12420072.923992217</v>
      </c>
      <c r="L43" s="13">
        <v>13261610.157000002</v>
      </c>
      <c r="M43" s="13">
        <v>14038100.593369797</v>
      </c>
      <c r="N43" s="13">
        <v>16205814.059162635</v>
      </c>
      <c r="O43" s="13">
        <v>15217586.169137532</v>
      </c>
      <c r="P43" s="13">
        <v>15389152.830086779</v>
      </c>
      <c r="Q43" s="13">
        <v>14590931.893775813</v>
      </c>
      <c r="R43" s="13">
        <v>15026676.508606888</v>
      </c>
      <c r="S43" s="13">
        <v>14931175.155361747</v>
      </c>
      <c r="T43" s="13">
        <v>15424218.192000668</v>
      </c>
      <c r="U43" s="13">
        <v>15574316.306460751</v>
      </c>
      <c r="V43" s="13">
        <v>15374993.464831341</v>
      </c>
      <c r="W43" s="13">
        <v>15962144.459653268</v>
      </c>
    </row>
    <row r="44" spans="1:23" x14ac:dyDescent="0.2">
      <c r="A44" s="11" t="s">
        <v>113</v>
      </c>
      <c r="B44" s="11" t="s">
        <v>118</v>
      </c>
      <c r="C44" s="11" t="s">
        <v>119</v>
      </c>
      <c r="D44" s="13">
        <v>2840047.4002338825</v>
      </c>
      <c r="E44" s="13">
        <v>3022870.8696428495</v>
      </c>
      <c r="F44" s="13">
        <v>2956877.3516467051</v>
      </c>
      <c r="G44" s="13">
        <v>3097883.9273768472</v>
      </c>
      <c r="H44" s="13">
        <v>3196984.4603819912</v>
      </c>
      <c r="I44" s="13">
        <v>3436157.822387387</v>
      </c>
      <c r="J44" s="13">
        <v>3582818.0287164166</v>
      </c>
      <c r="K44" s="13">
        <v>3593238.6670303494</v>
      </c>
      <c r="L44" s="13">
        <v>3868211.1620000005</v>
      </c>
      <c r="M44" s="13">
        <v>4051705.5226623095</v>
      </c>
      <c r="N44" s="13">
        <v>4215126.4330474958</v>
      </c>
      <c r="O44" s="13">
        <v>4426999.482021343</v>
      </c>
      <c r="P44" s="13">
        <v>4781750.7960588895</v>
      </c>
      <c r="Q44" s="13">
        <v>4774899.1708332878</v>
      </c>
      <c r="R44" s="13">
        <v>4392280.4498191336</v>
      </c>
      <c r="S44" s="13">
        <v>4527145.5025105132</v>
      </c>
      <c r="T44" s="13">
        <v>4641109.0171991438</v>
      </c>
      <c r="U44" s="13">
        <v>4809773.8139011776</v>
      </c>
      <c r="V44" s="13">
        <v>4782335.3652025964</v>
      </c>
      <c r="W44" s="13">
        <v>4813275.6629933314</v>
      </c>
    </row>
    <row r="45" spans="1:23" x14ac:dyDescent="0.2">
      <c r="A45" s="11" t="s">
        <v>113</v>
      </c>
      <c r="B45" s="11" t="s">
        <v>120</v>
      </c>
      <c r="C45" s="11" t="s">
        <v>121</v>
      </c>
      <c r="D45" s="13">
        <v>2165018.475012139</v>
      </c>
      <c r="E45" s="13">
        <v>2124791.2291576904</v>
      </c>
      <c r="F45" s="13">
        <v>2198016.1588515704</v>
      </c>
      <c r="G45" s="13">
        <v>2336353.113903977</v>
      </c>
      <c r="H45" s="13">
        <v>2470272.4956540051</v>
      </c>
      <c r="I45" s="13">
        <v>2595989.9213319574</v>
      </c>
      <c r="J45" s="13">
        <v>2816420.6568880384</v>
      </c>
      <c r="K45" s="13">
        <v>2898633.3192604855</v>
      </c>
      <c r="L45" s="13">
        <v>3172354.4260000004</v>
      </c>
      <c r="M45" s="13">
        <v>3139203.6033211956</v>
      </c>
      <c r="N45" s="13">
        <v>3153273.1446320908</v>
      </c>
      <c r="O45" s="13">
        <v>3268314.6297958894</v>
      </c>
      <c r="P45" s="13">
        <v>3332904.7121452149</v>
      </c>
      <c r="Q45" s="13">
        <v>3311746.2773398706</v>
      </c>
      <c r="R45" s="13">
        <v>3202382.3676927839</v>
      </c>
      <c r="S45" s="13">
        <v>3084566.6199987605</v>
      </c>
      <c r="T45" s="13">
        <v>3125668.547349988</v>
      </c>
      <c r="U45" s="13">
        <v>3230252.9731955426</v>
      </c>
      <c r="V45" s="13">
        <v>3277735.6462611784</v>
      </c>
      <c r="W45" s="13">
        <v>3104005.423532553</v>
      </c>
    </row>
    <row r="46" spans="1:23" x14ac:dyDescent="0.2">
      <c r="A46" s="11" t="s">
        <v>113</v>
      </c>
      <c r="B46" s="11" t="s">
        <v>122</v>
      </c>
      <c r="C46" s="11" t="s">
        <v>123</v>
      </c>
      <c r="D46" s="13">
        <v>34095566.558693379</v>
      </c>
      <c r="E46" s="13">
        <v>36403846.813952655</v>
      </c>
      <c r="F46" s="13">
        <v>39869305.368493691</v>
      </c>
      <c r="G46" s="13">
        <v>39238426.053858802</v>
      </c>
      <c r="H46" s="13">
        <v>41564388.286134057</v>
      </c>
      <c r="I46" s="13">
        <v>43311119.980752572</v>
      </c>
      <c r="J46" s="13">
        <v>47060546.891586773</v>
      </c>
      <c r="K46" s="13">
        <v>46655225.377589546</v>
      </c>
      <c r="L46" s="13">
        <v>51462247.606999993</v>
      </c>
      <c r="M46" s="13">
        <v>53504901.883252442</v>
      </c>
      <c r="N46" s="13">
        <v>56186415.042720541</v>
      </c>
      <c r="O46" s="13">
        <v>57009071.692850895</v>
      </c>
      <c r="P46" s="13">
        <v>57721579.307570383</v>
      </c>
      <c r="Q46" s="13">
        <v>56922220.025835566</v>
      </c>
      <c r="R46" s="13">
        <v>57975649.899795868</v>
      </c>
      <c r="S46" s="13">
        <v>57675125.773777358</v>
      </c>
      <c r="T46" s="13">
        <v>59929398.910928868</v>
      </c>
      <c r="U46" s="13">
        <v>59524060.75211782</v>
      </c>
      <c r="V46" s="13">
        <v>59828712.907495193</v>
      </c>
      <c r="W46" s="13">
        <v>62308392.21753639</v>
      </c>
    </row>
    <row r="47" spans="1:23" x14ac:dyDescent="0.2">
      <c r="A47" s="11" t="s">
        <v>113</v>
      </c>
      <c r="B47" s="11" t="s">
        <v>124</v>
      </c>
      <c r="C47" s="11" t="s">
        <v>125</v>
      </c>
      <c r="D47" s="13">
        <v>3999190.8430425068</v>
      </c>
      <c r="E47" s="13">
        <v>4112325.3257612814</v>
      </c>
      <c r="F47" s="13">
        <v>4739891.1704692161</v>
      </c>
      <c r="G47" s="13">
        <v>4812659.5947753331</v>
      </c>
      <c r="H47" s="13">
        <v>5398582.394498351</v>
      </c>
      <c r="I47" s="13">
        <v>5534445.6103133</v>
      </c>
      <c r="J47" s="13">
        <v>5185871.0171960071</v>
      </c>
      <c r="K47" s="13">
        <v>5130341.7343328213</v>
      </c>
      <c r="L47" s="13">
        <v>5426710.0180000011</v>
      </c>
      <c r="M47" s="13">
        <v>5539324.7161843125</v>
      </c>
      <c r="N47" s="13">
        <v>5724932.8773959046</v>
      </c>
      <c r="O47" s="13">
        <v>6140869.857686854</v>
      </c>
      <c r="P47" s="13">
        <v>6081269.8281675912</v>
      </c>
      <c r="Q47" s="13">
        <v>6190926.732399839</v>
      </c>
      <c r="R47" s="13">
        <v>6051051.3037965298</v>
      </c>
      <c r="S47" s="13">
        <v>6266236.7090253951</v>
      </c>
      <c r="T47" s="13">
        <v>6830204.2293338915</v>
      </c>
      <c r="U47" s="13">
        <v>6795480.5142043754</v>
      </c>
      <c r="V47" s="13">
        <v>7310227.3916896023</v>
      </c>
      <c r="W47" s="13">
        <v>7420112.4112048754</v>
      </c>
    </row>
    <row r="48" spans="1:23" x14ac:dyDescent="0.2">
      <c r="A48" s="11" t="s">
        <v>113</v>
      </c>
      <c r="B48" s="11" t="s">
        <v>126</v>
      </c>
      <c r="C48" s="11" t="s">
        <v>127</v>
      </c>
      <c r="D48" s="13">
        <v>99497314.901665702</v>
      </c>
      <c r="E48" s="13">
        <v>101231089.28458776</v>
      </c>
      <c r="F48" s="13">
        <v>110957830.19961257</v>
      </c>
      <c r="G48" s="13">
        <v>115556063.64981844</v>
      </c>
      <c r="H48" s="13">
        <v>122477015.12114613</v>
      </c>
      <c r="I48" s="13">
        <v>133055527.19693732</v>
      </c>
      <c r="J48" s="13">
        <v>145130937.66077849</v>
      </c>
      <c r="K48" s="13">
        <v>138498885.85300344</v>
      </c>
      <c r="L48" s="13">
        <v>160497850.215</v>
      </c>
      <c r="M48" s="13">
        <v>168737562.42397258</v>
      </c>
      <c r="N48" s="13">
        <v>170753379.95896789</v>
      </c>
      <c r="O48" s="13">
        <v>177277958.5625453</v>
      </c>
      <c r="P48" s="13">
        <v>168413499.92437175</v>
      </c>
      <c r="Q48" s="13">
        <v>148700390.67258975</v>
      </c>
      <c r="R48" s="13">
        <v>137977400.31765333</v>
      </c>
      <c r="S48" s="13">
        <v>141507066.12021512</v>
      </c>
      <c r="T48" s="13">
        <v>144169383.95060191</v>
      </c>
      <c r="U48" s="13">
        <v>146739183.50815344</v>
      </c>
      <c r="V48" s="13">
        <v>141200712.89419353</v>
      </c>
      <c r="W48" s="13">
        <v>174061862.63163799</v>
      </c>
    </row>
    <row r="49" spans="1:23" x14ac:dyDescent="0.2">
      <c r="A49" s="11" t="s">
        <v>113</v>
      </c>
      <c r="B49" s="11" t="s">
        <v>128</v>
      </c>
      <c r="C49" s="11" t="s">
        <v>129</v>
      </c>
      <c r="D49" s="13">
        <v>17485262.780362565</v>
      </c>
      <c r="E49" s="13">
        <v>17589544.520980868</v>
      </c>
      <c r="F49" s="13">
        <v>20858430.026819572</v>
      </c>
      <c r="G49" s="13">
        <v>20264961.985184602</v>
      </c>
      <c r="H49" s="13">
        <v>21146152.342545971</v>
      </c>
      <c r="I49" s="13">
        <v>22725939.283435941</v>
      </c>
      <c r="J49" s="13">
        <v>22785479.460246906</v>
      </c>
      <c r="K49" s="13">
        <v>20040092.226394933</v>
      </c>
      <c r="L49" s="13">
        <v>21285723.408000007</v>
      </c>
      <c r="M49" s="13">
        <v>21348554.84576929</v>
      </c>
      <c r="N49" s="13">
        <v>21405427.608200021</v>
      </c>
      <c r="O49" s="13">
        <v>22209068.855238523</v>
      </c>
      <c r="P49" s="13">
        <v>21507794.109513029</v>
      </c>
      <c r="Q49" s="13">
        <v>20495282.535878204</v>
      </c>
      <c r="R49" s="13">
        <v>19575344.08440008</v>
      </c>
      <c r="S49" s="13">
        <v>20514843.997151915</v>
      </c>
      <c r="T49" s="13">
        <v>21320712.103694726</v>
      </c>
      <c r="U49" s="13">
        <v>21571115.604354762</v>
      </c>
      <c r="V49" s="13">
        <v>20969297.978761699</v>
      </c>
      <c r="W49" s="13">
        <v>24457041.454228785</v>
      </c>
    </row>
    <row r="50" spans="1:23" x14ac:dyDescent="0.2">
      <c r="A50" s="11" t="s">
        <v>113</v>
      </c>
      <c r="B50" s="11" t="s">
        <v>130</v>
      </c>
      <c r="C50" s="11" t="s">
        <v>131</v>
      </c>
      <c r="D50" s="13">
        <v>9053779.3997488618</v>
      </c>
      <c r="E50" s="13">
        <v>9279448.2751302607</v>
      </c>
      <c r="F50" s="13">
        <v>10676812.447965955</v>
      </c>
      <c r="G50" s="13">
        <v>10914260.842426525</v>
      </c>
      <c r="H50" s="13">
        <v>11593333.949147314</v>
      </c>
      <c r="I50" s="13">
        <v>11932815.79912477</v>
      </c>
      <c r="J50" s="13">
        <v>12662549.980330953</v>
      </c>
      <c r="K50" s="13">
        <v>11869916.308915041</v>
      </c>
      <c r="L50" s="13">
        <v>13165917.971000003</v>
      </c>
      <c r="M50" s="13">
        <v>14641973.928132681</v>
      </c>
      <c r="N50" s="13">
        <v>14976168.042137941</v>
      </c>
      <c r="O50" s="13">
        <v>15554642.103895679</v>
      </c>
      <c r="P50" s="13">
        <v>15678794.885094335</v>
      </c>
      <c r="Q50" s="13">
        <v>14963614.890235871</v>
      </c>
      <c r="R50" s="13">
        <v>15029503.38825945</v>
      </c>
      <c r="S50" s="13">
        <v>15601103.239525652</v>
      </c>
      <c r="T50" s="13">
        <v>15458495.931980057</v>
      </c>
      <c r="U50" s="13">
        <v>16033848.267424623</v>
      </c>
      <c r="V50" s="13">
        <v>15998096.277232626</v>
      </c>
      <c r="W50" s="13">
        <v>17728421.84252283</v>
      </c>
    </row>
    <row r="51" spans="1:23" x14ac:dyDescent="0.2">
      <c r="A51" s="11" t="s">
        <v>113</v>
      </c>
      <c r="B51" s="11" t="s">
        <v>132</v>
      </c>
      <c r="C51" s="11" t="s">
        <v>133</v>
      </c>
      <c r="D51" s="13">
        <v>28591278.857333384</v>
      </c>
      <c r="E51" s="13">
        <v>27829339.886195611</v>
      </c>
      <c r="F51" s="13">
        <v>31595659.309975687</v>
      </c>
      <c r="G51" s="13">
        <v>31811881.348233856</v>
      </c>
      <c r="H51" s="13">
        <v>34308146.756606668</v>
      </c>
      <c r="I51" s="13">
        <v>34641282.795031816</v>
      </c>
      <c r="J51" s="13">
        <v>35751630.644211888</v>
      </c>
      <c r="K51" s="13">
        <v>34682208.801240012</v>
      </c>
      <c r="L51" s="13">
        <v>39023958.797999993</v>
      </c>
      <c r="M51" s="13">
        <v>42095755.090581283</v>
      </c>
      <c r="N51" s="13">
        <v>42490253.032435797</v>
      </c>
      <c r="O51" s="13">
        <v>42915133.434996463</v>
      </c>
      <c r="P51" s="13">
        <v>44612186.295146339</v>
      </c>
      <c r="Q51" s="13">
        <v>43713107.208984405</v>
      </c>
      <c r="R51" s="13">
        <v>43880704.132365592</v>
      </c>
      <c r="S51" s="13">
        <v>45423623.180385903</v>
      </c>
      <c r="T51" s="13">
        <v>45918123.519886605</v>
      </c>
      <c r="U51" s="13">
        <v>47277099.639510319</v>
      </c>
      <c r="V51" s="13">
        <v>47497773.262215383</v>
      </c>
      <c r="W51" s="13">
        <v>50298624.86656747</v>
      </c>
    </row>
    <row r="52" spans="1:23" x14ac:dyDescent="0.2">
      <c r="A52" s="11" t="s">
        <v>113</v>
      </c>
      <c r="B52" s="11" t="s">
        <v>134</v>
      </c>
      <c r="C52" s="11" t="s">
        <v>135</v>
      </c>
      <c r="D52" s="13">
        <v>5262476.4121523043</v>
      </c>
      <c r="E52" s="13">
        <v>5343936.2698260732</v>
      </c>
      <c r="F52" s="13">
        <v>5865777.9231312918</v>
      </c>
      <c r="G52" s="13">
        <v>5730838.9964689044</v>
      </c>
      <c r="H52" s="13">
        <v>5840764.3145613745</v>
      </c>
      <c r="I52" s="13">
        <v>6029710.4881137656</v>
      </c>
      <c r="J52" s="13">
        <v>6330151.147194352</v>
      </c>
      <c r="K52" s="13">
        <v>6181595.4292380912</v>
      </c>
      <c r="L52" s="13">
        <v>6831877.2999999998</v>
      </c>
      <c r="M52" s="13">
        <v>7175532.8173934137</v>
      </c>
      <c r="N52" s="13">
        <v>7271142.3672817405</v>
      </c>
      <c r="O52" s="13">
        <v>7654566.7178753046</v>
      </c>
      <c r="P52" s="13">
        <v>7385553.4968536422</v>
      </c>
      <c r="Q52" s="13">
        <v>7073486.8905815603</v>
      </c>
      <c r="R52" s="13">
        <v>7236696.0511024846</v>
      </c>
      <c r="S52" s="13">
        <v>7259409.3772260239</v>
      </c>
      <c r="T52" s="13">
        <v>7340265.2455303548</v>
      </c>
      <c r="U52" s="13">
        <v>7721122.2378752073</v>
      </c>
      <c r="V52" s="13">
        <v>7667292.716297592</v>
      </c>
      <c r="W52" s="13">
        <v>8051893.5036531957</v>
      </c>
    </row>
    <row r="53" spans="1:23" x14ac:dyDescent="0.2">
      <c r="A53" s="11" t="s">
        <v>113</v>
      </c>
      <c r="B53" s="11" t="s">
        <v>136</v>
      </c>
      <c r="C53" s="11" t="s">
        <v>137</v>
      </c>
      <c r="D53" s="13">
        <v>19658075.674870446</v>
      </c>
      <c r="E53" s="13">
        <v>19565761.995366372</v>
      </c>
      <c r="F53" s="13">
        <v>21228796.468166858</v>
      </c>
      <c r="G53" s="13">
        <v>21702537.620199468</v>
      </c>
      <c r="H53" s="13">
        <v>22996707.535749521</v>
      </c>
      <c r="I53" s="13">
        <v>24200154.704565242</v>
      </c>
      <c r="J53" s="13">
        <v>25081021.142030891</v>
      </c>
      <c r="K53" s="13">
        <v>24710482.467659798</v>
      </c>
      <c r="L53" s="13">
        <v>27426333.195000011</v>
      </c>
      <c r="M53" s="13">
        <v>28377937.206664734</v>
      </c>
      <c r="N53" s="13">
        <v>28634487.970469974</v>
      </c>
      <c r="O53" s="13">
        <v>29176564.799850646</v>
      </c>
      <c r="P53" s="13">
        <v>29199820.677961864</v>
      </c>
      <c r="Q53" s="13">
        <v>28622354.294526998</v>
      </c>
      <c r="R53" s="13">
        <v>27818563.299343407</v>
      </c>
      <c r="S53" s="13">
        <v>28702627.572954483</v>
      </c>
      <c r="T53" s="13">
        <v>28009415.100506686</v>
      </c>
      <c r="U53" s="13">
        <v>29183059.368658267</v>
      </c>
      <c r="V53" s="13">
        <v>27793422.631926354</v>
      </c>
      <c r="W53" s="13">
        <v>28219019.166433334</v>
      </c>
    </row>
    <row r="54" spans="1:23" x14ac:dyDescent="0.2">
      <c r="A54" s="11" t="s">
        <v>138</v>
      </c>
      <c r="B54" s="11" t="s">
        <v>139</v>
      </c>
      <c r="C54" s="11" t="s">
        <v>140</v>
      </c>
      <c r="D54" s="13">
        <v>2059231.8261714699</v>
      </c>
      <c r="E54" s="13">
        <v>2313441.1120637045</v>
      </c>
      <c r="F54" s="13">
        <v>2304855.9255427169</v>
      </c>
      <c r="G54" s="13">
        <v>2317580.3145988015</v>
      </c>
      <c r="H54" s="13">
        <v>2656878.5078587006</v>
      </c>
      <c r="I54" s="13">
        <v>2758513.0366805182</v>
      </c>
      <c r="J54" s="13">
        <v>3284706.5787642635</v>
      </c>
      <c r="K54" s="13">
        <v>3077673.7168008001</v>
      </c>
      <c r="L54" s="13">
        <v>3341316.1029999997</v>
      </c>
      <c r="M54" s="13">
        <v>3430306.605622971</v>
      </c>
      <c r="N54" s="13">
        <v>3558768.4396726931</v>
      </c>
      <c r="O54" s="13">
        <v>3692544.2501891409</v>
      </c>
      <c r="P54" s="13">
        <v>3961827.3659152389</v>
      </c>
      <c r="Q54" s="13">
        <v>3609244.2587774456</v>
      </c>
      <c r="R54" s="13">
        <v>3277974.7569626356</v>
      </c>
      <c r="S54" s="13">
        <v>3373252.5097705643</v>
      </c>
      <c r="T54" s="13">
        <v>3403849.1496988283</v>
      </c>
      <c r="U54" s="13">
        <v>3196907.1648886697</v>
      </c>
      <c r="V54" s="13">
        <v>3201848.4202818698</v>
      </c>
      <c r="W54" s="13">
        <v>3631074.186837309</v>
      </c>
    </row>
    <row r="55" spans="1:23" x14ac:dyDescent="0.2">
      <c r="A55" s="11" t="s">
        <v>138</v>
      </c>
      <c r="B55" s="11" t="s">
        <v>141</v>
      </c>
      <c r="C55" s="11" t="s">
        <v>142</v>
      </c>
      <c r="D55" s="13">
        <v>12202050.135713318</v>
      </c>
      <c r="E55" s="13">
        <v>13385443.517779516</v>
      </c>
      <c r="F55" s="13">
        <v>13791203.872580629</v>
      </c>
      <c r="G55" s="13">
        <v>13651406.397596974</v>
      </c>
      <c r="H55" s="13">
        <v>14606804.646987794</v>
      </c>
      <c r="I55" s="13">
        <v>15404907.236341288</v>
      </c>
      <c r="J55" s="13">
        <v>16750997.429198574</v>
      </c>
      <c r="K55" s="13">
        <v>17596606.356158424</v>
      </c>
      <c r="L55" s="13">
        <v>18750560.691000003</v>
      </c>
      <c r="M55" s="13">
        <v>19953599.077744149</v>
      </c>
      <c r="N55" s="13">
        <v>20544907.551049221</v>
      </c>
      <c r="O55" s="13">
        <v>20637513.332485568</v>
      </c>
      <c r="P55" s="13">
        <v>21894230.649422534</v>
      </c>
      <c r="Q55" s="13">
        <v>21021417.993438751</v>
      </c>
      <c r="R55" s="13">
        <v>20715566.45006685</v>
      </c>
      <c r="S55" s="13">
        <v>20961335.03298939</v>
      </c>
      <c r="T55" s="13">
        <v>22157427.086896364</v>
      </c>
      <c r="U55" s="13">
        <v>21572438.244254243</v>
      </c>
      <c r="V55" s="13">
        <v>21234127.531725168</v>
      </c>
      <c r="W55" s="13">
        <v>22061386.765102334</v>
      </c>
    </row>
    <row r="56" spans="1:23" x14ac:dyDescent="0.2">
      <c r="A56" s="11" t="s">
        <v>138</v>
      </c>
      <c r="B56" s="11" t="s">
        <v>143</v>
      </c>
      <c r="C56" s="11" t="s">
        <v>144</v>
      </c>
      <c r="D56" s="13">
        <v>7454228.6855017217</v>
      </c>
      <c r="E56" s="13">
        <v>8639120.4782895651</v>
      </c>
      <c r="F56" s="13">
        <v>9050122.9169438202</v>
      </c>
      <c r="G56" s="13">
        <v>8056142.6917246878</v>
      </c>
      <c r="H56" s="13">
        <v>8213950.9254903477</v>
      </c>
      <c r="I56" s="13">
        <v>8004456.1243633116</v>
      </c>
      <c r="J56" s="13">
        <v>8786022.117575448</v>
      </c>
      <c r="K56" s="13">
        <v>9299205.0883086957</v>
      </c>
      <c r="L56" s="13">
        <v>11187621.902999997</v>
      </c>
      <c r="M56" s="13">
        <v>11934655.919349995</v>
      </c>
      <c r="N56" s="13">
        <v>12272503.96346958</v>
      </c>
      <c r="O56" s="13">
        <v>13615107.77338578</v>
      </c>
      <c r="P56" s="13">
        <v>14506827.561393058</v>
      </c>
      <c r="Q56" s="13">
        <v>14290424.853429493</v>
      </c>
      <c r="R56" s="13">
        <v>14716915.938324183</v>
      </c>
      <c r="S56" s="13">
        <v>15161533.610849287</v>
      </c>
      <c r="T56" s="13">
        <v>16237542.983343614</v>
      </c>
      <c r="U56" s="13">
        <v>14934905.319167504</v>
      </c>
      <c r="V56" s="13">
        <v>15925580.081263304</v>
      </c>
      <c r="W56" s="13">
        <v>16300456.084642548</v>
      </c>
    </row>
    <row r="57" spans="1:23" x14ac:dyDescent="0.2">
      <c r="A57" s="11" t="s">
        <v>138</v>
      </c>
      <c r="B57" s="11" t="s">
        <v>145</v>
      </c>
      <c r="C57" s="11" t="s">
        <v>146</v>
      </c>
      <c r="D57" s="13">
        <v>9517115.442091478</v>
      </c>
      <c r="E57" s="13">
        <v>12039022.462556196</v>
      </c>
      <c r="F57" s="13">
        <v>10971513.502002873</v>
      </c>
      <c r="G57" s="13">
        <v>10101929.344571179</v>
      </c>
      <c r="H57" s="13">
        <v>10448459.69993249</v>
      </c>
      <c r="I57" s="13">
        <v>11909495.634665355</v>
      </c>
      <c r="J57" s="13">
        <v>13320422.464302933</v>
      </c>
      <c r="K57" s="13">
        <v>12872969.668231646</v>
      </c>
      <c r="L57" s="13">
        <v>13991157.697000002</v>
      </c>
      <c r="M57" s="13">
        <v>15580514.282263469</v>
      </c>
      <c r="N57" s="13">
        <v>16661698.879183559</v>
      </c>
      <c r="O57" s="13">
        <v>17168192.784676693</v>
      </c>
      <c r="P57" s="13">
        <v>17967462.967853736</v>
      </c>
      <c r="Q57" s="13">
        <v>18194644.419181298</v>
      </c>
      <c r="R57" s="13">
        <v>19277470.699936442</v>
      </c>
      <c r="S57" s="13">
        <v>19112412.458149407</v>
      </c>
      <c r="T57" s="13">
        <v>20417923.429956421</v>
      </c>
      <c r="U57" s="13">
        <v>19968691.854735527</v>
      </c>
      <c r="V57" s="13">
        <v>23874124.775995687</v>
      </c>
      <c r="W57" s="13">
        <v>25382531.201065861</v>
      </c>
    </row>
    <row r="58" spans="1:23" x14ac:dyDescent="0.2">
      <c r="A58" s="11" t="s">
        <v>147</v>
      </c>
      <c r="B58" s="11" t="s">
        <v>148</v>
      </c>
      <c r="C58" s="11" t="s">
        <v>149</v>
      </c>
      <c r="D58" s="13">
        <v>11598029.496272219</v>
      </c>
      <c r="E58" s="13">
        <v>14809557.570507318</v>
      </c>
      <c r="F58" s="13">
        <v>17854626.499383662</v>
      </c>
      <c r="G58" s="13">
        <v>16029109.052619182</v>
      </c>
      <c r="H58" s="13">
        <v>12203555.221618842</v>
      </c>
      <c r="I58" s="13">
        <v>15561464.400444526</v>
      </c>
      <c r="J58" s="13">
        <v>20112529.395559166</v>
      </c>
      <c r="K58" s="13">
        <v>19472955.496270705</v>
      </c>
      <c r="L58" s="13">
        <v>17775991.092000004</v>
      </c>
      <c r="M58" s="13">
        <v>22449042.559449974</v>
      </c>
      <c r="N58" s="13">
        <v>24723668.647305876</v>
      </c>
      <c r="O58" s="13">
        <v>25721526.155561715</v>
      </c>
      <c r="P58" s="13">
        <v>26948458.718230158</v>
      </c>
      <c r="Q58" s="13">
        <v>26331580.204504412</v>
      </c>
      <c r="R58" s="13">
        <v>29619814.057152547</v>
      </c>
      <c r="S58" s="13">
        <v>28958319.443389408</v>
      </c>
      <c r="T58" s="13">
        <v>30767728.451450028</v>
      </c>
      <c r="U58" s="13">
        <v>30822737.288156509</v>
      </c>
      <c r="V58" s="13">
        <v>39891207.635684371</v>
      </c>
      <c r="W58" s="13">
        <v>49235078.262896597</v>
      </c>
    </row>
    <row r="59" spans="1:23" x14ac:dyDescent="0.2">
      <c r="A59" s="11" t="s">
        <v>147</v>
      </c>
      <c r="B59" s="11" t="s">
        <v>150</v>
      </c>
      <c r="C59" s="11" t="s">
        <v>151</v>
      </c>
      <c r="D59" s="13">
        <v>2492324.8407616662</v>
      </c>
      <c r="E59" s="13">
        <v>3023341.0162990177</v>
      </c>
      <c r="F59" s="13">
        <v>3570274.2744696653</v>
      </c>
      <c r="G59" s="13">
        <v>3308161.0962213143</v>
      </c>
      <c r="H59" s="13">
        <v>2764784.1376107247</v>
      </c>
      <c r="I59" s="13">
        <v>3185572.7807701491</v>
      </c>
      <c r="J59" s="13">
        <v>3950969.6142368056</v>
      </c>
      <c r="K59" s="13">
        <v>3920585.3890495463</v>
      </c>
      <c r="L59" s="13">
        <v>3741465.8100000005</v>
      </c>
      <c r="M59" s="13">
        <v>4599781.5923740538</v>
      </c>
      <c r="N59" s="13">
        <v>4973505.5395481307</v>
      </c>
      <c r="O59" s="13">
        <v>5343866.0827935468</v>
      </c>
      <c r="P59" s="13">
        <v>5795582.9287851043</v>
      </c>
      <c r="Q59" s="13">
        <v>5907294.1124793384</v>
      </c>
      <c r="R59" s="13">
        <v>6378253.2779932469</v>
      </c>
      <c r="S59" s="13">
        <v>6426717.1616164232</v>
      </c>
      <c r="T59" s="13">
        <v>6868178.3012699168</v>
      </c>
      <c r="U59" s="13">
        <v>6772309.0318532363</v>
      </c>
      <c r="V59" s="13">
        <v>9019982.8887778055</v>
      </c>
      <c r="W59" s="13">
        <v>11401539.173142269</v>
      </c>
    </row>
    <row r="60" spans="1:23" x14ac:dyDescent="0.2">
      <c r="A60" s="11" t="s">
        <v>147</v>
      </c>
      <c r="B60" s="11" t="s">
        <v>152</v>
      </c>
      <c r="C60" s="11" t="s">
        <v>153</v>
      </c>
      <c r="D60" s="13">
        <v>3546915.1187719023</v>
      </c>
      <c r="E60" s="13">
        <v>3941479.0535604544</v>
      </c>
      <c r="F60" s="13">
        <v>4106118.4874378229</v>
      </c>
      <c r="G60" s="13">
        <v>3954925.910656333</v>
      </c>
      <c r="H60" s="13">
        <v>3833885.0307978918</v>
      </c>
      <c r="I60" s="13">
        <v>4258297.5019433517</v>
      </c>
      <c r="J60" s="13">
        <v>4734842.4526859159</v>
      </c>
      <c r="K60" s="13">
        <v>4836669.478604462</v>
      </c>
      <c r="L60" s="13">
        <v>5386596.1420000009</v>
      </c>
      <c r="M60" s="13">
        <v>5540899.2335086782</v>
      </c>
      <c r="N60" s="13">
        <v>5519492.632505835</v>
      </c>
      <c r="O60" s="13">
        <v>5838022.029439359</v>
      </c>
      <c r="P60" s="13">
        <v>5693936.5832477286</v>
      </c>
      <c r="Q60" s="13">
        <v>5896052.9090007935</v>
      </c>
      <c r="R60" s="13">
        <v>6067346.1510576243</v>
      </c>
      <c r="S60" s="13">
        <v>6032955.7320453832</v>
      </c>
      <c r="T60" s="13">
        <v>6155295.7090509674</v>
      </c>
      <c r="U60" s="13">
        <v>6211199.0008521872</v>
      </c>
      <c r="V60" s="13">
        <v>6785065.9828157276</v>
      </c>
      <c r="W60" s="13">
        <v>7394994.4523331318</v>
      </c>
    </row>
    <row r="61" spans="1:23" x14ac:dyDescent="0.2">
      <c r="A61" s="11" t="s">
        <v>147</v>
      </c>
      <c r="B61" s="11" t="s">
        <v>154</v>
      </c>
      <c r="C61" s="11" t="s">
        <v>155</v>
      </c>
      <c r="D61" s="13">
        <v>11836248.928521484</v>
      </c>
      <c r="E61" s="13">
        <v>13521601.361927891</v>
      </c>
      <c r="F61" s="13">
        <v>15430541.600877628</v>
      </c>
      <c r="G61" s="13">
        <v>15667727.437311348</v>
      </c>
      <c r="H61" s="13">
        <v>14950088.067074843</v>
      </c>
      <c r="I61" s="13">
        <v>15823744.6896549</v>
      </c>
      <c r="J61" s="13">
        <v>17120576.440919537</v>
      </c>
      <c r="K61" s="13">
        <v>17730845.220877044</v>
      </c>
      <c r="L61" s="13">
        <v>18674357.932999995</v>
      </c>
      <c r="M61" s="13">
        <v>18900751.667489696</v>
      </c>
      <c r="N61" s="13">
        <v>20297681.422999509</v>
      </c>
      <c r="O61" s="13">
        <v>20692062.947052144</v>
      </c>
      <c r="P61" s="13">
        <v>22436348.777227622</v>
      </c>
      <c r="Q61" s="13">
        <v>21871286.280401118</v>
      </c>
      <c r="R61" s="13">
        <v>21899384.697684132</v>
      </c>
      <c r="S61" s="13">
        <v>22272247.468780693</v>
      </c>
      <c r="T61" s="13">
        <v>22039180.186123181</v>
      </c>
      <c r="U61" s="13">
        <v>21710423.747412343</v>
      </c>
      <c r="V61" s="13">
        <v>22052644.542125415</v>
      </c>
      <c r="W61" s="13">
        <v>22481641.373588815</v>
      </c>
    </row>
    <row r="62" spans="1:23" x14ac:dyDescent="0.2">
      <c r="A62" s="11" t="s">
        <v>147</v>
      </c>
      <c r="B62" s="11" t="s">
        <v>156</v>
      </c>
      <c r="C62" s="11" t="s">
        <v>157</v>
      </c>
      <c r="D62" s="13">
        <v>6983842.9145131335</v>
      </c>
      <c r="E62" s="13">
        <v>9157735.8094201535</v>
      </c>
      <c r="F62" s="13">
        <v>10634620.236493204</v>
      </c>
      <c r="G62" s="13">
        <v>10316358.266200399</v>
      </c>
      <c r="H62" s="13">
        <v>7605921.5037289383</v>
      </c>
      <c r="I62" s="13">
        <v>9301269.7033508103</v>
      </c>
      <c r="J62" s="13">
        <v>11329604.380530976</v>
      </c>
      <c r="K62" s="13">
        <v>11170905.9778719</v>
      </c>
      <c r="L62" s="13">
        <v>11022544.396</v>
      </c>
      <c r="M62" s="13">
        <v>12352633.797132405</v>
      </c>
      <c r="N62" s="13">
        <v>12621132.806858938</v>
      </c>
      <c r="O62" s="13">
        <v>13379104.4516469</v>
      </c>
      <c r="P62" s="13">
        <v>13804385.717320386</v>
      </c>
      <c r="Q62" s="13">
        <v>13660419.183423843</v>
      </c>
      <c r="R62" s="13">
        <v>14622892.4602581</v>
      </c>
      <c r="S62" s="13">
        <v>13929076.435860706</v>
      </c>
      <c r="T62" s="13">
        <v>14656696.997032952</v>
      </c>
      <c r="U62" s="13">
        <v>14337306.384023691</v>
      </c>
      <c r="V62" s="13">
        <v>16526780.697431907</v>
      </c>
      <c r="W62" s="13">
        <v>20065881.960109293</v>
      </c>
    </row>
    <row r="63" spans="1:23" x14ac:dyDescent="0.2">
      <c r="A63" s="11" t="s">
        <v>158</v>
      </c>
      <c r="B63" s="11" t="s">
        <v>159</v>
      </c>
      <c r="C63" s="11" t="s">
        <v>160</v>
      </c>
      <c r="D63" s="13">
        <v>4662690.5435386179</v>
      </c>
      <c r="E63" s="13">
        <v>4890870.5681362897</v>
      </c>
      <c r="F63" s="13">
        <v>5517125.0162790185</v>
      </c>
      <c r="G63" s="13">
        <v>5333590.3192998385</v>
      </c>
      <c r="H63" s="13">
        <v>5239320.362770264</v>
      </c>
      <c r="I63" s="13">
        <v>5300804.0797264781</v>
      </c>
      <c r="J63" s="13">
        <v>5857224.9592164671</v>
      </c>
      <c r="K63" s="13">
        <v>5400038.0271641957</v>
      </c>
      <c r="L63" s="13">
        <v>6811746.892</v>
      </c>
      <c r="M63" s="13">
        <v>6607697.3115945105</v>
      </c>
      <c r="N63" s="13">
        <v>6699084.2970637055</v>
      </c>
      <c r="O63" s="13">
        <v>7566106.6973520713</v>
      </c>
      <c r="P63" s="13">
        <v>7311284.1267243437</v>
      </c>
      <c r="Q63" s="13">
        <v>7021477.5225731963</v>
      </c>
      <c r="R63" s="13">
        <v>7247379.9479323672</v>
      </c>
      <c r="S63" s="13">
        <v>7276235.2929460211</v>
      </c>
      <c r="T63" s="13">
        <v>6848125.4661635831</v>
      </c>
      <c r="U63" s="13">
        <v>7204462.7963931523</v>
      </c>
      <c r="V63" s="13">
        <v>7452021.7372692553</v>
      </c>
      <c r="W63" s="13">
        <v>7472051.908043948</v>
      </c>
    </row>
    <row r="64" spans="1:23" x14ac:dyDescent="0.2">
      <c r="A64" s="11" t="s">
        <v>158</v>
      </c>
      <c r="B64" s="11" t="s">
        <v>161</v>
      </c>
      <c r="C64" s="11" t="s">
        <v>162</v>
      </c>
      <c r="D64" s="13">
        <v>1525128.3535183037</v>
      </c>
      <c r="E64" s="13">
        <v>1437028.7749485336</v>
      </c>
      <c r="F64" s="13">
        <v>1565638.8611831525</v>
      </c>
      <c r="G64" s="13">
        <v>1575139.7282470996</v>
      </c>
      <c r="H64" s="13">
        <v>1578542.4554068036</v>
      </c>
      <c r="I64" s="13">
        <v>1717918.0718023798</v>
      </c>
      <c r="J64" s="13">
        <v>1682439.7737641048</v>
      </c>
      <c r="K64" s="13">
        <v>1774335.458847499</v>
      </c>
      <c r="L64" s="13">
        <v>1938687.2150000001</v>
      </c>
      <c r="M64" s="13">
        <v>2104995.9220240274</v>
      </c>
      <c r="N64" s="13">
        <v>2303153.2504507955</v>
      </c>
      <c r="O64" s="13">
        <v>2496004.0929770828</v>
      </c>
      <c r="P64" s="13">
        <v>2441966.7581647816</v>
      </c>
      <c r="Q64" s="13">
        <v>2643118.2955064485</v>
      </c>
      <c r="R64" s="13">
        <v>2793104.9031593688</v>
      </c>
      <c r="S64" s="13">
        <v>2817452.0718628229</v>
      </c>
      <c r="T64" s="13">
        <v>2886973.4606602532</v>
      </c>
      <c r="U64" s="13">
        <v>2615606.3671977995</v>
      </c>
      <c r="V64" s="13">
        <v>2703697.9962328309</v>
      </c>
      <c r="W64" s="13">
        <v>2624096.0771186817</v>
      </c>
    </row>
    <row r="65" spans="1:23" x14ac:dyDescent="0.2">
      <c r="A65" s="11" t="s">
        <v>158</v>
      </c>
      <c r="B65" s="11" t="s">
        <v>163</v>
      </c>
      <c r="C65" s="11" t="s">
        <v>164</v>
      </c>
      <c r="D65" s="13">
        <v>22356697.765223783</v>
      </c>
      <c r="E65" s="13">
        <v>21983441.645053599</v>
      </c>
      <c r="F65" s="13">
        <v>25273326.041523892</v>
      </c>
      <c r="G65" s="13">
        <v>25001909.020993512</v>
      </c>
      <c r="H65" s="13">
        <v>27212839.811849155</v>
      </c>
      <c r="I65" s="13">
        <v>28489294.822408147</v>
      </c>
      <c r="J65" s="13">
        <v>28618074.337495457</v>
      </c>
      <c r="K65" s="13">
        <v>28460753.098379929</v>
      </c>
      <c r="L65" s="13">
        <v>29028871.867999997</v>
      </c>
      <c r="M65" s="13">
        <v>30390076.664309327</v>
      </c>
      <c r="N65" s="13">
        <v>33006816.012714606</v>
      </c>
      <c r="O65" s="13">
        <v>32224807.952107769</v>
      </c>
      <c r="P65" s="13">
        <v>33145108.357162919</v>
      </c>
      <c r="Q65" s="13">
        <v>33248989.620078404</v>
      </c>
      <c r="R65" s="13">
        <v>31411993.651311189</v>
      </c>
      <c r="S65" s="13">
        <v>31101578.972905513</v>
      </c>
      <c r="T65" s="13">
        <v>31048159.529671703</v>
      </c>
      <c r="U65" s="13">
        <v>31088142.907612115</v>
      </c>
      <c r="V65" s="13">
        <v>29851449.645844471</v>
      </c>
      <c r="W65" s="13">
        <v>29985571.345724948</v>
      </c>
    </row>
    <row r="66" spans="1:23" x14ac:dyDescent="0.2">
      <c r="A66" s="11" t="s">
        <v>158</v>
      </c>
      <c r="B66" s="11" t="s">
        <v>165</v>
      </c>
      <c r="C66" s="11" t="s">
        <v>166</v>
      </c>
      <c r="D66" s="13">
        <v>6260553.7439991245</v>
      </c>
      <c r="E66" s="13">
        <v>6306799.3357932139</v>
      </c>
      <c r="F66" s="13">
        <v>6652190.5218349183</v>
      </c>
      <c r="G66" s="13">
        <v>6879285.5965569299</v>
      </c>
      <c r="H66" s="13">
        <v>7214823.4821448922</v>
      </c>
      <c r="I66" s="13">
        <v>7826794.2769860178</v>
      </c>
      <c r="J66" s="13">
        <v>7779511.1465000147</v>
      </c>
      <c r="K66" s="13">
        <v>8141966.1403180752</v>
      </c>
      <c r="L66" s="13">
        <v>8916638.9569999985</v>
      </c>
      <c r="M66" s="13">
        <v>9547682.9749667961</v>
      </c>
      <c r="N66" s="13">
        <v>9788771.2640326228</v>
      </c>
      <c r="O66" s="13">
        <v>11507809.791433219</v>
      </c>
      <c r="P66" s="13">
        <v>10817595.337160347</v>
      </c>
      <c r="Q66" s="13">
        <v>10863280.686295725</v>
      </c>
      <c r="R66" s="13">
        <v>11329428.963478148</v>
      </c>
      <c r="S66" s="13">
        <v>11364152.005237311</v>
      </c>
      <c r="T66" s="13">
        <v>10978298.574906565</v>
      </c>
      <c r="U66" s="13">
        <v>10956371.913120912</v>
      </c>
      <c r="V66" s="13">
        <v>11891289.362556228</v>
      </c>
      <c r="W66" s="13">
        <v>11830059.125838557</v>
      </c>
    </row>
    <row r="67" spans="1:23" x14ac:dyDescent="0.2">
      <c r="A67" s="11" t="s">
        <v>158</v>
      </c>
      <c r="B67" s="11" t="s">
        <v>167</v>
      </c>
      <c r="C67" s="11" t="s">
        <v>168</v>
      </c>
      <c r="D67" s="13">
        <v>2422440.7770440914</v>
      </c>
      <c r="E67" s="13">
        <v>2387198.6554772495</v>
      </c>
      <c r="F67" s="13">
        <v>2657242.0706334258</v>
      </c>
      <c r="G67" s="13">
        <v>2711958.270669729</v>
      </c>
      <c r="H67" s="13">
        <v>2782786.9300814187</v>
      </c>
      <c r="I67" s="13">
        <v>3210752.0847395589</v>
      </c>
      <c r="J67" s="13">
        <v>3120708.8473703195</v>
      </c>
      <c r="K67" s="13">
        <v>3149880.6177736954</v>
      </c>
      <c r="L67" s="13">
        <v>3595297.2859999998</v>
      </c>
      <c r="M67" s="13">
        <v>3969216.0495536611</v>
      </c>
      <c r="N67" s="13">
        <v>4674107.2549145203</v>
      </c>
      <c r="O67" s="13">
        <v>5689419.2483202517</v>
      </c>
      <c r="P67" s="13">
        <v>6551400.6486793905</v>
      </c>
      <c r="Q67" s="13">
        <v>6222204.1807610253</v>
      </c>
      <c r="R67" s="13">
        <v>5628698.3194257868</v>
      </c>
      <c r="S67" s="13">
        <v>7050530.4756390378</v>
      </c>
      <c r="T67" s="13">
        <v>7749426.7059396217</v>
      </c>
      <c r="U67" s="13">
        <v>7705875.3575386275</v>
      </c>
      <c r="V67" s="13">
        <v>7710267.5440829899</v>
      </c>
      <c r="W67" s="13">
        <v>7999280.035174544</v>
      </c>
    </row>
    <row r="68" spans="1:23" x14ac:dyDescent="0.2">
      <c r="A68" s="11" t="s">
        <v>158</v>
      </c>
      <c r="B68" s="11" t="s">
        <v>169</v>
      </c>
      <c r="C68" s="11" t="s">
        <v>170</v>
      </c>
      <c r="D68" s="13">
        <v>13081858.561823085</v>
      </c>
      <c r="E68" s="13">
        <v>13397920.381573275</v>
      </c>
      <c r="F68" s="13">
        <v>15932767.747255985</v>
      </c>
      <c r="G68" s="13">
        <v>16787352.357813835</v>
      </c>
      <c r="H68" s="13">
        <v>17918481.293250356</v>
      </c>
      <c r="I68" s="13">
        <v>19075450.672662713</v>
      </c>
      <c r="J68" s="13">
        <v>23867228.769392319</v>
      </c>
      <c r="K68" s="13">
        <v>19932381.860415637</v>
      </c>
      <c r="L68" s="13">
        <v>32393275.581</v>
      </c>
      <c r="M68" s="13">
        <v>38510333.640352033</v>
      </c>
      <c r="N68" s="13">
        <v>35110871.360043406</v>
      </c>
      <c r="O68" s="13">
        <v>37001523.708622552</v>
      </c>
      <c r="P68" s="13">
        <v>31696496.95591373</v>
      </c>
      <c r="Q68" s="13">
        <v>29810790.57362669</v>
      </c>
      <c r="R68" s="13">
        <v>29115340.010828447</v>
      </c>
      <c r="S68" s="13">
        <v>35284615.315305367</v>
      </c>
      <c r="T68" s="13">
        <v>34886205.293055825</v>
      </c>
      <c r="U68" s="13">
        <v>40558441.242084377</v>
      </c>
      <c r="V68" s="13">
        <v>54240853.351221681</v>
      </c>
      <c r="W68" s="13">
        <v>64652033.303531542</v>
      </c>
    </row>
    <row r="69" spans="1:23" x14ac:dyDescent="0.2">
      <c r="A69" s="11" t="s">
        <v>171</v>
      </c>
      <c r="B69" s="11" t="s">
        <v>172</v>
      </c>
      <c r="C69" s="11" t="s">
        <v>173</v>
      </c>
      <c r="D69" s="13">
        <v>3605384.8904842185</v>
      </c>
      <c r="E69" s="13">
        <v>3697578.5538722607</v>
      </c>
      <c r="F69" s="13">
        <v>3751608.799090744</v>
      </c>
      <c r="G69" s="13">
        <v>3879783.334251768</v>
      </c>
      <c r="H69" s="13">
        <v>4291731.7196650831</v>
      </c>
      <c r="I69" s="13">
        <v>4411440.202148784</v>
      </c>
      <c r="J69" s="13">
        <v>4857184.8687024554</v>
      </c>
      <c r="K69" s="13">
        <v>5132300.9809204927</v>
      </c>
      <c r="L69" s="13">
        <v>5155122.277999999</v>
      </c>
      <c r="M69" s="13">
        <v>5265416.1701789983</v>
      </c>
      <c r="N69" s="13">
        <v>5441178.9416538849</v>
      </c>
      <c r="O69" s="13">
        <v>5640001.8279159721</v>
      </c>
      <c r="P69" s="13">
        <v>6021704.4517308362</v>
      </c>
      <c r="Q69" s="13">
        <v>6012217.0514985248</v>
      </c>
      <c r="R69" s="13">
        <v>6005477.8562699687</v>
      </c>
      <c r="S69" s="13">
        <v>6143448.5839830032</v>
      </c>
      <c r="T69" s="13">
        <v>5983799.2580323722</v>
      </c>
      <c r="U69" s="13">
        <v>6110685.6727901613</v>
      </c>
      <c r="V69" s="13">
        <v>6000817.5927643236</v>
      </c>
      <c r="W69" s="13">
        <v>5836009.9217432607</v>
      </c>
    </row>
    <row r="70" spans="1:23" x14ac:dyDescent="0.2">
      <c r="A70" s="11" t="s">
        <v>171</v>
      </c>
      <c r="B70" s="11" t="s">
        <v>174</v>
      </c>
      <c r="C70" s="11" t="s">
        <v>175</v>
      </c>
      <c r="D70" s="13">
        <v>1115964.6641437958</v>
      </c>
      <c r="E70" s="13">
        <v>1131689.424778712</v>
      </c>
      <c r="F70" s="13">
        <v>1152650.4224083344</v>
      </c>
      <c r="G70" s="13">
        <v>1233078.0856650074</v>
      </c>
      <c r="H70" s="13">
        <v>1319255.3085471506</v>
      </c>
      <c r="I70" s="13">
        <v>1375209.7487039713</v>
      </c>
      <c r="J70" s="13">
        <v>1480512.0232878269</v>
      </c>
      <c r="K70" s="13">
        <v>1562122.733854712</v>
      </c>
      <c r="L70" s="13">
        <v>1576300.3539999998</v>
      </c>
      <c r="M70" s="13">
        <v>1589693.3506312855</v>
      </c>
      <c r="N70" s="13">
        <v>1641179.3043073846</v>
      </c>
      <c r="O70" s="13">
        <v>1714508.0161914923</v>
      </c>
      <c r="P70" s="13">
        <v>1806032.3172745868</v>
      </c>
      <c r="Q70" s="13">
        <v>1869009.6638418937</v>
      </c>
      <c r="R70" s="13">
        <v>1831543.3531902146</v>
      </c>
      <c r="S70" s="13">
        <v>1899115.7800205031</v>
      </c>
      <c r="T70" s="13">
        <v>1956286.0304665847</v>
      </c>
      <c r="U70" s="13">
        <v>1942843.3910374031</v>
      </c>
      <c r="V70" s="13">
        <v>1953786.3014944615</v>
      </c>
      <c r="W70" s="13">
        <v>1975317.4853609148</v>
      </c>
    </row>
    <row r="71" spans="1:23" x14ac:dyDescent="0.2">
      <c r="A71" s="11" t="s">
        <v>171</v>
      </c>
      <c r="B71" s="11" t="s">
        <v>176</v>
      </c>
      <c r="C71" s="11" t="s">
        <v>177</v>
      </c>
      <c r="D71" s="13">
        <v>6626317.0664604735</v>
      </c>
      <c r="E71" s="13">
        <v>6955723.4178399108</v>
      </c>
      <c r="F71" s="13">
        <v>6963712.6611177456</v>
      </c>
      <c r="G71" s="13">
        <v>7335208.5076962123</v>
      </c>
      <c r="H71" s="13">
        <v>8112170.9643026954</v>
      </c>
      <c r="I71" s="13">
        <v>8374109.3060669554</v>
      </c>
      <c r="J71" s="13">
        <v>8873785.8620193806</v>
      </c>
      <c r="K71" s="13">
        <v>9234428.9016796332</v>
      </c>
      <c r="L71" s="13">
        <v>9476491.2979999986</v>
      </c>
      <c r="M71" s="13">
        <v>9680004.7611569837</v>
      </c>
      <c r="N71" s="13">
        <v>10116805.982214741</v>
      </c>
      <c r="O71" s="13">
        <v>10226190.215783566</v>
      </c>
      <c r="P71" s="13">
        <v>10664501.824666297</v>
      </c>
      <c r="Q71" s="13">
        <v>10622069.701951884</v>
      </c>
      <c r="R71" s="13">
        <v>10412638.014326088</v>
      </c>
      <c r="S71" s="13">
        <v>10467466.604401467</v>
      </c>
      <c r="T71" s="13">
        <v>10447480.82768934</v>
      </c>
      <c r="U71" s="13">
        <v>10471818.234806329</v>
      </c>
      <c r="V71" s="13">
        <v>10388330.303023234</v>
      </c>
      <c r="W71" s="13">
        <v>10114764.96256781</v>
      </c>
    </row>
    <row r="72" spans="1:23" x14ac:dyDescent="0.2">
      <c r="A72" s="11" t="s">
        <v>171</v>
      </c>
      <c r="B72" s="11" t="s">
        <v>178</v>
      </c>
      <c r="C72" s="11" t="s">
        <v>179</v>
      </c>
      <c r="D72" s="13">
        <v>12868433.173477866</v>
      </c>
      <c r="E72" s="13">
        <v>12755327.513251156</v>
      </c>
      <c r="F72" s="13">
        <v>12482920.988245921</v>
      </c>
      <c r="G72" s="13">
        <v>12806723.306674896</v>
      </c>
      <c r="H72" s="13">
        <v>14349120.051703181</v>
      </c>
      <c r="I72" s="13">
        <v>14835492.11409991</v>
      </c>
      <c r="J72" s="13">
        <v>16075304.691337995</v>
      </c>
      <c r="K72" s="13">
        <v>16847962.880531728</v>
      </c>
      <c r="L72" s="13">
        <v>17314577.763999995</v>
      </c>
      <c r="M72" s="13">
        <v>17724135.131128676</v>
      </c>
      <c r="N72" s="13">
        <v>19139742.400409393</v>
      </c>
      <c r="O72" s="13">
        <v>19315407.21796998</v>
      </c>
      <c r="P72" s="13">
        <v>20557962.869302575</v>
      </c>
      <c r="Q72" s="13">
        <v>19998367.549555186</v>
      </c>
      <c r="R72" s="13">
        <v>19245474.728037238</v>
      </c>
      <c r="S72" s="13">
        <v>19671690.427389171</v>
      </c>
      <c r="T72" s="13">
        <v>19309865.941404946</v>
      </c>
      <c r="U72" s="13">
        <v>19673929.135828789</v>
      </c>
      <c r="V72" s="13">
        <v>18751080.019830916</v>
      </c>
      <c r="W72" s="13">
        <v>18778971.141614001</v>
      </c>
    </row>
    <row r="73" spans="1:23" x14ac:dyDescent="0.2">
      <c r="A73" s="11" t="s">
        <v>180</v>
      </c>
      <c r="B73" s="11" t="s">
        <v>181</v>
      </c>
      <c r="C73" s="11" t="s">
        <v>182</v>
      </c>
      <c r="D73" s="13">
        <v>3878825.8470921842</v>
      </c>
      <c r="E73" s="13">
        <v>3647940.635726165</v>
      </c>
      <c r="F73" s="13">
        <v>3714045.2507362678</v>
      </c>
      <c r="G73" s="13">
        <v>3991503.9223909285</v>
      </c>
      <c r="H73" s="13">
        <v>4329486.0493453667</v>
      </c>
      <c r="I73" s="13">
        <v>4503495.0893773623</v>
      </c>
      <c r="J73" s="13">
        <v>4883663.6068046875</v>
      </c>
      <c r="K73" s="13">
        <v>5183608.0343922572</v>
      </c>
      <c r="L73" s="13">
        <v>5868762.6709999992</v>
      </c>
      <c r="M73" s="13">
        <v>6078367.5351866772</v>
      </c>
      <c r="N73" s="13">
        <v>6261775.5377248703</v>
      </c>
      <c r="O73" s="13">
        <v>6305256.6442282302</v>
      </c>
      <c r="P73" s="13">
        <v>6655317.1795650916</v>
      </c>
      <c r="Q73" s="13">
        <v>6165167.2425907999</v>
      </c>
      <c r="R73" s="13">
        <v>6151830.8235194609</v>
      </c>
      <c r="S73" s="13">
        <v>6366608.433348773</v>
      </c>
      <c r="T73" s="13">
        <v>6560899.040029224</v>
      </c>
      <c r="U73" s="13">
        <v>6758634.8231728366</v>
      </c>
      <c r="V73" s="13">
        <v>6509362.9055323116</v>
      </c>
      <c r="W73" s="13">
        <v>6309984.4595206063</v>
      </c>
    </row>
    <row r="74" spans="1:23" x14ac:dyDescent="0.2">
      <c r="A74" s="11" t="s">
        <v>180</v>
      </c>
      <c r="B74" s="11" t="s">
        <v>183</v>
      </c>
      <c r="C74" s="11" t="s">
        <v>184</v>
      </c>
      <c r="D74" s="13">
        <v>4016488.5508629843</v>
      </c>
      <c r="E74" s="13">
        <v>4271687.0622990541</v>
      </c>
      <c r="F74" s="13">
        <v>4427173.1821829192</v>
      </c>
      <c r="G74" s="13">
        <v>4565679.5500781517</v>
      </c>
      <c r="H74" s="13">
        <v>4516269.9750969177</v>
      </c>
      <c r="I74" s="13">
        <v>4674778.8986831447</v>
      </c>
      <c r="J74" s="13">
        <v>4969313.2674784046</v>
      </c>
      <c r="K74" s="13">
        <v>5013197.4005574845</v>
      </c>
      <c r="L74" s="13">
        <v>5939521.3450000016</v>
      </c>
      <c r="M74" s="13">
        <v>5877113.663127833</v>
      </c>
      <c r="N74" s="13">
        <v>6432345.3953558309</v>
      </c>
      <c r="O74" s="13">
        <v>6054218.2823724402</v>
      </c>
      <c r="P74" s="13">
        <v>6175629.7142704967</v>
      </c>
      <c r="Q74" s="13">
        <v>6136364.815120806</v>
      </c>
      <c r="R74" s="13">
        <v>5933345.3991872091</v>
      </c>
      <c r="S74" s="13">
        <v>6091603.199566789</v>
      </c>
      <c r="T74" s="13">
        <v>6535063.9517955408</v>
      </c>
      <c r="U74" s="13">
        <v>6755944.0319754649</v>
      </c>
      <c r="V74" s="13">
        <v>6355919.8253815286</v>
      </c>
      <c r="W74" s="13">
        <v>6273593.286228627</v>
      </c>
    </row>
    <row r="75" spans="1:23" x14ac:dyDescent="0.2">
      <c r="A75" s="11" t="s">
        <v>180</v>
      </c>
      <c r="B75" s="11" t="s">
        <v>185</v>
      </c>
      <c r="C75" s="11" t="s">
        <v>186</v>
      </c>
      <c r="D75" s="13">
        <v>9237668.8153276555</v>
      </c>
      <c r="E75" s="13">
        <v>8877740.9291937407</v>
      </c>
      <c r="F75" s="13">
        <v>9822805.200288089</v>
      </c>
      <c r="G75" s="13">
        <v>10479401.274994623</v>
      </c>
      <c r="H75" s="13">
        <v>11279692.306811027</v>
      </c>
      <c r="I75" s="13">
        <v>12042411.199800767</v>
      </c>
      <c r="J75" s="13">
        <v>12687192.730798351</v>
      </c>
      <c r="K75" s="13">
        <v>12978104.109286055</v>
      </c>
      <c r="L75" s="13">
        <v>14557465.205</v>
      </c>
      <c r="M75" s="13">
        <v>15382730.086945262</v>
      </c>
      <c r="N75" s="13">
        <v>16762113.873390025</v>
      </c>
      <c r="O75" s="13">
        <v>17229967.074561909</v>
      </c>
      <c r="P75" s="13">
        <v>17962580.569466375</v>
      </c>
      <c r="Q75" s="13">
        <v>17110111.377592951</v>
      </c>
      <c r="R75" s="13">
        <v>17068286.877080608</v>
      </c>
      <c r="S75" s="13">
        <v>18166618.783164479</v>
      </c>
      <c r="T75" s="13">
        <v>18037178.793426055</v>
      </c>
      <c r="U75" s="13">
        <v>18359381.83722841</v>
      </c>
      <c r="V75" s="13">
        <v>17690595.562466342</v>
      </c>
      <c r="W75" s="13">
        <v>18084775.13210592</v>
      </c>
    </row>
    <row r="76" spans="1:23" x14ac:dyDescent="0.2">
      <c r="A76" s="11" t="s">
        <v>180</v>
      </c>
      <c r="B76" s="11" t="s">
        <v>187</v>
      </c>
      <c r="C76" s="11" t="s">
        <v>188</v>
      </c>
      <c r="D76" s="13">
        <v>7050977.5635415334</v>
      </c>
      <c r="E76" s="13">
        <v>6839535.4912951747</v>
      </c>
      <c r="F76" s="13">
        <v>6973418.4593190318</v>
      </c>
      <c r="G76" s="13">
        <v>7269310.8644984774</v>
      </c>
      <c r="H76" s="13">
        <v>7658830.6202016538</v>
      </c>
      <c r="I76" s="13">
        <v>7747159.0395359183</v>
      </c>
      <c r="J76" s="13">
        <v>8013192.8375762822</v>
      </c>
      <c r="K76" s="13">
        <v>8646580.1794145443</v>
      </c>
      <c r="L76" s="13">
        <v>9896289.6179999989</v>
      </c>
      <c r="M76" s="13">
        <v>10239837.762655901</v>
      </c>
      <c r="N76" s="13">
        <v>10805358.234938597</v>
      </c>
      <c r="O76" s="13">
        <v>11092543.167108195</v>
      </c>
      <c r="P76" s="13">
        <v>12205480.022264222</v>
      </c>
      <c r="Q76" s="13">
        <v>12696827.781512847</v>
      </c>
      <c r="R76" s="13">
        <v>13464230.294432562</v>
      </c>
      <c r="S76" s="13">
        <v>15813952.878542433</v>
      </c>
      <c r="T76" s="13">
        <v>15412454.580412434</v>
      </c>
      <c r="U76" s="13">
        <v>16025299.990691105</v>
      </c>
      <c r="V76" s="13">
        <v>14068882.399248645</v>
      </c>
      <c r="W76" s="13">
        <v>15222320.04290689</v>
      </c>
    </row>
    <row r="77" spans="1:23" x14ac:dyDescent="0.2">
      <c r="A77" s="11" t="s">
        <v>180</v>
      </c>
      <c r="B77" s="11" t="s">
        <v>189</v>
      </c>
      <c r="C77" s="11" t="s">
        <v>190</v>
      </c>
      <c r="D77" s="13">
        <v>44313333.414852858</v>
      </c>
      <c r="E77" s="13">
        <v>40995910.601242028</v>
      </c>
      <c r="F77" s="13">
        <v>44575201.103674076</v>
      </c>
      <c r="G77" s="13">
        <v>45961158.514790684</v>
      </c>
      <c r="H77" s="13">
        <v>46963650.314018741</v>
      </c>
      <c r="I77" s="13">
        <v>50085023.215465516</v>
      </c>
      <c r="J77" s="13">
        <v>51375269.214377277</v>
      </c>
      <c r="K77" s="13">
        <v>54658003.702437773</v>
      </c>
      <c r="L77" s="13">
        <v>60927721.636999995</v>
      </c>
      <c r="M77" s="13">
        <v>64123382.541461676</v>
      </c>
      <c r="N77" s="13">
        <v>69203283.404286891</v>
      </c>
      <c r="O77" s="13">
        <v>71612066.320017487</v>
      </c>
      <c r="P77" s="13">
        <v>71446669.795354247</v>
      </c>
      <c r="Q77" s="13">
        <v>65535969.599859156</v>
      </c>
      <c r="R77" s="13">
        <v>63543334.774146259</v>
      </c>
      <c r="S77" s="13">
        <v>64691382.097130939</v>
      </c>
      <c r="T77" s="13">
        <v>62582855.194779076</v>
      </c>
      <c r="U77" s="13">
        <v>63268442.508296147</v>
      </c>
      <c r="V77" s="13">
        <v>57386007.991437405</v>
      </c>
      <c r="W77" s="13">
        <v>58729692.816839784</v>
      </c>
    </row>
    <row r="78" spans="1:23" x14ac:dyDescent="0.2">
      <c r="A78" s="11" t="s">
        <v>191</v>
      </c>
      <c r="B78" s="11" t="s">
        <v>192</v>
      </c>
      <c r="C78" s="11" t="s">
        <v>193</v>
      </c>
      <c r="D78" s="13">
        <v>1813137.4404030866</v>
      </c>
      <c r="E78" s="13">
        <v>1828344.7093749894</v>
      </c>
      <c r="F78" s="13">
        <v>1957500.7413722265</v>
      </c>
      <c r="G78" s="13">
        <v>2024377.8665135002</v>
      </c>
      <c r="H78" s="13">
        <v>2310560.6019145953</v>
      </c>
      <c r="I78" s="13">
        <v>2365160.1149457255</v>
      </c>
      <c r="J78" s="13">
        <v>2482716.4922595299</v>
      </c>
      <c r="K78" s="13">
        <v>2631255.7408369314</v>
      </c>
      <c r="L78" s="13">
        <v>2880083.5819999999</v>
      </c>
      <c r="M78" s="13">
        <v>3004752.6858777734</v>
      </c>
      <c r="N78" s="13">
        <v>3091206.543929968</v>
      </c>
      <c r="O78" s="13">
        <v>3326860.7463273522</v>
      </c>
      <c r="P78" s="13">
        <v>3571906.7545046643</v>
      </c>
      <c r="Q78" s="13">
        <v>3580508.2091233395</v>
      </c>
      <c r="R78" s="13">
        <v>3629061.7558796993</v>
      </c>
      <c r="S78" s="13">
        <v>3720503.8700202252</v>
      </c>
      <c r="T78" s="13">
        <v>3920945.0258121327</v>
      </c>
      <c r="U78" s="13">
        <v>4118268.0077633495</v>
      </c>
      <c r="V78" s="13">
        <v>4071432.735800494</v>
      </c>
      <c r="W78" s="13">
        <v>4020124.7952612909</v>
      </c>
    </row>
    <row r="79" spans="1:23" x14ac:dyDescent="0.2">
      <c r="A79" s="11" t="s">
        <v>191</v>
      </c>
      <c r="B79" s="11" t="s">
        <v>194</v>
      </c>
      <c r="C79" s="11" t="s">
        <v>195</v>
      </c>
      <c r="D79" s="13">
        <v>8378491.5771712698</v>
      </c>
      <c r="E79" s="13">
        <v>8433019.5159938317</v>
      </c>
      <c r="F79" s="13">
        <v>8382850.4461184405</v>
      </c>
      <c r="G79" s="13">
        <v>9044653.5534821711</v>
      </c>
      <c r="H79" s="13">
        <v>11036619.217044936</v>
      </c>
      <c r="I79" s="13">
        <v>10319632.796083501</v>
      </c>
      <c r="J79" s="13">
        <v>10799418.423891399</v>
      </c>
      <c r="K79" s="13">
        <v>11913821.816068953</v>
      </c>
      <c r="L79" s="13">
        <v>13262106.018999999</v>
      </c>
      <c r="M79" s="13">
        <v>14026105.59441559</v>
      </c>
      <c r="N79" s="13">
        <v>14196903.484673688</v>
      </c>
      <c r="O79" s="13">
        <v>14636015.382418282</v>
      </c>
      <c r="P79" s="13">
        <v>16285763.832224116</v>
      </c>
      <c r="Q79" s="13">
        <v>15275458.385686383</v>
      </c>
      <c r="R79" s="13">
        <v>15310079.854864413</v>
      </c>
      <c r="S79" s="13">
        <v>14944963.508961003</v>
      </c>
      <c r="T79" s="13">
        <v>15702539.924894745</v>
      </c>
      <c r="U79" s="13">
        <v>15854373.786858903</v>
      </c>
      <c r="V79" s="13">
        <v>14893721.410199855</v>
      </c>
      <c r="W79" s="13">
        <v>14763031.971219821</v>
      </c>
    </row>
    <row r="80" spans="1:23" x14ac:dyDescent="0.2">
      <c r="A80" s="11" t="s">
        <v>191</v>
      </c>
      <c r="B80" s="11" t="s">
        <v>196</v>
      </c>
      <c r="C80" s="11" t="s">
        <v>197</v>
      </c>
      <c r="D80" s="13">
        <v>1750746.186840862</v>
      </c>
      <c r="E80" s="13">
        <v>2153899.0736314012</v>
      </c>
      <c r="F80" s="13">
        <v>2501352.7811523438</v>
      </c>
      <c r="G80" s="13">
        <v>2515823.9992964282</v>
      </c>
      <c r="H80" s="13">
        <v>2513869.5296535227</v>
      </c>
      <c r="I80" s="13">
        <v>2585700.6782268612</v>
      </c>
      <c r="J80" s="13">
        <v>3267010.3791319123</v>
      </c>
      <c r="K80" s="13">
        <v>3562526.8261744413</v>
      </c>
      <c r="L80" s="13">
        <v>3465868.571</v>
      </c>
      <c r="M80" s="13">
        <v>4060094.6678809277</v>
      </c>
      <c r="N80" s="13">
        <v>4434288.7633888945</v>
      </c>
      <c r="O80" s="13">
        <v>4037316.3079609862</v>
      </c>
      <c r="P80" s="13">
        <v>4836543.2569321161</v>
      </c>
      <c r="Q80" s="13">
        <v>4894135.0844343873</v>
      </c>
      <c r="R80" s="13">
        <v>4073357.9627987705</v>
      </c>
      <c r="S80" s="13">
        <v>5425197.9286843417</v>
      </c>
      <c r="T80" s="13">
        <v>6205312.7256461009</v>
      </c>
      <c r="U80" s="13">
        <v>5703810.3997870535</v>
      </c>
      <c r="V80" s="13">
        <v>6656258.1240106067</v>
      </c>
      <c r="W80" s="13">
        <v>7483251.6837493461</v>
      </c>
    </row>
    <row r="81" spans="1:23" x14ac:dyDescent="0.2">
      <c r="A81" s="11" t="s">
        <v>191</v>
      </c>
      <c r="B81" s="11" t="s">
        <v>198</v>
      </c>
      <c r="C81" s="11" t="s">
        <v>199</v>
      </c>
      <c r="D81" s="13">
        <v>1588819.914680864</v>
      </c>
      <c r="E81" s="13">
        <v>1596506.9579168332</v>
      </c>
      <c r="F81" s="13">
        <v>1694288.3369072962</v>
      </c>
      <c r="G81" s="13">
        <v>1823339.4945451184</v>
      </c>
      <c r="H81" s="13">
        <v>2137740.0059807706</v>
      </c>
      <c r="I81" s="13">
        <v>2114850.7247712878</v>
      </c>
      <c r="J81" s="13">
        <v>2303904.1142887976</v>
      </c>
      <c r="K81" s="13">
        <v>2433068.9678978035</v>
      </c>
      <c r="L81" s="13">
        <v>2661090.8970000008</v>
      </c>
      <c r="M81" s="13">
        <v>2860752.661685355</v>
      </c>
      <c r="N81" s="13">
        <v>2775807.5152820996</v>
      </c>
      <c r="O81" s="13">
        <v>2896636.0774347251</v>
      </c>
      <c r="P81" s="13">
        <v>3148790.0199531857</v>
      </c>
      <c r="Q81" s="13">
        <v>3118806.527261781</v>
      </c>
      <c r="R81" s="13">
        <v>3215140.172109839</v>
      </c>
      <c r="S81" s="13">
        <v>3621072.6640247242</v>
      </c>
      <c r="T81" s="13">
        <v>3621983.6826817226</v>
      </c>
      <c r="U81" s="13">
        <v>3932133.1306944634</v>
      </c>
      <c r="V81" s="13">
        <v>4086295.2419371889</v>
      </c>
      <c r="W81" s="13">
        <v>4069887.9109757962</v>
      </c>
    </row>
    <row r="82" spans="1:23" x14ac:dyDescent="0.2">
      <c r="A82" s="11" t="s">
        <v>200</v>
      </c>
      <c r="B82" s="11" t="s">
        <v>201</v>
      </c>
      <c r="C82" s="11" t="s">
        <v>202</v>
      </c>
      <c r="D82" s="13">
        <v>6741405.7578554368</v>
      </c>
      <c r="E82" s="13">
        <v>7618822.966645183</v>
      </c>
      <c r="F82" s="13">
        <v>7647722.2537699938</v>
      </c>
      <c r="G82" s="13">
        <v>7318385.7396578854</v>
      </c>
      <c r="H82" s="13">
        <v>7434080.8569313781</v>
      </c>
      <c r="I82" s="13">
        <v>7987284.1688339785</v>
      </c>
      <c r="J82" s="13">
        <v>8385101.4790685233</v>
      </c>
      <c r="K82" s="13">
        <v>8697277.9728738964</v>
      </c>
      <c r="L82" s="13">
        <v>9194897.327999996</v>
      </c>
      <c r="M82" s="13">
        <v>9996426.3901489638</v>
      </c>
      <c r="N82" s="13">
        <v>10775825.004606145</v>
      </c>
      <c r="O82" s="13">
        <v>12019317.073691634</v>
      </c>
      <c r="P82" s="13">
        <v>12213145.407421086</v>
      </c>
      <c r="Q82" s="13">
        <v>12228265.762071103</v>
      </c>
      <c r="R82" s="13">
        <v>12241473.068844097</v>
      </c>
      <c r="S82" s="13">
        <v>13009600.752263989</v>
      </c>
      <c r="T82" s="13">
        <v>12514940.834757322</v>
      </c>
      <c r="U82" s="13">
        <v>12464843.280347733</v>
      </c>
      <c r="V82" s="13">
        <v>12412482.89812937</v>
      </c>
      <c r="W82" s="13">
        <v>12173964.264951907</v>
      </c>
    </row>
    <row r="83" spans="1:23" x14ac:dyDescent="0.2">
      <c r="A83" s="11" t="s">
        <v>200</v>
      </c>
      <c r="B83" s="11" t="s">
        <v>203</v>
      </c>
      <c r="C83" s="11" t="s">
        <v>204</v>
      </c>
      <c r="D83" s="13">
        <v>4725221.6373882182</v>
      </c>
      <c r="E83" s="13">
        <v>5430187.5729470449</v>
      </c>
      <c r="F83" s="13">
        <v>5246731.8001091359</v>
      </c>
      <c r="G83" s="13">
        <v>4521677.7274279473</v>
      </c>
      <c r="H83" s="13">
        <v>4515707.3471646123</v>
      </c>
      <c r="I83" s="13">
        <v>4915780.2219187906</v>
      </c>
      <c r="J83" s="13">
        <v>5722221.6718446603</v>
      </c>
      <c r="K83" s="13">
        <v>5372343.6978055499</v>
      </c>
      <c r="L83" s="13">
        <v>5050796.9730000012</v>
      </c>
      <c r="M83" s="13">
        <v>5633295.3290910693</v>
      </c>
      <c r="N83" s="13">
        <v>5951624.4923870657</v>
      </c>
      <c r="O83" s="13">
        <v>6664914.5578906685</v>
      </c>
      <c r="P83" s="13">
        <v>6768564.8677542228</v>
      </c>
      <c r="Q83" s="13">
        <v>6655462.9794837032</v>
      </c>
      <c r="R83" s="13">
        <v>6786714.0243743015</v>
      </c>
      <c r="S83" s="13">
        <v>6616556.8392258082</v>
      </c>
      <c r="T83" s="13">
        <v>7016512.9459594637</v>
      </c>
      <c r="U83" s="13">
        <v>6555347.2057252983</v>
      </c>
      <c r="V83" s="13">
        <v>7989741.6577551542</v>
      </c>
      <c r="W83" s="13">
        <v>7739245.5864801658</v>
      </c>
    </row>
    <row r="84" spans="1:23" x14ac:dyDescent="0.2">
      <c r="A84" s="11" t="s">
        <v>200</v>
      </c>
      <c r="B84" s="11" t="s">
        <v>205</v>
      </c>
      <c r="C84" s="11" t="s">
        <v>206</v>
      </c>
      <c r="D84" s="13">
        <v>27275471.134235371</v>
      </c>
      <c r="E84" s="13">
        <v>30312639.533049248</v>
      </c>
      <c r="F84" s="13">
        <v>31034800.541017335</v>
      </c>
      <c r="G84" s="13">
        <v>29575683.726203971</v>
      </c>
      <c r="H84" s="13">
        <v>30162718.28859612</v>
      </c>
      <c r="I84" s="13">
        <v>34179747.745662078</v>
      </c>
      <c r="J84" s="13">
        <v>34495297.157214932</v>
      </c>
      <c r="K84" s="13">
        <v>35586806.358612336</v>
      </c>
      <c r="L84" s="13">
        <v>37421976.248999998</v>
      </c>
      <c r="M84" s="13">
        <v>40220603.997501343</v>
      </c>
      <c r="N84" s="13">
        <v>43377057.73577486</v>
      </c>
      <c r="O84" s="13">
        <v>46731789.567986712</v>
      </c>
      <c r="P84" s="13">
        <v>45660643.683429666</v>
      </c>
      <c r="Q84" s="13">
        <v>45759980.954942115</v>
      </c>
      <c r="R84" s="13">
        <v>44295222.664601706</v>
      </c>
      <c r="S84" s="13">
        <v>45236405.572415382</v>
      </c>
      <c r="T84" s="13">
        <v>45019917.196839146</v>
      </c>
      <c r="U84" s="13">
        <v>45754050.016195171</v>
      </c>
      <c r="V84" s="13">
        <v>46160703.919310264</v>
      </c>
      <c r="W84" s="13">
        <v>45549317.226195</v>
      </c>
    </row>
    <row r="85" spans="1:23" x14ac:dyDescent="0.2">
      <c r="A85" s="11" t="s">
        <v>200</v>
      </c>
      <c r="B85" s="11" t="s">
        <v>207</v>
      </c>
      <c r="C85" s="11" t="s">
        <v>208</v>
      </c>
      <c r="D85" s="13">
        <v>5777897.2775042634</v>
      </c>
      <c r="E85" s="13">
        <v>6410625.8891991526</v>
      </c>
      <c r="F85" s="13">
        <v>6522777.6981894132</v>
      </c>
      <c r="G85" s="13">
        <v>5938291.1430498026</v>
      </c>
      <c r="H85" s="13">
        <v>6011036.3395199738</v>
      </c>
      <c r="I85" s="13">
        <v>6416639.9405675959</v>
      </c>
      <c r="J85" s="13">
        <v>6872153.7607206311</v>
      </c>
      <c r="K85" s="13">
        <v>6517006.1533095269</v>
      </c>
      <c r="L85" s="13">
        <v>6950237.4519999977</v>
      </c>
      <c r="M85" s="13">
        <v>7595580.2909433516</v>
      </c>
      <c r="N85" s="13">
        <v>7774161.3313276311</v>
      </c>
      <c r="O85" s="13">
        <v>8412672.172420036</v>
      </c>
      <c r="P85" s="13">
        <v>8045692.2188215507</v>
      </c>
      <c r="Q85" s="13">
        <v>8543214.4693638477</v>
      </c>
      <c r="R85" s="13">
        <v>8654149.3680702895</v>
      </c>
      <c r="S85" s="13">
        <v>8744794.3879800141</v>
      </c>
      <c r="T85" s="13">
        <v>8845849.4157657344</v>
      </c>
      <c r="U85" s="13">
        <v>8593411.1177503373</v>
      </c>
      <c r="V85" s="13">
        <v>9248678.8840011973</v>
      </c>
      <c r="W85" s="13">
        <v>9147643.3526310101</v>
      </c>
    </row>
    <row r="86" spans="1:23" x14ac:dyDescent="0.2">
      <c r="A86" s="11" t="s">
        <v>200</v>
      </c>
      <c r="B86" s="11" t="s">
        <v>209</v>
      </c>
      <c r="C86" s="11" t="s">
        <v>210</v>
      </c>
      <c r="D86" s="13">
        <v>11909424.643769231</v>
      </c>
      <c r="E86" s="13">
        <v>13329921.956946859</v>
      </c>
      <c r="F86" s="13">
        <v>13881253.227083376</v>
      </c>
      <c r="G86" s="13">
        <v>13144917.045641866</v>
      </c>
      <c r="H86" s="13">
        <v>13002811.374788899</v>
      </c>
      <c r="I86" s="13">
        <v>14294575.858555166</v>
      </c>
      <c r="J86" s="13">
        <v>14183100.729805648</v>
      </c>
      <c r="K86" s="13">
        <v>13636835.120262638</v>
      </c>
      <c r="L86" s="13">
        <v>13945258.418000001</v>
      </c>
      <c r="M86" s="13">
        <v>14881600.160973355</v>
      </c>
      <c r="N86" s="13">
        <v>15763350.595414583</v>
      </c>
      <c r="O86" s="13">
        <v>16975262.204302043</v>
      </c>
      <c r="P86" s="13">
        <v>17170251.177997936</v>
      </c>
      <c r="Q86" s="13">
        <v>17337882.94725525</v>
      </c>
      <c r="R86" s="13">
        <v>17858451.705864776</v>
      </c>
      <c r="S86" s="13">
        <v>19095813.564094756</v>
      </c>
      <c r="T86" s="13">
        <v>18779897.319874845</v>
      </c>
      <c r="U86" s="13">
        <v>18857842.338037498</v>
      </c>
      <c r="V86" s="13">
        <v>19655281.24621287</v>
      </c>
      <c r="W86" s="13">
        <v>19850870.678574074</v>
      </c>
    </row>
    <row r="87" spans="1:23" x14ac:dyDescent="0.2">
      <c r="A87" s="11" t="s">
        <v>200</v>
      </c>
      <c r="B87" s="11" t="s">
        <v>211</v>
      </c>
      <c r="C87" s="11" t="s">
        <v>212</v>
      </c>
      <c r="D87" s="13">
        <v>20840414.831362408</v>
      </c>
      <c r="E87" s="13">
        <v>22465688.589450471</v>
      </c>
      <c r="F87" s="13">
        <v>22214573.790768132</v>
      </c>
      <c r="G87" s="13">
        <v>21402798.508344177</v>
      </c>
      <c r="H87" s="13">
        <v>22058242.366415661</v>
      </c>
      <c r="I87" s="13">
        <v>24538460.027730949</v>
      </c>
      <c r="J87" s="13">
        <v>25032656.344771698</v>
      </c>
      <c r="K87" s="13">
        <v>24304903.382443171</v>
      </c>
      <c r="L87" s="13">
        <v>24238658.219000004</v>
      </c>
      <c r="M87" s="13">
        <v>25910638.889492124</v>
      </c>
      <c r="N87" s="13">
        <v>27417125.092284583</v>
      </c>
      <c r="O87" s="13">
        <v>30842903.044367243</v>
      </c>
      <c r="P87" s="13">
        <v>30561009.367552955</v>
      </c>
      <c r="Q87" s="13">
        <v>32166515.703514587</v>
      </c>
      <c r="R87" s="13">
        <v>33337291.393957827</v>
      </c>
      <c r="S87" s="13">
        <v>32596446.880554166</v>
      </c>
      <c r="T87" s="13">
        <v>33314942.12932729</v>
      </c>
      <c r="U87" s="13">
        <v>32830197.313161623</v>
      </c>
      <c r="V87" s="13">
        <v>36122740.153332874</v>
      </c>
      <c r="W87" s="13">
        <v>35131825.996853039</v>
      </c>
    </row>
    <row r="88" spans="1:23" x14ac:dyDescent="0.2">
      <c r="A88" s="11" t="s">
        <v>200</v>
      </c>
      <c r="B88" s="11" t="s">
        <v>213</v>
      </c>
      <c r="C88" s="11" t="s">
        <v>214</v>
      </c>
      <c r="D88" s="13">
        <v>6469846.7806118438</v>
      </c>
      <c r="E88" s="13">
        <v>7309163.0797516461</v>
      </c>
      <c r="F88" s="13">
        <v>7486724.6261036601</v>
      </c>
      <c r="G88" s="13">
        <v>6907411.5980515815</v>
      </c>
      <c r="H88" s="13">
        <v>6488818.2557936478</v>
      </c>
      <c r="I88" s="13">
        <v>7936211.6295942962</v>
      </c>
      <c r="J88" s="13">
        <v>8420600.0922054518</v>
      </c>
      <c r="K88" s="13">
        <v>8512753.0848502684</v>
      </c>
      <c r="L88" s="13">
        <v>8650944.9389999993</v>
      </c>
      <c r="M88" s="13">
        <v>9170089.7468589582</v>
      </c>
      <c r="N88" s="13">
        <v>9499969.0730473455</v>
      </c>
      <c r="O88" s="13">
        <v>11004435.323126048</v>
      </c>
      <c r="P88" s="13">
        <v>10770760.395388987</v>
      </c>
      <c r="Q88" s="13">
        <v>10824738.253535198</v>
      </c>
      <c r="R88" s="13">
        <v>11423578.584383164</v>
      </c>
      <c r="S88" s="13">
        <v>11505705.214887826</v>
      </c>
      <c r="T88" s="13">
        <v>11489037.720444886</v>
      </c>
      <c r="U88" s="13">
        <v>11175882.939428944</v>
      </c>
      <c r="V88" s="13">
        <v>11675632.625397438</v>
      </c>
      <c r="W88" s="13">
        <v>12037393.276942231</v>
      </c>
    </row>
    <row r="89" spans="1:23" x14ac:dyDescent="0.2">
      <c r="A89" s="11" t="s">
        <v>200</v>
      </c>
      <c r="B89" s="11" t="s">
        <v>215</v>
      </c>
      <c r="C89" s="11" t="s">
        <v>216</v>
      </c>
      <c r="D89" s="13">
        <v>7261451.9361746777</v>
      </c>
      <c r="E89" s="13">
        <v>7732021.3954646299</v>
      </c>
      <c r="F89" s="13">
        <v>8221171.7371883877</v>
      </c>
      <c r="G89" s="13">
        <v>7532979.2389439074</v>
      </c>
      <c r="H89" s="13">
        <v>6944887.2951170336</v>
      </c>
      <c r="I89" s="13">
        <v>8334440.5610930473</v>
      </c>
      <c r="J89" s="13">
        <v>8397941.1754621565</v>
      </c>
      <c r="K89" s="13">
        <v>7954595.1917063277</v>
      </c>
      <c r="L89" s="13">
        <v>8012965.8399999989</v>
      </c>
      <c r="M89" s="13">
        <v>8406601.0575586725</v>
      </c>
      <c r="N89" s="13">
        <v>9071724.9815190695</v>
      </c>
      <c r="O89" s="13">
        <v>10060617.120084273</v>
      </c>
      <c r="P89" s="13">
        <v>9394752.2290868089</v>
      </c>
      <c r="Q89" s="13">
        <v>9706210.4276623745</v>
      </c>
      <c r="R89" s="13">
        <v>10716076.20602417</v>
      </c>
      <c r="S89" s="13">
        <v>10218188.860910477</v>
      </c>
      <c r="T89" s="13">
        <v>10338943.825549403</v>
      </c>
      <c r="U89" s="13">
        <v>10027576.979970094</v>
      </c>
      <c r="V89" s="13">
        <v>11202763.870997485</v>
      </c>
      <c r="W89" s="13">
        <v>11431045.567244086</v>
      </c>
    </row>
    <row r="90" spans="1:23" x14ac:dyDescent="0.2">
      <c r="A90" s="11" t="s">
        <v>200</v>
      </c>
      <c r="B90" s="11" t="s">
        <v>217</v>
      </c>
      <c r="C90" s="11" t="s">
        <v>218</v>
      </c>
      <c r="D90" s="13">
        <v>4379620.714010899</v>
      </c>
      <c r="E90" s="13">
        <v>4752904.3517004792</v>
      </c>
      <c r="F90" s="13">
        <v>5018987.622922183</v>
      </c>
      <c r="G90" s="13">
        <v>4865604.9253198393</v>
      </c>
      <c r="H90" s="13">
        <v>4829617.6737809144</v>
      </c>
      <c r="I90" s="13">
        <v>5176680.4389451034</v>
      </c>
      <c r="J90" s="13">
        <v>5382209.4613194447</v>
      </c>
      <c r="K90" s="13">
        <v>5076995.5316941915</v>
      </c>
      <c r="L90" s="13">
        <v>5531144.1859999998</v>
      </c>
      <c r="M90" s="13">
        <v>5724432.322268175</v>
      </c>
      <c r="N90" s="13">
        <v>5990280.3879336547</v>
      </c>
      <c r="O90" s="13">
        <v>6802181.7461059615</v>
      </c>
      <c r="P90" s="13">
        <v>6972243.6769344294</v>
      </c>
      <c r="Q90" s="13">
        <v>6900635.8066472858</v>
      </c>
      <c r="R90" s="13">
        <v>6847557.2825910226</v>
      </c>
      <c r="S90" s="13">
        <v>7435091.7145401817</v>
      </c>
      <c r="T90" s="13">
        <v>7351192.0291138347</v>
      </c>
      <c r="U90" s="13">
        <v>7122019.7409765013</v>
      </c>
      <c r="V90" s="13">
        <v>7496029.2992014159</v>
      </c>
      <c r="W90" s="13">
        <v>7665681.1908555636</v>
      </c>
    </row>
    <row r="91" spans="1:23" x14ac:dyDescent="0.2">
      <c r="A91" s="11" t="s">
        <v>200</v>
      </c>
      <c r="B91" s="11" t="s">
        <v>219</v>
      </c>
      <c r="C91" s="11" t="s">
        <v>220</v>
      </c>
      <c r="D91" s="13">
        <v>72244673.0619459</v>
      </c>
      <c r="E91" s="13">
        <v>77866214.847696885</v>
      </c>
      <c r="F91" s="13">
        <v>83497379.237166211</v>
      </c>
      <c r="G91" s="13">
        <v>82140674.593852833</v>
      </c>
      <c r="H91" s="13">
        <v>83987276.284912869</v>
      </c>
      <c r="I91" s="13">
        <v>95320046.507133067</v>
      </c>
      <c r="J91" s="13">
        <v>99157199.123981208</v>
      </c>
      <c r="K91" s="13">
        <v>97582747.665594786</v>
      </c>
      <c r="L91" s="13">
        <v>106208375.09199999</v>
      </c>
      <c r="M91" s="13">
        <v>109836664.47645041</v>
      </c>
      <c r="N91" s="13">
        <v>108660573.42784312</v>
      </c>
      <c r="O91" s="13">
        <v>115791488.97089013</v>
      </c>
      <c r="P91" s="13">
        <v>109217792.26850167</v>
      </c>
      <c r="Q91" s="13">
        <v>108395212.06782074</v>
      </c>
      <c r="R91" s="13">
        <v>102744005.48435448</v>
      </c>
      <c r="S91" s="13">
        <v>103463625.39534837</v>
      </c>
      <c r="T91" s="13">
        <v>103011717.28406127</v>
      </c>
      <c r="U91" s="13">
        <v>108661686.58593093</v>
      </c>
      <c r="V91" s="13">
        <v>95523213.51415737</v>
      </c>
      <c r="W91" s="13">
        <v>99847556.641020134</v>
      </c>
    </row>
    <row r="92" spans="1:23" x14ac:dyDescent="0.2">
      <c r="A92" s="11" t="s">
        <v>221</v>
      </c>
      <c r="B92" s="11" t="s">
        <v>222</v>
      </c>
      <c r="C92" s="11" t="s">
        <v>223</v>
      </c>
      <c r="D92" s="13">
        <v>3369602.4844261617</v>
      </c>
      <c r="E92" s="13">
        <v>3292271.0595539734</v>
      </c>
      <c r="F92" s="13">
        <v>3363254.7753029293</v>
      </c>
      <c r="G92" s="13">
        <v>3770494.7138077165</v>
      </c>
      <c r="H92" s="13">
        <v>3771116.0941512561</v>
      </c>
      <c r="I92" s="13">
        <v>3483978.9336901335</v>
      </c>
      <c r="J92" s="13">
        <v>4081429.9728194564</v>
      </c>
      <c r="K92" s="13">
        <v>3952301.4913186948</v>
      </c>
      <c r="L92" s="13">
        <v>3934116.7010000004</v>
      </c>
      <c r="M92" s="13">
        <v>4131048.1592674595</v>
      </c>
      <c r="N92" s="13">
        <v>4320890.1012135455</v>
      </c>
      <c r="O92" s="13">
        <v>4456818.1209375337</v>
      </c>
      <c r="P92" s="13">
        <v>5005329.7356104152</v>
      </c>
      <c r="Q92" s="13">
        <v>4649620.9818278784</v>
      </c>
      <c r="R92" s="13">
        <v>4539189.7903274084</v>
      </c>
      <c r="S92" s="13">
        <v>4498344.3469228782</v>
      </c>
      <c r="T92" s="13">
        <v>4524754.2026984477</v>
      </c>
      <c r="U92" s="13">
        <v>4601126.5269544274</v>
      </c>
      <c r="V92" s="13">
        <v>4734241.1945670359</v>
      </c>
      <c r="W92" s="13">
        <v>4425114.88678429</v>
      </c>
    </row>
    <row r="93" spans="1:23" x14ac:dyDescent="0.2">
      <c r="A93" s="11" t="s">
        <v>221</v>
      </c>
      <c r="B93" s="11" t="s">
        <v>224</v>
      </c>
      <c r="C93" s="11" t="s">
        <v>225</v>
      </c>
      <c r="D93" s="13">
        <v>38238832.513135292</v>
      </c>
      <c r="E93" s="13">
        <v>40390272.651131116</v>
      </c>
      <c r="F93" s="13">
        <v>43944472.303973861</v>
      </c>
      <c r="G93" s="13">
        <v>56546301.248566665</v>
      </c>
      <c r="H93" s="13">
        <v>66331383.921077676</v>
      </c>
      <c r="I93" s="13">
        <v>60517213.785278246</v>
      </c>
      <c r="J93" s="13">
        <v>82120918.232635662</v>
      </c>
      <c r="K93" s="13">
        <v>56401227.490937226</v>
      </c>
      <c r="L93" s="13">
        <v>63956725.106999993</v>
      </c>
      <c r="M93" s="13">
        <v>75178198.47722441</v>
      </c>
      <c r="N93" s="13">
        <v>78823769.117438391</v>
      </c>
      <c r="O93" s="13">
        <v>73884468.486784771</v>
      </c>
      <c r="P93" s="13">
        <v>70800985.67939809</v>
      </c>
      <c r="Q93" s="13">
        <v>45488304.450002767</v>
      </c>
      <c r="R93" s="13">
        <v>26887518.107254945</v>
      </c>
      <c r="S93" s="13">
        <v>27687775.865508553</v>
      </c>
      <c r="T93" s="13">
        <v>35326014.920334943</v>
      </c>
      <c r="U93" s="13">
        <v>33105167.068712793</v>
      </c>
      <c r="V93" s="13">
        <v>27411263.503461942</v>
      </c>
      <c r="W93" s="13">
        <v>35248831.246976621</v>
      </c>
    </row>
    <row r="94" spans="1:23" x14ac:dyDescent="0.2">
      <c r="A94" s="11" t="s">
        <v>221</v>
      </c>
      <c r="B94" s="11" t="s">
        <v>226</v>
      </c>
      <c r="C94" s="11" t="s">
        <v>227</v>
      </c>
      <c r="D94" s="13">
        <v>6809011.401358068</v>
      </c>
      <c r="E94" s="13">
        <v>6547510.4191513313</v>
      </c>
      <c r="F94" s="13">
        <v>6679119.9456992848</v>
      </c>
      <c r="G94" s="13">
        <v>6250657.6699894741</v>
      </c>
      <c r="H94" s="13">
        <v>6617556.3393281102</v>
      </c>
      <c r="I94" s="13">
        <v>6805120.1635300638</v>
      </c>
      <c r="J94" s="13">
        <v>7554411.1816552524</v>
      </c>
      <c r="K94" s="13">
        <v>8107511.4575161124</v>
      </c>
      <c r="L94" s="13">
        <v>8641599.4649999999</v>
      </c>
      <c r="M94" s="13">
        <v>8368261.9034491787</v>
      </c>
      <c r="N94" s="13">
        <v>8946039.8962770812</v>
      </c>
      <c r="O94" s="13">
        <v>9221764.3497624211</v>
      </c>
      <c r="P94" s="13">
        <v>9496708.1502825357</v>
      </c>
      <c r="Q94" s="13">
        <v>9534788.9150476046</v>
      </c>
      <c r="R94" s="13">
        <v>9194045.9581236206</v>
      </c>
      <c r="S94" s="13">
        <v>8891065.487225797</v>
      </c>
      <c r="T94" s="13">
        <v>9064937.3119338974</v>
      </c>
      <c r="U94" s="13">
        <v>8981508.1630216967</v>
      </c>
      <c r="V94" s="13">
        <v>9702230.1799563374</v>
      </c>
      <c r="W94" s="13">
        <v>9706308.5254217163</v>
      </c>
    </row>
    <row r="95" spans="1:23" x14ac:dyDescent="0.2">
      <c r="A95" s="11" t="s">
        <v>221</v>
      </c>
      <c r="B95" s="11" t="s">
        <v>228</v>
      </c>
      <c r="C95" s="11" t="s">
        <v>229</v>
      </c>
      <c r="D95" s="13">
        <v>18041723.09595193</v>
      </c>
      <c r="E95" s="13">
        <v>18071669.439149581</v>
      </c>
      <c r="F95" s="13">
        <v>19914995.534944691</v>
      </c>
      <c r="G95" s="13">
        <v>30105331.826347493</v>
      </c>
      <c r="H95" s="13">
        <v>34793899.687453374</v>
      </c>
      <c r="I95" s="13">
        <v>29652974.322204776</v>
      </c>
      <c r="J95" s="13">
        <v>33597700.735071473</v>
      </c>
      <c r="K95" s="13">
        <v>24227809.707166519</v>
      </c>
      <c r="L95" s="13">
        <v>26814899.523999996</v>
      </c>
      <c r="M95" s="13">
        <v>33000852.629978213</v>
      </c>
      <c r="N95" s="13">
        <v>39136799.486218855</v>
      </c>
      <c r="O95" s="13">
        <v>36827545.957953446</v>
      </c>
      <c r="P95" s="13">
        <v>34467843.07250227</v>
      </c>
      <c r="Q95" s="13">
        <v>21579092.76563913</v>
      </c>
      <c r="R95" s="13">
        <v>14529865.371245462</v>
      </c>
      <c r="S95" s="13">
        <v>15720788.327196108</v>
      </c>
      <c r="T95" s="13">
        <v>20163032.29559166</v>
      </c>
      <c r="U95" s="13">
        <v>24936629.015494946</v>
      </c>
      <c r="V95" s="13">
        <v>22998453.292166922</v>
      </c>
      <c r="W95" s="13">
        <v>37774197.195891097</v>
      </c>
    </row>
    <row r="96" spans="1:23" x14ac:dyDescent="0.2">
      <c r="A96" s="11" t="s">
        <v>221</v>
      </c>
      <c r="B96" s="11" t="s">
        <v>230</v>
      </c>
      <c r="C96" s="11" t="s">
        <v>231</v>
      </c>
      <c r="D96" s="13">
        <v>25478048.808926199</v>
      </c>
      <c r="E96" s="13">
        <v>25475801.047801923</v>
      </c>
      <c r="F96" s="13">
        <v>31280931.728787441</v>
      </c>
      <c r="G96" s="13">
        <v>27569153.403596211</v>
      </c>
      <c r="H96" s="13">
        <v>27464618.232411083</v>
      </c>
      <c r="I96" s="13">
        <v>29921353.940186307</v>
      </c>
      <c r="J96" s="13">
        <v>35149563.487893887</v>
      </c>
      <c r="K96" s="13">
        <v>32225733.557023402</v>
      </c>
      <c r="L96" s="13">
        <v>37220654.251999997</v>
      </c>
      <c r="M96" s="13">
        <v>35844352.319097131</v>
      </c>
      <c r="N96" s="13">
        <v>36209249.754360989</v>
      </c>
      <c r="O96" s="13">
        <v>37263922.706144191</v>
      </c>
      <c r="P96" s="13">
        <v>35098062.851534024</v>
      </c>
      <c r="Q96" s="13">
        <v>30747714.655426182</v>
      </c>
      <c r="R96" s="13">
        <v>28842602.669231366</v>
      </c>
      <c r="S96" s="13">
        <v>30713929.382670082</v>
      </c>
      <c r="T96" s="13">
        <v>32094364.946361307</v>
      </c>
      <c r="U96" s="13">
        <v>29531217.07154442</v>
      </c>
      <c r="V96" s="13">
        <v>28655144.552936718</v>
      </c>
      <c r="W96" s="13">
        <v>34083994.476496674</v>
      </c>
    </row>
    <row r="97" spans="1:23" x14ac:dyDescent="0.2">
      <c r="A97" s="11" t="s">
        <v>221</v>
      </c>
      <c r="B97" s="11" t="s">
        <v>232</v>
      </c>
      <c r="C97" s="11" t="s">
        <v>233</v>
      </c>
      <c r="D97" s="13">
        <v>258206666.40903598</v>
      </c>
      <c r="E97" s="13">
        <v>243642527.55993271</v>
      </c>
      <c r="F97" s="13">
        <v>267558831.99544644</v>
      </c>
      <c r="G97" s="13">
        <v>263888980.77642187</v>
      </c>
      <c r="H97" s="13">
        <v>264818671.5156936</v>
      </c>
      <c r="I97" s="13">
        <v>279314430.8916437</v>
      </c>
      <c r="J97" s="13">
        <v>277642325.84111148</v>
      </c>
      <c r="K97" s="13">
        <v>299726347.12238336</v>
      </c>
      <c r="L97" s="13">
        <v>309290106.06</v>
      </c>
      <c r="M97" s="13">
        <v>316865921.15380651</v>
      </c>
      <c r="N97" s="13">
        <v>324243718.26868999</v>
      </c>
      <c r="O97" s="13">
        <v>338139491.94829649</v>
      </c>
      <c r="P97" s="13">
        <v>340171247.91165328</v>
      </c>
      <c r="Q97" s="13">
        <v>340032754.24054158</v>
      </c>
      <c r="R97" s="13">
        <v>322267125.43105882</v>
      </c>
      <c r="S97" s="13">
        <v>323455851.86710745</v>
      </c>
      <c r="T97" s="13">
        <v>343217730.60861433</v>
      </c>
      <c r="U97" s="13">
        <v>337061762.12270325</v>
      </c>
      <c r="V97" s="13">
        <v>304301163.93438184</v>
      </c>
      <c r="W97" s="13">
        <v>328535610.44661379</v>
      </c>
    </row>
    <row r="98" spans="1:23" x14ac:dyDescent="0.2">
      <c r="A98" s="11" t="s">
        <v>234</v>
      </c>
      <c r="B98" s="11" t="s">
        <v>235</v>
      </c>
      <c r="C98" s="11" t="s">
        <v>236</v>
      </c>
      <c r="D98" s="13">
        <v>7426139.9865694363</v>
      </c>
      <c r="E98" s="13">
        <v>7089111.6475869101</v>
      </c>
      <c r="F98" s="13">
        <v>7956227.6764479047</v>
      </c>
      <c r="G98" s="13">
        <v>8699675.1730749533</v>
      </c>
      <c r="H98" s="13">
        <v>9007303.2170225345</v>
      </c>
      <c r="I98" s="13">
        <v>9259619.7273168433</v>
      </c>
      <c r="J98" s="13">
        <v>9478901.9682532921</v>
      </c>
      <c r="K98" s="13">
        <v>8455229.3721864298</v>
      </c>
      <c r="L98" s="13">
        <v>9360849.8990000021</v>
      </c>
      <c r="M98" s="13">
        <v>10452779.909775056</v>
      </c>
      <c r="N98" s="13">
        <v>10931150.433034195</v>
      </c>
      <c r="O98" s="13">
        <v>11047087.029848456</v>
      </c>
      <c r="P98" s="13">
        <v>10344850.882099522</v>
      </c>
      <c r="Q98" s="13">
        <v>9168375.5320106186</v>
      </c>
      <c r="R98" s="13">
        <v>8199231.7974659018</v>
      </c>
      <c r="S98" s="13">
        <v>8575332.1995291412</v>
      </c>
      <c r="T98" s="13">
        <v>9198020.4880748596</v>
      </c>
      <c r="U98" s="13">
        <v>9611887.1042723954</v>
      </c>
      <c r="V98" s="13">
        <v>9154576.0641138386</v>
      </c>
      <c r="W98" s="13">
        <v>9607559.3042224124</v>
      </c>
    </row>
    <row r="99" spans="1:23" x14ac:dyDescent="0.2">
      <c r="A99" s="11" t="s">
        <v>234</v>
      </c>
      <c r="B99" s="11" t="s">
        <v>237</v>
      </c>
      <c r="C99" s="11" t="s">
        <v>238</v>
      </c>
      <c r="D99" s="13">
        <v>2518932.6175624104</v>
      </c>
      <c r="E99" s="13">
        <v>2388968.109050768</v>
      </c>
      <c r="F99" s="13">
        <v>2670856.4699912737</v>
      </c>
      <c r="G99" s="13">
        <v>2840745.3956792573</v>
      </c>
      <c r="H99" s="13">
        <v>3095966.0793730738</v>
      </c>
      <c r="I99" s="13">
        <v>3309998.0166893117</v>
      </c>
      <c r="J99" s="13">
        <v>3526468.5524763032</v>
      </c>
      <c r="K99" s="13">
        <v>3328222.8199740984</v>
      </c>
      <c r="L99" s="13">
        <v>3691987.6959999995</v>
      </c>
      <c r="M99" s="13">
        <v>3510299.6661171163</v>
      </c>
      <c r="N99" s="13">
        <v>3506047.907768053</v>
      </c>
      <c r="O99" s="13">
        <v>3607172.321186068</v>
      </c>
      <c r="P99" s="13">
        <v>3934825.2913487824</v>
      </c>
      <c r="Q99" s="13">
        <v>4209030.9895948479</v>
      </c>
      <c r="R99" s="13">
        <v>4247344.7410710482</v>
      </c>
      <c r="S99" s="13">
        <v>4474319.2131628823</v>
      </c>
      <c r="T99" s="13">
        <v>4329377.9949422376</v>
      </c>
      <c r="U99" s="13">
        <v>4600212.365902409</v>
      </c>
      <c r="V99" s="13">
        <v>4469788.956327592</v>
      </c>
      <c r="W99" s="13">
        <v>4677208.6195647996</v>
      </c>
    </row>
    <row r="100" spans="1:23" x14ac:dyDescent="0.2">
      <c r="A100" s="11" t="s">
        <v>234</v>
      </c>
      <c r="B100" s="11" t="s">
        <v>239</v>
      </c>
      <c r="C100" s="11" t="s">
        <v>240</v>
      </c>
      <c r="D100" s="13">
        <v>1588557.5331912418</v>
      </c>
      <c r="E100" s="13">
        <v>1582554.9661334597</v>
      </c>
      <c r="F100" s="13">
        <v>1705139.2867975028</v>
      </c>
      <c r="G100" s="13">
        <v>1770546.4431041924</v>
      </c>
      <c r="H100" s="13">
        <v>1832237.2230418522</v>
      </c>
      <c r="I100" s="13">
        <v>2034112.5461475663</v>
      </c>
      <c r="J100" s="13">
        <v>2043653.7443491451</v>
      </c>
      <c r="K100" s="13">
        <v>2133220.108895489</v>
      </c>
      <c r="L100" s="13">
        <v>2186558.4590000007</v>
      </c>
      <c r="M100" s="13">
        <v>2399886.1873579067</v>
      </c>
      <c r="N100" s="13">
        <v>2739201.6550172134</v>
      </c>
      <c r="O100" s="13">
        <v>2820012.6692108712</v>
      </c>
      <c r="P100" s="13">
        <v>2806227.1996787116</v>
      </c>
      <c r="Q100" s="13">
        <v>3035080.2310514301</v>
      </c>
      <c r="R100" s="13">
        <v>3178640.1637695492</v>
      </c>
      <c r="S100" s="13">
        <v>3300245.1570179979</v>
      </c>
      <c r="T100" s="13">
        <v>3149336.9010717026</v>
      </c>
      <c r="U100" s="13">
        <v>3177778.8926975387</v>
      </c>
      <c r="V100" s="13">
        <v>3245883.4232848692</v>
      </c>
      <c r="W100" s="13">
        <v>3359152.1611926747</v>
      </c>
    </row>
    <row r="101" spans="1:23" x14ac:dyDescent="0.2">
      <c r="A101" s="11" t="s">
        <v>234</v>
      </c>
      <c r="B101" s="11" t="s">
        <v>241</v>
      </c>
      <c r="C101" s="11" t="s">
        <v>242</v>
      </c>
      <c r="D101" s="13">
        <v>14239847.428430444</v>
      </c>
      <c r="E101" s="13">
        <v>13692022.815210983</v>
      </c>
      <c r="F101" s="13">
        <v>14328253.583530635</v>
      </c>
      <c r="G101" s="13">
        <v>15409992.565310584</v>
      </c>
      <c r="H101" s="13">
        <v>16901301.834663752</v>
      </c>
      <c r="I101" s="13">
        <v>18706488.827526558</v>
      </c>
      <c r="J101" s="13">
        <v>18575626.558186978</v>
      </c>
      <c r="K101" s="13">
        <v>19630650.966337573</v>
      </c>
      <c r="L101" s="13">
        <v>20945106.313999996</v>
      </c>
      <c r="M101" s="13">
        <v>21481806.840688441</v>
      </c>
      <c r="N101" s="13">
        <v>22518456.066097401</v>
      </c>
      <c r="O101" s="13">
        <v>23511954.634057891</v>
      </c>
      <c r="P101" s="13">
        <v>22765493.303975485</v>
      </c>
      <c r="Q101" s="13">
        <v>22849704.571651865</v>
      </c>
      <c r="R101" s="13">
        <v>22233170.315215971</v>
      </c>
      <c r="S101" s="13">
        <v>23000112.583394658</v>
      </c>
      <c r="T101" s="13">
        <v>22540896.346428949</v>
      </c>
      <c r="U101" s="13">
        <v>22692057.975986671</v>
      </c>
      <c r="V101" s="13">
        <v>20901915.901603747</v>
      </c>
      <c r="W101" s="13">
        <v>20345318.650896866</v>
      </c>
    </row>
    <row r="102" spans="1:23" x14ac:dyDescent="0.2">
      <c r="A102" s="11" t="s">
        <v>243</v>
      </c>
      <c r="B102" s="11" t="s">
        <v>244</v>
      </c>
      <c r="C102" s="11" t="s">
        <v>245</v>
      </c>
      <c r="D102" s="13">
        <v>5516183.2027725819</v>
      </c>
      <c r="E102" s="13">
        <v>5898445.358546786</v>
      </c>
      <c r="F102" s="13">
        <v>6688563.3578297356</v>
      </c>
      <c r="G102" s="13">
        <v>7007393.0618016869</v>
      </c>
      <c r="H102" s="13">
        <v>7018988.1034915121</v>
      </c>
      <c r="I102" s="13">
        <v>7246937.0200203098</v>
      </c>
      <c r="J102" s="13">
        <v>7954028.0991593357</v>
      </c>
      <c r="K102" s="13">
        <v>9286218.914985463</v>
      </c>
      <c r="L102" s="13">
        <v>11177549.491999995</v>
      </c>
      <c r="M102" s="13">
        <v>12505927.874906717</v>
      </c>
      <c r="N102" s="13">
        <v>12229089.115483623</v>
      </c>
      <c r="O102" s="13">
        <v>11366155.013154387</v>
      </c>
      <c r="P102" s="13">
        <v>11516595.001281859</v>
      </c>
      <c r="Q102" s="13">
        <v>11718103.737404803</v>
      </c>
      <c r="R102" s="13">
        <v>11487434.907009574</v>
      </c>
      <c r="S102" s="13">
        <v>12637565.479642382</v>
      </c>
      <c r="T102" s="13">
        <v>12092413.550428802</v>
      </c>
      <c r="U102" s="13">
        <v>12383258.760940598</v>
      </c>
      <c r="V102" s="13">
        <v>12663165.523649571</v>
      </c>
      <c r="W102" s="13">
        <v>12010775.453338994</v>
      </c>
    </row>
    <row r="103" spans="1:23" x14ac:dyDescent="0.2">
      <c r="A103" s="11" t="s">
        <v>243</v>
      </c>
      <c r="B103" s="11" t="s">
        <v>246</v>
      </c>
      <c r="C103" s="11" t="s">
        <v>247</v>
      </c>
      <c r="D103" s="13">
        <v>8670415.2118338402</v>
      </c>
      <c r="E103" s="13">
        <v>9795273.3261272814</v>
      </c>
      <c r="F103" s="13">
        <v>10317129.584440695</v>
      </c>
      <c r="G103" s="13">
        <v>10989951.79765366</v>
      </c>
      <c r="H103" s="13">
        <v>10567884.679841507</v>
      </c>
      <c r="I103" s="13">
        <v>11027276.852940502</v>
      </c>
      <c r="J103" s="13">
        <v>12158194.148118753</v>
      </c>
      <c r="K103" s="13">
        <v>12100294.876340982</v>
      </c>
      <c r="L103" s="13">
        <v>12730337.390000001</v>
      </c>
      <c r="M103" s="13">
        <v>12951118.615593091</v>
      </c>
      <c r="N103" s="13">
        <v>13525343.632428071</v>
      </c>
      <c r="O103" s="13">
        <v>13392918.787119286</v>
      </c>
      <c r="P103" s="13">
        <v>13587390.474986725</v>
      </c>
      <c r="Q103" s="13">
        <v>13356740.425384087</v>
      </c>
      <c r="R103" s="13">
        <v>13545589.676129911</v>
      </c>
      <c r="S103" s="13">
        <v>13990756.570156975</v>
      </c>
      <c r="T103" s="13">
        <v>14209388.125926705</v>
      </c>
      <c r="U103" s="13">
        <v>14075907.453235544</v>
      </c>
      <c r="V103" s="13">
        <v>14566155.236743735</v>
      </c>
      <c r="W103" s="13">
        <v>15549931.072762137</v>
      </c>
    </row>
    <row r="104" spans="1:23" x14ac:dyDescent="0.2">
      <c r="A104" s="11" t="s">
        <v>248</v>
      </c>
      <c r="B104" s="11" t="s">
        <v>249</v>
      </c>
      <c r="C104" s="11" t="s">
        <v>250</v>
      </c>
      <c r="D104" s="13">
        <v>3980942.6183147123</v>
      </c>
      <c r="E104" s="13">
        <v>3776938.6820183075</v>
      </c>
      <c r="F104" s="13">
        <v>3789826.6823096834</v>
      </c>
      <c r="G104" s="13">
        <v>3981100.7330191783</v>
      </c>
      <c r="H104" s="13">
        <v>4473550.8006073926</v>
      </c>
      <c r="I104" s="13">
        <v>4622976.7414338831</v>
      </c>
      <c r="J104" s="13">
        <v>4898566.7350777518</v>
      </c>
      <c r="K104" s="13">
        <v>5339119.7510859361</v>
      </c>
      <c r="L104" s="13">
        <v>5800677.745000001</v>
      </c>
      <c r="M104" s="13">
        <v>5827547.8370769061</v>
      </c>
      <c r="N104" s="13">
        <v>5694751.388465818</v>
      </c>
      <c r="O104" s="13">
        <v>6123944.0803675773</v>
      </c>
      <c r="P104" s="13">
        <v>6176054.1209349781</v>
      </c>
      <c r="Q104" s="13">
        <v>5984356.8996100016</v>
      </c>
      <c r="R104" s="13">
        <v>5947584.6674867468</v>
      </c>
      <c r="S104" s="13">
        <v>6326180.8312877072</v>
      </c>
      <c r="T104" s="13">
        <v>6740800.0785385836</v>
      </c>
      <c r="U104" s="13">
        <v>6925778.5241149385</v>
      </c>
      <c r="V104" s="13">
        <v>7277771.465154836</v>
      </c>
      <c r="W104" s="13">
        <v>7424876.2271885453</v>
      </c>
    </row>
    <row r="105" spans="1:23" x14ac:dyDescent="0.2">
      <c r="A105" s="11" t="s">
        <v>248</v>
      </c>
      <c r="B105" s="11" t="s">
        <v>251</v>
      </c>
      <c r="C105" s="11" t="s">
        <v>252</v>
      </c>
      <c r="D105" s="13">
        <v>563311.37072067452</v>
      </c>
      <c r="E105" s="13">
        <v>542502.18176009308</v>
      </c>
      <c r="F105" s="13">
        <v>572236.24338319735</v>
      </c>
      <c r="G105" s="13">
        <v>612416.67999384308</v>
      </c>
      <c r="H105" s="13">
        <v>648985.38833223167</v>
      </c>
      <c r="I105" s="13">
        <v>697014.88021698291</v>
      </c>
      <c r="J105" s="13">
        <v>735078.69448061939</v>
      </c>
      <c r="K105" s="13">
        <v>810624.44028681098</v>
      </c>
      <c r="L105" s="13">
        <v>838472.73200000008</v>
      </c>
      <c r="M105" s="13">
        <v>915264.37861860066</v>
      </c>
      <c r="N105" s="13">
        <v>900616.25319799292</v>
      </c>
      <c r="O105" s="13">
        <v>1044664.0894899992</v>
      </c>
      <c r="P105" s="13">
        <v>1011993.0861129409</v>
      </c>
      <c r="Q105" s="13">
        <v>1040146.3696038807</v>
      </c>
      <c r="R105" s="13">
        <v>1039037.9845444108</v>
      </c>
      <c r="S105" s="13">
        <v>1080909.5047985634</v>
      </c>
      <c r="T105" s="13">
        <v>1088717.3334184045</v>
      </c>
      <c r="U105" s="13">
        <v>1104582.4285761872</v>
      </c>
      <c r="V105" s="13">
        <v>1178444.6497818981</v>
      </c>
      <c r="W105" s="13">
        <v>1199416.8065546718</v>
      </c>
    </row>
    <row r="106" spans="1:23" x14ac:dyDescent="0.2">
      <c r="A106" s="11" t="s">
        <v>253</v>
      </c>
      <c r="B106" s="11" t="s">
        <v>254</v>
      </c>
      <c r="C106" s="11" t="s">
        <v>255</v>
      </c>
      <c r="D106" s="13">
        <v>30209371.151253242</v>
      </c>
      <c r="E106" s="13">
        <v>37078838.546681233</v>
      </c>
      <c r="F106" s="13">
        <v>33982169.413287982</v>
      </c>
      <c r="G106" s="13">
        <v>27457306.04542277</v>
      </c>
      <c r="H106" s="13">
        <v>29919984.36416816</v>
      </c>
      <c r="I106" s="13">
        <v>33615682.046764441</v>
      </c>
      <c r="J106" s="13">
        <v>36373533.396497227</v>
      </c>
      <c r="K106" s="13">
        <v>35219360.404438883</v>
      </c>
      <c r="L106" s="13">
        <v>38673171.649999991</v>
      </c>
      <c r="M106" s="13">
        <v>41754642.249811038</v>
      </c>
      <c r="N106" s="13">
        <v>39823131.503706686</v>
      </c>
      <c r="O106" s="13">
        <v>48771387.136107765</v>
      </c>
      <c r="P106" s="13">
        <v>46860490.343507566</v>
      </c>
      <c r="Q106" s="13">
        <v>46750762.568740875</v>
      </c>
      <c r="R106" s="13">
        <v>47581878.829135396</v>
      </c>
      <c r="S106" s="13">
        <v>46807467.091068566</v>
      </c>
      <c r="T106" s="13">
        <v>49641811.963748462</v>
      </c>
      <c r="U106" s="13">
        <v>50227715.410406649</v>
      </c>
      <c r="V106" s="13">
        <v>47128192.170740321</v>
      </c>
      <c r="W106" s="13">
        <v>57508835.942286111</v>
      </c>
    </row>
    <row r="107" spans="1:23" x14ac:dyDescent="0.2">
      <c r="A107" s="11" t="s">
        <v>253</v>
      </c>
      <c r="B107" s="11" t="s">
        <v>256</v>
      </c>
      <c r="C107" s="11" t="s">
        <v>257</v>
      </c>
      <c r="D107" s="13">
        <v>23535775.85419295</v>
      </c>
      <c r="E107" s="13">
        <v>23923660.672789723</v>
      </c>
      <c r="F107" s="13">
        <v>26183046.344811771</v>
      </c>
      <c r="G107" s="13">
        <v>25707357.374584749</v>
      </c>
      <c r="H107" s="13">
        <v>25657128.295388035</v>
      </c>
      <c r="I107" s="13">
        <v>27096853.632970378</v>
      </c>
      <c r="J107" s="13">
        <v>28863131.282265641</v>
      </c>
      <c r="K107" s="13">
        <v>28137293.446284145</v>
      </c>
      <c r="L107" s="13">
        <v>32673214.666999996</v>
      </c>
      <c r="M107" s="13">
        <v>33870556.266909696</v>
      </c>
      <c r="N107" s="13">
        <v>34075840.12860699</v>
      </c>
      <c r="O107" s="13">
        <v>34780195.652630813</v>
      </c>
      <c r="P107" s="13">
        <v>35053260.054491311</v>
      </c>
      <c r="Q107" s="13">
        <v>32234950.924528979</v>
      </c>
      <c r="R107" s="13">
        <v>30153034.119252905</v>
      </c>
      <c r="S107" s="13">
        <v>30889288.627155919</v>
      </c>
      <c r="T107" s="13">
        <v>32738291.505538736</v>
      </c>
      <c r="U107" s="13">
        <v>33954051.852422677</v>
      </c>
      <c r="V107" s="13">
        <v>31911698.33107473</v>
      </c>
      <c r="W107" s="13">
        <v>35484093.96778287</v>
      </c>
    </row>
    <row r="108" spans="1:23" x14ac:dyDescent="0.2">
      <c r="A108" s="11" t="s">
        <v>253</v>
      </c>
      <c r="B108" s="11" t="s">
        <v>258</v>
      </c>
      <c r="C108" s="11" t="s">
        <v>259</v>
      </c>
      <c r="D108" s="13">
        <v>6935385.6028911564</v>
      </c>
      <c r="E108" s="13">
        <v>7702293.660615799</v>
      </c>
      <c r="F108" s="13">
        <v>7375108.2658974612</v>
      </c>
      <c r="G108" s="13">
        <v>6514307.4484470785</v>
      </c>
      <c r="H108" s="13">
        <v>7075847.4085860448</v>
      </c>
      <c r="I108" s="13">
        <v>7823282.8982374063</v>
      </c>
      <c r="J108" s="13">
        <v>8262733.123345294</v>
      </c>
      <c r="K108" s="13">
        <v>8178900.7543581035</v>
      </c>
      <c r="L108" s="13">
        <v>8339794.9900000002</v>
      </c>
      <c r="M108" s="13">
        <v>8866022.3155405931</v>
      </c>
      <c r="N108" s="13">
        <v>8486068.5206306875</v>
      </c>
      <c r="O108" s="13">
        <v>10025664.561427627</v>
      </c>
      <c r="P108" s="13">
        <v>10160025.689424401</v>
      </c>
      <c r="Q108" s="13">
        <v>10009469.594787661</v>
      </c>
      <c r="R108" s="13">
        <v>9957181.2901851144</v>
      </c>
      <c r="S108" s="13">
        <v>10039550.346600896</v>
      </c>
      <c r="T108" s="13">
        <v>10714709.465486048</v>
      </c>
      <c r="U108" s="13">
        <v>10998889.67288026</v>
      </c>
      <c r="V108" s="13">
        <v>10171042.405288234</v>
      </c>
      <c r="W108" s="13">
        <v>12362484.525141222</v>
      </c>
    </row>
    <row r="109" spans="1:23" x14ac:dyDescent="0.2">
      <c r="A109" s="11" t="s">
        <v>253</v>
      </c>
      <c r="B109" s="11" t="s">
        <v>260</v>
      </c>
      <c r="C109" s="11" t="s">
        <v>261</v>
      </c>
      <c r="D109" s="13">
        <v>14913626.700873515</v>
      </c>
      <c r="E109" s="13">
        <v>14585637.751720892</v>
      </c>
      <c r="F109" s="13">
        <v>14995944.615106046</v>
      </c>
      <c r="G109" s="13">
        <v>13967628.24766683</v>
      </c>
      <c r="H109" s="13">
        <v>14047644.497798029</v>
      </c>
      <c r="I109" s="13">
        <v>14302094.86863975</v>
      </c>
      <c r="J109" s="13">
        <v>15121738.218468949</v>
      </c>
      <c r="K109" s="13">
        <v>15272017.320326567</v>
      </c>
      <c r="L109" s="13">
        <v>16781375.802999996</v>
      </c>
      <c r="M109" s="13">
        <v>17509899.802505564</v>
      </c>
      <c r="N109" s="13">
        <v>17861156.698559437</v>
      </c>
      <c r="O109" s="13">
        <v>19694023.69655849</v>
      </c>
      <c r="P109" s="13">
        <v>20476515.254587214</v>
      </c>
      <c r="Q109" s="13">
        <v>19212120.642815873</v>
      </c>
      <c r="R109" s="13">
        <v>18703247.993774682</v>
      </c>
      <c r="S109" s="13">
        <v>18913620.416755479</v>
      </c>
      <c r="T109" s="13">
        <v>19908296.9318702</v>
      </c>
      <c r="U109" s="13">
        <v>20083666.570109706</v>
      </c>
      <c r="V109" s="13">
        <v>19581905.405928224</v>
      </c>
      <c r="W109" s="13">
        <v>19898580.082506668</v>
      </c>
    </row>
    <row r="110" spans="1:23" x14ac:dyDescent="0.2">
      <c r="A110" s="11" t="s">
        <v>253</v>
      </c>
      <c r="B110" s="11" t="s">
        <v>262</v>
      </c>
      <c r="C110" s="11" t="s">
        <v>263</v>
      </c>
      <c r="D110" s="13">
        <v>92597022.350924775</v>
      </c>
      <c r="E110" s="13">
        <v>94397604.471908942</v>
      </c>
      <c r="F110" s="13">
        <v>99316721.868832946</v>
      </c>
      <c r="G110" s="13">
        <v>103545979.67536119</v>
      </c>
      <c r="H110" s="13">
        <v>102773635.67408156</v>
      </c>
      <c r="I110" s="13">
        <v>108386679.97776075</v>
      </c>
      <c r="J110" s="13">
        <v>109557404.74363305</v>
      </c>
      <c r="K110" s="13">
        <v>112089599.58251719</v>
      </c>
      <c r="L110" s="13">
        <v>120807688.24700002</v>
      </c>
      <c r="M110" s="13">
        <v>118996331.83250031</v>
      </c>
      <c r="N110" s="13">
        <v>121100425.61599088</v>
      </c>
      <c r="O110" s="13">
        <v>123518072.52238025</v>
      </c>
      <c r="P110" s="13">
        <v>124461776.19727744</v>
      </c>
      <c r="Q110" s="13">
        <v>126269848.51399229</v>
      </c>
      <c r="R110" s="13">
        <v>124111535.92037262</v>
      </c>
      <c r="S110" s="13">
        <v>123614831.47382368</v>
      </c>
      <c r="T110" s="13">
        <v>125070899.35774963</v>
      </c>
      <c r="U110" s="13">
        <v>126551956.59376471</v>
      </c>
      <c r="V110" s="13">
        <v>112228821.33769192</v>
      </c>
      <c r="W110" s="13">
        <v>116481259.28342284</v>
      </c>
    </row>
    <row r="111" spans="1:23" x14ac:dyDescent="0.2">
      <c r="A111" s="11" t="s">
        <v>253</v>
      </c>
      <c r="B111" s="11" t="s">
        <v>264</v>
      </c>
      <c r="C111" s="11" t="s">
        <v>265</v>
      </c>
      <c r="D111" s="13">
        <v>8809385.3605498876</v>
      </c>
      <c r="E111" s="13">
        <v>9402128.6683877707</v>
      </c>
      <c r="F111" s="13">
        <v>9503742.9577550776</v>
      </c>
      <c r="G111" s="13">
        <v>8461799.5804615486</v>
      </c>
      <c r="H111" s="13">
        <v>8570642.0338684153</v>
      </c>
      <c r="I111" s="13">
        <v>8794743.4760670885</v>
      </c>
      <c r="J111" s="13">
        <v>9656472.9461403023</v>
      </c>
      <c r="K111" s="13">
        <v>9433741.3040326871</v>
      </c>
      <c r="L111" s="13">
        <v>9770953.3329999987</v>
      </c>
      <c r="M111" s="13">
        <v>9444238.1575030927</v>
      </c>
      <c r="N111" s="13">
        <v>9808279.6852342244</v>
      </c>
      <c r="O111" s="13">
        <v>11297377.32531123</v>
      </c>
      <c r="P111" s="13">
        <v>11265611.454196054</v>
      </c>
      <c r="Q111" s="13">
        <v>11987821.498078691</v>
      </c>
      <c r="R111" s="13">
        <v>11889828.54589548</v>
      </c>
      <c r="S111" s="13">
        <v>12158319.684498077</v>
      </c>
      <c r="T111" s="13">
        <v>12086310.971956033</v>
      </c>
      <c r="U111" s="13">
        <v>11748507.354227809</v>
      </c>
      <c r="V111" s="13">
        <v>11226517.284085996</v>
      </c>
      <c r="W111" s="13">
        <v>13844495.563619547</v>
      </c>
    </row>
    <row r="112" spans="1:23" x14ac:dyDescent="0.2">
      <c r="A112" s="11" t="s">
        <v>253</v>
      </c>
      <c r="B112" s="11" t="s">
        <v>266</v>
      </c>
      <c r="C112" s="11" t="s">
        <v>267</v>
      </c>
      <c r="D112" s="13">
        <v>10784005.452075791</v>
      </c>
      <c r="E112" s="13">
        <v>11600250.540648542</v>
      </c>
      <c r="F112" s="13">
        <v>11377211.995480897</v>
      </c>
      <c r="G112" s="13">
        <v>10493547.429065142</v>
      </c>
      <c r="H112" s="13">
        <v>10827341.480770066</v>
      </c>
      <c r="I112" s="13">
        <v>12625494.888994925</v>
      </c>
      <c r="J112" s="13">
        <v>13502826.175702831</v>
      </c>
      <c r="K112" s="13">
        <v>13226693.077884534</v>
      </c>
      <c r="L112" s="13">
        <v>14202965.208999999</v>
      </c>
      <c r="M112" s="13">
        <v>14259067.450579766</v>
      </c>
      <c r="N112" s="13">
        <v>14808944.786589485</v>
      </c>
      <c r="O112" s="13">
        <v>16280106.056565782</v>
      </c>
      <c r="P112" s="13">
        <v>15685941.628614975</v>
      </c>
      <c r="Q112" s="13">
        <v>15517162.211114896</v>
      </c>
      <c r="R112" s="13">
        <v>16899662.918143202</v>
      </c>
      <c r="S112" s="13">
        <v>16554009.852079367</v>
      </c>
      <c r="T112" s="13">
        <v>17601516.998727534</v>
      </c>
      <c r="U112" s="13">
        <v>17484061.111602392</v>
      </c>
      <c r="V112" s="13">
        <v>16240020.979451999</v>
      </c>
      <c r="W112" s="13">
        <v>19829610.700093858</v>
      </c>
    </row>
    <row r="113" spans="1:23" x14ac:dyDescent="0.2">
      <c r="A113" s="11" t="s">
        <v>268</v>
      </c>
      <c r="B113" s="11" t="s">
        <v>269</v>
      </c>
      <c r="C113" s="11" t="s">
        <v>270</v>
      </c>
      <c r="D113" s="13">
        <v>20253943.002440684</v>
      </c>
      <c r="E113" s="13">
        <v>21160478.968851723</v>
      </c>
      <c r="F113" s="13">
        <v>22264184.12101775</v>
      </c>
      <c r="G113" s="13">
        <v>22001979.527087823</v>
      </c>
      <c r="H113" s="13">
        <v>22074410.513421271</v>
      </c>
      <c r="I113" s="13">
        <v>24129436.567455985</v>
      </c>
      <c r="J113" s="13">
        <v>26023353.157475315</v>
      </c>
      <c r="K113" s="13">
        <v>25424104.321353804</v>
      </c>
      <c r="L113" s="13">
        <v>27541697.338999987</v>
      </c>
      <c r="M113" s="13">
        <v>29570123.72381521</v>
      </c>
      <c r="N113" s="13">
        <v>29091407.508576445</v>
      </c>
      <c r="O113" s="13">
        <v>31133670.175998036</v>
      </c>
      <c r="P113" s="13">
        <v>30215667.113915037</v>
      </c>
      <c r="Q113" s="13">
        <v>28704359.295809161</v>
      </c>
      <c r="R113" s="13">
        <v>28330216.069207706</v>
      </c>
      <c r="S113" s="13">
        <v>28711829.599379085</v>
      </c>
      <c r="T113" s="13">
        <v>29252917.505817182</v>
      </c>
      <c r="U113" s="13">
        <v>30593166.557192437</v>
      </c>
      <c r="V113" s="13">
        <v>32375666.151977725</v>
      </c>
      <c r="W113" s="13">
        <v>33939741.583622217</v>
      </c>
    </row>
    <row r="114" spans="1:23" x14ac:dyDescent="0.2">
      <c r="A114" s="11" t="s">
        <v>268</v>
      </c>
      <c r="B114" s="11" t="s">
        <v>271</v>
      </c>
      <c r="C114" s="11" t="s">
        <v>272</v>
      </c>
      <c r="D114" s="13">
        <v>24531630.741834443</v>
      </c>
      <c r="E114" s="13">
        <v>25606190.37692377</v>
      </c>
      <c r="F114" s="13">
        <v>28071031.672394332</v>
      </c>
      <c r="G114" s="13">
        <v>28635650.284521457</v>
      </c>
      <c r="H114" s="13">
        <v>29915771.817560278</v>
      </c>
      <c r="I114" s="13">
        <v>31981825.579136599</v>
      </c>
      <c r="J114" s="13">
        <v>34281507.928403035</v>
      </c>
      <c r="K114" s="13">
        <v>32903994.670940913</v>
      </c>
      <c r="L114" s="13">
        <v>35844266.703000002</v>
      </c>
      <c r="M114" s="13">
        <v>36575022.051585056</v>
      </c>
      <c r="N114" s="13">
        <v>36824805.343582332</v>
      </c>
      <c r="O114" s="13">
        <v>38161324.228700846</v>
      </c>
      <c r="P114" s="13">
        <v>38825080.582719877</v>
      </c>
      <c r="Q114" s="13">
        <v>38093255.75573834</v>
      </c>
      <c r="R114" s="13">
        <v>34790894.171296135</v>
      </c>
      <c r="S114" s="13">
        <v>37161929.06051524</v>
      </c>
      <c r="T114" s="13">
        <v>38838343.682989337</v>
      </c>
      <c r="U114" s="13">
        <v>40776965.064355277</v>
      </c>
      <c r="V114" s="13">
        <v>41228682.789810181</v>
      </c>
      <c r="W114" s="13">
        <v>47364499.739649586</v>
      </c>
    </row>
    <row r="115" spans="1:23" x14ac:dyDescent="0.2">
      <c r="A115" s="11" t="s">
        <v>268</v>
      </c>
      <c r="B115" s="11" t="s">
        <v>273</v>
      </c>
      <c r="C115" s="11" t="s">
        <v>274</v>
      </c>
      <c r="D115" s="13">
        <v>5833628.2921012565</v>
      </c>
      <c r="E115" s="13">
        <v>6013296.8511231011</v>
      </c>
      <c r="F115" s="13">
        <v>6009680.398406676</v>
      </c>
      <c r="G115" s="13">
        <v>5994972.8042664668</v>
      </c>
      <c r="H115" s="13">
        <v>6119283.6551586986</v>
      </c>
      <c r="I115" s="13">
        <v>6599726.7426519943</v>
      </c>
      <c r="J115" s="13">
        <v>7257731.8434333634</v>
      </c>
      <c r="K115" s="13">
        <v>6903722.416178694</v>
      </c>
      <c r="L115" s="13">
        <v>7670800.3630000008</v>
      </c>
      <c r="M115" s="13">
        <v>7568848.6815244397</v>
      </c>
      <c r="N115" s="13">
        <v>8419677.4160396941</v>
      </c>
      <c r="O115" s="13">
        <v>8091459.959705174</v>
      </c>
      <c r="P115" s="13">
        <v>8432343.6258269399</v>
      </c>
      <c r="Q115" s="13">
        <v>8364626.9026585426</v>
      </c>
      <c r="R115" s="13">
        <v>8269236.9464105237</v>
      </c>
      <c r="S115" s="13">
        <v>8406576.7766402084</v>
      </c>
      <c r="T115" s="13">
        <v>8052456.2395172371</v>
      </c>
      <c r="U115" s="13">
        <v>8454330.5316848084</v>
      </c>
      <c r="V115" s="13">
        <v>8538168.8729972541</v>
      </c>
      <c r="W115" s="13">
        <v>8916678.3807768095</v>
      </c>
    </row>
    <row r="116" spans="1:23" x14ac:dyDescent="0.2">
      <c r="A116" s="11" t="s">
        <v>268</v>
      </c>
      <c r="B116" s="11" t="s">
        <v>275</v>
      </c>
      <c r="C116" s="11" t="s">
        <v>276</v>
      </c>
      <c r="D116" s="13">
        <v>25401123.527423769</v>
      </c>
      <c r="E116" s="13">
        <v>26198510.31748791</v>
      </c>
      <c r="F116" s="13">
        <v>28624888.835776843</v>
      </c>
      <c r="G116" s="13">
        <v>30289738.972692158</v>
      </c>
      <c r="H116" s="13">
        <v>32508475.911493707</v>
      </c>
      <c r="I116" s="13">
        <v>34674713.200213768</v>
      </c>
      <c r="J116" s="13">
        <v>37243341.696641847</v>
      </c>
      <c r="K116" s="13">
        <v>37892321.086954251</v>
      </c>
      <c r="L116" s="13">
        <v>42552945.903000012</v>
      </c>
      <c r="M116" s="13">
        <v>44956999.011420876</v>
      </c>
      <c r="N116" s="13">
        <v>46806607.886702724</v>
      </c>
      <c r="O116" s="13">
        <v>48522279.681143962</v>
      </c>
      <c r="P116" s="13">
        <v>54033793.609357782</v>
      </c>
      <c r="Q116" s="13">
        <v>49876755.001030862</v>
      </c>
      <c r="R116" s="13">
        <v>47605680.87070512</v>
      </c>
      <c r="S116" s="13">
        <v>50813305.98660329</v>
      </c>
      <c r="T116" s="13">
        <v>52584652.038582258</v>
      </c>
      <c r="U116" s="13">
        <v>54729872.063761167</v>
      </c>
      <c r="V116" s="13">
        <v>55947313.281244725</v>
      </c>
      <c r="W116" s="13">
        <v>64376647.607784845</v>
      </c>
    </row>
    <row r="117" spans="1:23" x14ac:dyDescent="0.2">
      <c r="A117" s="11" t="s">
        <v>268</v>
      </c>
      <c r="B117" s="11" t="s">
        <v>277</v>
      </c>
      <c r="C117" s="11" t="s">
        <v>278</v>
      </c>
      <c r="D117" s="13">
        <v>15277958.224829879</v>
      </c>
      <c r="E117" s="13">
        <v>15349875.124117548</v>
      </c>
      <c r="F117" s="13">
        <v>15775664.34926985</v>
      </c>
      <c r="G117" s="13">
        <v>17149555.694841042</v>
      </c>
      <c r="H117" s="13">
        <v>18233618.951885864</v>
      </c>
      <c r="I117" s="13">
        <v>19563627.036368757</v>
      </c>
      <c r="J117" s="13">
        <v>21042084.109994922</v>
      </c>
      <c r="K117" s="13">
        <v>21131810.724424269</v>
      </c>
      <c r="L117" s="13">
        <v>23242132.751000002</v>
      </c>
      <c r="M117" s="13">
        <v>24401247.91652118</v>
      </c>
      <c r="N117" s="13">
        <v>25063623.626276471</v>
      </c>
      <c r="O117" s="13">
        <v>25853628.032674342</v>
      </c>
      <c r="P117" s="13">
        <v>27282476.465884622</v>
      </c>
      <c r="Q117" s="13">
        <v>26382693.847396508</v>
      </c>
      <c r="R117" s="13">
        <v>25340597.177228704</v>
      </c>
      <c r="S117" s="13">
        <v>25595646.387991417</v>
      </c>
      <c r="T117" s="13">
        <v>26517964.480932515</v>
      </c>
      <c r="U117" s="13">
        <v>27137274.813107841</v>
      </c>
      <c r="V117" s="13">
        <v>25856444.514033645</v>
      </c>
      <c r="W117" s="13">
        <v>26928090.284973539</v>
      </c>
    </row>
    <row r="118" spans="1:23" x14ac:dyDescent="0.2">
      <c r="A118" s="11" t="s">
        <v>268</v>
      </c>
      <c r="B118" s="11" t="s">
        <v>279</v>
      </c>
      <c r="C118" s="11" t="s">
        <v>280</v>
      </c>
      <c r="D118" s="13">
        <v>12203463.314809825</v>
      </c>
      <c r="E118" s="13">
        <v>12402928.001549616</v>
      </c>
      <c r="F118" s="13">
        <v>13019413.976017037</v>
      </c>
      <c r="G118" s="13">
        <v>13230759.169151446</v>
      </c>
      <c r="H118" s="13">
        <v>13826068.598233266</v>
      </c>
      <c r="I118" s="13">
        <v>14336161.487947861</v>
      </c>
      <c r="J118" s="13">
        <v>15494245.59898242</v>
      </c>
      <c r="K118" s="13">
        <v>15716988.215531489</v>
      </c>
      <c r="L118" s="13">
        <v>16874164.314000007</v>
      </c>
      <c r="M118" s="13">
        <v>17628076.231295742</v>
      </c>
      <c r="N118" s="13">
        <v>17829621.832536351</v>
      </c>
      <c r="O118" s="13">
        <v>18931426.141992196</v>
      </c>
      <c r="P118" s="13">
        <v>20194885.799715985</v>
      </c>
      <c r="Q118" s="13">
        <v>19484666.063780893</v>
      </c>
      <c r="R118" s="13">
        <v>18354145.630010135</v>
      </c>
      <c r="S118" s="13">
        <v>18790570.390708305</v>
      </c>
      <c r="T118" s="13">
        <v>19207566.792243801</v>
      </c>
      <c r="U118" s="13">
        <v>19749710.109134935</v>
      </c>
      <c r="V118" s="13">
        <v>20171104.775307991</v>
      </c>
      <c r="W118" s="13">
        <v>21529131.003872305</v>
      </c>
    </row>
    <row r="119" spans="1:23" x14ac:dyDescent="0.2">
      <c r="A119" s="11" t="s">
        <v>281</v>
      </c>
      <c r="B119" s="11" t="s">
        <v>282</v>
      </c>
      <c r="C119" s="11" t="s">
        <v>283</v>
      </c>
      <c r="D119" s="13">
        <v>2597735.4387232861</v>
      </c>
      <c r="E119" s="13">
        <v>2739410.1807822669</v>
      </c>
      <c r="F119" s="13">
        <v>2841916.0303152613</v>
      </c>
      <c r="G119" s="13">
        <v>2601723.3535120385</v>
      </c>
      <c r="H119" s="13">
        <v>2476434.6724311411</v>
      </c>
      <c r="I119" s="13">
        <v>2649890.7979510888</v>
      </c>
      <c r="J119" s="13">
        <v>3005035.3293578527</v>
      </c>
      <c r="K119" s="13">
        <v>2706864.0120414267</v>
      </c>
      <c r="L119" s="13">
        <v>3270038.3310000002</v>
      </c>
      <c r="M119" s="13">
        <v>2974985.9133048295</v>
      </c>
      <c r="N119" s="13">
        <v>3057987.3789801197</v>
      </c>
      <c r="O119" s="13">
        <v>2055136.0275042991</v>
      </c>
      <c r="P119" s="13">
        <v>2112435.9015971976</v>
      </c>
      <c r="Q119" s="13">
        <v>2439731.0564493001</v>
      </c>
      <c r="R119" s="13">
        <v>2272171.5759449061</v>
      </c>
      <c r="S119" s="13">
        <v>2613396.3098076056</v>
      </c>
      <c r="T119" s="13">
        <v>2683434.5198331326</v>
      </c>
      <c r="U119" s="13">
        <v>3065787.7023302549</v>
      </c>
      <c r="V119" s="13">
        <v>3383724.6715250113</v>
      </c>
      <c r="W119" s="13">
        <v>3059669.0882334402</v>
      </c>
    </row>
    <row r="120" spans="1:23" x14ac:dyDescent="0.2">
      <c r="A120" s="11" t="s">
        <v>281</v>
      </c>
      <c r="B120" s="11" t="s">
        <v>284</v>
      </c>
      <c r="C120" s="11" t="s">
        <v>285</v>
      </c>
      <c r="D120" s="13">
        <v>2516661.8476237468</v>
      </c>
      <c r="E120" s="13">
        <v>2562000.3847857872</v>
      </c>
      <c r="F120" s="13">
        <v>2526569.4418239677</v>
      </c>
      <c r="G120" s="13">
        <v>2540616.2312532444</v>
      </c>
      <c r="H120" s="13">
        <v>2774594.3968754294</v>
      </c>
      <c r="I120" s="13">
        <v>2877084.0242885076</v>
      </c>
      <c r="J120" s="13">
        <v>3127169.4411753351</v>
      </c>
      <c r="K120" s="13">
        <v>3133841.9187203026</v>
      </c>
      <c r="L120" s="13">
        <v>3355725.5310000004</v>
      </c>
      <c r="M120" s="13">
        <v>3430814.8923249384</v>
      </c>
      <c r="N120" s="13">
        <v>3632579.6514439886</v>
      </c>
      <c r="O120" s="13">
        <v>3955945.6089593708</v>
      </c>
      <c r="P120" s="13">
        <v>3925750.9308902528</v>
      </c>
      <c r="Q120" s="13">
        <v>3887334.0149204498</v>
      </c>
      <c r="R120" s="13">
        <v>3749369.830506444</v>
      </c>
      <c r="S120" s="13">
        <v>4000349.9889628082</v>
      </c>
      <c r="T120" s="13">
        <v>3737247.5170754478</v>
      </c>
      <c r="U120" s="13">
        <v>4056556.2371262796</v>
      </c>
      <c r="V120" s="13">
        <v>3942772.108894683</v>
      </c>
      <c r="W120" s="13">
        <v>3873629.9518102966</v>
      </c>
    </row>
    <row r="121" spans="1:23" x14ac:dyDescent="0.2">
      <c r="A121" s="11" t="s">
        <v>281</v>
      </c>
      <c r="B121" s="11" t="s">
        <v>286</v>
      </c>
      <c r="C121" s="11" t="s">
        <v>287</v>
      </c>
      <c r="D121" s="13">
        <v>14514714.478606805</v>
      </c>
      <c r="E121" s="13">
        <v>14262971.299903367</v>
      </c>
      <c r="F121" s="13">
        <v>15240301.25933353</v>
      </c>
      <c r="G121" s="13">
        <v>15614336.447474541</v>
      </c>
      <c r="H121" s="13">
        <v>16869172.900565241</v>
      </c>
      <c r="I121" s="13">
        <v>17531562.633434754</v>
      </c>
      <c r="J121" s="13">
        <v>18788690.691098243</v>
      </c>
      <c r="K121" s="13">
        <v>17695011.837747186</v>
      </c>
      <c r="L121" s="13">
        <v>19779129.360999998</v>
      </c>
      <c r="M121" s="13">
        <v>20467029.851361096</v>
      </c>
      <c r="N121" s="13">
        <v>21407692.66373245</v>
      </c>
      <c r="O121" s="13">
        <v>22100954.927280802</v>
      </c>
      <c r="P121" s="13">
        <v>21604488.213828508</v>
      </c>
      <c r="Q121" s="13">
        <v>20114698.337472137</v>
      </c>
      <c r="R121" s="13">
        <v>18641687.678514361</v>
      </c>
      <c r="S121" s="13">
        <v>18298353.764727294</v>
      </c>
      <c r="T121" s="13">
        <v>18185213.023303539</v>
      </c>
      <c r="U121" s="13">
        <v>17987298.623637214</v>
      </c>
      <c r="V121" s="13">
        <v>16636766.092493108</v>
      </c>
      <c r="W121" s="13">
        <v>17638376.866101239</v>
      </c>
    </row>
    <row r="122" spans="1:23" x14ac:dyDescent="0.2">
      <c r="A122" s="11" t="s">
        <v>288</v>
      </c>
      <c r="B122" s="11" t="s">
        <v>289</v>
      </c>
      <c r="C122" s="11" t="s">
        <v>290</v>
      </c>
      <c r="D122" s="13">
        <v>25134641.394726116</v>
      </c>
      <c r="E122" s="13">
        <v>24675643.888750151</v>
      </c>
      <c r="F122" s="13">
        <v>23401506.464500699</v>
      </c>
      <c r="G122" s="13">
        <v>24852601.850574043</v>
      </c>
      <c r="H122" s="13">
        <v>26359535.26503266</v>
      </c>
      <c r="I122" s="13">
        <v>27314728.278451871</v>
      </c>
      <c r="J122" s="13">
        <v>27717814.890421372</v>
      </c>
      <c r="K122" s="13">
        <v>29220080.01777491</v>
      </c>
      <c r="L122" s="13">
        <v>30532917.296999998</v>
      </c>
      <c r="M122" s="13">
        <v>31550566.044064708</v>
      </c>
      <c r="N122" s="13">
        <v>32499835.597305156</v>
      </c>
      <c r="O122" s="13">
        <v>34011913.534955323</v>
      </c>
      <c r="P122" s="13">
        <v>33321200.739791002</v>
      </c>
      <c r="Q122" s="13">
        <v>33938154.674581923</v>
      </c>
      <c r="R122" s="13">
        <v>32119156.52379027</v>
      </c>
      <c r="S122" s="13">
        <v>33786591.74531652</v>
      </c>
      <c r="T122" s="13">
        <v>31837187.614284452</v>
      </c>
      <c r="U122" s="13">
        <v>32670639.96902613</v>
      </c>
      <c r="V122" s="13">
        <v>33175780.758103088</v>
      </c>
      <c r="W122" s="13">
        <v>32850450.469222993</v>
      </c>
    </row>
    <row r="123" spans="1:23" x14ac:dyDescent="0.2">
      <c r="A123" s="11" t="s">
        <v>288</v>
      </c>
      <c r="B123" s="11" t="s">
        <v>291</v>
      </c>
      <c r="C123" s="11" t="s">
        <v>292</v>
      </c>
      <c r="D123" s="13">
        <v>43362294.037558235</v>
      </c>
      <c r="E123" s="13">
        <v>42887628.937199436</v>
      </c>
      <c r="F123" s="13">
        <v>42486496.810976945</v>
      </c>
      <c r="G123" s="13">
        <v>44768094.665257685</v>
      </c>
      <c r="H123" s="13">
        <v>48440841.608647771</v>
      </c>
      <c r="I123" s="13">
        <v>49186904.602702908</v>
      </c>
      <c r="J123" s="13">
        <v>48808735.534058996</v>
      </c>
      <c r="K123" s="13">
        <v>50291053.397637583</v>
      </c>
      <c r="L123" s="13">
        <v>53174232.318000004</v>
      </c>
      <c r="M123" s="13">
        <v>54636622.512083635</v>
      </c>
      <c r="N123" s="13">
        <v>55785605.03763514</v>
      </c>
      <c r="O123" s="13">
        <v>57242932.855313063</v>
      </c>
      <c r="P123" s="13">
        <v>58142234.367504515</v>
      </c>
      <c r="Q123" s="13">
        <v>57331427.018076025</v>
      </c>
      <c r="R123" s="13">
        <v>58152029.799490906</v>
      </c>
      <c r="S123" s="13">
        <v>59574892.022882119</v>
      </c>
      <c r="T123" s="13">
        <v>59364755.509960175</v>
      </c>
      <c r="U123" s="13">
        <v>56815413.916103154</v>
      </c>
      <c r="V123" s="13">
        <v>56983700.256709509</v>
      </c>
      <c r="W123" s="13">
        <v>57616241.426085368</v>
      </c>
    </row>
    <row r="124" spans="1:23" x14ac:dyDescent="0.2">
      <c r="A124" s="11" t="s">
        <v>288</v>
      </c>
      <c r="B124" s="11" t="s">
        <v>293</v>
      </c>
      <c r="C124" s="11" t="s">
        <v>294</v>
      </c>
      <c r="D124" s="13">
        <v>10728458.714719879</v>
      </c>
      <c r="E124" s="13">
        <v>10447172.331154773</v>
      </c>
      <c r="F124" s="13">
        <v>10339215.292268777</v>
      </c>
      <c r="G124" s="13">
        <v>10439753.429304641</v>
      </c>
      <c r="H124" s="13">
        <v>11179912.840759063</v>
      </c>
      <c r="I124" s="13">
        <v>11696564.062981687</v>
      </c>
      <c r="J124" s="13">
        <v>11656726.028682563</v>
      </c>
      <c r="K124" s="13">
        <v>12551005.621759897</v>
      </c>
      <c r="L124" s="13">
        <v>13134340.673999999</v>
      </c>
      <c r="M124" s="13">
        <v>13757663.848599005</v>
      </c>
      <c r="N124" s="13">
        <v>14179845.143556248</v>
      </c>
      <c r="O124" s="13">
        <v>14489612.859802617</v>
      </c>
      <c r="P124" s="13">
        <v>14042934.848310316</v>
      </c>
      <c r="Q124" s="13">
        <v>15265093.32620457</v>
      </c>
      <c r="R124" s="13">
        <v>13852674.94205785</v>
      </c>
      <c r="S124" s="13">
        <v>14121453.126474245</v>
      </c>
      <c r="T124" s="13">
        <v>13080442.145471986</v>
      </c>
      <c r="U124" s="13">
        <v>13679252.017586572</v>
      </c>
      <c r="V124" s="13">
        <v>14133288.175646354</v>
      </c>
      <c r="W124" s="13">
        <v>13678935.746277044</v>
      </c>
    </row>
    <row r="125" spans="1:23" x14ac:dyDescent="0.2">
      <c r="A125" s="11" t="s">
        <v>288</v>
      </c>
      <c r="B125" s="11" t="s">
        <v>295</v>
      </c>
      <c r="C125" s="11" t="s">
        <v>296</v>
      </c>
      <c r="D125" s="13">
        <v>22387088.783172987</v>
      </c>
      <c r="E125" s="13">
        <v>22379080.097689617</v>
      </c>
      <c r="F125" s="13">
        <v>22930373.857175939</v>
      </c>
      <c r="G125" s="13">
        <v>24757073.688626021</v>
      </c>
      <c r="H125" s="13">
        <v>26479437.781794894</v>
      </c>
      <c r="I125" s="13">
        <v>27864925.058699716</v>
      </c>
      <c r="J125" s="13">
        <v>27883164.778186895</v>
      </c>
      <c r="K125" s="13">
        <v>29696643.74441864</v>
      </c>
      <c r="L125" s="13">
        <v>31453300.824999992</v>
      </c>
      <c r="M125" s="13">
        <v>32437322.298300005</v>
      </c>
      <c r="N125" s="13">
        <v>32098883.769187614</v>
      </c>
      <c r="O125" s="13">
        <v>32991523.356898963</v>
      </c>
      <c r="P125" s="13">
        <v>32611809.855525628</v>
      </c>
      <c r="Q125" s="13">
        <v>34152156.745487995</v>
      </c>
      <c r="R125" s="13">
        <v>31456317.722477626</v>
      </c>
      <c r="S125" s="13">
        <v>31548854.48792081</v>
      </c>
      <c r="T125" s="13">
        <v>31133845.681165241</v>
      </c>
      <c r="U125" s="13">
        <v>32487714.488348853</v>
      </c>
      <c r="V125" s="13">
        <v>33134494.083887186</v>
      </c>
      <c r="W125" s="13">
        <v>33244426.89412621</v>
      </c>
    </row>
    <row r="126" spans="1:23" x14ac:dyDescent="0.2">
      <c r="A126" s="11" t="s">
        <v>288</v>
      </c>
      <c r="B126" s="11" t="s">
        <v>297</v>
      </c>
      <c r="C126" s="11" t="s">
        <v>298</v>
      </c>
      <c r="D126" s="13">
        <v>15989015.901091924</v>
      </c>
      <c r="E126" s="13">
        <v>16438710.039534837</v>
      </c>
      <c r="F126" s="13">
        <v>15646539.818985663</v>
      </c>
      <c r="G126" s="13">
        <v>15974766.735888492</v>
      </c>
      <c r="H126" s="13">
        <v>16821124.85935884</v>
      </c>
      <c r="I126" s="13">
        <v>17492647.530144677</v>
      </c>
      <c r="J126" s="13">
        <v>17420357.645174816</v>
      </c>
      <c r="K126" s="13">
        <v>17977089.89691801</v>
      </c>
      <c r="L126" s="13">
        <v>19197255.920000002</v>
      </c>
      <c r="M126" s="13">
        <v>19977014.912902739</v>
      </c>
      <c r="N126" s="13">
        <v>20694585.274900623</v>
      </c>
      <c r="O126" s="13">
        <v>21108641.98617192</v>
      </c>
      <c r="P126" s="13">
        <v>20795213.221889306</v>
      </c>
      <c r="Q126" s="13">
        <v>20578514.428115569</v>
      </c>
      <c r="R126" s="13">
        <v>20494191.075614132</v>
      </c>
      <c r="S126" s="13">
        <v>20780431.197372191</v>
      </c>
      <c r="T126" s="13">
        <v>20027876.081566274</v>
      </c>
      <c r="U126" s="13">
        <v>20218088.699333008</v>
      </c>
      <c r="V126" s="13">
        <v>20831936.421548329</v>
      </c>
      <c r="W126" s="13">
        <v>21019291.53749828</v>
      </c>
    </row>
    <row r="127" spans="1:23" x14ac:dyDescent="0.2">
      <c r="A127" s="11" t="s">
        <v>288</v>
      </c>
      <c r="B127" s="11" t="s">
        <v>299</v>
      </c>
      <c r="C127" s="11" t="s">
        <v>300</v>
      </c>
      <c r="D127" s="13">
        <v>29140471.773304276</v>
      </c>
      <c r="E127" s="13">
        <v>29995729.009660035</v>
      </c>
      <c r="F127" s="13">
        <v>31275391.139861867</v>
      </c>
      <c r="G127" s="13">
        <v>33519356.66924509</v>
      </c>
      <c r="H127" s="13">
        <v>35463257.1178957</v>
      </c>
      <c r="I127" s="13">
        <v>38142517.942406312</v>
      </c>
      <c r="J127" s="13">
        <v>38676568.350264147</v>
      </c>
      <c r="K127" s="13">
        <v>37481870.010955974</v>
      </c>
      <c r="L127" s="13">
        <v>39093178.510999992</v>
      </c>
      <c r="M127" s="13">
        <v>41573840.136352614</v>
      </c>
      <c r="N127" s="13">
        <v>41893081.427908532</v>
      </c>
      <c r="O127" s="13">
        <v>45118956.319613338</v>
      </c>
      <c r="P127" s="13">
        <v>45696647.543990038</v>
      </c>
      <c r="Q127" s="13">
        <v>42041153.817073487</v>
      </c>
      <c r="R127" s="13">
        <v>41515215.387028277</v>
      </c>
      <c r="S127" s="13">
        <v>42774203.2440577</v>
      </c>
      <c r="T127" s="13">
        <v>46786291.289747149</v>
      </c>
      <c r="U127" s="13">
        <v>44964076.085578203</v>
      </c>
      <c r="V127" s="13">
        <v>43822690.382493317</v>
      </c>
      <c r="W127" s="13">
        <v>47299878.962881498</v>
      </c>
    </row>
    <row r="128" spans="1:23" x14ac:dyDescent="0.2">
      <c r="A128" s="11" t="s">
        <v>288</v>
      </c>
      <c r="B128" s="11" t="s">
        <v>301</v>
      </c>
      <c r="C128" s="11" t="s">
        <v>302</v>
      </c>
      <c r="D128" s="13">
        <v>96839758.487540364</v>
      </c>
      <c r="E128" s="13">
        <v>99511667.866646796</v>
      </c>
      <c r="F128" s="13">
        <v>104875058.028523</v>
      </c>
      <c r="G128" s="13">
        <v>110380480.7808491</v>
      </c>
      <c r="H128" s="13">
        <v>111409053.68561441</v>
      </c>
      <c r="I128" s="13">
        <v>118461895.09706606</v>
      </c>
      <c r="J128" s="13">
        <v>123461386.89430177</v>
      </c>
      <c r="K128" s="13">
        <v>123506904.08047326</v>
      </c>
      <c r="L128" s="13">
        <v>131695023.67199999</v>
      </c>
      <c r="M128" s="13">
        <v>130614366.85143536</v>
      </c>
      <c r="N128" s="13">
        <v>135798812.08310702</v>
      </c>
      <c r="O128" s="13">
        <v>135119546.50767198</v>
      </c>
      <c r="P128" s="13">
        <v>136793695.24431881</v>
      </c>
      <c r="Q128" s="13">
        <v>135682726.47642812</v>
      </c>
      <c r="R128" s="13">
        <v>138900630.14178431</v>
      </c>
      <c r="S128" s="13">
        <v>140073241.33997968</v>
      </c>
      <c r="T128" s="13">
        <v>138644231.44121265</v>
      </c>
      <c r="U128" s="13">
        <v>142218843.64646113</v>
      </c>
      <c r="V128" s="13">
        <v>137501834.38435093</v>
      </c>
      <c r="W128" s="13">
        <v>147295357.20123553</v>
      </c>
    </row>
    <row r="129" spans="1:23" x14ac:dyDescent="0.2">
      <c r="A129" s="11" t="s">
        <v>288</v>
      </c>
      <c r="B129" s="11" t="s">
        <v>303</v>
      </c>
      <c r="C129" s="11" t="s">
        <v>304</v>
      </c>
      <c r="D129" s="13">
        <v>11893536.648009211</v>
      </c>
      <c r="E129" s="13">
        <v>11564696.313162314</v>
      </c>
      <c r="F129" s="13">
        <v>11613800.572391246</v>
      </c>
      <c r="G129" s="13">
        <v>12122704.170837617</v>
      </c>
      <c r="H129" s="13">
        <v>12835926.767720176</v>
      </c>
      <c r="I129" s="13">
        <v>13045853.648029495</v>
      </c>
      <c r="J129" s="13">
        <v>13267172.74694586</v>
      </c>
      <c r="K129" s="13">
        <v>14259691.213296864</v>
      </c>
      <c r="L129" s="13">
        <v>14422093.110999998</v>
      </c>
      <c r="M129" s="13">
        <v>14638749.855581097</v>
      </c>
      <c r="N129" s="13">
        <v>15201427.292656139</v>
      </c>
      <c r="O129" s="13">
        <v>15865041.422744736</v>
      </c>
      <c r="P129" s="13">
        <v>15424563.075609813</v>
      </c>
      <c r="Q129" s="13">
        <v>16726276.25518827</v>
      </c>
      <c r="R129" s="13">
        <v>15484293.080349989</v>
      </c>
      <c r="S129" s="13">
        <v>15037780.490749603</v>
      </c>
      <c r="T129" s="13">
        <v>14194321.122613598</v>
      </c>
      <c r="U129" s="13">
        <v>14794543.10964798</v>
      </c>
      <c r="V129" s="13">
        <v>15341716.944735914</v>
      </c>
      <c r="W129" s="13">
        <v>14899943.036088504</v>
      </c>
    </row>
    <row r="130" spans="1:23" x14ac:dyDescent="0.2">
      <c r="A130" s="11" t="s">
        <v>288</v>
      </c>
      <c r="B130" s="11" t="s">
        <v>305</v>
      </c>
      <c r="C130" s="11" t="s">
        <v>306</v>
      </c>
      <c r="D130" s="13">
        <v>7010450.0871947194</v>
      </c>
      <c r="E130" s="13">
        <v>7118207.7013870552</v>
      </c>
      <c r="F130" s="13">
        <v>7160622.7183075128</v>
      </c>
      <c r="G130" s="13">
        <v>6824517.6434415476</v>
      </c>
      <c r="H130" s="13">
        <v>6927832.5616566809</v>
      </c>
      <c r="I130" s="13">
        <v>7512117.3936215239</v>
      </c>
      <c r="J130" s="13">
        <v>7794298.8655343074</v>
      </c>
      <c r="K130" s="13">
        <v>8158175.0900342623</v>
      </c>
      <c r="L130" s="13">
        <v>8458163.2550000008</v>
      </c>
      <c r="M130" s="13">
        <v>8629312.9374478217</v>
      </c>
      <c r="N130" s="13">
        <v>9087941.8003289867</v>
      </c>
      <c r="O130" s="13">
        <v>9553890.193036817</v>
      </c>
      <c r="P130" s="13">
        <v>9202723.6390429325</v>
      </c>
      <c r="Q130" s="13">
        <v>9009171.3114346154</v>
      </c>
      <c r="R130" s="13">
        <v>8653491.3633056935</v>
      </c>
      <c r="S130" s="13">
        <v>9175214.0032817852</v>
      </c>
      <c r="T130" s="13">
        <v>8832288.0001364835</v>
      </c>
      <c r="U130" s="13">
        <v>9166591.7829742171</v>
      </c>
      <c r="V130" s="13">
        <v>9240710.9469127897</v>
      </c>
      <c r="W130" s="13">
        <v>9312492.7923919857</v>
      </c>
    </row>
    <row r="131" spans="1:23" x14ac:dyDescent="0.2">
      <c r="A131" s="11" t="s">
        <v>288</v>
      </c>
      <c r="B131" s="11" t="s">
        <v>307</v>
      </c>
      <c r="C131" s="11" t="s">
        <v>308</v>
      </c>
      <c r="D131" s="13">
        <v>8921028.4146201946</v>
      </c>
      <c r="E131" s="13">
        <v>8902053.726023281</v>
      </c>
      <c r="F131" s="13">
        <v>8350349.5361996591</v>
      </c>
      <c r="G131" s="13">
        <v>8288066.0118559534</v>
      </c>
      <c r="H131" s="13">
        <v>8671969.8266956583</v>
      </c>
      <c r="I131" s="13">
        <v>8571948.5692162793</v>
      </c>
      <c r="J131" s="13">
        <v>8718966.2420597859</v>
      </c>
      <c r="K131" s="13">
        <v>9040329.5758354999</v>
      </c>
      <c r="L131" s="13">
        <v>9510568.5320000015</v>
      </c>
      <c r="M131" s="13">
        <v>9900395.7163105868</v>
      </c>
      <c r="N131" s="13">
        <v>10352836.371426379</v>
      </c>
      <c r="O131" s="13">
        <v>10721275.226780478</v>
      </c>
      <c r="P131" s="13">
        <v>10865243.508775348</v>
      </c>
      <c r="Q131" s="13">
        <v>10574644.833187137</v>
      </c>
      <c r="R131" s="13">
        <v>10702125.085136069</v>
      </c>
      <c r="S131" s="13">
        <v>10916934.622454371</v>
      </c>
      <c r="T131" s="13">
        <v>10440542.592419654</v>
      </c>
      <c r="U131" s="13">
        <v>10751571.182143506</v>
      </c>
      <c r="V131" s="13">
        <v>11295240.807437638</v>
      </c>
      <c r="W131" s="13">
        <v>11220221.086535357</v>
      </c>
    </row>
    <row r="132" spans="1:23" x14ac:dyDescent="0.2">
      <c r="A132" s="11" t="s">
        <v>288</v>
      </c>
      <c r="B132" s="11" t="s">
        <v>309</v>
      </c>
      <c r="C132" s="11" t="s">
        <v>310</v>
      </c>
      <c r="D132" s="13">
        <v>10443573.201256497</v>
      </c>
      <c r="E132" s="13">
        <v>10892404.727936314</v>
      </c>
      <c r="F132" s="13">
        <v>11368410.855446672</v>
      </c>
      <c r="G132" s="13">
        <v>11843219.111858809</v>
      </c>
      <c r="H132" s="13">
        <v>12129958.024505625</v>
      </c>
      <c r="I132" s="13">
        <v>13191352.427954121</v>
      </c>
      <c r="J132" s="13">
        <v>13283352.71056629</v>
      </c>
      <c r="K132" s="13">
        <v>14233280.581568625</v>
      </c>
      <c r="L132" s="13">
        <v>13903987.51</v>
      </c>
      <c r="M132" s="13">
        <v>14670127.764307344</v>
      </c>
      <c r="N132" s="13">
        <v>14778418.029567627</v>
      </c>
      <c r="O132" s="13">
        <v>15477340.379552342</v>
      </c>
      <c r="P132" s="13">
        <v>16277288.008285617</v>
      </c>
      <c r="Q132" s="13">
        <v>15822201.040246883</v>
      </c>
      <c r="R132" s="13">
        <v>15443173.788276622</v>
      </c>
      <c r="S132" s="13">
        <v>14984822.027063111</v>
      </c>
      <c r="T132" s="13">
        <v>14585669.097314848</v>
      </c>
      <c r="U132" s="13">
        <v>15148276.801643066</v>
      </c>
      <c r="V132" s="13">
        <v>16462299.985802285</v>
      </c>
      <c r="W132" s="13">
        <v>16458284.632408444</v>
      </c>
    </row>
    <row r="133" spans="1:23" x14ac:dyDescent="0.2">
      <c r="A133" s="11" t="s">
        <v>288</v>
      </c>
      <c r="B133" s="11" t="s">
        <v>311</v>
      </c>
      <c r="C133" s="11" t="s">
        <v>312</v>
      </c>
      <c r="D133" s="13">
        <v>56157900.133335605</v>
      </c>
      <c r="E133" s="13">
        <v>58136456.819937393</v>
      </c>
      <c r="F133" s="13">
        <v>63695012.763190612</v>
      </c>
      <c r="G133" s="13">
        <v>66252239.547320366</v>
      </c>
      <c r="H133" s="13">
        <v>70508814.288078055</v>
      </c>
      <c r="I133" s="13">
        <v>79665004.439233974</v>
      </c>
      <c r="J133" s="13">
        <v>81841093.478900492</v>
      </c>
      <c r="K133" s="13">
        <v>80301791.366169304</v>
      </c>
      <c r="L133" s="13">
        <v>87742650.394000039</v>
      </c>
      <c r="M133" s="13">
        <v>93506244.206340283</v>
      </c>
      <c r="N133" s="13">
        <v>96956002.879362285</v>
      </c>
      <c r="O133" s="13">
        <v>101801120.2500491</v>
      </c>
      <c r="P133" s="13">
        <v>105457803.94517729</v>
      </c>
      <c r="Q133" s="13">
        <v>100340802.96993342</v>
      </c>
      <c r="R133" s="13">
        <v>96056032.251886383</v>
      </c>
      <c r="S133" s="13">
        <v>97775175.958348483</v>
      </c>
      <c r="T133" s="13">
        <v>99334639.984383315</v>
      </c>
      <c r="U133" s="13">
        <v>104387825.22064669</v>
      </c>
      <c r="V133" s="13">
        <v>103693799.7444347</v>
      </c>
      <c r="W133" s="13">
        <v>108015188.77181418</v>
      </c>
    </row>
    <row r="134" spans="1:23" x14ac:dyDescent="0.2">
      <c r="A134" s="11" t="s">
        <v>288</v>
      </c>
      <c r="B134" s="11" t="s">
        <v>313</v>
      </c>
      <c r="C134" s="11" t="s">
        <v>314</v>
      </c>
      <c r="D134" s="13">
        <v>56044255.22024262</v>
      </c>
      <c r="E134" s="13">
        <v>57858804.38738367</v>
      </c>
      <c r="F134" s="13">
        <v>62037524.742615528</v>
      </c>
      <c r="G134" s="13">
        <v>61163537.851241849</v>
      </c>
      <c r="H134" s="13">
        <v>61979647.988609821</v>
      </c>
      <c r="I134" s="13">
        <v>66483379.626166984</v>
      </c>
      <c r="J134" s="13">
        <v>69532784.144362852</v>
      </c>
      <c r="K134" s="13">
        <v>67455751.117992148</v>
      </c>
      <c r="L134" s="13">
        <v>67986370.205000013</v>
      </c>
      <c r="M134" s="13">
        <v>66696300.196604289</v>
      </c>
      <c r="N134" s="13">
        <v>65847002.6693829</v>
      </c>
      <c r="O134" s="13">
        <v>68898360.823603973</v>
      </c>
      <c r="P134" s="13">
        <v>70698774.959733471</v>
      </c>
      <c r="Q134" s="13">
        <v>67117946.717735559</v>
      </c>
      <c r="R134" s="13">
        <v>66130377.169826783</v>
      </c>
      <c r="S134" s="13">
        <v>66907782.37757495</v>
      </c>
      <c r="T134" s="13">
        <v>72606421.442448318</v>
      </c>
      <c r="U134" s="13">
        <v>73991571.313909695</v>
      </c>
      <c r="V134" s="13">
        <v>64719355.013021745</v>
      </c>
      <c r="W134" s="13">
        <v>74542618.914753333</v>
      </c>
    </row>
    <row r="135" spans="1:23" x14ac:dyDescent="0.2">
      <c r="A135" s="11" t="s">
        <v>288</v>
      </c>
      <c r="B135" s="11" t="s">
        <v>315</v>
      </c>
      <c r="C135" s="11" t="s">
        <v>316</v>
      </c>
      <c r="D135" s="13">
        <v>4858111.2754631564</v>
      </c>
      <c r="E135" s="13">
        <v>4600672.953818731</v>
      </c>
      <c r="F135" s="13">
        <v>4876289.2903829133</v>
      </c>
      <c r="G135" s="13">
        <v>5011562.7264576545</v>
      </c>
      <c r="H135" s="13">
        <v>5059541.7271869006</v>
      </c>
      <c r="I135" s="13">
        <v>4911018.5881831767</v>
      </c>
      <c r="J135" s="13">
        <v>5183723.5355007295</v>
      </c>
      <c r="K135" s="13">
        <v>5321174.3777531674</v>
      </c>
      <c r="L135" s="13">
        <v>6290141.5050000008</v>
      </c>
      <c r="M135" s="13">
        <v>7197873.358850169</v>
      </c>
      <c r="N135" s="13">
        <v>8420316.4163660202</v>
      </c>
      <c r="O135" s="13">
        <v>9313986.8815072458</v>
      </c>
      <c r="P135" s="13">
        <v>10807588.185108196</v>
      </c>
      <c r="Q135" s="13">
        <v>8128035.6428530486</v>
      </c>
      <c r="R135" s="13">
        <v>7059338.5077700065</v>
      </c>
      <c r="S135" s="13">
        <v>7682818.8572225515</v>
      </c>
      <c r="T135" s="13">
        <v>7965668.5670461161</v>
      </c>
      <c r="U135" s="13">
        <v>7824213.9833113654</v>
      </c>
      <c r="V135" s="13">
        <v>7436277.9505883101</v>
      </c>
      <c r="W135" s="13">
        <v>7728455.5710486611</v>
      </c>
    </row>
    <row r="136" spans="1:23" x14ac:dyDescent="0.2">
      <c r="A136" s="11" t="s">
        <v>288</v>
      </c>
      <c r="B136" s="11" t="s">
        <v>317</v>
      </c>
      <c r="C136" s="11" t="s">
        <v>318</v>
      </c>
      <c r="D136" s="13">
        <v>586827259.00440812</v>
      </c>
      <c r="E136" s="13">
        <v>579429570.97472847</v>
      </c>
      <c r="F136" s="13">
        <v>588968716.26307499</v>
      </c>
      <c r="G136" s="13">
        <v>632615263.66090238</v>
      </c>
      <c r="H136" s="13">
        <v>656511414.49928951</v>
      </c>
      <c r="I136" s="13">
        <v>700686907.0737381</v>
      </c>
      <c r="J136" s="13">
        <v>717744255.33056581</v>
      </c>
      <c r="K136" s="13">
        <v>722537912.36654425</v>
      </c>
      <c r="L136" s="13">
        <v>768101764.72300017</v>
      </c>
      <c r="M136" s="13">
        <v>786553500.56328559</v>
      </c>
      <c r="N136" s="13">
        <v>779796131.14776051</v>
      </c>
      <c r="O136" s="13">
        <v>792867702.7321043</v>
      </c>
      <c r="P136" s="13">
        <v>790616929.02222931</v>
      </c>
      <c r="Q136" s="13">
        <v>763661068.10423553</v>
      </c>
      <c r="R136" s="13">
        <v>737336233.63026214</v>
      </c>
      <c r="S136" s="13">
        <v>732592529.94039845</v>
      </c>
      <c r="T136" s="13">
        <v>725679569.27227473</v>
      </c>
      <c r="U136" s="13">
        <v>740339961.96704125</v>
      </c>
      <c r="V136" s="13">
        <v>686937638.79715335</v>
      </c>
      <c r="W136" s="13">
        <v>693423029.16777396</v>
      </c>
    </row>
    <row r="137" spans="1:23" x14ac:dyDescent="0.2">
      <c r="A137" s="11" t="s">
        <v>319</v>
      </c>
      <c r="B137" s="11" t="s">
        <v>320</v>
      </c>
      <c r="C137" s="11" t="s">
        <v>321</v>
      </c>
      <c r="D137" s="13">
        <v>6069564.6497583939</v>
      </c>
      <c r="E137" s="13">
        <v>6915186.5209730091</v>
      </c>
      <c r="F137" s="13">
        <v>7036072.4713293901</v>
      </c>
      <c r="G137" s="13">
        <v>6815087.7414328502</v>
      </c>
      <c r="H137" s="13">
        <v>7103628.2347510476</v>
      </c>
      <c r="I137" s="13">
        <v>7927867.3054890987</v>
      </c>
      <c r="J137" s="13">
        <v>8512742.7020876277</v>
      </c>
      <c r="K137" s="13">
        <v>8859698.8529585283</v>
      </c>
      <c r="L137" s="13">
        <v>9539146.7650000006</v>
      </c>
      <c r="M137" s="13">
        <v>9749648.9399214182</v>
      </c>
      <c r="N137" s="13">
        <v>10124018.590367192</v>
      </c>
      <c r="O137" s="13">
        <v>10827046.249144619</v>
      </c>
      <c r="P137" s="13">
        <v>10643791.720572235</v>
      </c>
      <c r="Q137" s="13">
        <v>11151707.154050732</v>
      </c>
      <c r="R137" s="13">
        <v>11441668.10491671</v>
      </c>
      <c r="S137" s="13">
        <v>11817630.535405312</v>
      </c>
      <c r="T137" s="13">
        <v>11697151.984715795</v>
      </c>
      <c r="U137" s="13">
        <v>12398526.430434473</v>
      </c>
      <c r="V137" s="13">
        <v>13075428.034537205</v>
      </c>
      <c r="W137" s="13">
        <v>14063672.416170241</v>
      </c>
    </row>
    <row r="138" spans="1:23" x14ac:dyDescent="0.2">
      <c r="A138" s="11" t="s">
        <v>319</v>
      </c>
      <c r="B138" s="11" t="s">
        <v>322</v>
      </c>
      <c r="C138" s="11" t="s">
        <v>323</v>
      </c>
      <c r="D138" s="13">
        <v>4041951.8239146215</v>
      </c>
      <c r="E138" s="13">
        <v>4095113.0553833321</v>
      </c>
      <c r="F138" s="13">
        <v>4169939.3876087926</v>
      </c>
      <c r="G138" s="13">
        <v>4271359.8841581251</v>
      </c>
      <c r="H138" s="13">
        <v>4556924.2652796004</v>
      </c>
      <c r="I138" s="13">
        <v>4972905.2348417547</v>
      </c>
      <c r="J138" s="13">
        <v>5585027.4705818053</v>
      </c>
      <c r="K138" s="13">
        <v>5983244.1011141324</v>
      </c>
      <c r="L138" s="13">
        <v>6865669.3239999991</v>
      </c>
      <c r="M138" s="13">
        <v>7187136.6581953932</v>
      </c>
      <c r="N138" s="13">
        <v>7566703.2759268815</v>
      </c>
      <c r="O138" s="13">
        <v>8104715.6621072004</v>
      </c>
      <c r="P138" s="13">
        <v>8675556.0390698016</v>
      </c>
      <c r="Q138" s="13">
        <v>8688457.2887276281</v>
      </c>
      <c r="R138" s="13">
        <v>8595237.3032201771</v>
      </c>
      <c r="S138" s="13">
        <v>9053757.4123197161</v>
      </c>
      <c r="T138" s="13">
        <v>9189103.4971522111</v>
      </c>
      <c r="U138" s="13">
        <v>9714360.7936807629</v>
      </c>
      <c r="V138" s="13">
        <v>9959137.1791408695</v>
      </c>
      <c r="W138" s="13">
        <v>10469800.207711777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EF19-4974-4543-A3A4-B89D0EA0043B}">
  <sheetPr>
    <tabColor theme="6"/>
  </sheetPr>
  <dimension ref="A1:S28"/>
  <sheetViews>
    <sheetView zoomScaleNormal="100" workbookViewId="0">
      <selection activeCell="D1" sqref="D1:AI1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19" width="10" style="5" customWidth="1"/>
    <col min="20" max="256" width="10.28515625" style="1"/>
    <col min="257" max="257" width="4" style="1" customWidth="1"/>
    <col min="258" max="258" width="10" style="1" customWidth="1"/>
    <col min="259" max="259" width="30" style="1" customWidth="1"/>
    <col min="260" max="275" width="10" style="1" customWidth="1"/>
    <col min="276" max="512" width="10.28515625" style="1"/>
    <col min="513" max="513" width="4" style="1" customWidth="1"/>
    <col min="514" max="514" width="10" style="1" customWidth="1"/>
    <col min="515" max="515" width="30" style="1" customWidth="1"/>
    <col min="516" max="531" width="10" style="1" customWidth="1"/>
    <col min="532" max="768" width="10.28515625" style="1"/>
    <col min="769" max="769" width="4" style="1" customWidth="1"/>
    <col min="770" max="770" width="10" style="1" customWidth="1"/>
    <col min="771" max="771" width="30" style="1" customWidth="1"/>
    <col min="772" max="787" width="10" style="1" customWidth="1"/>
    <col min="788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43" width="10" style="1" customWidth="1"/>
    <col min="1044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299" width="10" style="1" customWidth="1"/>
    <col min="1300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555" width="10" style="1" customWidth="1"/>
    <col min="1556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11" width="10" style="1" customWidth="1"/>
    <col min="1812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067" width="10" style="1" customWidth="1"/>
    <col min="2068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23" width="10" style="1" customWidth="1"/>
    <col min="2324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579" width="10" style="1" customWidth="1"/>
    <col min="2580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35" width="10" style="1" customWidth="1"/>
    <col min="2836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091" width="10" style="1" customWidth="1"/>
    <col min="3092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47" width="10" style="1" customWidth="1"/>
    <col min="3348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603" width="10" style="1" customWidth="1"/>
    <col min="3604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859" width="10" style="1" customWidth="1"/>
    <col min="3860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15" width="10" style="1" customWidth="1"/>
    <col min="4116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371" width="10" style="1" customWidth="1"/>
    <col min="4372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27" width="10" style="1" customWidth="1"/>
    <col min="4628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883" width="10" style="1" customWidth="1"/>
    <col min="4884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39" width="10" style="1" customWidth="1"/>
    <col min="5140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395" width="10" style="1" customWidth="1"/>
    <col min="5396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51" width="10" style="1" customWidth="1"/>
    <col min="5652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07" width="10" style="1" customWidth="1"/>
    <col min="5908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163" width="10" style="1" customWidth="1"/>
    <col min="6164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19" width="10" style="1" customWidth="1"/>
    <col min="6420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675" width="10" style="1" customWidth="1"/>
    <col min="6676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31" width="10" style="1" customWidth="1"/>
    <col min="6932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187" width="10" style="1" customWidth="1"/>
    <col min="7188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43" width="10" style="1" customWidth="1"/>
    <col min="7444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699" width="10" style="1" customWidth="1"/>
    <col min="7700" max="7936" width="10.28515625" style="1"/>
    <col min="7937" max="7937" width="4" style="1" customWidth="1"/>
    <col min="7938" max="7938" width="10" style="1" customWidth="1"/>
    <col min="7939" max="7939" width="30" style="1" customWidth="1"/>
    <col min="7940" max="7955" width="10" style="1" customWidth="1"/>
    <col min="7956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11" width="10" style="1" customWidth="1"/>
    <col min="8212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467" width="10" style="1" customWidth="1"/>
    <col min="8468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23" width="10" style="1" customWidth="1"/>
    <col min="8724" max="8960" width="10.28515625" style="1"/>
    <col min="8961" max="8961" width="4" style="1" customWidth="1"/>
    <col min="8962" max="8962" width="10" style="1" customWidth="1"/>
    <col min="8963" max="8963" width="30" style="1" customWidth="1"/>
    <col min="8964" max="8979" width="10" style="1" customWidth="1"/>
    <col min="8980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35" width="10" style="1" customWidth="1"/>
    <col min="9236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491" width="10" style="1" customWidth="1"/>
    <col min="9492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47" width="10" style="1" customWidth="1"/>
    <col min="9748" max="9984" width="10.28515625" style="1"/>
    <col min="9985" max="9985" width="4" style="1" customWidth="1"/>
    <col min="9986" max="9986" width="10" style="1" customWidth="1"/>
    <col min="9987" max="9987" width="30" style="1" customWidth="1"/>
    <col min="9988" max="10003" width="10" style="1" customWidth="1"/>
    <col min="10004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259" width="10" style="1" customWidth="1"/>
    <col min="10260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15" width="10" style="1" customWidth="1"/>
    <col min="10516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771" width="10" style="1" customWidth="1"/>
    <col min="10772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27" width="10" style="1" customWidth="1"/>
    <col min="11028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283" width="10" style="1" customWidth="1"/>
    <col min="11284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39" width="10" style="1" customWidth="1"/>
    <col min="11540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795" width="10" style="1" customWidth="1"/>
    <col min="11796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51" width="10" style="1" customWidth="1"/>
    <col min="12052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07" width="10" style="1" customWidth="1"/>
    <col min="12308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563" width="10" style="1" customWidth="1"/>
    <col min="12564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19" width="10" style="1" customWidth="1"/>
    <col min="12820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075" width="10" style="1" customWidth="1"/>
    <col min="13076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31" width="10" style="1" customWidth="1"/>
    <col min="13332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587" width="10" style="1" customWidth="1"/>
    <col min="13588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43" width="10" style="1" customWidth="1"/>
    <col min="13844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099" width="10" style="1" customWidth="1"/>
    <col min="14100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355" width="10" style="1" customWidth="1"/>
    <col min="14356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11" width="10" style="1" customWidth="1"/>
    <col min="14612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867" width="10" style="1" customWidth="1"/>
    <col min="14868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23" width="10" style="1" customWidth="1"/>
    <col min="15124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379" width="10" style="1" customWidth="1"/>
    <col min="15380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35" width="10" style="1" customWidth="1"/>
    <col min="15636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891" width="10" style="1" customWidth="1"/>
    <col min="15892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47" width="10" style="1" customWidth="1"/>
    <col min="16148" max="16384" width="10.28515625" style="1"/>
  </cols>
  <sheetData>
    <row r="1" spans="1:19" ht="12.75" customHeight="1" x14ac:dyDescent="0.2">
      <c r="A1" s="1" t="s">
        <v>0</v>
      </c>
      <c r="B1" s="1" t="s">
        <v>1</v>
      </c>
      <c r="C1" s="1" t="s">
        <v>324</v>
      </c>
      <c r="D1" s="6">
        <v>1872</v>
      </c>
      <c r="E1" s="6">
        <v>1890</v>
      </c>
      <c r="F1" s="6">
        <v>1900</v>
      </c>
      <c r="G1" s="6">
        <v>1910</v>
      </c>
      <c r="H1" s="6">
        <v>1920</v>
      </c>
      <c r="I1" s="6">
        <v>1940</v>
      </c>
      <c r="J1" s="6">
        <v>1950</v>
      </c>
      <c r="K1" s="6">
        <v>1960</v>
      </c>
      <c r="L1" s="6">
        <v>1970</v>
      </c>
      <c r="M1" s="6">
        <v>1980</v>
      </c>
      <c r="N1" s="6">
        <v>1991</v>
      </c>
      <c r="O1" s="6">
        <v>1996</v>
      </c>
      <c r="P1" s="6">
        <v>2000</v>
      </c>
      <c r="Q1" s="6">
        <v>2007</v>
      </c>
      <c r="R1" s="6">
        <v>2010</v>
      </c>
      <c r="S1" s="6">
        <v>2022</v>
      </c>
    </row>
    <row r="2" spans="1:19" x14ac:dyDescent="0.2">
      <c r="A2" s="1" t="s">
        <v>23</v>
      </c>
      <c r="B2" s="1" t="s">
        <v>325</v>
      </c>
      <c r="C2" s="1" t="s">
        <v>326</v>
      </c>
      <c r="G2" s="5">
        <v>74484</v>
      </c>
      <c r="H2" s="5">
        <v>92379</v>
      </c>
      <c r="I2" s="5">
        <v>79768</v>
      </c>
      <c r="J2" s="5">
        <v>114755</v>
      </c>
      <c r="K2" s="5">
        <v>158852</v>
      </c>
      <c r="L2" s="5">
        <v>215299</v>
      </c>
      <c r="M2" s="5">
        <v>301276</v>
      </c>
      <c r="N2" s="5">
        <v>417718</v>
      </c>
      <c r="O2" s="5">
        <v>483593</v>
      </c>
      <c r="P2" s="5">
        <v>557882</v>
      </c>
      <c r="Q2" s="5">
        <v>655385</v>
      </c>
      <c r="R2" s="5">
        <v>733559</v>
      </c>
      <c r="S2" s="5">
        <v>830018</v>
      </c>
    </row>
    <row r="3" spans="1:19" x14ac:dyDescent="0.2">
      <c r="A3" s="1" t="s">
        <v>28</v>
      </c>
      <c r="B3" s="1" t="s">
        <v>327</v>
      </c>
      <c r="C3" s="1" t="s">
        <v>328</v>
      </c>
      <c r="D3" s="5">
        <v>338854</v>
      </c>
      <c r="E3" s="5">
        <v>511440</v>
      </c>
      <c r="F3" s="5">
        <v>649273</v>
      </c>
      <c r="G3" s="5">
        <v>814060</v>
      </c>
      <c r="H3" s="5">
        <v>978748</v>
      </c>
      <c r="I3" s="5">
        <v>951300</v>
      </c>
      <c r="J3" s="5">
        <v>1093137</v>
      </c>
      <c r="K3" s="5">
        <v>1256159</v>
      </c>
      <c r="L3" s="5">
        <v>1588068</v>
      </c>
      <c r="M3" s="5">
        <v>1982915</v>
      </c>
      <c r="N3" s="5">
        <v>2514100</v>
      </c>
      <c r="O3" s="5">
        <v>2633251</v>
      </c>
      <c r="P3" s="5">
        <v>2827856</v>
      </c>
      <c r="Q3" s="5">
        <v>3037103</v>
      </c>
      <c r="R3" s="5">
        <v>3120494</v>
      </c>
      <c r="S3" s="5">
        <v>3127683</v>
      </c>
    </row>
    <row r="4" spans="1:19" x14ac:dyDescent="0.2">
      <c r="A4" s="1" t="s">
        <v>35</v>
      </c>
      <c r="B4" s="1" t="s">
        <v>329</v>
      </c>
      <c r="C4" s="1" t="s">
        <v>330</v>
      </c>
      <c r="D4" s="5">
        <v>57610</v>
      </c>
      <c r="E4" s="5">
        <v>144458</v>
      </c>
      <c r="F4" s="5">
        <v>249756</v>
      </c>
      <c r="G4" s="5">
        <v>335543</v>
      </c>
      <c r="H4" s="5">
        <v>348947</v>
      </c>
      <c r="I4" s="5">
        <v>416159</v>
      </c>
      <c r="J4" s="5">
        <v>514099</v>
      </c>
      <c r="K4" s="5">
        <v>714774</v>
      </c>
      <c r="L4" s="5">
        <v>955203</v>
      </c>
      <c r="M4" s="5">
        <v>1430528</v>
      </c>
      <c r="N4" s="5">
        <v>2103243</v>
      </c>
      <c r="O4" s="5">
        <v>2389279</v>
      </c>
      <c r="P4" s="5">
        <v>2817252</v>
      </c>
      <c r="Q4" s="5">
        <v>3221939</v>
      </c>
      <c r="R4" s="5">
        <v>3483985</v>
      </c>
      <c r="S4" s="5">
        <v>3941613</v>
      </c>
    </row>
    <row r="5" spans="1:19" x14ac:dyDescent="0.2">
      <c r="A5" s="1" t="s">
        <v>44</v>
      </c>
      <c r="B5" s="1" t="s">
        <v>331</v>
      </c>
      <c r="C5" s="1" t="s">
        <v>332</v>
      </c>
      <c r="D5" s="5">
        <v>3148</v>
      </c>
      <c r="E5" s="5">
        <v>10348</v>
      </c>
      <c r="G5" s="5">
        <v>31396</v>
      </c>
      <c r="H5" s="5">
        <v>36477</v>
      </c>
      <c r="I5" s="5">
        <v>30747</v>
      </c>
      <c r="J5" s="5">
        <v>37477</v>
      </c>
      <c r="K5" s="5">
        <v>68520</v>
      </c>
      <c r="L5" s="5">
        <v>114230</v>
      </c>
      <c r="M5" s="5">
        <v>175258</v>
      </c>
      <c r="N5" s="5">
        <v>289397</v>
      </c>
      <c r="O5" s="5">
        <v>379459</v>
      </c>
      <c r="P5" s="5">
        <v>477032</v>
      </c>
      <c r="Q5" s="5">
        <v>587311</v>
      </c>
      <c r="R5" s="5">
        <v>669526</v>
      </c>
      <c r="S5" s="5">
        <v>733759</v>
      </c>
    </row>
    <row r="6" spans="1:19" x14ac:dyDescent="0.2">
      <c r="A6" s="1" t="s">
        <v>49</v>
      </c>
      <c r="B6" s="1" t="s">
        <v>333</v>
      </c>
      <c r="C6" s="1" t="s">
        <v>334</v>
      </c>
      <c r="D6" s="5">
        <v>1379616</v>
      </c>
      <c r="E6" s="5">
        <v>1919802</v>
      </c>
      <c r="F6" s="5">
        <v>2117956</v>
      </c>
      <c r="G6" s="5">
        <v>2626989</v>
      </c>
      <c r="H6" s="5">
        <v>3334465</v>
      </c>
      <c r="I6" s="5">
        <v>3918112</v>
      </c>
      <c r="J6" s="5">
        <v>4834575</v>
      </c>
      <c r="K6" s="5">
        <v>5919052</v>
      </c>
      <c r="L6" s="5">
        <v>7493437</v>
      </c>
      <c r="M6" s="5">
        <v>9455392</v>
      </c>
      <c r="N6" s="5">
        <v>11867991</v>
      </c>
      <c r="O6" s="5">
        <v>12541675</v>
      </c>
      <c r="P6" s="5">
        <v>13085769</v>
      </c>
      <c r="Q6" s="5">
        <v>14080654</v>
      </c>
      <c r="R6" s="5">
        <v>14016906</v>
      </c>
      <c r="S6" s="5">
        <v>14141626</v>
      </c>
    </row>
    <row r="7" spans="1:19" x14ac:dyDescent="0.2">
      <c r="A7" s="1" t="s">
        <v>64</v>
      </c>
      <c r="B7" s="1" t="s">
        <v>335</v>
      </c>
      <c r="C7" s="1" t="s">
        <v>336</v>
      </c>
      <c r="D7" s="5">
        <v>742819</v>
      </c>
      <c r="E7" s="5">
        <v>805687</v>
      </c>
      <c r="F7" s="5">
        <v>849127</v>
      </c>
      <c r="G7" s="5">
        <v>1119489</v>
      </c>
      <c r="H7" s="5">
        <v>1319228</v>
      </c>
      <c r="I7" s="5">
        <v>2091032</v>
      </c>
      <c r="J7" s="5">
        <v>2695450</v>
      </c>
      <c r="K7" s="5">
        <v>3289595</v>
      </c>
      <c r="L7" s="5">
        <v>4361603</v>
      </c>
      <c r="M7" s="5">
        <v>5288429</v>
      </c>
      <c r="N7" s="5">
        <v>6366647</v>
      </c>
      <c r="O7" s="5">
        <v>6809290</v>
      </c>
      <c r="P7" s="5">
        <v>7431597</v>
      </c>
      <c r="Q7" s="5">
        <v>8185286</v>
      </c>
      <c r="R7" s="5">
        <v>8452381</v>
      </c>
      <c r="S7" s="5">
        <v>8794957</v>
      </c>
    </row>
    <row r="8" spans="1:19" x14ac:dyDescent="0.2">
      <c r="A8" s="1" t="s">
        <v>79</v>
      </c>
      <c r="B8" s="1" t="s">
        <v>337</v>
      </c>
      <c r="C8" s="1" t="s">
        <v>81</v>
      </c>
      <c r="K8" s="5">
        <v>139796</v>
      </c>
      <c r="L8" s="5">
        <v>537492</v>
      </c>
      <c r="M8" s="5">
        <v>1176908</v>
      </c>
      <c r="N8" s="5">
        <v>1601094</v>
      </c>
      <c r="O8" s="5">
        <v>1821946</v>
      </c>
      <c r="P8" s="5">
        <v>2051146</v>
      </c>
      <c r="Q8" s="5">
        <v>2455903</v>
      </c>
      <c r="R8" s="5">
        <v>2570160</v>
      </c>
      <c r="S8" s="5">
        <v>2817381</v>
      </c>
    </row>
    <row r="9" spans="1:19" x14ac:dyDescent="0.2">
      <c r="A9" s="1" t="s">
        <v>82</v>
      </c>
      <c r="B9" s="1" t="s">
        <v>338</v>
      </c>
      <c r="C9" s="1" t="s">
        <v>339</v>
      </c>
      <c r="D9" s="5">
        <v>82137</v>
      </c>
      <c r="E9" s="5">
        <v>135997</v>
      </c>
      <c r="F9" s="5">
        <v>209783</v>
      </c>
      <c r="G9" s="5">
        <v>340805</v>
      </c>
      <c r="H9" s="5">
        <v>457328</v>
      </c>
      <c r="I9" s="5">
        <v>790149</v>
      </c>
      <c r="J9" s="5">
        <v>957238</v>
      </c>
      <c r="K9" s="5">
        <v>1418348</v>
      </c>
      <c r="L9" s="5">
        <v>1599324</v>
      </c>
      <c r="M9" s="5">
        <v>2023338</v>
      </c>
      <c r="N9" s="5">
        <v>2600618</v>
      </c>
      <c r="O9" s="5">
        <v>2802707</v>
      </c>
      <c r="P9" s="5">
        <v>3097498</v>
      </c>
      <c r="Q9" s="5">
        <v>3351669</v>
      </c>
      <c r="R9" s="5">
        <v>3514952</v>
      </c>
      <c r="S9" s="5">
        <v>3833712</v>
      </c>
    </row>
    <row r="10" spans="1:19" x14ac:dyDescent="0.2">
      <c r="A10" s="1" t="s">
        <v>91</v>
      </c>
      <c r="B10" s="1" t="s">
        <v>340</v>
      </c>
      <c r="C10" s="1" t="s">
        <v>341</v>
      </c>
      <c r="D10" s="5">
        <v>122796</v>
      </c>
      <c r="E10" s="5">
        <v>172420</v>
      </c>
      <c r="F10" s="5">
        <v>255284</v>
      </c>
      <c r="G10" s="5">
        <v>318159</v>
      </c>
      <c r="H10" s="5">
        <v>400022</v>
      </c>
      <c r="I10" s="5">
        <v>662018</v>
      </c>
      <c r="J10" s="5">
        <v>1010881</v>
      </c>
      <c r="K10" s="5">
        <v>1593788</v>
      </c>
      <c r="L10" s="5">
        <v>2938029</v>
      </c>
      <c r="M10" s="5">
        <v>3860174</v>
      </c>
      <c r="N10" s="5">
        <v>4018903</v>
      </c>
      <c r="O10" s="5">
        <v>4514967</v>
      </c>
      <c r="P10" s="5">
        <v>5004197</v>
      </c>
      <c r="Q10" s="5">
        <v>5647035</v>
      </c>
      <c r="R10" s="5">
        <v>6003788</v>
      </c>
      <c r="S10" s="5">
        <v>7056495</v>
      </c>
    </row>
    <row r="11" spans="1:19" x14ac:dyDescent="0.2">
      <c r="A11" s="1" t="s">
        <v>102</v>
      </c>
      <c r="B11" s="1" t="s">
        <v>342</v>
      </c>
      <c r="C11" s="1" t="s">
        <v>343</v>
      </c>
      <c r="D11" s="5">
        <v>359040</v>
      </c>
      <c r="E11" s="5">
        <v>430854</v>
      </c>
      <c r="F11" s="5">
        <v>499308</v>
      </c>
      <c r="G11" s="5">
        <v>657453</v>
      </c>
      <c r="H11" s="5">
        <v>874337</v>
      </c>
      <c r="I11" s="5">
        <v>1235169</v>
      </c>
      <c r="J11" s="5">
        <v>1583248</v>
      </c>
      <c r="K11" s="5">
        <v>2477371</v>
      </c>
      <c r="L11" s="5">
        <v>2992678</v>
      </c>
      <c r="M11" s="5">
        <v>3996444</v>
      </c>
      <c r="N11" s="5">
        <v>4930253</v>
      </c>
      <c r="O11" s="5">
        <v>5222183</v>
      </c>
      <c r="P11" s="5">
        <v>5657552</v>
      </c>
      <c r="Q11" s="5">
        <v>6118995</v>
      </c>
      <c r="R11" s="5">
        <v>6574789</v>
      </c>
      <c r="S11" s="5">
        <v>6776699</v>
      </c>
    </row>
    <row r="12" spans="1:19" x14ac:dyDescent="0.2">
      <c r="A12" s="1" t="s">
        <v>113</v>
      </c>
      <c r="B12" s="1" t="s">
        <v>344</v>
      </c>
      <c r="C12" s="1" t="s">
        <v>345</v>
      </c>
      <c r="D12" s="5">
        <v>2039735</v>
      </c>
      <c r="E12" s="5">
        <v>3184099</v>
      </c>
      <c r="F12" s="5">
        <v>3594471</v>
      </c>
      <c r="G12" s="5">
        <v>4479689</v>
      </c>
      <c r="H12" s="5">
        <v>5888173</v>
      </c>
      <c r="I12" s="5">
        <v>6763368</v>
      </c>
      <c r="J12" s="5">
        <v>7782188</v>
      </c>
      <c r="K12" s="5">
        <v>9960040</v>
      </c>
      <c r="L12" s="5">
        <v>11485663</v>
      </c>
      <c r="M12" s="5">
        <v>13380105</v>
      </c>
      <c r="N12" s="5">
        <v>15743152</v>
      </c>
      <c r="O12" s="5">
        <v>16672613</v>
      </c>
      <c r="P12" s="5">
        <v>17905134</v>
      </c>
      <c r="Q12" s="5">
        <v>19273506</v>
      </c>
      <c r="R12" s="5">
        <v>19597330</v>
      </c>
      <c r="S12" s="5">
        <v>20539989</v>
      </c>
    </row>
    <row r="13" spans="1:19" x14ac:dyDescent="0.2">
      <c r="A13" s="1" t="s">
        <v>138</v>
      </c>
      <c r="B13" s="1" t="s">
        <v>346</v>
      </c>
      <c r="C13" s="1" t="s">
        <v>347</v>
      </c>
      <c r="D13" s="5">
        <v>10447</v>
      </c>
      <c r="E13" s="5">
        <v>26304</v>
      </c>
      <c r="G13" s="5">
        <v>71678</v>
      </c>
      <c r="H13" s="5">
        <v>130384</v>
      </c>
      <c r="I13" s="5">
        <v>238640</v>
      </c>
      <c r="J13" s="5">
        <v>309395</v>
      </c>
      <c r="K13" s="5">
        <v>572018</v>
      </c>
      <c r="L13" s="5">
        <v>0</v>
      </c>
      <c r="M13" s="5">
        <v>1369769</v>
      </c>
      <c r="N13" s="5">
        <v>1780373</v>
      </c>
      <c r="O13" s="5">
        <v>1927834</v>
      </c>
      <c r="P13" s="5">
        <v>2078070</v>
      </c>
      <c r="Q13" s="5">
        <v>2265274</v>
      </c>
      <c r="R13" s="5">
        <v>2449024</v>
      </c>
      <c r="S13" s="5">
        <v>2757013</v>
      </c>
    </row>
    <row r="14" spans="1:19" x14ac:dyDescent="0.2">
      <c r="A14" s="1" t="s">
        <v>147</v>
      </c>
      <c r="B14" s="1" t="s">
        <v>348</v>
      </c>
      <c r="C14" s="1" t="s">
        <v>349</v>
      </c>
      <c r="D14" s="5">
        <v>49970</v>
      </c>
      <c r="E14" s="5">
        <v>66523</v>
      </c>
      <c r="F14" s="5">
        <v>118025</v>
      </c>
      <c r="G14" s="5">
        <v>114204</v>
      </c>
      <c r="H14" s="5">
        <v>98228</v>
      </c>
      <c r="I14" s="5">
        <v>187524</v>
      </c>
      <c r="J14" s="5">
        <v>212649</v>
      </c>
      <c r="K14" s="5">
        <v>324845</v>
      </c>
      <c r="L14" s="5">
        <v>1597009</v>
      </c>
      <c r="M14" s="5">
        <v>1138918</v>
      </c>
      <c r="N14" s="5">
        <v>2027231</v>
      </c>
      <c r="O14" s="5">
        <v>2235832</v>
      </c>
      <c r="P14" s="5">
        <v>2505245</v>
      </c>
      <c r="Q14" s="5">
        <v>2854642</v>
      </c>
      <c r="R14" s="5">
        <v>3035122</v>
      </c>
      <c r="S14" s="5">
        <v>3658649</v>
      </c>
    </row>
    <row r="15" spans="1:19" x14ac:dyDescent="0.2">
      <c r="A15" s="1" t="s">
        <v>158</v>
      </c>
      <c r="B15" s="1" t="s">
        <v>350</v>
      </c>
      <c r="C15" s="1" t="s">
        <v>351</v>
      </c>
      <c r="D15" s="5">
        <v>272089</v>
      </c>
      <c r="E15" s="5">
        <v>318107</v>
      </c>
      <c r="F15" s="5">
        <v>445356</v>
      </c>
      <c r="G15" s="5">
        <v>752449</v>
      </c>
      <c r="H15" s="5">
        <v>947030</v>
      </c>
      <c r="I15" s="5">
        <v>913897</v>
      </c>
      <c r="J15" s="5">
        <v>1123273</v>
      </c>
      <c r="K15" s="5">
        <v>1538193</v>
      </c>
      <c r="L15" s="5">
        <v>2166998</v>
      </c>
      <c r="M15" s="5">
        <v>3403498</v>
      </c>
      <c r="N15" s="5">
        <v>4950060</v>
      </c>
      <c r="O15" s="5">
        <v>5510849</v>
      </c>
      <c r="P15" s="5">
        <v>6195965</v>
      </c>
      <c r="Q15" s="5">
        <v>7065573</v>
      </c>
      <c r="R15" s="5">
        <v>7581051</v>
      </c>
      <c r="S15" s="5">
        <v>8120131</v>
      </c>
    </row>
    <row r="16" spans="1:19" x14ac:dyDescent="0.2">
      <c r="A16" s="1" t="s">
        <v>171</v>
      </c>
      <c r="B16" s="1" t="s">
        <v>352</v>
      </c>
      <c r="C16" s="1" t="s">
        <v>353</v>
      </c>
      <c r="D16" s="5">
        <v>376226</v>
      </c>
      <c r="E16" s="5">
        <v>457232</v>
      </c>
      <c r="F16" s="5">
        <v>490784</v>
      </c>
      <c r="G16" s="5">
        <v>604985</v>
      </c>
      <c r="H16" s="5">
        <v>961106</v>
      </c>
      <c r="I16" s="5">
        <v>1422282</v>
      </c>
      <c r="J16" s="5">
        <v>1713259</v>
      </c>
      <c r="K16" s="5">
        <v>1991145</v>
      </c>
      <c r="L16" s="5">
        <v>2382463</v>
      </c>
      <c r="M16" s="5">
        <v>2770346</v>
      </c>
      <c r="N16" s="5">
        <v>3201114</v>
      </c>
      <c r="O16" s="5">
        <v>3305616</v>
      </c>
      <c r="P16" s="5">
        <v>3444794</v>
      </c>
      <c r="Q16" s="5">
        <v>3641395</v>
      </c>
      <c r="R16" s="5">
        <v>3766528</v>
      </c>
      <c r="S16" s="5">
        <v>3974687</v>
      </c>
    </row>
    <row r="17" spans="1:19" x14ac:dyDescent="0.2">
      <c r="A17" s="1" t="s">
        <v>180</v>
      </c>
      <c r="B17" s="1" t="s">
        <v>354</v>
      </c>
      <c r="C17" s="1" t="s">
        <v>355</v>
      </c>
      <c r="D17" s="5">
        <v>834314</v>
      </c>
      <c r="E17" s="5">
        <v>1030224</v>
      </c>
      <c r="F17" s="5">
        <v>1178150</v>
      </c>
      <c r="G17" s="5">
        <v>1570183</v>
      </c>
      <c r="H17" s="5">
        <v>2154835</v>
      </c>
      <c r="I17" s="5">
        <v>2688240</v>
      </c>
      <c r="J17" s="5">
        <v>3395766</v>
      </c>
      <c r="K17" s="5">
        <v>4081947</v>
      </c>
      <c r="L17" s="5">
        <v>5161866</v>
      </c>
      <c r="M17" s="5">
        <v>6143503</v>
      </c>
      <c r="N17" s="5">
        <v>7127855</v>
      </c>
      <c r="O17" s="5">
        <v>7399071</v>
      </c>
      <c r="P17" s="5">
        <v>7929154</v>
      </c>
      <c r="Q17" s="5">
        <v>8485386</v>
      </c>
      <c r="R17" s="5">
        <v>8796448</v>
      </c>
      <c r="S17" s="5">
        <v>9058931</v>
      </c>
    </row>
    <row r="18" spans="1:19" x14ac:dyDescent="0.2">
      <c r="A18" s="1" t="s">
        <v>191</v>
      </c>
      <c r="B18" s="1" t="s">
        <v>356</v>
      </c>
      <c r="C18" s="1" t="s">
        <v>357</v>
      </c>
      <c r="D18" s="5">
        <v>181089</v>
      </c>
      <c r="E18" s="5">
        <v>267609</v>
      </c>
      <c r="F18" s="5">
        <v>334328</v>
      </c>
      <c r="G18" s="5">
        <v>428216</v>
      </c>
      <c r="H18" s="5">
        <v>609003</v>
      </c>
      <c r="I18" s="5">
        <v>817601</v>
      </c>
      <c r="J18" s="5">
        <v>1045696</v>
      </c>
      <c r="K18" s="5">
        <v>1249200</v>
      </c>
      <c r="L18" s="5">
        <v>1680573</v>
      </c>
      <c r="M18" s="5">
        <v>2139196</v>
      </c>
      <c r="N18" s="5">
        <v>2582137</v>
      </c>
      <c r="O18" s="5">
        <v>2673085</v>
      </c>
      <c r="P18" s="5">
        <v>2843428</v>
      </c>
      <c r="Q18" s="5">
        <v>3032421</v>
      </c>
      <c r="R18" s="5">
        <v>3118360</v>
      </c>
      <c r="S18" s="5">
        <v>3271199</v>
      </c>
    </row>
    <row r="19" spans="1:19" x14ac:dyDescent="0.2">
      <c r="A19" s="1" t="s">
        <v>200</v>
      </c>
      <c r="B19" s="1" t="s">
        <v>358</v>
      </c>
      <c r="C19" s="1" t="s">
        <v>359</v>
      </c>
      <c r="D19" s="5">
        <v>126722</v>
      </c>
      <c r="E19" s="5">
        <v>249491</v>
      </c>
      <c r="F19" s="5">
        <v>327136</v>
      </c>
      <c r="G19" s="5">
        <v>511770</v>
      </c>
      <c r="H19" s="5">
        <v>685711</v>
      </c>
      <c r="I19" s="5">
        <v>1236276</v>
      </c>
      <c r="J19" s="5">
        <v>2115547</v>
      </c>
      <c r="K19" s="5">
        <v>4263721</v>
      </c>
      <c r="L19" s="5">
        <v>6929821</v>
      </c>
      <c r="M19" s="5">
        <v>7629849</v>
      </c>
      <c r="N19" s="5">
        <v>8448713</v>
      </c>
      <c r="O19" s="5">
        <v>9003804</v>
      </c>
      <c r="P19" s="5">
        <v>9564643</v>
      </c>
      <c r="Q19" s="5">
        <v>10284503</v>
      </c>
      <c r="R19" s="5">
        <v>10444526</v>
      </c>
      <c r="S19" s="5">
        <v>11444380</v>
      </c>
    </row>
    <row r="20" spans="1:19" x14ac:dyDescent="0.2">
      <c r="A20" s="1" t="s">
        <v>221</v>
      </c>
      <c r="B20" s="1" t="s">
        <v>360</v>
      </c>
      <c r="C20" s="1" t="s">
        <v>361</v>
      </c>
      <c r="D20" s="5">
        <v>1057696</v>
      </c>
      <c r="E20" s="5">
        <v>1399535</v>
      </c>
      <c r="F20" s="5">
        <v>1737478</v>
      </c>
      <c r="G20" s="5">
        <v>2136956</v>
      </c>
      <c r="H20" s="5">
        <v>2706970</v>
      </c>
      <c r="I20" s="5">
        <v>3611998</v>
      </c>
      <c r="J20" s="5">
        <v>4674645</v>
      </c>
      <c r="K20" s="5">
        <v>6649646</v>
      </c>
      <c r="L20" s="5">
        <v>8994802</v>
      </c>
      <c r="M20" s="5">
        <v>11291631</v>
      </c>
      <c r="N20" s="5">
        <v>12807706</v>
      </c>
      <c r="O20" s="5">
        <v>13406308</v>
      </c>
      <c r="P20" s="5">
        <v>14392106</v>
      </c>
      <c r="Q20" s="5">
        <v>15420375</v>
      </c>
      <c r="R20" s="5">
        <v>15989929</v>
      </c>
      <c r="S20" s="5">
        <v>16055174</v>
      </c>
    </row>
    <row r="21" spans="1:19" x14ac:dyDescent="0.2">
      <c r="A21" s="1" t="s">
        <v>234</v>
      </c>
      <c r="B21" s="1" t="s">
        <v>362</v>
      </c>
      <c r="C21" s="1" t="s">
        <v>363</v>
      </c>
      <c r="D21" s="5">
        <v>233979</v>
      </c>
      <c r="E21" s="5">
        <v>268273</v>
      </c>
      <c r="F21" s="5">
        <v>274317</v>
      </c>
      <c r="G21" s="5">
        <v>398644</v>
      </c>
      <c r="H21" s="5">
        <v>537135</v>
      </c>
      <c r="I21" s="5">
        <v>768018</v>
      </c>
      <c r="J21" s="5">
        <v>967921</v>
      </c>
      <c r="K21" s="5">
        <v>1140823</v>
      </c>
      <c r="L21" s="5">
        <v>1550184</v>
      </c>
      <c r="M21" s="5">
        <v>1898835</v>
      </c>
      <c r="N21" s="5">
        <v>2415567</v>
      </c>
      <c r="O21" s="5">
        <v>2558660</v>
      </c>
      <c r="P21" s="5">
        <v>2777509</v>
      </c>
      <c r="Q21" s="5">
        <v>3013740</v>
      </c>
      <c r="R21" s="5">
        <v>3168027</v>
      </c>
      <c r="S21" s="5">
        <v>3302729</v>
      </c>
    </row>
    <row r="22" spans="1:19" x14ac:dyDescent="0.2">
      <c r="A22" s="1" t="s">
        <v>243</v>
      </c>
      <c r="B22" s="1" t="s">
        <v>364</v>
      </c>
      <c r="C22" s="1" t="s">
        <v>365</v>
      </c>
      <c r="H22" s="5">
        <v>23305</v>
      </c>
      <c r="I22" s="5">
        <v>14417</v>
      </c>
      <c r="J22" s="5">
        <v>36935</v>
      </c>
      <c r="K22" s="5">
        <v>70232</v>
      </c>
      <c r="L22" s="5">
        <v>111064</v>
      </c>
      <c r="M22" s="5">
        <v>491025</v>
      </c>
      <c r="N22" s="5">
        <v>1132692</v>
      </c>
      <c r="O22" s="5">
        <v>1229306</v>
      </c>
      <c r="P22" s="5">
        <v>1380952</v>
      </c>
      <c r="Q22" s="5">
        <v>1453756</v>
      </c>
      <c r="R22" s="5">
        <v>1562409</v>
      </c>
      <c r="S22" s="5">
        <v>1581196</v>
      </c>
    </row>
    <row r="23" spans="1:19" x14ac:dyDescent="0.2">
      <c r="A23" s="1" t="s">
        <v>248</v>
      </c>
      <c r="B23" s="1" t="s">
        <v>366</v>
      </c>
      <c r="C23" s="1" t="s">
        <v>367</v>
      </c>
      <c r="E23" s="5">
        <v>3457</v>
      </c>
      <c r="G23" s="5">
        <v>23152</v>
      </c>
      <c r="H23" s="5">
        <v>8914</v>
      </c>
      <c r="I23" s="5">
        <v>13533</v>
      </c>
      <c r="J23" s="5">
        <v>18116</v>
      </c>
      <c r="K23" s="5">
        <v>28871</v>
      </c>
      <c r="L23" s="5">
        <v>40885</v>
      </c>
      <c r="M23" s="5">
        <v>79121</v>
      </c>
      <c r="N23" s="5">
        <v>217583</v>
      </c>
      <c r="O23" s="5">
        <v>247131</v>
      </c>
      <c r="P23" s="5">
        <v>324397</v>
      </c>
      <c r="Q23" s="5">
        <v>395725</v>
      </c>
      <c r="R23" s="5">
        <v>450479</v>
      </c>
      <c r="S23" s="5">
        <v>636707</v>
      </c>
    </row>
    <row r="24" spans="1:19" x14ac:dyDescent="0.2">
      <c r="A24" s="1" t="s">
        <v>253</v>
      </c>
      <c r="B24" s="1" t="s">
        <v>368</v>
      </c>
      <c r="C24" s="1" t="s">
        <v>369</v>
      </c>
      <c r="D24" s="5">
        <v>434813</v>
      </c>
      <c r="E24" s="5">
        <v>897455</v>
      </c>
      <c r="F24" s="5">
        <v>1149070</v>
      </c>
      <c r="G24" s="5">
        <v>1594439</v>
      </c>
      <c r="H24" s="5">
        <v>2182194</v>
      </c>
      <c r="I24" s="5">
        <v>3320689</v>
      </c>
      <c r="J24" s="5">
        <v>4164821</v>
      </c>
      <c r="K24" s="5">
        <v>5388659</v>
      </c>
      <c r="L24" s="5">
        <v>6664841</v>
      </c>
      <c r="M24" s="5">
        <v>7773849</v>
      </c>
      <c r="N24" s="5">
        <v>9138670</v>
      </c>
      <c r="O24" s="5">
        <v>9634688</v>
      </c>
      <c r="P24" s="5">
        <v>10187842</v>
      </c>
      <c r="Q24" s="5">
        <v>10582840</v>
      </c>
      <c r="R24" s="5">
        <v>10693929</v>
      </c>
      <c r="S24" s="5">
        <v>10882965</v>
      </c>
    </row>
    <row r="25" spans="1:19" x14ac:dyDescent="0.2">
      <c r="A25" s="1" t="s">
        <v>268</v>
      </c>
      <c r="B25" s="1" t="s">
        <v>370</v>
      </c>
      <c r="C25" s="1" t="s">
        <v>371</v>
      </c>
      <c r="D25" s="5">
        <v>159802</v>
      </c>
      <c r="E25" s="5">
        <v>283769</v>
      </c>
      <c r="F25" s="5">
        <v>320289</v>
      </c>
      <c r="G25" s="5">
        <v>450227</v>
      </c>
      <c r="H25" s="5">
        <v>668743</v>
      </c>
      <c r="I25" s="5">
        <v>1178340</v>
      </c>
      <c r="J25" s="5">
        <v>1560502</v>
      </c>
      <c r="K25" s="5">
        <v>2129252</v>
      </c>
      <c r="L25" s="5">
        <v>2901660</v>
      </c>
      <c r="M25" s="5">
        <v>3628292</v>
      </c>
      <c r="N25" s="5">
        <v>4541994</v>
      </c>
      <c r="O25" s="5">
        <v>4875244</v>
      </c>
      <c r="P25" s="5">
        <v>5357864</v>
      </c>
      <c r="Q25" s="5">
        <v>5866252</v>
      </c>
      <c r="R25" s="5">
        <v>6248436</v>
      </c>
      <c r="S25" s="5">
        <v>7610361</v>
      </c>
    </row>
    <row r="26" spans="1:19" x14ac:dyDescent="0.2">
      <c r="A26" s="1" t="s">
        <v>281</v>
      </c>
      <c r="B26" s="1" t="s">
        <v>372</v>
      </c>
      <c r="C26" s="1" t="s">
        <v>373</v>
      </c>
      <c r="D26" s="5">
        <v>176243</v>
      </c>
      <c r="E26" s="5">
        <v>310926</v>
      </c>
      <c r="F26" s="5">
        <v>356264</v>
      </c>
      <c r="G26" s="5">
        <v>409931</v>
      </c>
      <c r="H26" s="5">
        <v>477064</v>
      </c>
      <c r="I26" s="5">
        <v>542326</v>
      </c>
      <c r="J26" s="5">
        <v>644361</v>
      </c>
      <c r="K26" s="5">
        <v>751778</v>
      </c>
      <c r="L26" s="5">
        <v>900679</v>
      </c>
      <c r="M26" s="5">
        <v>1140379</v>
      </c>
      <c r="N26" s="5">
        <v>1491876</v>
      </c>
      <c r="O26" s="5">
        <v>1624020</v>
      </c>
      <c r="P26" s="5">
        <v>1784829</v>
      </c>
      <c r="Q26" s="5">
        <v>1939426</v>
      </c>
      <c r="R26" s="5">
        <v>2068017</v>
      </c>
      <c r="S26" s="5">
        <v>2210004</v>
      </c>
    </row>
    <row r="27" spans="1:19" x14ac:dyDescent="0.2">
      <c r="A27" s="1" t="s">
        <v>288</v>
      </c>
      <c r="B27" s="1" t="s">
        <v>374</v>
      </c>
      <c r="C27" s="1" t="s">
        <v>375</v>
      </c>
      <c r="D27" s="5">
        <v>837354</v>
      </c>
      <c r="E27" s="5">
        <v>1384753</v>
      </c>
      <c r="F27" s="5">
        <v>2282279</v>
      </c>
      <c r="G27" s="5">
        <v>3455030</v>
      </c>
      <c r="H27" s="5">
        <v>4592188</v>
      </c>
      <c r="I27" s="5">
        <v>7180316</v>
      </c>
      <c r="J27" s="5">
        <v>9134423</v>
      </c>
      <c r="K27" s="5">
        <v>12823806</v>
      </c>
      <c r="L27" s="5">
        <v>17770975</v>
      </c>
      <c r="M27" s="5">
        <v>25042074</v>
      </c>
      <c r="N27" s="5">
        <v>31588925</v>
      </c>
      <c r="O27" s="5">
        <v>34119110</v>
      </c>
      <c r="P27" s="5">
        <v>37035456</v>
      </c>
      <c r="Q27" s="5">
        <v>39827570</v>
      </c>
      <c r="R27" s="5">
        <v>41262199</v>
      </c>
      <c r="S27" s="5">
        <v>44411238</v>
      </c>
    </row>
    <row r="28" spans="1:19" x14ac:dyDescent="0.2">
      <c r="A28" s="1" t="s">
        <v>319</v>
      </c>
      <c r="B28" s="1" t="s">
        <v>376</v>
      </c>
      <c r="C28" s="1" t="s">
        <v>377</v>
      </c>
      <c r="D28" s="5">
        <v>37599</v>
      </c>
      <c r="E28" s="5">
        <v>55152</v>
      </c>
      <c r="G28" s="5">
        <v>89246</v>
      </c>
      <c r="H28" s="5">
        <v>111897</v>
      </c>
      <c r="I28" s="5">
        <v>164396</v>
      </c>
      <c r="J28" s="5">
        <v>204041</v>
      </c>
      <c r="K28" s="5">
        <v>323672</v>
      </c>
      <c r="L28" s="5">
        <v>0</v>
      </c>
      <c r="M28" s="5">
        <v>0</v>
      </c>
      <c r="N28" s="5">
        <v>919863</v>
      </c>
      <c r="O28" s="5">
        <v>1048642</v>
      </c>
      <c r="P28" s="5">
        <v>1157690</v>
      </c>
      <c r="Q28" s="5">
        <v>1243627</v>
      </c>
      <c r="R28" s="5">
        <v>1383445</v>
      </c>
      <c r="S28" s="5">
        <v>1511460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D8D6-CA19-4AD6-B2AA-5E36C3EC520D}">
  <sheetPr>
    <tabColor theme="6"/>
  </sheetPr>
  <dimension ref="A1:BQ28"/>
  <sheetViews>
    <sheetView topLeftCell="AR1" zoomScaleNormal="100" workbookViewId="0">
      <selection activeCell="D1" sqref="D1:AI1"/>
    </sheetView>
  </sheetViews>
  <sheetFormatPr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69" width="10" style="5" customWidth="1"/>
    <col min="70" max="256" width="10.28515625" style="1" customWidth="1"/>
    <col min="257" max="257" width="4" style="1" customWidth="1"/>
    <col min="258" max="258" width="10" style="1" customWidth="1"/>
    <col min="259" max="259" width="30" style="1" customWidth="1"/>
    <col min="260" max="325" width="10" style="1" customWidth="1"/>
    <col min="326" max="512" width="10.28515625" style="1" customWidth="1"/>
    <col min="513" max="513" width="4" style="1" customWidth="1"/>
    <col min="514" max="514" width="10" style="1" customWidth="1"/>
    <col min="515" max="515" width="30" style="1" customWidth="1"/>
    <col min="516" max="581" width="10" style="1" customWidth="1"/>
    <col min="582" max="768" width="10.28515625" style="1" customWidth="1"/>
    <col min="769" max="769" width="4" style="1" customWidth="1"/>
    <col min="770" max="770" width="10" style="1" customWidth="1"/>
    <col min="771" max="771" width="30" style="1" customWidth="1"/>
    <col min="772" max="837" width="10" style="1" customWidth="1"/>
    <col min="838" max="1024" width="10.28515625" style="1" customWidth="1"/>
    <col min="1025" max="1025" width="4" style="1" customWidth="1"/>
    <col min="1026" max="1026" width="10" style="1" customWidth="1"/>
    <col min="1027" max="1027" width="30" style="1" customWidth="1"/>
    <col min="1028" max="1093" width="10" style="1" customWidth="1"/>
    <col min="1094" max="1280" width="10.28515625" style="1" customWidth="1"/>
    <col min="1281" max="1281" width="4" style="1" customWidth="1"/>
    <col min="1282" max="1282" width="10" style="1" customWidth="1"/>
    <col min="1283" max="1283" width="30" style="1" customWidth="1"/>
    <col min="1284" max="1349" width="10" style="1" customWidth="1"/>
    <col min="1350" max="1536" width="10.28515625" style="1" customWidth="1"/>
    <col min="1537" max="1537" width="4" style="1" customWidth="1"/>
    <col min="1538" max="1538" width="10" style="1" customWidth="1"/>
    <col min="1539" max="1539" width="30" style="1" customWidth="1"/>
    <col min="1540" max="1605" width="10" style="1" customWidth="1"/>
    <col min="1606" max="1792" width="10.28515625" style="1" customWidth="1"/>
    <col min="1793" max="1793" width="4" style="1" customWidth="1"/>
    <col min="1794" max="1794" width="10" style="1" customWidth="1"/>
    <col min="1795" max="1795" width="30" style="1" customWidth="1"/>
    <col min="1796" max="1861" width="10" style="1" customWidth="1"/>
    <col min="1862" max="2048" width="10.28515625" style="1" customWidth="1"/>
    <col min="2049" max="2049" width="4" style="1" customWidth="1"/>
    <col min="2050" max="2050" width="10" style="1" customWidth="1"/>
    <col min="2051" max="2051" width="30" style="1" customWidth="1"/>
    <col min="2052" max="2117" width="10" style="1" customWidth="1"/>
    <col min="2118" max="2304" width="10.28515625" style="1" customWidth="1"/>
    <col min="2305" max="2305" width="4" style="1" customWidth="1"/>
    <col min="2306" max="2306" width="10" style="1" customWidth="1"/>
    <col min="2307" max="2307" width="30" style="1" customWidth="1"/>
    <col min="2308" max="2373" width="10" style="1" customWidth="1"/>
    <col min="2374" max="2560" width="10.28515625" style="1" customWidth="1"/>
    <col min="2561" max="2561" width="4" style="1" customWidth="1"/>
    <col min="2562" max="2562" width="10" style="1" customWidth="1"/>
    <col min="2563" max="2563" width="30" style="1" customWidth="1"/>
    <col min="2564" max="2629" width="10" style="1" customWidth="1"/>
    <col min="2630" max="2816" width="10.28515625" style="1" customWidth="1"/>
    <col min="2817" max="2817" width="4" style="1" customWidth="1"/>
    <col min="2818" max="2818" width="10" style="1" customWidth="1"/>
    <col min="2819" max="2819" width="30" style="1" customWidth="1"/>
    <col min="2820" max="2885" width="10" style="1" customWidth="1"/>
    <col min="2886" max="3072" width="10.28515625" style="1" customWidth="1"/>
    <col min="3073" max="3073" width="4" style="1" customWidth="1"/>
    <col min="3074" max="3074" width="10" style="1" customWidth="1"/>
    <col min="3075" max="3075" width="30" style="1" customWidth="1"/>
    <col min="3076" max="3141" width="10" style="1" customWidth="1"/>
    <col min="3142" max="3328" width="10.28515625" style="1" customWidth="1"/>
    <col min="3329" max="3329" width="4" style="1" customWidth="1"/>
    <col min="3330" max="3330" width="10" style="1" customWidth="1"/>
    <col min="3331" max="3331" width="30" style="1" customWidth="1"/>
    <col min="3332" max="3397" width="10" style="1" customWidth="1"/>
    <col min="3398" max="3584" width="10.28515625" style="1" customWidth="1"/>
    <col min="3585" max="3585" width="4" style="1" customWidth="1"/>
    <col min="3586" max="3586" width="10" style="1" customWidth="1"/>
    <col min="3587" max="3587" width="30" style="1" customWidth="1"/>
    <col min="3588" max="3653" width="10" style="1" customWidth="1"/>
    <col min="3654" max="3840" width="10.28515625" style="1" customWidth="1"/>
    <col min="3841" max="3841" width="4" style="1" customWidth="1"/>
    <col min="3842" max="3842" width="10" style="1" customWidth="1"/>
    <col min="3843" max="3843" width="30" style="1" customWidth="1"/>
    <col min="3844" max="3909" width="10" style="1" customWidth="1"/>
    <col min="3910" max="4096" width="10.28515625" style="1" customWidth="1"/>
    <col min="4097" max="4097" width="4" style="1" customWidth="1"/>
    <col min="4098" max="4098" width="10" style="1" customWidth="1"/>
    <col min="4099" max="4099" width="30" style="1" customWidth="1"/>
    <col min="4100" max="4165" width="10" style="1" customWidth="1"/>
    <col min="4166" max="4352" width="10.28515625" style="1" customWidth="1"/>
    <col min="4353" max="4353" width="4" style="1" customWidth="1"/>
    <col min="4354" max="4354" width="10" style="1" customWidth="1"/>
    <col min="4355" max="4355" width="30" style="1" customWidth="1"/>
    <col min="4356" max="4421" width="10" style="1" customWidth="1"/>
    <col min="4422" max="4608" width="10.28515625" style="1" customWidth="1"/>
    <col min="4609" max="4609" width="4" style="1" customWidth="1"/>
    <col min="4610" max="4610" width="10" style="1" customWidth="1"/>
    <col min="4611" max="4611" width="30" style="1" customWidth="1"/>
    <col min="4612" max="4677" width="10" style="1" customWidth="1"/>
    <col min="4678" max="4864" width="10.28515625" style="1" customWidth="1"/>
    <col min="4865" max="4865" width="4" style="1" customWidth="1"/>
    <col min="4866" max="4866" width="10" style="1" customWidth="1"/>
    <col min="4867" max="4867" width="30" style="1" customWidth="1"/>
    <col min="4868" max="4933" width="10" style="1" customWidth="1"/>
    <col min="4934" max="5120" width="10.28515625" style="1" customWidth="1"/>
    <col min="5121" max="5121" width="4" style="1" customWidth="1"/>
    <col min="5122" max="5122" width="10" style="1" customWidth="1"/>
    <col min="5123" max="5123" width="30" style="1" customWidth="1"/>
    <col min="5124" max="5189" width="10" style="1" customWidth="1"/>
    <col min="5190" max="5376" width="10.28515625" style="1" customWidth="1"/>
    <col min="5377" max="5377" width="4" style="1" customWidth="1"/>
    <col min="5378" max="5378" width="10" style="1" customWidth="1"/>
    <col min="5379" max="5379" width="30" style="1" customWidth="1"/>
    <col min="5380" max="5445" width="10" style="1" customWidth="1"/>
    <col min="5446" max="5632" width="10.28515625" style="1" customWidth="1"/>
    <col min="5633" max="5633" width="4" style="1" customWidth="1"/>
    <col min="5634" max="5634" width="10" style="1" customWidth="1"/>
    <col min="5635" max="5635" width="30" style="1" customWidth="1"/>
    <col min="5636" max="5701" width="10" style="1" customWidth="1"/>
    <col min="5702" max="5888" width="10.28515625" style="1" customWidth="1"/>
    <col min="5889" max="5889" width="4" style="1" customWidth="1"/>
    <col min="5890" max="5890" width="10" style="1" customWidth="1"/>
    <col min="5891" max="5891" width="30" style="1" customWidth="1"/>
    <col min="5892" max="5957" width="10" style="1" customWidth="1"/>
    <col min="5958" max="6144" width="10.28515625" style="1" customWidth="1"/>
    <col min="6145" max="6145" width="4" style="1" customWidth="1"/>
    <col min="6146" max="6146" width="10" style="1" customWidth="1"/>
    <col min="6147" max="6147" width="30" style="1" customWidth="1"/>
    <col min="6148" max="6213" width="10" style="1" customWidth="1"/>
    <col min="6214" max="6400" width="10.28515625" style="1" customWidth="1"/>
    <col min="6401" max="6401" width="4" style="1" customWidth="1"/>
    <col min="6402" max="6402" width="10" style="1" customWidth="1"/>
    <col min="6403" max="6403" width="30" style="1" customWidth="1"/>
    <col min="6404" max="6469" width="10" style="1" customWidth="1"/>
    <col min="6470" max="6656" width="10.28515625" style="1" customWidth="1"/>
    <col min="6657" max="6657" width="4" style="1" customWidth="1"/>
    <col min="6658" max="6658" width="10" style="1" customWidth="1"/>
    <col min="6659" max="6659" width="30" style="1" customWidth="1"/>
    <col min="6660" max="6725" width="10" style="1" customWidth="1"/>
    <col min="6726" max="6912" width="10.28515625" style="1" customWidth="1"/>
    <col min="6913" max="6913" width="4" style="1" customWidth="1"/>
    <col min="6914" max="6914" width="10" style="1" customWidth="1"/>
    <col min="6915" max="6915" width="30" style="1" customWidth="1"/>
    <col min="6916" max="6981" width="10" style="1" customWidth="1"/>
    <col min="6982" max="7168" width="10.28515625" style="1" customWidth="1"/>
    <col min="7169" max="7169" width="4" style="1" customWidth="1"/>
    <col min="7170" max="7170" width="10" style="1" customWidth="1"/>
    <col min="7171" max="7171" width="30" style="1" customWidth="1"/>
    <col min="7172" max="7237" width="10" style="1" customWidth="1"/>
    <col min="7238" max="7424" width="10.28515625" style="1" customWidth="1"/>
    <col min="7425" max="7425" width="4" style="1" customWidth="1"/>
    <col min="7426" max="7426" width="10" style="1" customWidth="1"/>
    <col min="7427" max="7427" width="30" style="1" customWidth="1"/>
    <col min="7428" max="7493" width="10" style="1" customWidth="1"/>
    <col min="7494" max="7680" width="10.28515625" style="1" customWidth="1"/>
    <col min="7681" max="7681" width="4" style="1" customWidth="1"/>
    <col min="7682" max="7682" width="10" style="1" customWidth="1"/>
    <col min="7683" max="7683" width="30" style="1" customWidth="1"/>
    <col min="7684" max="7749" width="10" style="1" customWidth="1"/>
    <col min="7750" max="7936" width="10.28515625" style="1" customWidth="1"/>
    <col min="7937" max="7937" width="4" style="1" customWidth="1"/>
    <col min="7938" max="7938" width="10" style="1" customWidth="1"/>
    <col min="7939" max="7939" width="30" style="1" customWidth="1"/>
    <col min="7940" max="8005" width="10" style="1" customWidth="1"/>
    <col min="8006" max="8192" width="10.28515625" style="1" customWidth="1"/>
    <col min="8193" max="8193" width="4" style="1" customWidth="1"/>
    <col min="8194" max="8194" width="10" style="1" customWidth="1"/>
    <col min="8195" max="8195" width="30" style="1" customWidth="1"/>
    <col min="8196" max="8261" width="10" style="1" customWidth="1"/>
    <col min="8262" max="8448" width="10.28515625" style="1" customWidth="1"/>
    <col min="8449" max="8449" width="4" style="1" customWidth="1"/>
    <col min="8450" max="8450" width="10" style="1" customWidth="1"/>
    <col min="8451" max="8451" width="30" style="1" customWidth="1"/>
    <col min="8452" max="8517" width="10" style="1" customWidth="1"/>
    <col min="8518" max="8704" width="10.28515625" style="1" customWidth="1"/>
    <col min="8705" max="8705" width="4" style="1" customWidth="1"/>
    <col min="8706" max="8706" width="10" style="1" customWidth="1"/>
    <col min="8707" max="8707" width="30" style="1" customWidth="1"/>
    <col min="8708" max="8773" width="10" style="1" customWidth="1"/>
    <col min="8774" max="8960" width="10.28515625" style="1" customWidth="1"/>
    <col min="8961" max="8961" width="4" style="1" customWidth="1"/>
    <col min="8962" max="8962" width="10" style="1" customWidth="1"/>
    <col min="8963" max="8963" width="30" style="1" customWidth="1"/>
    <col min="8964" max="9029" width="10" style="1" customWidth="1"/>
    <col min="9030" max="9216" width="10.28515625" style="1" customWidth="1"/>
    <col min="9217" max="9217" width="4" style="1" customWidth="1"/>
    <col min="9218" max="9218" width="10" style="1" customWidth="1"/>
    <col min="9219" max="9219" width="30" style="1" customWidth="1"/>
    <col min="9220" max="9285" width="10" style="1" customWidth="1"/>
    <col min="9286" max="9472" width="10.28515625" style="1" customWidth="1"/>
    <col min="9473" max="9473" width="4" style="1" customWidth="1"/>
    <col min="9474" max="9474" width="10" style="1" customWidth="1"/>
    <col min="9475" max="9475" width="30" style="1" customWidth="1"/>
    <col min="9476" max="9541" width="10" style="1" customWidth="1"/>
    <col min="9542" max="9728" width="10.28515625" style="1" customWidth="1"/>
    <col min="9729" max="9729" width="4" style="1" customWidth="1"/>
    <col min="9730" max="9730" width="10" style="1" customWidth="1"/>
    <col min="9731" max="9731" width="30" style="1" customWidth="1"/>
    <col min="9732" max="9797" width="10" style="1" customWidth="1"/>
    <col min="9798" max="9984" width="10.28515625" style="1" customWidth="1"/>
    <col min="9985" max="9985" width="4" style="1" customWidth="1"/>
    <col min="9986" max="9986" width="10" style="1" customWidth="1"/>
    <col min="9987" max="9987" width="30" style="1" customWidth="1"/>
    <col min="9988" max="10053" width="10" style="1" customWidth="1"/>
    <col min="10054" max="10240" width="10.28515625" style="1" customWidth="1"/>
    <col min="10241" max="10241" width="4" style="1" customWidth="1"/>
    <col min="10242" max="10242" width="10" style="1" customWidth="1"/>
    <col min="10243" max="10243" width="30" style="1" customWidth="1"/>
    <col min="10244" max="10309" width="10" style="1" customWidth="1"/>
    <col min="10310" max="10496" width="10.28515625" style="1" customWidth="1"/>
    <col min="10497" max="10497" width="4" style="1" customWidth="1"/>
    <col min="10498" max="10498" width="10" style="1" customWidth="1"/>
    <col min="10499" max="10499" width="30" style="1" customWidth="1"/>
    <col min="10500" max="10565" width="10" style="1" customWidth="1"/>
    <col min="10566" max="10752" width="10.28515625" style="1" customWidth="1"/>
    <col min="10753" max="10753" width="4" style="1" customWidth="1"/>
    <col min="10754" max="10754" width="10" style="1" customWidth="1"/>
    <col min="10755" max="10755" width="30" style="1" customWidth="1"/>
    <col min="10756" max="10821" width="10" style="1" customWidth="1"/>
    <col min="10822" max="11008" width="10.28515625" style="1" customWidth="1"/>
    <col min="11009" max="11009" width="4" style="1" customWidth="1"/>
    <col min="11010" max="11010" width="10" style="1" customWidth="1"/>
    <col min="11011" max="11011" width="30" style="1" customWidth="1"/>
    <col min="11012" max="11077" width="10" style="1" customWidth="1"/>
    <col min="11078" max="11264" width="10.28515625" style="1" customWidth="1"/>
    <col min="11265" max="11265" width="4" style="1" customWidth="1"/>
    <col min="11266" max="11266" width="10" style="1" customWidth="1"/>
    <col min="11267" max="11267" width="30" style="1" customWidth="1"/>
    <col min="11268" max="11333" width="10" style="1" customWidth="1"/>
    <col min="11334" max="11520" width="10.28515625" style="1" customWidth="1"/>
    <col min="11521" max="11521" width="4" style="1" customWidth="1"/>
    <col min="11522" max="11522" width="10" style="1" customWidth="1"/>
    <col min="11523" max="11523" width="30" style="1" customWidth="1"/>
    <col min="11524" max="11589" width="10" style="1" customWidth="1"/>
    <col min="11590" max="11776" width="10.28515625" style="1" customWidth="1"/>
    <col min="11777" max="11777" width="4" style="1" customWidth="1"/>
    <col min="11778" max="11778" width="10" style="1" customWidth="1"/>
    <col min="11779" max="11779" width="30" style="1" customWidth="1"/>
    <col min="11780" max="11845" width="10" style="1" customWidth="1"/>
    <col min="11846" max="12032" width="10.28515625" style="1" customWidth="1"/>
    <col min="12033" max="12033" width="4" style="1" customWidth="1"/>
    <col min="12034" max="12034" width="10" style="1" customWidth="1"/>
    <col min="12035" max="12035" width="30" style="1" customWidth="1"/>
    <col min="12036" max="12101" width="10" style="1" customWidth="1"/>
    <col min="12102" max="12288" width="10.28515625" style="1" customWidth="1"/>
    <col min="12289" max="12289" width="4" style="1" customWidth="1"/>
    <col min="12290" max="12290" width="10" style="1" customWidth="1"/>
    <col min="12291" max="12291" width="30" style="1" customWidth="1"/>
    <col min="12292" max="12357" width="10" style="1" customWidth="1"/>
    <col min="12358" max="12544" width="10.28515625" style="1" customWidth="1"/>
    <col min="12545" max="12545" width="4" style="1" customWidth="1"/>
    <col min="12546" max="12546" width="10" style="1" customWidth="1"/>
    <col min="12547" max="12547" width="30" style="1" customWidth="1"/>
    <col min="12548" max="12613" width="10" style="1" customWidth="1"/>
    <col min="12614" max="12800" width="10.28515625" style="1" customWidth="1"/>
    <col min="12801" max="12801" width="4" style="1" customWidth="1"/>
    <col min="12802" max="12802" width="10" style="1" customWidth="1"/>
    <col min="12803" max="12803" width="30" style="1" customWidth="1"/>
    <col min="12804" max="12869" width="10" style="1" customWidth="1"/>
    <col min="12870" max="13056" width="10.28515625" style="1" customWidth="1"/>
    <col min="13057" max="13057" width="4" style="1" customWidth="1"/>
    <col min="13058" max="13058" width="10" style="1" customWidth="1"/>
    <col min="13059" max="13059" width="30" style="1" customWidth="1"/>
    <col min="13060" max="13125" width="10" style="1" customWidth="1"/>
    <col min="13126" max="13312" width="10.28515625" style="1" customWidth="1"/>
    <col min="13313" max="13313" width="4" style="1" customWidth="1"/>
    <col min="13314" max="13314" width="10" style="1" customWidth="1"/>
    <col min="13315" max="13315" width="30" style="1" customWidth="1"/>
    <col min="13316" max="13381" width="10" style="1" customWidth="1"/>
    <col min="13382" max="13568" width="10.28515625" style="1" customWidth="1"/>
    <col min="13569" max="13569" width="4" style="1" customWidth="1"/>
    <col min="13570" max="13570" width="10" style="1" customWidth="1"/>
    <col min="13571" max="13571" width="30" style="1" customWidth="1"/>
    <col min="13572" max="13637" width="10" style="1" customWidth="1"/>
    <col min="13638" max="13824" width="10.28515625" style="1" customWidth="1"/>
    <col min="13825" max="13825" width="4" style="1" customWidth="1"/>
    <col min="13826" max="13826" width="10" style="1" customWidth="1"/>
    <col min="13827" max="13827" width="30" style="1" customWidth="1"/>
    <col min="13828" max="13893" width="10" style="1" customWidth="1"/>
    <col min="13894" max="14080" width="10.28515625" style="1" customWidth="1"/>
    <col min="14081" max="14081" width="4" style="1" customWidth="1"/>
    <col min="14082" max="14082" width="10" style="1" customWidth="1"/>
    <col min="14083" max="14083" width="30" style="1" customWidth="1"/>
    <col min="14084" max="14149" width="10" style="1" customWidth="1"/>
    <col min="14150" max="14336" width="10.28515625" style="1" customWidth="1"/>
    <col min="14337" max="14337" width="4" style="1" customWidth="1"/>
    <col min="14338" max="14338" width="10" style="1" customWidth="1"/>
    <col min="14339" max="14339" width="30" style="1" customWidth="1"/>
    <col min="14340" max="14405" width="10" style="1" customWidth="1"/>
    <col min="14406" max="14592" width="10.28515625" style="1" customWidth="1"/>
    <col min="14593" max="14593" width="4" style="1" customWidth="1"/>
    <col min="14594" max="14594" width="10" style="1" customWidth="1"/>
    <col min="14595" max="14595" width="30" style="1" customWidth="1"/>
    <col min="14596" max="14661" width="10" style="1" customWidth="1"/>
    <col min="14662" max="14848" width="10.28515625" style="1" customWidth="1"/>
    <col min="14849" max="14849" width="4" style="1" customWidth="1"/>
    <col min="14850" max="14850" width="10" style="1" customWidth="1"/>
    <col min="14851" max="14851" width="30" style="1" customWidth="1"/>
    <col min="14852" max="14917" width="10" style="1" customWidth="1"/>
    <col min="14918" max="15104" width="10.28515625" style="1" customWidth="1"/>
    <col min="15105" max="15105" width="4" style="1" customWidth="1"/>
    <col min="15106" max="15106" width="10" style="1" customWidth="1"/>
    <col min="15107" max="15107" width="30" style="1" customWidth="1"/>
    <col min="15108" max="15173" width="10" style="1" customWidth="1"/>
    <col min="15174" max="15360" width="10.28515625" style="1" customWidth="1"/>
    <col min="15361" max="15361" width="4" style="1" customWidth="1"/>
    <col min="15362" max="15362" width="10" style="1" customWidth="1"/>
    <col min="15363" max="15363" width="30" style="1" customWidth="1"/>
    <col min="15364" max="15429" width="10" style="1" customWidth="1"/>
    <col min="15430" max="15616" width="10.28515625" style="1" customWidth="1"/>
    <col min="15617" max="15617" width="4" style="1" customWidth="1"/>
    <col min="15618" max="15618" width="10" style="1" customWidth="1"/>
    <col min="15619" max="15619" width="30" style="1" customWidth="1"/>
    <col min="15620" max="15685" width="10" style="1" customWidth="1"/>
    <col min="15686" max="15872" width="10.28515625" style="1" customWidth="1"/>
    <col min="15873" max="15873" width="4" style="1" customWidth="1"/>
    <col min="15874" max="15874" width="10" style="1" customWidth="1"/>
    <col min="15875" max="15875" width="30" style="1" customWidth="1"/>
    <col min="15876" max="15941" width="10" style="1" customWidth="1"/>
    <col min="15942" max="16128" width="10.28515625" style="1" customWidth="1"/>
    <col min="16129" max="16129" width="4" style="1" customWidth="1"/>
    <col min="16130" max="16130" width="10" style="1" customWidth="1"/>
    <col min="16131" max="16131" width="30" style="1" customWidth="1"/>
    <col min="16132" max="16197" width="10" style="1" customWidth="1"/>
    <col min="16198" max="16384" width="10.28515625" style="1" customWidth="1"/>
  </cols>
  <sheetData>
    <row r="1" spans="1:69" x14ac:dyDescent="0.2">
      <c r="A1" s="1" t="s">
        <v>0</v>
      </c>
      <c r="B1" s="1" t="s">
        <v>1</v>
      </c>
      <c r="C1" s="1" t="s">
        <v>324</v>
      </c>
      <c r="D1" s="6">
        <v>1939</v>
      </c>
      <c r="E1" s="6">
        <v>1947</v>
      </c>
      <c r="F1" s="6">
        <v>1948</v>
      </c>
      <c r="G1" s="6">
        <v>1949</v>
      </c>
      <c r="H1" s="6">
        <v>1950</v>
      </c>
      <c r="I1" s="6">
        <v>1951</v>
      </c>
      <c r="J1" s="6">
        <v>1952</v>
      </c>
      <c r="K1" s="6">
        <v>1953</v>
      </c>
      <c r="L1" s="6">
        <v>1954</v>
      </c>
      <c r="M1" s="6">
        <v>1955</v>
      </c>
      <c r="N1" s="6">
        <v>1956</v>
      </c>
      <c r="O1" s="6">
        <v>1957</v>
      </c>
      <c r="P1" s="6">
        <v>1958</v>
      </c>
      <c r="Q1" s="6">
        <v>1959</v>
      </c>
      <c r="R1" s="6">
        <v>1960</v>
      </c>
      <c r="S1" s="6">
        <v>1961</v>
      </c>
      <c r="T1" s="6">
        <v>1962</v>
      </c>
      <c r="U1" s="6">
        <v>1963</v>
      </c>
      <c r="V1" s="6">
        <v>1964</v>
      </c>
      <c r="W1" s="6">
        <v>1965</v>
      </c>
      <c r="X1" s="6">
        <v>1966</v>
      </c>
      <c r="Y1" s="6">
        <v>1967</v>
      </c>
      <c r="Z1" s="6">
        <v>1968</v>
      </c>
      <c r="AA1" s="6">
        <v>1969</v>
      </c>
      <c r="AB1" s="6">
        <v>1970</v>
      </c>
      <c r="AC1" s="6">
        <v>1975</v>
      </c>
      <c r="AD1" s="6">
        <v>1980</v>
      </c>
      <c r="AE1" s="6">
        <v>1985</v>
      </c>
      <c r="AF1" s="6">
        <v>1986</v>
      </c>
      <c r="AG1" s="6">
        <v>1987</v>
      </c>
      <c r="AH1" s="6">
        <v>1988</v>
      </c>
      <c r="AI1" s="6">
        <v>1989</v>
      </c>
      <c r="AJ1" s="6">
        <v>1990</v>
      </c>
      <c r="AK1" s="6">
        <v>1991</v>
      </c>
      <c r="AL1" s="6">
        <v>1992</v>
      </c>
      <c r="AM1" s="6">
        <v>1993</v>
      </c>
      <c r="AN1" s="6">
        <v>1994</v>
      </c>
      <c r="AO1" s="6">
        <v>1995</v>
      </c>
      <c r="AP1" s="6">
        <v>1996</v>
      </c>
      <c r="AQ1" s="6">
        <v>1997</v>
      </c>
      <c r="AR1" s="6">
        <v>1998</v>
      </c>
      <c r="AS1" s="6">
        <v>1999</v>
      </c>
      <c r="AT1" s="6">
        <v>2000</v>
      </c>
      <c r="AU1" s="6">
        <v>2001</v>
      </c>
      <c r="AV1" s="6">
        <v>2002</v>
      </c>
      <c r="AW1" s="6">
        <v>2003</v>
      </c>
      <c r="AX1" s="6">
        <v>2004</v>
      </c>
      <c r="AY1" s="6">
        <v>2005</v>
      </c>
      <c r="AZ1" s="6">
        <v>2006</v>
      </c>
      <c r="BA1" s="6">
        <v>2007</v>
      </c>
      <c r="BB1" s="6">
        <v>2008</v>
      </c>
      <c r="BC1" s="6">
        <v>2009</v>
      </c>
      <c r="BD1" s="6">
        <v>2010</v>
      </c>
      <c r="BE1" s="6">
        <v>2011</v>
      </c>
      <c r="BF1" s="6">
        <v>2012</v>
      </c>
      <c r="BG1" s="6">
        <v>2013</v>
      </c>
      <c r="BH1" s="6">
        <v>2014</v>
      </c>
      <c r="BI1" s="6">
        <v>2015</v>
      </c>
      <c r="BJ1" s="6">
        <v>2016</v>
      </c>
      <c r="BK1" s="6">
        <v>2017</v>
      </c>
      <c r="BL1" s="6">
        <v>2018</v>
      </c>
      <c r="BM1" s="6">
        <v>2019</v>
      </c>
      <c r="BN1" s="6">
        <v>2020</v>
      </c>
      <c r="BO1" s="6">
        <v>2021</v>
      </c>
      <c r="BP1" s="6">
        <v>2022</v>
      </c>
      <c r="BQ1" s="6">
        <v>2023</v>
      </c>
    </row>
    <row r="2" spans="1:69" x14ac:dyDescent="0.2">
      <c r="A2" s="1" t="s">
        <v>23</v>
      </c>
      <c r="B2" s="1" t="s">
        <v>325</v>
      </c>
      <c r="C2" s="1" t="s">
        <v>326</v>
      </c>
      <c r="AB2" s="5">
        <v>1002208.93111706</v>
      </c>
      <c r="AC2" s="5">
        <v>963996.13170994201</v>
      </c>
      <c r="AD2" s="5">
        <v>2093731.40809909</v>
      </c>
      <c r="AE2" s="5">
        <v>2486976.9714618102</v>
      </c>
      <c r="AF2" s="5">
        <v>2850661.1110541499</v>
      </c>
      <c r="AG2" s="5">
        <v>2729036.5753983702</v>
      </c>
      <c r="AH2" s="5">
        <v>2806751.8606625199</v>
      </c>
      <c r="AI2" s="5">
        <v>2815572.5508959498</v>
      </c>
      <c r="AJ2" s="5">
        <v>2898594.4782315399</v>
      </c>
      <c r="AK2" s="5">
        <v>2834006.1529545002</v>
      </c>
      <c r="AL2" s="5">
        <v>3044683.9247436901</v>
      </c>
      <c r="AM2" s="5">
        <v>3146717.1919801198</v>
      </c>
      <c r="AN2" s="5">
        <v>3667377.6071445099</v>
      </c>
      <c r="AO2" s="5">
        <v>4265243.7008605497</v>
      </c>
      <c r="AP2" s="5">
        <v>4248441.5012979396</v>
      </c>
      <c r="AQ2" s="5">
        <v>4202091.5103498697</v>
      </c>
      <c r="AR2" s="5">
        <v>4362855.5482618501</v>
      </c>
      <c r="AS2" s="5">
        <v>4449846.5796811404</v>
      </c>
      <c r="AT2" s="5">
        <v>4863191.7098938404</v>
      </c>
      <c r="AU2" s="5">
        <v>5162918.9522518702</v>
      </c>
      <c r="AV2" s="5">
        <v>5644716.5565803703</v>
      </c>
      <c r="AW2" s="5">
        <v>5623480.25045121</v>
      </c>
      <c r="AX2" s="5">
        <v>5847495.66670301</v>
      </c>
      <c r="AY2" s="5">
        <v>6186073.0131403096</v>
      </c>
      <c r="AZ2" s="5">
        <v>6280230.3267067103</v>
      </c>
      <c r="BA2" s="5">
        <v>6908242.24526315</v>
      </c>
      <c r="BB2" s="5">
        <v>7458515.05641877</v>
      </c>
      <c r="BC2" s="5">
        <v>8031806.8261539098</v>
      </c>
      <c r="BD2" s="5">
        <v>8342356</v>
      </c>
      <c r="BE2" s="5">
        <v>8262140.2445120197</v>
      </c>
      <c r="BF2" s="5">
        <v>8670638.3495501895</v>
      </c>
      <c r="BG2" s="5">
        <v>9128245.0424188804</v>
      </c>
      <c r="BH2" s="5">
        <v>9928216.5701109003</v>
      </c>
      <c r="BI2" s="5">
        <v>9342409.7855972294</v>
      </c>
      <c r="BJ2" s="5">
        <v>8725471.2567202095</v>
      </c>
      <c r="BK2" s="5">
        <v>8733872.8713138103</v>
      </c>
      <c r="BL2" s="5">
        <v>8977965.7598312199</v>
      </c>
      <c r="BM2" s="5">
        <v>8782023.8376215603</v>
      </c>
      <c r="BN2" s="5">
        <v>8694793.5342266504</v>
      </c>
      <c r="BO2" s="5">
        <v>9977503.5285579897</v>
      </c>
      <c r="BP2" s="5">
        <v>10179758.8583722</v>
      </c>
      <c r="BQ2" s="5">
        <v>10749556.6968295</v>
      </c>
    </row>
    <row r="3" spans="1:69" x14ac:dyDescent="0.2">
      <c r="A3" s="1" t="s">
        <v>28</v>
      </c>
      <c r="B3" s="1" t="s">
        <v>327</v>
      </c>
      <c r="C3" s="1" t="s">
        <v>328</v>
      </c>
      <c r="D3" s="5">
        <v>1065466.7220665701</v>
      </c>
      <c r="E3" s="5">
        <v>1604315.25193119</v>
      </c>
      <c r="F3" s="5">
        <v>1694613.0232969101</v>
      </c>
      <c r="G3" s="5">
        <v>1798286.4200086901</v>
      </c>
      <c r="H3" s="5">
        <v>1790502.1502194901</v>
      </c>
      <c r="I3" s="5">
        <v>1901336.47402128</v>
      </c>
      <c r="J3" s="5">
        <v>1893912.82580872</v>
      </c>
      <c r="K3" s="5">
        <v>1885108.8565915399</v>
      </c>
      <c r="L3" s="5">
        <v>1932123.3200204701</v>
      </c>
      <c r="M3" s="5">
        <v>1997566.92857141</v>
      </c>
      <c r="N3" s="5">
        <v>2309073.2652103398</v>
      </c>
      <c r="O3" s="5">
        <v>2646150.8422314199</v>
      </c>
      <c r="P3" s="5">
        <v>3045008.7093885001</v>
      </c>
      <c r="Q3" s="5">
        <v>3219890.8025965099</v>
      </c>
      <c r="R3" s="5">
        <v>3462799.7074924698</v>
      </c>
      <c r="S3" s="5">
        <v>3836398.9098650599</v>
      </c>
      <c r="T3" s="5">
        <v>4078016.8958172901</v>
      </c>
      <c r="U3" s="5">
        <v>4210969.2543758098</v>
      </c>
      <c r="V3" s="5">
        <v>4269676.2486588703</v>
      </c>
      <c r="W3" s="5">
        <v>4238180.97964577</v>
      </c>
      <c r="X3" s="5">
        <v>4162834.6332498002</v>
      </c>
      <c r="Y3" s="5">
        <v>1329540.63805226</v>
      </c>
      <c r="Z3" s="5">
        <v>1412591.1493963399</v>
      </c>
      <c r="AA3" s="5">
        <v>1550232.677231</v>
      </c>
      <c r="AB3" s="5">
        <v>5315583.2810628796</v>
      </c>
      <c r="AC3" s="5">
        <v>7917356.5456589703</v>
      </c>
      <c r="AD3" s="5">
        <v>11885467.7677806</v>
      </c>
      <c r="AE3" s="5">
        <v>16339942.165114</v>
      </c>
      <c r="AF3" s="5">
        <v>16152667.5248113</v>
      </c>
      <c r="AG3" s="5">
        <v>17656895.685184199</v>
      </c>
      <c r="AH3" s="5">
        <v>14490757.3743385</v>
      </c>
      <c r="AI3" s="5">
        <v>12637479.660170799</v>
      </c>
      <c r="AJ3" s="5">
        <v>14786575.766837601</v>
      </c>
      <c r="AK3" s="5">
        <v>15041856.4320176</v>
      </c>
      <c r="AL3" s="5">
        <v>15192300.614658101</v>
      </c>
      <c r="AM3" s="5">
        <v>14628035.2962487</v>
      </c>
      <c r="AN3" s="5">
        <v>15959445.5369562</v>
      </c>
      <c r="AO3" s="5">
        <v>16054666.631960301</v>
      </c>
      <c r="AP3" s="5">
        <v>15627525.0051415</v>
      </c>
      <c r="AQ3" s="5">
        <v>16790818.191093002</v>
      </c>
      <c r="AR3" s="5">
        <v>17191397.354123101</v>
      </c>
      <c r="AS3" s="5">
        <v>16533265.5690198</v>
      </c>
      <c r="AT3" s="5">
        <v>17537580.9754177</v>
      </c>
      <c r="AU3" s="5">
        <v>17705296.790869199</v>
      </c>
      <c r="AV3" s="5">
        <v>21917087.881683499</v>
      </c>
      <c r="AW3" s="5">
        <v>21020451.4659344</v>
      </c>
      <c r="AX3" s="5">
        <v>21703876.244745798</v>
      </c>
      <c r="AY3" s="5">
        <v>22273357.362529501</v>
      </c>
      <c r="AZ3" s="5">
        <v>23434865.614902601</v>
      </c>
      <c r="BA3" s="5">
        <v>25150456.8284146</v>
      </c>
      <c r="BB3" s="5">
        <v>25902817.040497798</v>
      </c>
      <c r="BC3" s="5">
        <v>26219352.358959898</v>
      </c>
      <c r="BD3" s="5">
        <v>27133038</v>
      </c>
      <c r="BE3" s="5">
        <v>29226119.312968299</v>
      </c>
      <c r="BF3" s="5">
        <v>29635360.397254702</v>
      </c>
      <c r="BG3" s="5">
        <v>29660635.938434999</v>
      </c>
      <c r="BH3" s="5">
        <v>30226446.450540401</v>
      </c>
      <c r="BI3" s="5">
        <v>31798266.3021346</v>
      </c>
      <c r="BJ3" s="5">
        <v>31382183.072393399</v>
      </c>
      <c r="BK3" s="5">
        <v>32340531.659963299</v>
      </c>
      <c r="BL3" s="5">
        <v>31864493.739570599</v>
      </c>
      <c r="BM3" s="5">
        <v>33129898.299730401</v>
      </c>
      <c r="BN3" s="5">
        <v>33352694.9249405</v>
      </c>
      <c r="BO3" s="5">
        <v>35600488.0217131</v>
      </c>
      <c r="BP3" s="5">
        <v>32705149.13583</v>
      </c>
      <c r="BQ3" s="5">
        <v>36670514.182687402</v>
      </c>
    </row>
    <row r="4" spans="1:69" x14ac:dyDescent="0.2">
      <c r="A4" s="1" t="s">
        <v>35</v>
      </c>
      <c r="B4" s="1" t="s">
        <v>329</v>
      </c>
      <c r="C4" s="1" t="s">
        <v>330</v>
      </c>
      <c r="D4" s="5">
        <v>1306972.51240166</v>
      </c>
      <c r="E4" s="5">
        <v>1707321.0465977199</v>
      </c>
      <c r="F4" s="5">
        <v>1534147.51463465</v>
      </c>
      <c r="G4" s="5">
        <v>1573781.2489714001</v>
      </c>
      <c r="H4" s="5">
        <v>1510285.47308502</v>
      </c>
      <c r="I4" s="5">
        <v>1732134.9712872801</v>
      </c>
      <c r="J4" s="5">
        <v>1814336.6566571</v>
      </c>
      <c r="K4" s="5">
        <v>1717543.62489452</v>
      </c>
      <c r="L4" s="5">
        <v>1800387.6391099801</v>
      </c>
      <c r="M4" s="5">
        <v>1909004.8479943499</v>
      </c>
      <c r="N4" s="5">
        <v>2533566.49932802</v>
      </c>
      <c r="O4" s="5">
        <v>2909343.2647114201</v>
      </c>
      <c r="P4" s="5">
        <v>2975372.3355771201</v>
      </c>
      <c r="Q4" s="5">
        <v>3117376.1894892398</v>
      </c>
      <c r="R4" s="5">
        <v>3656003.1246487</v>
      </c>
      <c r="S4" s="5">
        <v>4719598.6588987401</v>
      </c>
      <c r="T4" s="5">
        <v>3820844.6591441301</v>
      </c>
      <c r="U4" s="5">
        <v>3552040.0800969498</v>
      </c>
      <c r="V4" s="5">
        <v>3699299.6505555902</v>
      </c>
      <c r="W4" s="5">
        <v>3896392.1909646601</v>
      </c>
      <c r="X4" s="5">
        <v>3840710.5247245198</v>
      </c>
      <c r="Y4" s="5">
        <v>1122862.0568279501</v>
      </c>
      <c r="Z4" s="5">
        <v>1311776.44798541</v>
      </c>
      <c r="AA4" s="5">
        <v>1515542.1780039701</v>
      </c>
      <c r="AB4" s="5">
        <v>5382028.0720761605</v>
      </c>
      <c r="AC4" s="5">
        <v>9341818.1835808791</v>
      </c>
      <c r="AD4" s="5">
        <v>19874706.035527099</v>
      </c>
      <c r="AE4" s="5">
        <v>29035793.487830602</v>
      </c>
      <c r="AF4" s="5">
        <v>36136776.170795597</v>
      </c>
      <c r="AG4" s="5">
        <v>38250948.017549902</v>
      </c>
      <c r="AH4" s="5">
        <v>38871490.049533904</v>
      </c>
      <c r="AI4" s="5">
        <v>38667541.473274499</v>
      </c>
      <c r="AJ4" s="5">
        <v>38060878.601704203</v>
      </c>
      <c r="AK4" s="5">
        <v>35610229.367045701</v>
      </c>
      <c r="AL4" s="5">
        <v>33260302.140777301</v>
      </c>
      <c r="AM4" s="5">
        <v>41763275.2841314</v>
      </c>
      <c r="AN4" s="5">
        <v>39314772.192432299</v>
      </c>
      <c r="AO4" s="5">
        <v>34717200.677503102</v>
      </c>
      <c r="AP4" s="5">
        <v>36368043.350160502</v>
      </c>
      <c r="AQ4" s="5">
        <v>33967417.484682597</v>
      </c>
      <c r="AR4" s="5">
        <v>33985845.4792464</v>
      </c>
      <c r="AS4" s="5">
        <v>33218537.869750801</v>
      </c>
      <c r="AT4" s="5">
        <v>37811751.704561099</v>
      </c>
      <c r="AU4" s="5">
        <v>37651010.478877999</v>
      </c>
      <c r="AV4" s="5">
        <v>41971725.7856832</v>
      </c>
      <c r="AW4" s="5">
        <v>43063406.261906303</v>
      </c>
      <c r="AX4" s="5">
        <v>48045075.5812774</v>
      </c>
      <c r="AY4" s="5">
        <v>48879020.339935496</v>
      </c>
      <c r="AZ4" s="5">
        <v>53796687.706170298</v>
      </c>
      <c r="BA4" s="5">
        <v>55031025.891645104</v>
      </c>
      <c r="BB4" s="5">
        <v>55983487.153955497</v>
      </c>
      <c r="BC4" s="5">
        <v>54818666.385331102</v>
      </c>
      <c r="BD4" s="5">
        <v>60877123</v>
      </c>
      <c r="BE4" s="5">
        <v>65302179.017527997</v>
      </c>
      <c r="BF4" s="5">
        <v>61786838.4078288</v>
      </c>
      <c r="BG4" s="5">
        <v>66072566.757773899</v>
      </c>
      <c r="BH4" s="5">
        <v>63933752.542024702</v>
      </c>
      <c r="BI4" s="5">
        <v>59367775.390333198</v>
      </c>
      <c r="BJ4" s="5">
        <v>56485422.571194999</v>
      </c>
      <c r="BK4" s="5">
        <v>57055373.149165101</v>
      </c>
      <c r="BL4" s="5">
        <v>58624360.659874499</v>
      </c>
      <c r="BM4" s="5">
        <v>60783613.987234101</v>
      </c>
      <c r="BN4" s="5">
        <v>61224796.384091102</v>
      </c>
      <c r="BO4" s="5">
        <v>61398164.949943297</v>
      </c>
      <c r="BP4" s="5">
        <v>62404394.515581697</v>
      </c>
      <c r="BQ4" s="5">
        <v>66152030.4656495</v>
      </c>
    </row>
    <row r="5" spans="1:69" x14ac:dyDescent="0.2">
      <c r="A5" s="1" t="s">
        <v>44</v>
      </c>
      <c r="B5" s="1" t="s">
        <v>331</v>
      </c>
      <c r="C5" s="1" t="s">
        <v>332</v>
      </c>
      <c r="AB5" s="5">
        <v>875963.82819181995</v>
      </c>
      <c r="AC5" s="5">
        <v>745357.83379634703</v>
      </c>
      <c r="AD5" s="5">
        <v>1464037.7515279399</v>
      </c>
      <c r="AE5" s="5">
        <v>2300008.0810590899</v>
      </c>
      <c r="AF5" s="5">
        <v>2346587.9854468801</v>
      </c>
      <c r="AG5" s="5">
        <v>2484644.04013234</v>
      </c>
      <c r="AH5" s="5">
        <v>2901533.3942297501</v>
      </c>
      <c r="AI5" s="5">
        <v>3931050.2553911302</v>
      </c>
      <c r="AJ5" s="5">
        <v>3368817.7517671199</v>
      </c>
      <c r="AK5" s="5">
        <v>3398740.3326142598</v>
      </c>
      <c r="AL5" s="5">
        <v>3693589.3013769002</v>
      </c>
      <c r="AM5" s="5">
        <v>3607236.6544329398</v>
      </c>
      <c r="AN5" s="5">
        <v>4177172.3526252699</v>
      </c>
      <c r="AO5" s="5">
        <v>5194339.4241110198</v>
      </c>
      <c r="AP5" s="5">
        <v>5295658.2888513803</v>
      </c>
      <c r="AQ5" s="5">
        <v>5484742.1445766902</v>
      </c>
      <c r="AR5" s="5">
        <v>5248631.5275425604</v>
      </c>
      <c r="AS5" s="5">
        <v>5073895.0251082201</v>
      </c>
      <c r="AT5" s="5">
        <v>5320892.5027000597</v>
      </c>
      <c r="AU5" s="5">
        <v>5844493.4146539001</v>
      </c>
      <c r="AV5" s="5">
        <v>6028544.9948720904</v>
      </c>
      <c r="AW5" s="5">
        <v>5683359.4217749899</v>
      </c>
      <c r="AX5" s="5">
        <v>5910447.3691658396</v>
      </c>
      <c r="AY5" s="5">
        <v>6194457.6057322398</v>
      </c>
      <c r="AZ5" s="5">
        <v>7114146.6118910499</v>
      </c>
      <c r="BA5" s="5">
        <v>7609867.44082384</v>
      </c>
      <c r="BB5" s="5">
        <v>8087004.3405182399</v>
      </c>
      <c r="BC5" s="5">
        <v>8121619.2984645301</v>
      </c>
      <c r="BD5" s="5">
        <v>8237795</v>
      </c>
      <c r="BE5" s="5">
        <v>8686623.2354570497</v>
      </c>
      <c r="BF5" s="5">
        <v>9519870.2835719306</v>
      </c>
      <c r="BG5" s="5">
        <v>10154169.304107901</v>
      </c>
      <c r="BH5" s="5">
        <v>9885125.7122339793</v>
      </c>
      <c r="BI5" s="5">
        <v>9505965.0257142708</v>
      </c>
      <c r="BJ5" s="5">
        <v>9098422.5011706091</v>
      </c>
      <c r="BK5" s="5">
        <v>9473661.8246636204</v>
      </c>
      <c r="BL5" s="5">
        <v>9835339.0925946906</v>
      </c>
      <c r="BM5" s="5">
        <v>9830833.4521186706</v>
      </c>
      <c r="BN5" s="5">
        <v>9746390.2509168107</v>
      </c>
      <c r="BO5" s="5">
        <v>9382530.2264018599</v>
      </c>
      <c r="BP5" s="5">
        <v>10153168.242275201</v>
      </c>
      <c r="BQ5" s="5">
        <v>11456399.189373801</v>
      </c>
    </row>
    <row r="6" spans="1:69" x14ac:dyDescent="0.2">
      <c r="A6" s="1" t="s">
        <v>49</v>
      </c>
      <c r="B6" s="1" t="s">
        <v>333</v>
      </c>
      <c r="C6" s="1" t="s">
        <v>334</v>
      </c>
      <c r="D6" s="5">
        <v>5391261.6136568496</v>
      </c>
      <c r="E6" s="5">
        <v>7261908.5239902996</v>
      </c>
      <c r="F6" s="5">
        <v>7464077.4483809303</v>
      </c>
      <c r="G6" s="5">
        <v>7476022.19554176</v>
      </c>
      <c r="H6" s="5">
        <v>7973812.7978704497</v>
      </c>
      <c r="I6" s="5">
        <v>7954214.9738872098</v>
      </c>
      <c r="J6" s="5">
        <v>8148599.7211266104</v>
      </c>
      <c r="K6" s="5">
        <v>8922848.5878666397</v>
      </c>
      <c r="L6" s="5">
        <v>10637656.2335218</v>
      </c>
      <c r="M6" s="5">
        <v>11021058.916255999</v>
      </c>
      <c r="N6" s="5">
        <v>11304837.8609256</v>
      </c>
      <c r="O6" s="5">
        <v>12519423.339589501</v>
      </c>
      <c r="P6" s="5">
        <v>14433721.1172677</v>
      </c>
      <c r="Q6" s="5">
        <v>16402338.0971631</v>
      </c>
      <c r="R6" s="5">
        <v>18205706.616645001</v>
      </c>
      <c r="S6" s="5">
        <v>17443195.0434152</v>
      </c>
      <c r="T6" s="5">
        <v>18351076.0311778</v>
      </c>
      <c r="U6" s="5">
        <v>17296890.8248199</v>
      </c>
      <c r="V6" s="5">
        <v>20261949.627859499</v>
      </c>
      <c r="W6" s="5">
        <v>21840303.596723001</v>
      </c>
      <c r="X6" s="5">
        <v>23168157.036241502</v>
      </c>
      <c r="Y6" s="5">
        <v>7725636.2261223504</v>
      </c>
      <c r="Z6" s="5">
        <v>8201752.0981507702</v>
      </c>
      <c r="AA6" s="5">
        <v>8948070.5194062293</v>
      </c>
      <c r="AB6" s="5">
        <v>29789414.637623198</v>
      </c>
      <c r="AC6" s="5">
        <v>46709090.917904399</v>
      </c>
      <c r="AD6" s="5">
        <v>77765198.793861002</v>
      </c>
      <c r="AE6" s="5">
        <v>102024329.97289</v>
      </c>
      <c r="AF6" s="5">
        <v>105419271.584033</v>
      </c>
      <c r="AG6" s="5">
        <v>99847455.717436403</v>
      </c>
      <c r="AH6" s="5">
        <v>101406063.608808</v>
      </c>
      <c r="AI6" s="5">
        <v>98809705.627342701</v>
      </c>
      <c r="AJ6" s="5">
        <v>94041246.840344101</v>
      </c>
      <c r="AK6" s="5">
        <v>93022852.407193303</v>
      </c>
      <c r="AL6" s="5">
        <v>92233088.832863897</v>
      </c>
      <c r="AM6" s="5">
        <v>95645784.699476495</v>
      </c>
      <c r="AN6" s="5">
        <v>100134982.26326799</v>
      </c>
      <c r="AO6" s="5">
        <v>91115563.288248003</v>
      </c>
      <c r="AP6" s="5">
        <v>94393186.848401502</v>
      </c>
      <c r="AQ6" s="5">
        <v>98690775.050630704</v>
      </c>
      <c r="AR6" s="5">
        <v>97432264.556764096</v>
      </c>
      <c r="AS6" s="5">
        <v>99849597.203555197</v>
      </c>
      <c r="AT6" s="5">
        <v>105023873.14563701</v>
      </c>
      <c r="AU6" s="5">
        <v>106580129.357558</v>
      </c>
      <c r="AV6" s="5">
        <v>111786695.748987</v>
      </c>
      <c r="AW6" s="5">
        <v>111852758.462643</v>
      </c>
      <c r="AX6" s="5">
        <v>120429456.38156</v>
      </c>
      <c r="AY6" s="5">
        <v>127001452.758509</v>
      </c>
      <c r="AZ6" s="5">
        <v>128449366.888253</v>
      </c>
      <c r="BA6" s="5">
        <v>138375057.43393201</v>
      </c>
      <c r="BB6" s="5">
        <v>141563564.162994</v>
      </c>
      <c r="BC6" s="5">
        <v>149561842.88367701</v>
      </c>
      <c r="BD6" s="5">
        <v>154419547</v>
      </c>
      <c r="BE6" s="5">
        <v>153808144.64744601</v>
      </c>
      <c r="BF6" s="5">
        <v>156148361.73994201</v>
      </c>
      <c r="BG6" s="5">
        <v>162966719.21550801</v>
      </c>
      <c r="BH6" s="5">
        <v>165188727.690121</v>
      </c>
      <c r="BI6" s="5">
        <v>168049023.053763</v>
      </c>
      <c r="BJ6" s="5">
        <v>164139890.37041599</v>
      </c>
      <c r="BK6" s="5">
        <v>164437170.97404701</v>
      </c>
      <c r="BL6" s="5">
        <v>167622997.88526899</v>
      </c>
      <c r="BM6" s="5">
        <v>164762782.80977899</v>
      </c>
      <c r="BN6" s="5">
        <v>161121731.887272</v>
      </c>
      <c r="BO6" s="5">
        <v>164600609.83007401</v>
      </c>
      <c r="BP6" s="5">
        <v>173121380.10952601</v>
      </c>
      <c r="BQ6" s="5">
        <v>176215122.90950799</v>
      </c>
    </row>
    <row r="7" spans="1:69" x14ac:dyDescent="0.2">
      <c r="A7" s="1" t="s">
        <v>64</v>
      </c>
      <c r="B7" s="1" t="s">
        <v>335</v>
      </c>
      <c r="C7" s="1" t="s">
        <v>336</v>
      </c>
      <c r="D7" s="5">
        <v>2507398.3525966699</v>
      </c>
      <c r="E7" s="5">
        <v>3090173.8399958699</v>
      </c>
      <c r="F7" s="5">
        <v>3330874.9525348102</v>
      </c>
      <c r="G7" s="5">
        <v>3659434.28790783</v>
      </c>
      <c r="H7" s="5">
        <v>4409291.8313805601</v>
      </c>
      <c r="I7" s="5">
        <v>3506134.2319108099</v>
      </c>
      <c r="J7" s="5">
        <v>4185706.49737558</v>
      </c>
      <c r="K7" s="5">
        <v>3728326.4052588302</v>
      </c>
      <c r="L7" s="5">
        <v>3985004.34754221</v>
      </c>
      <c r="M7" s="5">
        <v>4398583.3353271801</v>
      </c>
      <c r="N7" s="5">
        <v>5203432.4622274796</v>
      </c>
      <c r="O7" s="5">
        <v>5761780.0596974501</v>
      </c>
      <c r="P7" s="5">
        <v>4083223.7371217902</v>
      </c>
      <c r="Q7" s="5">
        <v>7222620.46892126</v>
      </c>
      <c r="R7" s="5">
        <v>8434072.2489355206</v>
      </c>
      <c r="S7" s="5">
        <v>8831997.4903368298</v>
      </c>
      <c r="T7" s="5">
        <v>10580800.594552999</v>
      </c>
      <c r="U7" s="5">
        <v>10398726.0315882</v>
      </c>
      <c r="V7" s="5">
        <v>11407531.9620657</v>
      </c>
      <c r="W7" s="5">
        <v>11791713.209498299</v>
      </c>
      <c r="X7" s="5">
        <v>11249565.020806</v>
      </c>
      <c r="Y7" s="5">
        <v>3918198.70347034</v>
      </c>
      <c r="Z7" s="5">
        <v>4186416.5951799601</v>
      </c>
      <c r="AA7" s="5">
        <v>4280789.5702854199</v>
      </c>
      <c r="AB7" s="5">
        <v>11295614.472258599</v>
      </c>
      <c r="AC7" s="5">
        <v>16331618.313848799</v>
      </c>
      <c r="AD7" s="5">
        <v>27667165.035595201</v>
      </c>
      <c r="AE7" s="5">
        <v>32839079.5684071</v>
      </c>
      <c r="AF7" s="5">
        <v>35633050.655189902</v>
      </c>
      <c r="AG7" s="5">
        <v>33941846.417043597</v>
      </c>
      <c r="AH7" s="5">
        <v>34234105.447563402</v>
      </c>
      <c r="AI7" s="5">
        <v>33695186.971487902</v>
      </c>
      <c r="AJ7" s="5">
        <v>33888589.652605496</v>
      </c>
      <c r="AK7" s="5">
        <v>38711049.435480103</v>
      </c>
      <c r="AL7" s="5">
        <v>38551063.328622602</v>
      </c>
      <c r="AM7" s="5">
        <v>40221693.093524501</v>
      </c>
      <c r="AN7" s="5">
        <v>44033243.998432301</v>
      </c>
      <c r="AO7" s="5">
        <v>47373401.070618801</v>
      </c>
      <c r="AP7" s="5">
        <v>49915141.975159802</v>
      </c>
      <c r="AQ7" s="5">
        <v>50084578.482790403</v>
      </c>
      <c r="AR7" s="5">
        <v>49490907.651717</v>
      </c>
      <c r="AS7" s="5">
        <v>49429156.864897899</v>
      </c>
      <c r="AT7" s="5">
        <v>51034491.880301803</v>
      </c>
      <c r="AU7" s="5">
        <v>51172497.973488897</v>
      </c>
      <c r="AV7" s="5">
        <v>54558495.296768203</v>
      </c>
      <c r="AW7" s="5">
        <v>54428283.489164099</v>
      </c>
      <c r="AX7" s="5">
        <v>57008117.250736304</v>
      </c>
      <c r="AY7" s="5">
        <v>59061045.7642911</v>
      </c>
      <c r="AZ7" s="5">
        <v>62643675.756159998</v>
      </c>
      <c r="BA7" s="5">
        <v>64319744.539604902</v>
      </c>
      <c r="BB7" s="5">
        <v>70295248.5230591</v>
      </c>
      <c r="BC7" s="5">
        <v>72860437.823977694</v>
      </c>
      <c r="BD7" s="5">
        <v>79336299</v>
      </c>
      <c r="BE7" s="5">
        <v>82807416.679493695</v>
      </c>
      <c r="BF7" s="5">
        <v>82938504.838180199</v>
      </c>
      <c r="BG7" s="5">
        <v>86745552.896821603</v>
      </c>
      <c r="BH7" s="5">
        <v>92987902.518280804</v>
      </c>
      <c r="BI7" s="5">
        <v>89584916.494322494</v>
      </c>
      <c r="BJ7" s="5">
        <v>87813047.341637895</v>
      </c>
      <c r="BK7" s="5">
        <v>90515884.069423601</v>
      </c>
      <c r="BL7" s="5">
        <v>91297891.398870006</v>
      </c>
      <c r="BM7" s="5">
        <v>91907924.409854606</v>
      </c>
      <c r="BN7" s="5">
        <v>88082953.969732895</v>
      </c>
      <c r="BO7" s="5">
        <v>90971449.744590893</v>
      </c>
      <c r="BP7" s="5">
        <v>91839451.585857704</v>
      </c>
      <c r="BQ7" s="5">
        <v>94954112.817346096</v>
      </c>
    </row>
    <row r="8" spans="1:69" x14ac:dyDescent="0.2">
      <c r="A8" s="1" t="s">
        <v>79</v>
      </c>
      <c r="B8" s="1" t="s">
        <v>337</v>
      </c>
      <c r="C8" s="1" t="s">
        <v>81</v>
      </c>
      <c r="D8" s="5">
        <v>0</v>
      </c>
      <c r="E8" s="5">
        <v>0</v>
      </c>
      <c r="M8" s="5">
        <v>0</v>
      </c>
      <c r="R8" s="5">
        <v>50403.097437220997</v>
      </c>
      <c r="S8" s="5">
        <v>580915.14365640702</v>
      </c>
      <c r="T8" s="5">
        <v>1053050.1203685701</v>
      </c>
      <c r="U8" s="5">
        <v>551390.48574906599</v>
      </c>
      <c r="V8" s="5">
        <v>725287.69034632703</v>
      </c>
      <c r="W8" s="5">
        <v>572684.53534794005</v>
      </c>
      <c r="X8" s="5">
        <v>545675.82380679995</v>
      </c>
      <c r="Y8" s="5">
        <v>679532.64885454404</v>
      </c>
      <c r="Z8" s="5">
        <v>746405.42057457904</v>
      </c>
      <c r="AA8" s="5">
        <v>864917.605061098</v>
      </c>
      <c r="AB8" s="5">
        <v>9889199.7291440591</v>
      </c>
      <c r="AC8" s="5">
        <v>17358555.773745999</v>
      </c>
      <c r="AD8" s="5">
        <v>35931894.278091602</v>
      </c>
      <c r="AE8" s="5">
        <v>26046897.778197099</v>
      </c>
      <c r="AF8" s="5">
        <v>30056829.4103126</v>
      </c>
      <c r="AG8" s="5">
        <v>29885029.662163399</v>
      </c>
      <c r="AH8" s="5">
        <v>30284005.944445498</v>
      </c>
      <c r="AI8" s="5">
        <v>33681923.441150203</v>
      </c>
      <c r="AJ8" s="5">
        <v>33712955.198293597</v>
      </c>
      <c r="AK8" s="5">
        <v>48960095.043680102</v>
      </c>
      <c r="AL8" s="5">
        <v>42576560.203414902</v>
      </c>
      <c r="AM8" s="5">
        <v>42638011.728601702</v>
      </c>
      <c r="AN8" s="5">
        <v>45330957.737915903</v>
      </c>
      <c r="AO8" s="5">
        <v>107340303.6997</v>
      </c>
      <c r="AP8" s="5">
        <v>112514193.55151699</v>
      </c>
      <c r="AQ8" s="5">
        <v>118339353.057753</v>
      </c>
      <c r="AR8" s="5">
        <v>121761847.084456</v>
      </c>
      <c r="AS8" s="5">
        <v>115908400.125423</v>
      </c>
      <c r="AT8" s="5">
        <v>104914788.46196</v>
      </c>
      <c r="AU8" s="5">
        <v>107471884.414547</v>
      </c>
      <c r="AV8" s="5">
        <v>102400477.35860699</v>
      </c>
      <c r="AW8" s="5">
        <v>97336121.462690204</v>
      </c>
      <c r="AX8" s="5">
        <v>103654667.378721</v>
      </c>
      <c r="AY8" s="5">
        <v>108935954.036644</v>
      </c>
      <c r="AZ8" s="5">
        <v>114053011.946404</v>
      </c>
      <c r="BA8" s="5">
        <v>118218602.41575401</v>
      </c>
      <c r="BB8" s="5">
        <v>128336689.6638</v>
      </c>
      <c r="BC8" s="5">
        <v>134795963.34718001</v>
      </c>
      <c r="BD8" s="5">
        <v>144174102</v>
      </c>
      <c r="BE8" s="5">
        <v>142698451.700468</v>
      </c>
      <c r="BF8" s="5">
        <v>140350548.769499</v>
      </c>
      <c r="BG8" s="5">
        <v>139945049.30199501</v>
      </c>
      <c r="BH8" s="5">
        <v>145641743.32724601</v>
      </c>
      <c r="BI8" s="5">
        <v>147865594.84545401</v>
      </c>
      <c r="BJ8" s="5">
        <v>149422861.05623299</v>
      </c>
      <c r="BK8" s="5">
        <v>149750006.78192401</v>
      </c>
      <c r="BL8" s="5">
        <v>149221954.680417</v>
      </c>
      <c r="BM8" s="5">
        <v>153735093.97347999</v>
      </c>
      <c r="BN8" s="5">
        <v>140291067.78152701</v>
      </c>
      <c r="BO8" s="5">
        <v>133944215.449231</v>
      </c>
      <c r="BP8" s="5">
        <v>141365907.76820299</v>
      </c>
      <c r="BQ8" s="5">
        <v>149508684.20514399</v>
      </c>
    </row>
    <row r="9" spans="1:69" x14ac:dyDescent="0.2">
      <c r="A9" s="1" t="s">
        <v>82</v>
      </c>
      <c r="B9" s="1" t="s">
        <v>338</v>
      </c>
      <c r="C9" s="1" t="s">
        <v>339</v>
      </c>
      <c r="D9" s="5">
        <v>1427725.40756921</v>
      </c>
      <c r="E9" s="5">
        <v>1939084.0845974099</v>
      </c>
      <c r="F9" s="5">
        <v>2037425.70089356</v>
      </c>
      <c r="G9" s="5">
        <v>2783864.1208624002</v>
      </c>
      <c r="H9" s="5">
        <v>2760958.43647194</v>
      </c>
      <c r="I9" s="5">
        <v>3715455.67859205</v>
      </c>
      <c r="J9" s="5">
        <v>2832911.6217979202</v>
      </c>
      <c r="K9" s="5">
        <v>3141848.0943192402</v>
      </c>
      <c r="L9" s="5">
        <v>3282414.04935295</v>
      </c>
      <c r="M9" s="5">
        <v>3473601.6048556999</v>
      </c>
      <c r="N9" s="5">
        <v>3455592.2823113101</v>
      </c>
      <c r="O9" s="5">
        <v>3883866.5587590202</v>
      </c>
      <c r="P9" s="5">
        <v>3855322.8773754602</v>
      </c>
      <c r="Q9" s="5">
        <v>4175140.6065506102</v>
      </c>
      <c r="R9" s="5">
        <v>4495694.8992123296</v>
      </c>
      <c r="S9" s="5">
        <v>4139998.8235953902</v>
      </c>
      <c r="T9" s="5">
        <v>4684208.5965468902</v>
      </c>
      <c r="U9" s="5">
        <v>4818419.5869141296</v>
      </c>
      <c r="V9" s="5">
        <v>6735876.0156959305</v>
      </c>
      <c r="W9" s="5">
        <v>6049661.5596556598</v>
      </c>
      <c r="X9" s="5">
        <v>6541597.2808211204</v>
      </c>
      <c r="Y9" s="5">
        <v>2059335.9871545599</v>
      </c>
      <c r="Z9" s="5">
        <v>2503475.9066323801</v>
      </c>
      <c r="AA9" s="5">
        <v>2351063.8247916601</v>
      </c>
      <c r="AB9" s="5">
        <v>9202603.5553401094</v>
      </c>
      <c r="AC9" s="5">
        <v>13118297.874815701</v>
      </c>
      <c r="AD9" s="5">
        <v>26368421.868917201</v>
      </c>
      <c r="AE9" s="5">
        <v>32732893.268828198</v>
      </c>
      <c r="AF9" s="5">
        <v>36114068.869304202</v>
      </c>
      <c r="AG9" s="5">
        <v>31171834.156119902</v>
      </c>
      <c r="AH9" s="5">
        <v>32159127.137178399</v>
      </c>
      <c r="AI9" s="5">
        <v>37189841.954226904</v>
      </c>
      <c r="AJ9" s="5">
        <v>34702933.945241503</v>
      </c>
      <c r="AK9" s="5">
        <v>35022596.926053897</v>
      </c>
      <c r="AL9" s="5">
        <v>35440845.176056199</v>
      </c>
      <c r="AM9" s="5">
        <v>36381169.168994002</v>
      </c>
      <c r="AN9" s="5">
        <v>42598170.452395</v>
      </c>
      <c r="AO9" s="5">
        <v>48472739.601027198</v>
      </c>
      <c r="AP9" s="5">
        <v>46592408.000184901</v>
      </c>
      <c r="AQ9" s="5">
        <v>47913090.537984699</v>
      </c>
      <c r="AR9" s="5">
        <v>47364814.999714099</v>
      </c>
      <c r="AS9" s="5">
        <v>47305749.804021597</v>
      </c>
      <c r="AT9" s="5">
        <v>52482544.786272198</v>
      </c>
      <c r="AU9" s="5">
        <v>50757223.548655897</v>
      </c>
      <c r="AV9" s="5">
        <v>51386218.092610903</v>
      </c>
      <c r="AW9" s="5">
        <v>52482910.601657502</v>
      </c>
      <c r="AX9" s="5">
        <v>61399641.736985698</v>
      </c>
      <c r="AY9" s="5">
        <v>67635696.313774601</v>
      </c>
      <c r="AZ9" s="5">
        <v>72024733.1553289</v>
      </c>
      <c r="BA9" s="5">
        <v>76773485.128145307</v>
      </c>
      <c r="BB9" s="5">
        <v>83880124.4845431</v>
      </c>
      <c r="BC9" s="5">
        <v>75045605.037501201</v>
      </c>
      <c r="BD9" s="5">
        <v>85310285</v>
      </c>
      <c r="BE9" s="5">
        <v>97837517.852809504</v>
      </c>
      <c r="BF9" s="5">
        <v>99938510.966082394</v>
      </c>
      <c r="BG9" s="5">
        <v>93299242.422226802</v>
      </c>
      <c r="BH9" s="5">
        <v>95001260.039101407</v>
      </c>
      <c r="BI9" s="5">
        <v>82546036.373794496</v>
      </c>
      <c r="BJ9" s="5">
        <v>69315613.386753395</v>
      </c>
      <c r="BK9" s="5">
        <v>69391489.348480806</v>
      </c>
      <c r="BL9" s="5">
        <v>80239481.621808797</v>
      </c>
      <c r="BM9" s="5">
        <v>77170248.073454902</v>
      </c>
      <c r="BN9" s="5">
        <v>73059699.095489398</v>
      </c>
      <c r="BO9" s="5">
        <v>86981138.830257401</v>
      </c>
      <c r="BP9" s="5">
        <v>78488340.269276693</v>
      </c>
      <c r="BQ9" s="5">
        <v>85791680.106699094</v>
      </c>
    </row>
    <row r="10" spans="1:69" x14ac:dyDescent="0.2">
      <c r="A10" s="1" t="s">
        <v>91</v>
      </c>
      <c r="B10" s="1" t="s">
        <v>340</v>
      </c>
      <c r="C10" s="1" t="s">
        <v>341</v>
      </c>
      <c r="D10" s="5">
        <v>1413519.18460832</v>
      </c>
      <c r="E10" s="5">
        <v>1565688.0789312399</v>
      </c>
      <c r="F10" s="5">
        <v>1750532.8217701199</v>
      </c>
      <c r="G10" s="5">
        <v>1917274.1606584601</v>
      </c>
      <c r="H10" s="5">
        <v>2472500.0923629301</v>
      </c>
      <c r="I10" s="5">
        <v>3052604.4307681201</v>
      </c>
      <c r="J10" s="5">
        <v>2530522.1790217399</v>
      </c>
      <c r="K10" s="5">
        <v>3602652.4814860602</v>
      </c>
      <c r="L10" s="5">
        <v>3578819.3314015502</v>
      </c>
      <c r="M10" s="5">
        <v>4300181.0235748999</v>
      </c>
      <c r="N10" s="5">
        <v>4273389.0637399796</v>
      </c>
      <c r="O10" s="5">
        <v>4225305.3771114703</v>
      </c>
      <c r="P10" s="5">
        <v>5064463.5499184998</v>
      </c>
      <c r="Q10" s="5">
        <v>6011084.1321989801</v>
      </c>
      <c r="R10" s="5">
        <v>6056184.0377818896</v>
      </c>
      <c r="S10" s="5">
        <v>7369197.9059997899</v>
      </c>
      <c r="T10" s="5">
        <v>9313308.8566638101</v>
      </c>
      <c r="U10" s="5">
        <v>9420628.0385180097</v>
      </c>
      <c r="V10" s="5">
        <v>10375421.927402601</v>
      </c>
      <c r="W10" s="5">
        <v>10356200.2970377</v>
      </c>
      <c r="X10" s="5">
        <v>10456644.1382822</v>
      </c>
      <c r="Y10" s="5">
        <v>3500875.7293514502</v>
      </c>
      <c r="Z10" s="5">
        <v>3728690.5919082998</v>
      </c>
      <c r="AA10" s="5">
        <v>3593468.6431480399</v>
      </c>
      <c r="AB10" s="5">
        <v>11849321.064036001</v>
      </c>
      <c r="AC10" s="5">
        <v>19279922.6341988</v>
      </c>
      <c r="AD10" s="5">
        <v>30658209.9043082</v>
      </c>
      <c r="AE10" s="5">
        <v>34408603.703462303</v>
      </c>
      <c r="AF10" s="5">
        <v>41374541.144146003</v>
      </c>
      <c r="AG10" s="5">
        <v>37355798.045621298</v>
      </c>
      <c r="AH10" s="5">
        <v>36949499.857009999</v>
      </c>
      <c r="AI10" s="5">
        <v>31800191.5855419</v>
      </c>
      <c r="AJ10" s="5">
        <v>36677377.449851498</v>
      </c>
      <c r="AK10" s="5">
        <v>39836842.9156828</v>
      </c>
      <c r="AL10" s="5">
        <v>36743146.337587498</v>
      </c>
      <c r="AM10" s="5">
        <v>40265749.503689997</v>
      </c>
      <c r="AN10" s="5">
        <v>45546528.279274397</v>
      </c>
      <c r="AO10" s="5">
        <v>49859820.1079612</v>
      </c>
      <c r="AP10" s="5">
        <v>51583453.183929101</v>
      </c>
      <c r="AQ10" s="5">
        <v>53562920.377927102</v>
      </c>
      <c r="AR10" s="5">
        <v>54383821.441135101</v>
      </c>
      <c r="AS10" s="5">
        <v>52904283.094854802</v>
      </c>
      <c r="AT10" s="5">
        <v>59255901.240692697</v>
      </c>
      <c r="AU10" s="5">
        <v>62397448.5355874</v>
      </c>
      <c r="AV10" s="5">
        <v>73385973.412214503</v>
      </c>
      <c r="AW10" s="5">
        <v>75859087.3607658</v>
      </c>
      <c r="AX10" s="5">
        <v>78971749.431618303</v>
      </c>
      <c r="AY10" s="5">
        <v>77481047.765186399</v>
      </c>
      <c r="AZ10" s="5">
        <v>82682888.252226204</v>
      </c>
      <c r="BA10" s="5">
        <v>90382183.378581107</v>
      </c>
      <c r="BB10" s="5">
        <v>95895193.250090301</v>
      </c>
      <c r="BC10" s="5">
        <v>100688138.731113</v>
      </c>
      <c r="BD10" s="5">
        <v>106770109</v>
      </c>
      <c r="BE10" s="5">
        <v>111981441.51925699</v>
      </c>
      <c r="BF10" s="5">
        <v>118675066.02634899</v>
      </c>
      <c r="BG10" s="5">
        <v>120368964.457763</v>
      </c>
      <c r="BH10" s="5">
        <v>121728551.63922399</v>
      </c>
      <c r="BI10" s="5">
        <v>119075759.889722</v>
      </c>
      <c r="BJ10" s="5">
        <v>115305404.030673</v>
      </c>
      <c r="BK10" s="5">
        <v>117456665.64436001</v>
      </c>
      <c r="BL10" s="5">
        <v>114591985.068331</v>
      </c>
      <c r="BM10" s="5">
        <v>117246628.650493</v>
      </c>
      <c r="BN10" s="5">
        <v>118274240.697115</v>
      </c>
      <c r="BO10" s="5">
        <v>125861218.45073301</v>
      </c>
      <c r="BP10" s="5">
        <v>136978862.06257501</v>
      </c>
      <c r="BQ10" s="5">
        <v>137683484.98914599</v>
      </c>
    </row>
    <row r="11" spans="1:69" x14ac:dyDescent="0.2">
      <c r="A11" s="1" t="s">
        <v>102</v>
      </c>
      <c r="B11" s="1" t="s">
        <v>342</v>
      </c>
      <c r="C11" s="1" t="s">
        <v>343</v>
      </c>
      <c r="D11" s="5">
        <v>1470344.0764518699</v>
      </c>
      <c r="E11" s="5">
        <v>1326199.6063315601</v>
      </c>
      <c r="F11" s="5">
        <v>1526853.6278772701</v>
      </c>
      <c r="G11" s="5">
        <v>1391932.0604312001</v>
      </c>
      <c r="H11" s="5">
        <v>1658635.4786268</v>
      </c>
      <c r="I11" s="5">
        <v>1796675.7506806599</v>
      </c>
      <c r="J11" s="5">
        <v>2005319.4626209999</v>
      </c>
      <c r="K11" s="5">
        <v>2220239.3199856002</v>
      </c>
      <c r="L11" s="5">
        <v>2360264.2829795498</v>
      </c>
      <c r="M11" s="5">
        <v>2469898.0249823802</v>
      </c>
      <c r="N11" s="5">
        <v>2541584.1148322201</v>
      </c>
      <c r="O11" s="5">
        <v>2752850.4729665602</v>
      </c>
      <c r="P11" s="5">
        <v>3317223.6251966199</v>
      </c>
      <c r="Q11" s="5">
        <v>4161161.3411268899</v>
      </c>
      <c r="R11" s="5">
        <v>4755776.4223072501</v>
      </c>
      <c r="S11" s="5">
        <v>4995598.5804717699</v>
      </c>
      <c r="T11" s="5">
        <v>5988439.2253893502</v>
      </c>
      <c r="U11" s="5">
        <v>5477348.7611929802</v>
      </c>
      <c r="V11" s="5">
        <v>5595122.8194893599</v>
      </c>
      <c r="W11" s="5">
        <v>5742051.6498426599</v>
      </c>
      <c r="X11" s="5">
        <v>6070800.5068226298</v>
      </c>
      <c r="Y11" s="5">
        <v>2042467.71245858</v>
      </c>
      <c r="Z11" s="5">
        <v>2073769.7584521801</v>
      </c>
      <c r="AA11" s="5">
        <v>2093922.7509832999</v>
      </c>
      <c r="AB11" s="5">
        <v>6445144.7282887399</v>
      </c>
      <c r="AC11" s="5">
        <v>9209310.1242393106</v>
      </c>
      <c r="AD11" s="5">
        <v>15191359.464779099</v>
      </c>
      <c r="AE11" s="5">
        <v>14155251.2825817</v>
      </c>
      <c r="AF11" s="5">
        <v>16484601.280892</v>
      </c>
      <c r="AG11" s="5">
        <v>15182044.9001127</v>
      </c>
      <c r="AH11" s="5">
        <v>16386699.286516801</v>
      </c>
      <c r="AI11" s="5">
        <v>17001626.035959899</v>
      </c>
      <c r="AJ11" s="5">
        <v>16698331.903824</v>
      </c>
      <c r="AK11" s="5">
        <v>17201064.2911098</v>
      </c>
      <c r="AL11" s="5">
        <v>16950696.8444601</v>
      </c>
      <c r="AM11" s="5">
        <v>17191705.3368847</v>
      </c>
      <c r="AN11" s="5">
        <v>19136986.778149702</v>
      </c>
      <c r="AO11" s="5">
        <v>22031808.459968898</v>
      </c>
      <c r="AP11" s="5">
        <v>24688840.067197599</v>
      </c>
      <c r="AQ11" s="5">
        <v>24990046.763879601</v>
      </c>
      <c r="AR11" s="5">
        <v>24154595.6825209</v>
      </c>
      <c r="AS11" s="5">
        <v>24574936.245942101</v>
      </c>
      <c r="AT11" s="5">
        <v>26883784.761666801</v>
      </c>
      <c r="AU11" s="5">
        <v>27991863.521332301</v>
      </c>
      <c r="AV11" s="5">
        <v>30251557.611004598</v>
      </c>
      <c r="AW11" s="5">
        <v>32474555.502083901</v>
      </c>
      <c r="AX11" s="5">
        <v>34193500.5037167</v>
      </c>
      <c r="AY11" s="5">
        <v>36110578.9685473</v>
      </c>
      <c r="AZ11" s="5">
        <v>40025183.623980202</v>
      </c>
      <c r="BA11" s="5">
        <v>38895122.164475799</v>
      </c>
      <c r="BB11" s="5">
        <v>44135434.774923898</v>
      </c>
      <c r="BC11" s="5">
        <v>44447682.414714299</v>
      </c>
      <c r="BD11" s="5">
        <v>46309633</v>
      </c>
      <c r="BE11" s="5">
        <v>48139044.213815197</v>
      </c>
      <c r="BF11" s="5">
        <v>51735227.757541202</v>
      </c>
      <c r="BG11" s="5">
        <v>53855578.103454001</v>
      </c>
      <c r="BH11" s="5">
        <v>56684851.3630758</v>
      </c>
      <c r="BI11" s="5">
        <v>53818215.538922898</v>
      </c>
      <c r="BJ11" s="5">
        <v>54119332.255268797</v>
      </c>
      <c r="BK11" s="5">
        <v>54792845.860215098</v>
      </c>
      <c r="BL11" s="5">
        <v>57494297.932740197</v>
      </c>
      <c r="BM11" s="5">
        <v>54692304.932784498</v>
      </c>
      <c r="BN11" s="5">
        <v>56420932.443389498</v>
      </c>
      <c r="BO11" s="5">
        <v>58340502.666628398</v>
      </c>
      <c r="BP11" s="5">
        <v>60103548.717012301</v>
      </c>
      <c r="BQ11" s="5">
        <v>61013525.8460894</v>
      </c>
    </row>
    <row r="12" spans="1:69" x14ac:dyDescent="0.2">
      <c r="A12" s="1" t="s">
        <v>113</v>
      </c>
      <c r="B12" s="1" t="s">
        <v>344</v>
      </c>
      <c r="C12" s="1" t="s">
        <v>345</v>
      </c>
      <c r="D12" s="5">
        <v>12004258.40195</v>
      </c>
      <c r="E12" s="5">
        <v>19107574.910641201</v>
      </c>
      <c r="F12" s="5">
        <v>21200897.508104801</v>
      </c>
      <c r="G12" s="5">
        <v>21260639.697231401</v>
      </c>
      <c r="H12" s="5">
        <v>22252500.831266399</v>
      </c>
      <c r="I12" s="5">
        <v>23897531.829441801</v>
      </c>
      <c r="J12" s="5">
        <v>24350307.7603979</v>
      </c>
      <c r="K12" s="5">
        <v>27229350.150766701</v>
      </c>
      <c r="L12" s="5">
        <v>28762290.332122799</v>
      </c>
      <c r="M12" s="5">
        <v>29815900.460942701</v>
      </c>
      <c r="N12" s="5">
        <v>31108348.156305999</v>
      </c>
      <c r="O12" s="5">
        <v>33930482.573773898</v>
      </c>
      <c r="P12" s="5">
        <v>35704468.0269254</v>
      </c>
      <c r="Q12" s="5">
        <v>39002150.532174803</v>
      </c>
      <c r="R12" s="5">
        <v>42727678.794166699</v>
      </c>
      <c r="S12" s="5">
        <v>46091986.902695298</v>
      </c>
      <c r="T12" s="5">
        <v>51618141.789398998</v>
      </c>
      <c r="U12" s="5">
        <v>46330957.566482</v>
      </c>
      <c r="V12" s="5">
        <v>53452435.479393497</v>
      </c>
      <c r="W12" s="5">
        <v>54344417.400296599</v>
      </c>
      <c r="X12" s="5">
        <v>59221278.4134942</v>
      </c>
      <c r="Y12" s="5">
        <v>18671796.213203602</v>
      </c>
      <c r="Z12" s="5">
        <v>19489576.187135998</v>
      </c>
      <c r="AA12" s="5">
        <v>21139920.304654598</v>
      </c>
      <c r="AB12" s="5">
        <v>64783671.237953797</v>
      </c>
      <c r="AC12" s="5">
        <v>106668987.76996601</v>
      </c>
      <c r="AD12" s="5">
        <v>169137290.38915399</v>
      </c>
      <c r="AE12" s="5">
        <v>183331011.138037</v>
      </c>
      <c r="AF12" s="5">
        <v>194106266.542445</v>
      </c>
      <c r="AG12" s="5">
        <v>208909037.41224799</v>
      </c>
      <c r="AH12" s="5">
        <v>204957742.10808399</v>
      </c>
      <c r="AI12" s="5">
        <v>209450658.96472901</v>
      </c>
      <c r="AJ12" s="5">
        <v>194503145.02550101</v>
      </c>
      <c r="AK12" s="5">
        <v>201294270.06403399</v>
      </c>
      <c r="AL12" s="5">
        <v>200670653.78454</v>
      </c>
      <c r="AM12" s="5">
        <v>208034635.806348</v>
      </c>
      <c r="AN12" s="5">
        <v>232411358.47218299</v>
      </c>
      <c r="AO12" s="5">
        <v>210073240.75519699</v>
      </c>
      <c r="AP12" s="5">
        <v>215825956.921343</v>
      </c>
      <c r="AQ12" s="5">
        <v>223711134.53431699</v>
      </c>
      <c r="AR12" s="5">
        <v>216103538.95748201</v>
      </c>
      <c r="AS12" s="5">
        <v>214059306.15775999</v>
      </c>
      <c r="AT12" s="5">
        <v>227127323.31853101</v>
      </c>
      <c r="AU12" s="5">
        <v>232190923.93864399</v>
      </c>
      <c r="AV12" s="5">
        <v>235703484.91882101</v>
      </c>
      <c r="AW12" s="5">
        <v>240091306.21077901</v>
      </c>
      <c r="AX12" s="5">
        <v>265595598.575688</v>
      </c>
      <c r="AY12" s="5">
        <v>270948542.57482702</v>
      </c>
      <c r="AZ12" s="5">
        <v>286487822.49739403</v>
      </c>
      <c r="BA12" s="5">
        <v>304210313.62333798</v>
      </c>
      <c r="BB12" s="5">
        <v>324167934.21548498</v>
      </c>
      <c r="BC12" s="5">
        <v>311656215.843005</v>
      </c>
      <c r="BD12" s="5">
        <v>351123418</v>
      </c>
      <c r="BE12" s="5">
        <v>369396129.329014</v>
      </c>
      <c r="BF12" s="5">
        <v>378270155.59353501</v>
      </c>
      <c r="BG12" s="5">
        <v>388239106.95688897</v>
      </c>
      <c r="BH12" s="5">
        <v>381110719.67223102</v>
      </c>
      <c r="BI12" s="5">
        <v>356153235.31071502</v>
      </c>
      <c r="BJ12" s="5">
        <v>345619102.10191798</v>
      </c>
      <c r="BK12" s="5">
        <v>352694706.44937199</v>
      </c>
      <c r="BL12" s="5">
        <v>360073691.82989001</v>
      </c>
      <c r="BM12" s="5">
        <v>366267128.81901199</v>
      </c>
      <c r="BN12" s="5">
        <v>360315041.86550099</v>
      </c>
      <c r="BO12" s="5">
        <v>400321099.01814002</v>
      </c>
      <c r="BP12" s="5">
        <v>389856670.46016997</v>
      </c>
      <c r="BQ12" s="5">
        <v>397405964.976807</v>
      </c>
    </row>
    <row r="13" spans="1:69" x14ac:dyDescent="0.2">
      <c r="A13" s="1" t="s">
        <v>138</v>
      </c>
      <c r="B13" s="1" t="s">
        <v>346</v>
      </c>
      <c r="C13" s="1" t="s">
        <v>347</v>
      </c>
      <c r="AC13" s="5">
        <v>9971231.4654533509</v>
      </c>
      <c r="AD13" s="5">
        <v>19638570.914312899</v>
      </c>
      <c r="AE13" s="5">
        <v>18091562.971765801</v>
      </c>
      <c r="AF13" s="5">
        <v>22197872.596804202</v>
      </c>
      <c r="AG13" s="5">
        <v>21182185.282254301</v>
      </c>
      <c r="AH13" s="5">
        <v>20494770.226284899</v>
      </c>
      <c r="AI13" s="5">
        <v>20458092.760999501</v>
      </c>
      <c r="AJ13" s="5">
        <v>20084238.5883402</v>
      </c>
      <c r="AK13" s="5">
        <v>20904622.463218998</v>
      </c>
      <c r="AL13" s="5">
        <v>19823006.233275302</v>
      </c>
      <c r="AM13" s="5">
        <v>21374610.4256397</v>
      </c>
      <c r="AN13" s="5">
        <v>25731957.588698801</v>
      </c>
      <c r="AO13" s="5">
        <v>22161090.304024801</v>
      </c>
      <c r="AP13" s="5">
        <v>22475626.146481302</v>
      </c>
      <c r="AQ13" s="5">
        <v>23535733.9758716</v>
      </c>
      <c r="AR13" s="5">
        <v>23875873.502881002</v>
      </c>
      <c r="AS13" s="5">
        <v>24250596.606411401</v>
      </c>
      <c r="AT13" s="5">
        <v>25555210.521109</v>
      </c>
      <c r="AU13" s="5">
        <v>27432404.506127998</v>
      </c>
      <c r="AV13" s="5">
        <v>31232626.2300593</v>
      </c>
      <c r="AW13" s="5">
        <v>36377027.011210598</v>
      </c>
      <c r="AX13" s="5">
        <v>36117695.929640703</v>
      </c>
      <c r="AY13" s="5">
        <v>34127058.237850003</v>
      </c>
      <c r="AZ13" s="5">
        <v>35926094.033536799</v>
      </c>
      <c r="BA13" s="5">
        <v>38077371.785245001</v>
      </c>
      <c r="BB13" s="5">
        <v>42142148.544463702</v>
      </c>
      <c r="BC13" s="5">
        <v>42846455.111400403</v>
      </c>
      <c r="BD13" s="5">
        <v>47270656</v>
      </c>
      <c r="BE13" s="5">
        <v>50899075.468616299</v>
      </c>
      <c r="BF13" s="5">
        <v>53037878.931730501</v>
      </c>
      <c r="BG13" s="5">
        <v>55055571.756823301</v>
      </c>
      <c r="BH13" s="5">
        <v>58239958.921959601</v>
      </c>
      <c r="BI13" s="5">
        <v>56977358.611276902</v>
      </c>
      <c r="BJ13" s="5">
        <v>58295005.138912901</v>
      </c>
      <c r="BK13" s="5">
        <v>58986735.796357103</v>
      </c>
      <c r="BL13" s="5">
        <v>62641549.104688801</v>
      </c>
      <c r="BM13" s="5">
        <v>60088107.11112</v>
      </c>
      <c r="BN13" s="5">
        <v>64712232.999713197</v>
      </c>
      <c r="BO13" s="5">
        <v>66380152.217418201</v>
      </c>
      <c r="BP13" s="5">
        <v>71548265.825967506</v>
      </c>
      <c r="BQ13" s="5">
        <v>75395261.518295199</v>
      </c>
    </row>
    <row r="14" spans="1:69" x14ac:dyDescent="0.2">
      <c r="A14" s="1" t="s">
        <v>147</v>
      </c>
      <c r="B14" s="1" t="s">
        <v>348</v>
      </c>
      <c r="C14" s="1" t="s">
        <v>349</v>
      </c>
      <c r="D14" s="5">
        <v>1115188.50242968</v>
      </c>
      <c r="E14" s="5">
        <v>1238644.68086501</v>
      </c>
      <c r="F14" s="5">
        <v>1680025.2497821599</v>
      </c>
      <c r="G14" s="5">
        <v>1641132.8002825901</v>
      </c>
      <c r="H14" s="5">
        <v>1304243.7987214499</v>
      </c>
      <c r="I14" s="5">
        <v>1430363.2189884901</v>
      </c>
      <c r="J14" s="5">
        <v>2100810.8656029501</v>
      </c>
      <c r="K14" s="5">
        <v>2653116.16853625</v>
      </c>
      <c r="L14" s="5">
        <v>3095788.5013964302</v>
      </c>
      <c r="M14" s="5">
        <v>3020950.9707951802</v>
      </c>
      <c r="N14" s="5">
        <v>3094799.5846222001</v>
      </c>
      <c r="O14" s="5">
        <v>3101402.6000346802</v>
      </c>
      <c r="P14" s="5">
        <v>4216165.9053071504</v>
      </c>
      <c r="Q14" s="5">
        <v>3592671.2138956701</v>
      </c>
      <c r="R14" s="5">
        <v>4347076.8860152299</v>
      </c>
      <c r="S14" s="5">
        <v>5657998.3922470296</v>
      </c>
      <c r="T14" s="5">
        <v>6576261.4806423001</v>
      </c>
      <c r="U14" s="5">
        <v>5364095.3093638103</v>
      </c>
      <c r="V14" s="5">
        <v>6192660.2079785196</v>
      </c>
      <c r="W14" s="5">
        <v>6391450.3483367702</v>
      </c>
      <c r="X14" s="5">
        <v>5525667.40008754</v>
      </c>
      <c r="Y14" s="5">
        <v>1711807.5319314201</v>
      </c>
      <c r="Z14" s="5">
        <v>1876875.23354087</v>
      </c>
      <c r="AA14" s="5">
        <v>2161755.56202651</v>
      </c>
      <c r="AB14" s="5">
        <v>8527081.5133717004</v>
      </c>
      <c r="AC14" s="5">
        <v>5399703.4181690896</v>
      </c>
      <c r="AD14" s="5">
        <v>10901571.4293881</v>
      </c>
      <c r="AE14" s="5">
        <v>13100618.418898201</v>
      </c>
      <c r="AF14" s="5">
        <v>16689868.2054291</v>
      </c>
      <c r="AG14" s="5">
        <v>16623607.4201642</v>
      </c>
      <c r="AH14" s="5">
        <v>18261092.156927701</v>
      </c>
      <c r="AI14" s="5">
        <v>18403355.3637872</v>
      </c>
      <c r="AJ14" s="5">
        <v>17470005.1613455</v>
      </c>
      <c r="AK14" s="5">
        <v>19311881.401711799</v>
      </c>
      <c r="AL14" s="5">
        <v>20041143.488515001</v>
      </c>
      <c r="AM14" s="5">
        <v>23474399.1369702</v>
      </c>
      <c r="AN14" s="5">
        <v>25821782.129231501</v>
      </c>
      <c r="AO14" s="5">
        <v>25235177.194758601</v>
      </c>
      <c r="AP14" s="5">
        <v>25169573.513468299</v>
      </c>
      <c r="AQ14" s="5">
        <v>27202901.209584299</v>
      </c>
      <c r="AR14" s="5">
        <v>27209696.478596199</v>
      </c>
      <c r="AS14" s="5">
        <v>29477997.671250399</v>
      </c>
      <c r="AT14" s="5">
        <v>33569499.179251403</v>
      </c>
      <c r="AU14" s="5">
        <v>34020734.953597099</v>
      </c>
      <c r="AV14" s="5">
        <v>36457362.186021797</v>
      </c>
      <c r="AW14" s="5">
        <v>44453714.999872804</v>
      </c>
      <c r="AX14" s="5">
        <v>51596180.854501598</v>
      </c>
      <c r="AY14" s="5">
        <v>49276282.308172598</v>
      </c>
      <c r="AZ14" s="5">
        <v>41358234.536071502</v>
      </c>
      <c r="BA14" s="5">
        <v>48130348.553442404</v>
      </c>
      <c r="BB14" s="5">
        <v>57248521.994213901</v>
      </c>
      <c r="BC14" s="5">
        <v>57131961.794699803</v>
      </c>
      <c r="BD14" s="5">
        <v>56600955</v>
      </c>
      <c r="BE14" s="5">
        <v>63843109.094603501</v>
      </c>
      <c r="BF14" s="5">
        <v>68135480.932046294</v>
      </c>
      <c r="BG14" s="5">
        <v>70974581.994265899</v>
      </c>
      <c r="BH14" s="5">
        <v>74678712.527112499</v>
      </c>
      <c r="BI14" s="5">
        <v>73666632.942180693</v>
      </c>
      <c r="BJ14" s="5">
        <v>78587690.924543396</v>
      </c>
      <c r="BK14" s="5">
        <v>77619318.077447295</v>
      </c>
      <c r="BL14" s="5">
        <v>80487073.788887799</v>
      </c>
      <c r="BM14" s="5">
        <v>79853978.261643499</v>
      </c>
      <c r="BN14" s="5">
        <v>94275679.635983601</v>
      </c>
      <c r="BO14" s="5">
        <v>108945617.73037501</v>
      </c>
      <c r="BP14" s="5">
        <v>109866164.878554</v>
      </c>
      <c r="BQ14" s="5">
        <v>111623195.88004901</v>
      </c>
    </row>
    <row r="15" spans="1:69" x14ac:dyDescent="0.2">
      <c r="A15" s="1" t="s">
        <v>158</v>
      </c>
      <c r="B15" s="1" t="s">
        <v>350</v>
      </c>
      <c r="C15" s="1" t="s">
        <v>351</v>
      </c>
      <c r="D15" s="5">
        <v>1868118.31935672</v>
      </c>
      <c r="E15" s="5">
        <v>2219774.8750637001</v>
      </c>
      <c r="F15" s="5">
        <v>2178440.84486948</v>
      </c>
      <c r="G15" s="5">
        <v>1919519.2123688301</v>
      </c>
      <c r="H15" s="5">
        <v>2101625.0785084902</v>
      </c>
      <c r="I15" s="5">
        <v>2319979.3673837702</v>
      </c>
      <c r="J15" s="5">
        <v>2466861.24370044</v>
      </c>
      <c r="K15" s="5">
        <v>2429695.8596068802</v>
      </c>
      <c r="L15" s="5">
        <v>2667647.5384373502</v>
      </c>
      <c r="M15" s="5">
        <v>2991430.2772694901</v>
      </c>
      <c r="N15" s="5">
        <v>3648015.0544121801</v>
      </c>
      <c r="O15" s="5">
        <v>4886843.0876693204</v>
      </c>
      <c r="P15" s="5">
        <v>4849223.8490469698</v>
      </c>
      <c r="Q15" s="5">
        <v>4706352.69265192</v>
      </c>
      <c r="R15" s="5">
        <v>5907566.0245847898</v>
      </c>
      <c r="S15" s="5">
        <v>6899998.0393256499</v>
      </c>
      <c r="T15" s="5">
        <v>6429305.9168290598</v>
      </c>
      <c r="U15" s="5">
        <v>6527517.1326999096</v>
      </c>
      <c r="V15" s="5">
        <v>6464268.1118372204</v>
      </c>
      <c r="W15" s="5">
        <v>7006670.16796277</v>
      </c>
      <c r="X15" s="5">
        <v>7730978.6046067802</v>
      </c>
      <c r="Y15" s="5">
        <v>2425948.3612826401</v>
      </c>
      <c r="Z15" s="5">
        <v>2723196.13993491</v>
      </c>
      <c r="AA15" s="5">
        <v>2899513.5998642701</v>
      </c>
      <c r="AB15" s="5">
        <v>8593526.3043849804</v>
      </c>
      <c r="AC15" s="5">
        <v>12952662.8006387</v>
      </c>
      <c r="AD15" s="5">
        <v>27903300.156809401</v>
      </c>
      <c r="AE15" s="5">
        <v>29036763.921535201</v>
      </c>
      <c r="AF15" s="5">
        <v>35610494.628421403</v>
      </c>
      <c r="AG15" s="5">
        <v>37398397.1810169</v>
      </c>
      <c r="AH15" s="5">
        <v>35724236.818245798</v>
      </c>
      <c r="AI15" s="5">
        <v>45217549.1857436</v>
      </c>
      <c r="AJ15" s="5">
        <v>43063776.806264997</v>
      </c>
      <c r="AK15" s="5">
        <v>43060825.088959903</v>
      </c>
      <c r="AL15" s="5">
        <v>37157877.469995797</v>
      </c>
      <c r="AM15" s="5">
        <v>52068287.1383797</v>
      </c>
      <c r="AN15" s="5">
        <v>55413066.821163699</v>
      </c>
      <c r="AO15" s="5">
        <v>37919743.133345798</v>
      </c>
      <c r="AP15" s="5">
        <v>38871711.454452902</v>
      </c>
      <c r="AQ15" s="5">
        <v>38667508.8381171</v>
      </c>
      <c r="AR15" s="5">
        <v>38860134.313097902</v>
      </c>
      <c r="AS15" s="5">
        <v>39345570.615956202</v>
      </c>
      <c r="AT15" s="5">
        <v>43004868.808864899</v>
      </c>
      <c r="AU15" s="5">
        <v>46560030.696865298</v>
      </c>
      <c r="AV15" s="5">
        <v>50309369.9902144</v>
      </c>
      <c r="AW15" s="5">
        <v>50403259.575781897</v>
      </c>
      <c r="AX15" s="5">
        <v>57598290.427150398</v>
      </c>
      <c r="AY15" s="5">
        <v>58289234.594505303</v>
      </c>
      <c r="AZ15" s="5">
        <v>61946794.596853398</v>
      </c>
      <c r="BA15" s="5">
        <v>65621013.604576796</v>
      </c>
      <c r="BB15" s="5">
        <v>70925187.563800201</v>
      </c>
      <c r="BC15" s="5">
        <v>66859355.671287999</v>
      </c>
      <c r="BD15" s="5">
        <v>82684518</v>
      </c>
      <c r="BE15" s="5">
        <v>91130002.687432706</v>
      </c>
      <c r="BF15" s="5">
        <v>91582803.512772098</v>
      </c>
      <c r="BG15" s="5">
        <v>96442117.796233401</v>
      </c>
      <c r="BH15" s="5">
        <v>91903861.379113793</v>
      </c>
      <c r="BI15" s="5">
        <v>89769844.444765002</v>
      </c>
      <c r="BJ15" s="5">
        <v>87613211.907316104</v>
      </c>
      <c r="BK15" s="5">
        <v>94989538.739382803</v>
      </c>
      <c r="BL15" s="5">
        <v>94486959.769248098</v>
      </c>
      <c r="BM15" s="5">
        <v>100224518.34639999</v>
      </c>
      <c r="BN15" s="5">
        <v>113952003.961827</v>
      </c>
      <c r="BO15" s="5">
        <v>122722997.921857</v>
      </c>
      <c r="BP15" s="5">
        <v>101531234.901116</v>
      </c>
      <c r="BQ15" s="5">
        <v>104074730.667761</v>
      </c>
    </row>
    <row r="16" spans="1:69" x14ac:dyDescent="0.2">
      <c r="A16" s="1" t="s">
        <v>171</v>
      </c>
      <c r="B16" s="1" t="s">
        <v>352</v>
      </c>
      <c r="C16" s="1" t="s">
        <v>353</v>
      </c>
      <c r="D16" s="5">
        <v>1555581.4142171899</v>
      </c>
      <c r="E16" s="5">
        <v>2248101.468597</v>
      </c>
      <c r="F16" s="5">
        <v>2625799.2326551802</v>
      </c>
      <c r="G16" s="5">
        <v>2783864.1208624002</v>
      </c>
      <c r="H16" s="5">
        <v>3111229.2828900199</v>
      </c>
      <c r="I16" s="5">
        <v>3017717.5229879101</v>
      </c>
      <c r="J16" s="5">
        <v>2928403.02477988</v>
      </c>
      <c r="K16" s="5">
        <v>2527442.24476348</v>
      </c>
      <c r="L16" s="5">
        <v>2953074.8470767299</v>
      </c>
      <c r="M16" s="5">
        <v>3188234.9007740701</v>
      </c>
      <c r="N16" s="5">
        <v>3471627.51331972</v>
      </c>
      <c r="O16" s="5">
        <v>3528201.1229752302</v>
      </c>
      <c r="P16" s="5">
        <v>3450165.7933819802</v>
      </c>
      <c r="Q16" s="5">
        <v>4846145.3468891</v>
      </c>
      <c r="R16" s="5">
        <v>6093338.5410811696</v>
      </c>
      <c r="S16" s="5">
        <v>6209998.2353930799</v>
      </c>
      <c r="T16" s="5">
        <v>7678428.2092415597</v>
      </c>
      <c r="U16" s="5">
        <v>6980530.9400166199</v>
      </c>
      <c r="V16" s="5">
        <v>7224770.2426415998</v>
      </c>
      <c r="W16" s="5">
        <v>7587711.1087206602</v>
      </c>
      <c r="X16" s="5">
        <v>5996464.1740860296</v>
      </c>
      <c r="Y16" s="5">
        <v>2132095.37008176</v>
      </c>
      <c r="Z16" s="5">
        <v>2008038.8327405001</v>
      </c>
      <c r="AA16" s="5">
        <v>1983483.7316026799</v>
      </c>
      <c r="AB16" s="5">
        <v>5570288.3132804697</v>
      </c>
      <c r="AC16" s="5">
        <v>8778658.9313792009</v>
      </c>
      <c r="AD16" s="5">
        <v>11728044.3536378</v>
      </c>
      <c r="AE16" s="5">
        <v>13689374.933405999</v>
      </c>
      <c r="AF16" s="5">
        <v>15663504.6152435</v>
      </c>
      <c r="AG16" s="5">
        <v>15471506.169654399</v>
      </c>
      <c r="AH16" s="5">
        <v>14567493.509472899</v>
      </c>
      <c r="AI16" s="5">
        <v>15236533.781724701</v>
      </c>
      <c r="AJ16" s="5">
        <v>17689244.848294199</v>
      </c>
      <c r="AK16" s="5">
        <v>17880583.4713131</v>
      </c>
      <c r="AL16" s="5">
        <v>15598357.3929046</v>
      </c>
      <c r="AM16" s="5">
        <v>16730671.1108678</v>
      </c>
      <c r="AN16" s="5">
        <v>18965841.026007701</v>
      </c>
      <c r="AO16" s="5">
        <v>17869415.534081601</v>
      </c>
      <c r="AP16" s="5">
        <v>18727332.595499702</v>
      </c>
      <c r="AQ16" s="5">
        <v>19467281.4324512</v>
      </c>
      <c r="AR16" s="5">
        <v>19690502.2097423</v>
      </c>
      <c r="AS16" s="5">
        <v>20019522.580963898</v>
      </c>
      <c r="AT16" s="5">
        <v>21079071.4101509</v>
      </c>
      <c r="AU16" s="5">
        <v>22628834.306101501</v>
      </c>
      <c r="AV16" s="5">
        <v>24216099.441213701</v>
      </c>
      <c r="AW16" s="5">
        <v>24540319.697341099</v>
      </c>
      <c r="AX16" s="5">
        <v>24350893.573983401</v>
      </c>
      <c r="AY16" s="5">
        <v>25254792.769675799</v>
      </c>
      <c r="AZ16" s="5">
        <v>28072277.559238199</v>
      </c>
      <c r="BA16" s="5">
        <v>28996250.792608701</v>
      </c>
      <c r="BB16" s="5">
        <v>31286787.355756</v>
      </c>
      <c r="BC16" s="5">
        <v>32776815.377721</v>
      </c>
      <c r="BD16" s="5">
        <v>33522492</v>
      </c>
      <c r="BE16" s="5">
        <v>34259249.718676098</v>
      </c>
      <c r="BF16" s="5">
        <v>36338906.457531698</v>
      </c>
      <c r="BG16" s="5">
        <v>36896107.059876397</v>
      </c>
      <c r="BH16" s="5">
        <v>39050201.415025003</v>
      </c>
      <c r="BI16" s="5">
        <v>38501663.792656101</v>
      </c>
      <c r="BJ16" s="5">
        <v>37495133.700607397</v>
      </c>
      <c r="BK16" s="5">
        <v>38181725.067303598</v>
      </c>
      <c r="BL16" s="5">
        <v>37697429.715177603</v>
      </c>
      <c r="BM16" s="5">
        <v>38199275.310724497</v>
      </c>
      <c r="BN16" s="5">
        <v>37094013.161687098</v>
      </c>
      <c r="BO16" s="5">
        <v>36162842.203812003</v>
      </c>
      <c r="BP16" s="5">
        <v>37016932.094899498</v>
      </c>
      <c r="BQ16" s="5">
        <v>39644684.891167901</v>
      </c>
    </row>
    <row r="17" spans="1:69" x14ac:dyDescent="0.2">
      <c r="A17" s="1" t="s">
        <v>180</v>
      </c>
      <c r="B17" s="1" t="s">
        <v>354</v>
      </c>
      <c r="C17" s="1" t="s">
        <v>355</v>
      </c>
      <c r="D17" s="5">
        <v>5327333.6103328597</v>
      </c>
      <c r="E17" s="5">
        <v>6772630.9993242901</v>
      </c>
      <c r="F17" s="5">
        <v>7439764.4925230201</v>
      </c>
      <c r="G17" s="5">
        <v>7565824.26395668</v>
      </c>
      <c r="H17" s="5">
        <v>8138646.1373613197</v>
      </c>
      <c r="I17" s="5">
        <v>8669396.5833814498</v>
      </c>
      <c r="J17" s="5">
        <v>8164514.9549569301</v>
      </c>
      <c r="K17" s="5">
        <v>8294478.9690027898</v>
      </c>
      <c r="L17" s="5">
        <v>8990960.2221406903</v>
      </c>
      <c r="M17" s="5">
        <v>9259657.5358901098</v>
      </c>
      <c r="N17" s="5">
        <v>10422900.155463399</v>
      </c>
      <c r="O17" s="5">
        <v>11594693.206551701</v>
      </c>
      <c r="P17" s="5">
        <v>12914382.0522922</v>
      </c>
      <c r="Q17" s="5">
        <v>13746277.6666566</v>
      </c>
      <c r="R17" s="5">
        <v>14936110.326308699</v>
      </c>
      <c r="S17" s="5">
        <v>16394395.341437699</v>
      </c>
      <c r="T17" s="5">
        <v>18149012.1309346</v>
      </c>
      <c r="U17" s="5">
        <v>19459002.177922402</v>
      </c>
      <c r="V17" s="5">
        <v>19555769.077826899</v>
      </c>
      <c r="W17" s="5">
        <v>19823749.743504401</v>
      </c>
      <c r="X17" s="5">
        <v>19872579.618252002</v>
      </c>
      <c r="Y17" s="5">
        <v>6659158.6891556699</v>
      </c>
      <c r="Z17" s="5">
        <v>6633666.7555662803</v>
      </c>
      <c r="AA17" s="5">
        <v>7224512.0403050696</v>
      </c>
      <c r="AB17" s="5">
        <v>22812711.5812282</v>
      </c>
      <c r="AC17" s="5">
        <v>34120825.280455001</v>
      </c>
      <c r="AD17" s="5">
        <v>45426493.943578601</v>
      </c>
      <c r="AE17" s="5">
        <v>49965181.305784501</v>
      </c>
      <c r="AF17" s="5">
        <v>57934820.019129403</v>
      </c>
      <c r="AG17" s="5">
        <v>58696984.186862402</v>
      </c>
      <c r="AH17" s="5">
        <v>55379055.898185402</v>
      </c>
      <c r="AI17" s="5">
        <v>55269134.217695601</v>
      </c>
      <c r="AJ17" s="5">
        <v>55646269.728011698</v>
      </c>
      <c r="AK17" s="5">
        <v>61099349.064474799</v>
      </c>
      <c r="AL17" s="5">
        <v>56067744.193656601</v>
      </c>
      <c r="AM17" s="5">
        <v>56897322.739799097</v>
      </c>
      <c r="AN17" s="5">
        <v>60451052.083731197</v>
      </c>
      <c r="AO17" s="5">
        <v>55894853.792734697</v>
      </c>
      <c r="AP17" s="5">
        <v>58204541.265962198</v>
      </c>
      <c r="AQ17" s="5">
        <v>59409876.736803301</v>
      </c>
      <c r="AR17" s="5">
        <v>59921787.409587599</v>
      </c>
      <c r="AS17" s="5">
        <v>59311317.179796502</v>
      </c>
      <c r="AT17" s="5">
        <v>60858875.7638072</v>
      </c>
      <c r="AU17" s="5">
        <v>63087599.385378599</v>
      </c>
      <c r="AV17" s="5">
        <v>68497294.886984393</v>
      </c>
      <c r="AW17" s="5">
        <v>64632814.238538198</v>
      </c>
      <c r="AX17" s="5">
        <v>69512643.030851394</v>
      </c>
      <c r="AY17" s="5">
        <v>72267053.836190596</v>
      </c>
      <c r="AZ17" s="5">
        <v>74747929.243919298</v>
      </c>
      <c r="BA17" s="5">
        <v>79052867.439065799</v>
      </c>
      <c r="BB17" s="5">
        <v>81928632.201566502</v>
      </c>
      <c r="BC17" s="5">
        <v>86479493.352360398</v>
      </c>
      <c r="BD17" s="5">
        <v>97189760</v>
      </c>
      <c r="BE17" s="5">
        <v>101701431.622613</v>
      </c>
      <c r="BF17" s="5">
        <v>109464876.151483</v>
      </c>
      <c r="BG17" s="5">
        <v>112294051.650583</v>
      </c>
      <c r="BH17" s="5">
        <v>114445677.331082</v>
      </c>
      <c r="BI17" s="5">
        <v>107644441.129397</v>
      </c>
      <c r="BJ17" s="5">
        <v>106161028.013576</v>
      </c>
      <c r="BK17" s="5">
        <v>111130165.391753</v>
      </c>
      <c r="BL17" s="5">
        <v>109128447.461215</v>
      </c>
      <c r="BM17" s="5">
        <v>111167702.62949499</v>
      </c>
      <c r="BN17" s="5">
        <v>102010764.99007601</v>
      </c>
      <c r="BO17" s="5">
        <v>103074873.47926</v>
      </c>
      <c r="BP17" s="5">
        <v>105695875.566221</v>
      </c>
      <c r="BQ17" s="5">
        <v>110587272.38775399</v>
      </c>
    </row>
    <row r="18" spans="1:69" x14ac:dyDescent="0.2">
      <c r="A18" s="1" t="s">
        <v>191</v>
      </c>
      <c r="B18" s="1" t="s">
        <v>356</v>
      </c>
      <c r="C18" s="1" t="s">
        <v>357</v>
      </c>
      <c r="D18" s="5">
        <v>1022848.05318391</v>
      </c>
      <c r="E18" s="5">
        <v>1153664.90026513</v>
      </c>
      <c r="F18" s="5">
        <v>904441.95791456301</v>
      </c>
      <c r="G18" s="5">
        <v>889040.477307669</v>
      </c>
      <c r="H18" s="5">
        <v>902462.53371246997</v>
      </c>
      <c r="I18" s="5">
        <v>917525.67461944604</v>
      </c>
      <c r="J18" s="5">
        <v>1045630.86265238</v>
      </c>
      <c r="K18" s="5">
        <v>948139.93601900595</v>
      </c>
      <c r="L18" s="5">
        <v>957279.28128286696</v>
      </c>
      <c r="M18" s="5">
        <v>1052904.7357494601</v>
      </c>
      <c r="N18" s="5">
        <v>1194624.71012619</v>
      </c>
      <c r="O18" s="5">
        <v>1315962.11240004</v>
      </c>
      <c r="P18" s="5">
        <v>1272446.46691702</v>
      </c>
      <c r="Q18" s="5">
        <v>1649553.31999879</v>
      </c>
      <c r="R18" s="5">
        <v>1761123.45638566</v>
      </c>
      <c r="S18" s="5">
        <v>2144519.39062241</v>
      </c>
      <c r="T18" s="5">
        <v>2700308.4850682002</v>
      </c>
      <c r="U18" s="5">
        <v>2151815.5847543902</v>
      </c>
      <c r="V18" s="5">
        <v>2553114.2962718401</v>
      </c>
      <c r="W18" s="5">
        <v>2594176.90608963</v>
      </c>
      <c r="X18" s="5">
        <v>2676107.9785177298</v>
      </c>
      <c r="Y18" s="5">
        <v>982313.81678363204</v>
      </c>
      <c r="Z18" s="5">
        <v>966287.16587866703</v>
      </c>
      <c r="AA18" s="5">
        <v>940719.98059443804</v>
      </c>
      <c r="AB18" s="5">
        <v>2879274.27724239</v>
      </c>
      <c r="AC18" s="5">
        <v>4538401.0324488701</v>
      </c>
      <c r="AD18" s="5">
        <v>6769206.8081399295</v>
      </c>
      <c r="AE18" s="5">
        <v>7513683.2093612403</v>
      </c>
      <c r="AF18" s="5">
        <v>8747082.6651536897</v>
      </c>
      <c r="AG18" s="5">
        <v>8446572.6483277008</v>
      </c>
      <c r="AH18" s="5">
        <v>7898345.0620540297</v>
      </c>
      <c r="AI18" s="5">
        <v>8179063.4840744203</v>
      </c>
      <c r="AJ18" s="5">
        <v>9373306.6357081793</v>
      </c>
      <c r="AK18" s="5">
        <v>9634427.1185478494</v>
      </c>
      <c r="AL18" s="5">
        <v>8675598.6048271209</v>
      </c>
      <c r="AM18" s="5">
        <v>9896230.5020779297</v>
      </c>
      <c r="AN18" s="5">
        <v>10798241.367513999</v>
      </c>
      <c r="AO18" s="5">
        <v>12358498.672098299</v>
      </c>
      <c r="AP18" s="5">
        <v>12687721.8181327</v>
      </c>
      <c r="AQ18" s="5">
        <v>12786207.2621597</v>
      </c>
      <c r="AR18" s="5">
        <v>12747218.181445399</v>
      </c>
      <c r="AS18" s="5">
        <v>12828662.5418997</v>
      </c>
      <c r="AT18" s="5">
        <v>13686306.246184999</v>
      </c>
      <c r="AU18" s="5">
        <v>13501233.035937101</v>
      </c>
      <c r="AV18" s="5">
        <v>13531195.833400499</v>
      </c>
      <c r="AW18" s="5">
        <v>14011771.047846301</v>
      </c>
      <c r="AX18" s="5">
        <v>14535992.6872444</v>
      </c>
      <c r="AY18" s="5">
        <v>15408194.2018157</v>
      </c>
      <c r="AZ18" s="5">
        <v>17998788.691787899</v>
      </c>
      <c r="BA18" s="5">
        <v>17385344.888641398</v>
      </c>
      <c r="BB18" s="5">
        <v>18853049.582937401</v>
      </c>
      <c r="BC18" s="5">
        <v>20542372.501924299</v>
      </c>
      <c r="BD18" s="5">
        <v>22269149</v>
      </c>
      <c r="BE18" s="5">
        <v>23949131.417434301</v>
      </c>
      <c r="BF18" s="5">
        <v>24492882.893031701</v>
      </c>
      <c r="BG18" s="5">
        <v>24888098.7343743</v>
      </c>
      <c r="BH18" s="5">
        <v>27827881.1217793</v>
      </c>
      <c r="BI18" s="5">
        <v>26848544.7846529</v>
      </c>
      <c r="BJ18" s="5">
        <v>26274246.583954599</v>
      </c>
      <c r="BK18" s="5">
        <v>27760001.798674501</v>
      </c>
      <c r="BL18" s="5">
        <v>29501799.1727328</v>
      </c>
      <c r="BM18" s="5">
        <v>29655893.019078501</v>
      </c>
      <c r="BN18" s="5">
        <v>29758393.808352198</v>
      </c>
      <c r="BO18" s="5">
        <v>29888156.930202801</v>
      </c>
      <c r="BP18" s="5">
        <v>31315822.853868902</v>
      </c>
      <c r="BQ18" s="5">
        <v>33083934.097536899</v>
      </c>
    </row>
    <row r="19" spans="1:69" x14ac:dyDescent="0.2">
      <c r="A19" s="1" t="s">
        <v>200</v>
      </c>
      <c r="B19" s="1" t="s">
        <v>358</v>
      </c>
      <c r="C19" s="1" t="s">
        <v>359</v>
      </c>
      <c r="D19" s="5">
        <v>3473421.5139370202</v>
      </c>
      <c r="E19" s="5">
        <v>6412110.7179914396</v>
      </c>
      <c r="F19" s="5">
        <v>7585642.2276705299</v>
      </c>
      <c r="G19" s="5">
        <v>8486295.4652095698</v>
      </c>
      <c r="H19" s="5">
        <v>10322687.8856152</v>
      </c>
      <c r="I19" s="5">
        <v>10570733.0574027</v>
      </c>
      <c r="J19" s="5">
        <v>12429797.621484101</v>
      </c>
      <c r="K19" s="5">
        <v>13363327.227837799</v>
      </c>
      <c r="L19" s="5">
        <v>12295330.2183121</v>
      </c>
      <c r="M19" s="5">
        <v>16531588.3743841</v>
      </c>
      <c r="N19" s="5">
        <v>13549770.2021024</v>
      </c>
      <c r="O19" s="5">
        <v>16360610.046054499</v>
      </c>
      <c r="P19" s="5">
        <v>20827606.3490398</v>
      </c>
      <c r="Q19" s="5">
        <v>25302470.416930601</v>
      </c>
      <c r="R19" s="5">
        <v>27568641.448062401</v>
      </c>
      <c r="S19" s="5">
        <v>28427991.922021698</v>
      </c>
      <c r="T19" s="5">
        <v>32330224.038911801</v>
      </c>
      <c r="U19" s="5">
        <v>27798574.539889202</v>
      </c>
      <c r="V19" s="5">
        <v>29279332.035968602</v>
      </c>
      <c r="W19" s="5">
        <v>34520667.656792201</v>
      </c>
      <c r="X19" s="5">
        <v>34442500.834626399</v>
      </c>
      <c r="Y19" s="5">
        <v>11895469.838916101</v>
      </c>
      <c r="Z19" s="5">
        <v>11926605.045997599</v>
      </c>
      <c r="AA19" s="5">
        <v>14611302.307646601</v>
      </c>
      <c r="AB19" s="5">
        <v>42524666.248503</v>
      </c>
      <c r="AC19" s="5">
        <v>82817537.088483006</v>
      </c>
      <c r="AD19" s="5">
        <v>103379168.950499</v>
      </c>
      <c r="AE19" s="5">
        <v>112866544.64827199</v>
      </c>
      <c r="AF19" s="5">
        <v>122104360.15194</v>
      </c>
      <c r="AG19" s="5">
        <v>126644245.410594</v>
      </c>
      <c r="AH19" s="5">
        <v>125171740.140048</v>
      </c>
      <c r="AI19" s="5">
        <v>137156968.396391</v>
      </c>
      <c r="AJ19" s="5">
        <v>132783742.828896</v>
      </c>
      <c r="AK19" s="5">
        <v>124203888.739087</v>
      </c>
      <c r="AL19" s="5">
        <v>123257461.980964</v>
      </c>
      <c r="AM19" s="5">
        <v>130600517.962469</v>
      </c>
      <c r="AN19" s="5">
        <v>142478826.803844</v>
      </c>
      <c r="AO19" s="5">
        <v>138579326.42860699</v>
      </c>
      <c r="AP19" s="5">
        <v>140289178.291289</v>
      </c>
      <c r="AQ19" s="5">
        <v>143233032.37474999</v>
      </c>
      <c r="AR19" s="5">
        <v>147033001.49906501</v>
      </c>
      <c r="AS19" s="5">
        <v>151119806.13378301</v>
      </c>
      <c r="AT19" s="5">
        <v>156059280.10628501</v>
      </c>
      <c r="AU19" s="5">
        <v>159389544.78384399</v>
      </c>
      <c r="AV19" s="5">
        <v>167625427.83185101</v>
      </c>
      <c r="AW19" s="5">
        <v>183228189.518471</v>
      </c>
      <c r="AX19" s="5">
        <v>190772123.25752801</v>
      </c>
      <c r="AY19" s="5">
        <v>183348423.59344801</v>
      </c>
      <c r="AZ19" s="5">
        <v>185435196.51546201</v>
      </c>
      <c r="BA19" s="5">
        <v>209099867.153193</v>
      </c>
      <c r="BB19" s="5">
        <v>216048481.39199501</v>
      </c>
      <c r="BC19" s="5">
        <v>213242264.22312301</v>
      </c>
      <c r="BD19" s="5">
        <v>225205255</v>
      </c>
      <c r="BE19" s="5">
        <v>237375933.09980801</v>
      </c>
      <c r="BF19" s="5">
        <v>244281692.443717</v>
      </c>
      <c r="BG19" s="5">
        <v>265305581.65198299</v>
      </c>
      <c r="BH19" s="5">
        <v>256774855.40427801</v>
      </c>
      <c r="BI19" s="5">
        <v>258518119.62466699</v>
      </c>
      <c r="BJ19" s="5">
        <v>254904519.517259</v>
      </c>
      <c r="BK19" s="5">
        <v>257922232.85372999</v>
      </c>
      <c r="BL19" s="5">
        <v>257682944.26005</v>
      </c>
      <c r="BM19" s="5">
        <v>262042853.022571</v>
      </c>
      <c r="BN19" s="5">
        <v>257487269.12392101</v>
      </c>
      <c r="BO19" s="5">
        <v>256725236.45715001</v>
      </c>
      <c r="BP19" s="5">
        <v>264257234.01145801</v>
      </c>
      <c r="BQ19" s="5">
        <v>274314233.61756301</v>
      </c>
    </row>
    <row r="20" spans="1:69" x14ac:dyDescent="0.2">
      <c r="A20" s="1" t="s">
        <v>221</v>
      </c>
      <c r="B20" s="1" t="s">
        <v>360</v>
      </c>
      <c r="C20" s="1" t="s">
        <v>361</v>
      </c>
      <c r="D20" s="5">
        <v>25145014.640771098</v>
      </c>
      <c r="E20" s="5">
        <v>31416767.373291399</v>
      </c>
      <c r="F20" s="5">
        <v>34281267.759664901</v>
      </c>
      <c r="G20" s="5">
        <v>38165879.076339297</v>
      </c>
      <c r="H20" s="5">
        <v>39972084.8265341</v>
      </c>
      <c r="I20" s="5">
        <v>41340985.719545402</v>
      </c>
      <c r="J20" s="5">
        <v>43926045.371698096</v>
      </c>
      <c r="K20" s="5">
        <v>45102974.865116201</v>
      </c>
      <c r="L20" s="5">
        <v>48412862.734603703</v>
      </c>
      <c r="M20" s="5">
        <v>52350029.852216199</v>
      </c>
      <c r="N20" s="5">
        <v>56363836.994544201</v>
      </c>
      <c r="O20" s="5">
        <v>58115732.2070719</v>
      </c>
      <c r="P20" s="5">
        <v>65204968.205200702</v>
      </c>
      <c r="Q20" s="5">
        <v>68032425.062096998</v>
      </c>
      <c r="R20" s="5">
        <v>73194371.499572605</v>
      </c>
      <c r="S20" s="5">
        <v>80315977.177750498</v>
      </c>
      <c r="T20" s="5">
        <v>79172310.004380703</v>
      </c>
      <c r="U20" s="5">
        <v>87411073.275429398</v>
      </c>
      <c r="V20" s="5">
        <v>87457745.042503595</v>
      </c>
      <c r="W20" s="5">
        <v>86130774.747639894</v>
      </c>
      <c r="X20" s="5">
        <v>91681477.041811198</v>
      </c>
      <c r="Y20" s="5">
        <v>30761391.513285499</v>
      </c>
      <c r="Z20" s="5">
        <v>31782815.210682999</v>
      </c>
      <c r="AA20" s="5">
        <v>34737421.706761397</v>
      </c>
      <c r="AB20" s="5">
        <v>130674755.659462</v>
      </c>
      <c r="AC20" s="5">
        <v>193461766.63869601</v>
      </c>
      <c r="AD20" s="5">
        <v>246536873.30366799</v>
      </c>
      <c r="AE20" s="5">
        <v>242112923.50501999</v>
      </c>
      <c r="AF20" s="5">
        <v>237651645.02082801</v>
      </c>
      <c r="AG20" s="5">
        <v>236369290.967291</v>
      </c>
      <c r="AH20" s="5">
        <v>233287695.72232699</v>
      </c>
      <c r="AI20" s="5">
        <v>225693803.81399199</v>
      </c>
      <c r="AJ20" s="5">
        <v>227218429.21001101</v>
      </c>
      <c r="AK20" s="5">
        <v>259563655.06566399</v>
      </c>
      <c r="AL20" s="5">
        <v>253874438.67239201</v>
      </c>
      <c r="AM20" s="5">
        <v>259710166.49784699</v>
      </c>
      <c r="AN20" s="5">
        <v>264917072.13068599</v>
      </c>
      <c r="AO20" s="5">
        <v>272185237.83016503</v>
      </c>
      <c r="AP20" s="5">
        <v>275587261.01638198</v>
      </c>
      <c r="AQ20" s="5">
        <v>282130664.26457101</v>
      </c>
      <c r="AR20" s="5">
        <v>294004883.111413</v>
      </c>
      <c r="AS20" s="5">
        <v>303290537.20987302</v>
      </c>
      <c r="AT20" s="5">
        <v>315489603.96609598</v>
      </c>
      <c r="AU20" s="5">
        <v>317261082.32860398</v>
      </c>
      <c r="AV20" s="5">
        <v>350143884.26449502</v>
      </c>
      <c r="AW20" s="5">
        <v>337420052.88272899</v>
      </c>
      <c r="AX20" s="5">
        <v>372741605.97509199</v>
      </c>
      <c r="AY20" s="5">
        <v>388130919.632976</v>
      </c>
      <c r="AZ20" s="5">
        <v>403797245.77799201</v>
      </c>
      <c r="BA20" s="5">
        <v>409695072.647852</v>
      </c>
      <c r="BB20" s="5">
        <v>440146349.081186</v>
      </c>
      <c r="BC20" s="5">
        <v>424640930.52818203</v>
      </c>
      <c r="BD20" s="5">
        <v>449858101</v>
      </c>
      <c r="BE20" s="5">
        <v>473388634.85608298</v>
      </c>
      <c r="BF20" s="5">
        <v>491680466.51301199</v>
      </c>
      <c r="BG20" s="5">
        <v>499794011.28188401</v>
      </c>
      <c r="BH20" s="5">
        <v>495040177.171561</v>
      </c>
      <c r="BI20" s="5">
        <v>452032276.12301099</v>
      </c>
      <c r="BJ20" s="5">
        <v>406260347.04367203</v>
      </c>
      <c r="BK20" s="5">
        <v>410967755.276631</v>
      </c>
      <c r="BL20" s="5">
        <v>444390834.28553498</v>
      </c>
      <c r="BM20" s="5">
        <v>438217409.40656197</v>
      </c>
      <c r="BN20" s="5">
        <v>397802497.185184</v>
      </c>
      <c r="BO20" s="5">
        <v>443129821.52003801</v>
      </c>
      <c r="BP20" s="5">
        <v>495962497.69485402</v>
      </c>
      <c r="BQ20" s="5">
        <v>479544107.90620798</v>
      </c>
    </row>
    <row r="21" spans="1:69" x14ac:dyDescent="0.2">
      <c r="A21" s="1" t="s">
        <v>234</v>
      </c>
      <c r="B21" s="1" t="s">
        <v>362</v>
      </c>
      <c r="C21" s="1" t="s">
        <v>363</v>
      </c>
      <c r="D21" s="5">
        <v>1001538.71874258</v>
      </c>
      <c r="E21" s="5">
        <v>1542511.7751312701</v>
      </c>
      <c r="F21" s="5">
        <v>1621674.1557231499</v>
      </c>
      <c r="G21" s="5">
        <v>1762365.5926427301</v>
      </c>
      <c r="H21" s="5">
        <v>1901764.65437582</v>
      </c>
      <c r="I21" s="5">
        <v>2093214.4668124199</v>
      </c>
      <c r="J21" s="5">
        <v>1973488.99496035</v>
      </c>
      <c r="K21" s="5">
        <v>1577905.9318136601</v>
      </c>
      <c r="L21" s="5">
        <v>1745497.7720639401</v>
      </c>
      <c r="M21" s="5">
        <v>1977886.46622095</v>
      </c>
      <c r="N21" s="5">
        <v>2325108.4962187498</v>
      </c>
      <c r="O21" s="5">
        <v>2304712.02387898</v>
      </c>
      <c r="P21" s="5">
        <v>2051107.7377169901</v>
      </c>
      <c r="Q21" s="5">
        <v>3322405.41570378</v>
      </c>
      <c r="R21" s="5">
        <v>3826913.8398253699</v>
      </c>
      <c r="S21" s="5">
        <v>3946798.8784942701</v>
      </c>
      <c r="T21" s="5">
        <v>4610730.8146402696</v>
      </c>
      <c r="U21" s="5">
        <v>4694870.3667368405</v>
      </c>
      <c r="V21" s="5">
        <v>4644495.1559838904</v>
      </c>
      <c r="W21" s="5">
        <v>4819221.9204036603</v>
      </c>
      <c r="X21" s="5">
        <v>4955755.5157735804</v>
      </c>
      <c r="Y21" s="5">
        <v>1783957.6833230499</v>
      </c>
      <c r="Z21" s="5">
        <v>1666668.1066733501</v>
      </c>
      <c r="AA21" s="5">
        <v>1642940.48344326</v>
      </c>
      <c r="AB21" s="5">
        <v>4197095.96567256</v>
      </c>
      <c r="AC21" s="5">
        <v>7387324.3082926804</v>
      </c>
      <c r="AD21" s="5">
        <v>11373841.6718165</v>
      </c>
      <c r="AE21" s="5">
        <v>14883309.144324001</v>
      </c>
      <c r="AF21" s="5">
        <v>15013863.3642573</v>
      </c>
      <c r="AG21" s="5">
        <v>15271015.103477299</v>
      </c>
      <c r="AH21" s="5">
        <v>14447516.413139701</v>
      </c>
      <c r="AI21" s="5">
        <v>16494652.498716701</v>
      </c>
      <c r="AJ21" s="5">
        <v>15030624.593062099</v>
      </c>
      <c r="AK21" s="5">
        <v>16596889.5973529</v>
      </c>
      <c r="AL21" s="5">
        <v>15088639.231358901</v>
      </c>
      <c r="AM21" s="5">
        <v>17130652.7595581</v>
      </c>
      <c r="AN21" s="5">
        <v>17477645.6053431</v>
      </c>
      <c r="AO21" s="5">
        <v>17044637.9976363</v>
      </c>
      <c r="AP21" s="5">
        <v>18277228.723159999</v>
      </c>
      <c r="AQ21" s="5">
        <v>19186800.597553302</v>
      </c>
      <c r="AR21" s="5">
        <v>18849839.067565199</v>
      </c>
      <c r="AS21" s="5">
        <v>19351367.7030879</v>
      </c>
      <c r="AT21" s="5">
        <v>20587521.0016331</v>
      </c>
      <c r="AU21" s="5">
        <v>21575150.493843999</v>
      </c>
      <c r="AV21" s="5">
        <v>25773476.841950499</v>
      </c>
      <c r="AW21" s="5">
        <v>24752656.7237413</v>
      </c>
      <c r="AX21" s="5">
        <v>26660476.3646423</v>
      </c>
      <c r="AY21" s="5">
        <v>28720959.4692869</v>
      </c>
      <c r="AZ21" s="5">
        <v>30836808.758251298</v>
      </c>
      <c r="BA21" s="5">
        <v>33310219.7302645</v>
      </c>
      <c r="BB21" s="5">
        <v>33624650.255463801</v>
      </c>
      <c r="BC21" s="5">
        <v>33547323.663138799</v>
      </c>
      <c r="BD21" s="5">
        <v>36184502</v>
      </c>
      <c r="BE21" s="5">
        <v>37844772.684257202</v>
      </c>
      <c r="BF21" s="5">
        <v>39694855.759151898</v>
      </c>
      <c r="BG21" s="5">
        <v>40986227.012307003</v>
      </c>
      <c r="BH21" s="5">
        <v>39851396.742018297</v>
      </c>
      <c r="BI21" s="5">
        <v>39262191.441578999</v>
      </c>
      <c r="BJ21" s="5">
        <v>37858387.115217596</v>
      </c>
      <c r="BK21" s="5">
        <v>39350010.9888594</v>
      </c>
      <c r="BL21" s="5">
        <v>39217638.172160901</v>
      </c>
      <c r="BM21" s="5">
        <v>40081933.529513396</v>
      </c>
      <c r="BN21" s="5">
        <v>37772162.762191303</v>
      </c>
      <c r="BO21" s="5">
        <v>37428047.098353103</v>
      </c>
      <c r="BP21" s="5">
        <v>40338413.361914203</v>
      </c>
      <c r="BQ21" s="5">
        <v>41597866.248847902</v>
      </c>
    </row>
    <row r="22" spans="1:69" x14ac:dyDescent="0.2">
      <c r="A22" s="1" t="s">
        <v>243</v>
      </c>
      <c r="B22" s="1" t="s">
        <v>364</v>
      </c>
      <c r="C22" s="1" t="s">
        <v>365</v>
      </c>
      <c r="AB22" s="5">
        <v>812841.27672919806</v>
      </c>
      <c r="AC22" s="5">
        <v>1477464.8616585401</v>
      </c>
      <c r="AD22" s="5">
        <v>4840769.9848907599</v>
      </c>
      <c r="AE22" s="5">
        <v>9057871.8066242207</v>
      </c>
      <c r="AF22" s="5">
        <v>11095004.764912101</v>
      </c>
      <c r="AG22" s="5">
        <v>10659756.8449324</v>
      </c>
      <c r="AH22" s="5">
        <v>10081844.1203699</v>
      </c>
      <c r="AI22" s="5">
        <v>11649084.475528499</v>
      </c>
      <c r="AJ22" s="5">
        <v>10250398.2904702</v>
      </c>
      <c r="AK22" s="5">
        <v>8910151.5881797895</v>
      </c>
      <c r="AL22" s="5">
        <v>8366131.4263616698</v>
      </c>
      <c r="AM22" s="5">
        <v>9727616.7177222501</v>
      </c>
      <c r="AN22" s="5">
        <v>10190950.959129199</v>
      </c>
      <c r="AO22" s="5">
        <v>10814145.2430284</v>
      </c>
      <c r="AP22" s="5">
        <v>11191622.564521199</v>
      </c>
      <c r="AQ22" s="5">
        <v>12126169.946277199</v>
      </c>
      <c r="AR22" s="5">
        <v>12356580.929199699</v>
      </c>
      <c r="AS22" s="5">
        <v>12872719.8566896</v>
      </c>
      <c r="AT22" s="5">
        <v>13423114.632347699</v>
      </c>
      <c r="AU22" s="5">
        <v>13660067.556005299</v>
      </c>
      <c r="AV22" s="5">
        <v>14186598.6311775</v>
      </c>
      <c r="AW22" s="5">
        <v>15693717.8754286</v>
      </c>
      <c r="AX22" s="5">
        <v>17005692.2685109</v>
      </c>
      <c r="AY22" s="5">
        <v>17997344.599100001</v>
      </c>
      <c r="AZ22" s="5">
        <v>17586872.319907799</v>
      </c>
      <c r="BA22" s="5">
        <v>18274213.2413917</v>
      </c>
      <c r="BB22" s="5">
        <v>20112222.566085</v>
      </c>
      <c r="BC22" s="5">
        <v>21386514.329106301</v>
      </c>
      <c r="BD22" s="5">
        <v>23907887</v>
      </c>
      <c r="BE22" s="5">
        <v>25457046.140606102</v>
      </c>
      <c r="BF22" s="5">
        <v>25754432.474225901</v>
      </c>
      <c r="BG22" s="5">
        <v>24759074.173393101</v>
      </c>
      <c r="BH22" s="5">
        <v>25103985.496185899</v>
      </c>
      <c r="BI22" s="5">
        <v>25074844.368526399</v>
      </c>
      <c r="BJ22" s="5">
        <v>25033024.597095899</v>
      </c>
      <c r="BK22" s="5">
        <v>26628323.885554101</v>
      </c>
      <c r="BL22" s="5">
        <v>26301801.6763555</v>
      </c>
      <c r="BM22" s="5">
        <v>26459167.3379144</v>
      </c>
      <c r="BN22" s="5">
        <v>27229321.288106199</v>
      </c>
      <c r="BO22" s="5">
        <v>27153569.175067902</v>
      </c>
      <c r="BP22" s="5">
        <v>28719281.213151399</v>
      </c>
      <c r="BQ22" s="5">
        <v>31260126.9058883</v>
      </c>
    </row>
    <row r="23" spans="1:69" x14ac:dyDescent="0.2">
      <c r="A23" s="1" t="s">
        <v>248</v>
      </c>
      <c r="B23" s="1" t="s">
        <v>366</v>
      </c>
      <c r="C23" s="1" t="s">
        <v>367</v>
      </c>
      <c r="AB23" s="5">
        <v>258027.27176825999</v>
      </c>
      <c r="AC23" s="5">
        <v>407462.28247533599</v>
      </c>
      <c r="AD23" s="5">
        <v>743825.63182467804</v>
      </c>
      <c r="AE23" s="5">
        <v>1293287.3739982699</v>
      </c>
      <c r="AF23" s="5">
        <v>1696203.2352906901</v>
      </c>
      <c r="AG23" s="5">
        <v>1799853.0187333301</v>
      </c>
      <c r="AH23" s="5">
        <v>1873372.2228430801</v>
      </c>
      <c r="AI23" s="5">
        <v>2302175.40473992</v>
      </c>
      <c r="AJ23" s="5">
        <v>2346674.5130767999</v>
      </c>
      <c r="AK23" s="5">
        <v>1983169.88725483</v>
      </c>
      <c r="AL23" s="5">
        <v>1790526.4991287901</v>
      </c>
      <c r="AM23" s="5">
        <v>1501153.08053726</v>
      </c>
      <c r="AN23" s="5">
        <v>1594799.97123714</v>
      </c>
      <c r="AO23" s="5">
        <v>3462416.1816338398</v>
      </c>
      <c r="AP23" s="5">
        <v>3456583.2726161801</v>
      </c>
      <c r="AQ23" s="5">
        <v>3469374.1566537698</v>
      </c>
      <c r="AR23" s="5">
        <v>3468570.10774867</v>
      </c>
      <c r="AS23" s="5">
        <v>3741926.4188496098</v>
      </c>
      <c r="AT23" s="5">
        <v>4010712.9279620298</v>
      </c>
      <c r="AU23" s="5">
        <v>4240899.2306156103</v>
      </c>
      <c r="AV23" s="5">
        <v>4544254.6140517602</v>
      </c>
      <c r="AW23" s="5">
        <v>4319441.0785781303</v>
      </c>
      <c r="AX23" s="5">
        <v>4362062.9596899301</v>
      </c>
      <c r="AY23" s="5">
        <v>4593516.8160656998</v>
      </c>
      <c r="AZ23" s="5">
        <v>5122536.0394041603</v>
      </c>
      <c r="BA23" s="5">
        <v>5319991.4634421701</v>
      </c>
      <c r="BB23" s="5">
        <v>5633644.9373857798</v>
      </c>
      <c r="BC23" s="5">
        <v>6149744.6445823098</v>
      </c>
      <c r="BD23" s="5">
        <v>6639150</v>
      </c>
      <c r="BE23" s="5">
        <v>6742811.9682772197</v>
      </c>
      <c r="BF23" s="5">
        <v>6595367.5433080001</v>
      </c>
      <c r="BG23" s="5">
        <v>7168607.9494863404</v>
      </c>
      <c r="BH23" s="5">
        <v>7188046.97910468</v>
      </c>
      <c r="BI23" s="5">
        <v>7024503.1752603399</v>
      </c>
      <c r="BJ23" s="5">
        <v>6986622.5169073297</v>
      </c>
      <c r="BK23" s="5">
        <v>7407092.1718409797</v>
      </c>
      <c r="BL23" s="5">
        <v>7829517.4119569901</v>
      </c>
      <c r="BM23" s="5">
        <v>8030360.9526911303</v>
      </c>
      <c r="BN23" s="5">
        <v>8456217.1703625396</v>
      </c>
      <c r="BO23" s="5">
        <v>8496891.6619036701</v>
      </c>
      <c r="BP23" s="5">
        <v>9070124.1204912905</v>
      </c>
      <c r="BQ23" s="5">
        <v>10272611.0964255</v>
      </c>
    </row>
    <row r="24" spans="1:69" x14ac:dyDescent="0.2">
      <c r="A24" s="1" t="s">
        <v>253</v>
      </c>
      <c r="B24" s="1" t="s">
        <v>368</v>
      </c>
      <c r="C24" s="1" t="s">
        <v>369</v>
      </c>
      <c r="D24" s="5">
        <v>12217351.7463634</v>
      </c>
      <c r="E24" s="5">
        <v>16583932.941311199</v>
      </c>
      <c r="F24" s="5">
        <v>16775939.5419637</v>
      </c>
      <c r="G24" s="5">
        <v>18297171.439539202</v>
      </c>
      <c r="H24" s="5">
        <v>18935229.874012802</v>
      </c>
      <c r="I24" s="5">
        <v>19536668.356915999</v>
      </c>
      <c r="J24" s="5">
        <v>21167260.994332802</v>
      </c>
      <c r="K24" s="5">
        <v>24157320.902987901</v>
      </c>
      <c r="L24" s="5">
        <v>25249338.841176499</v>
      </c>
      <c r="M24" s="5">
        <v>27946256.537649199</v>
      </c>
      <c r="N24" s="5">
        <v>30226410.450843699</v>
      </c>
      <c r="O24" s="5">
        <v>31014026.000346798</v>
      </c>
      <c r="P24" s="5">
        <v>33108930.4575922</v>
      </c>
      <c r="Q24" s="5">
        <v>35087956.213533603</v>
      </c>
      <c r="R24" s="5">
        <v>37897593.365260899</v>
      </c>
      <c r="S24" s="5">
        <v>40571988.471234798</v>
      </c>
      <c r="T24" s="5">
        <v>45005141.417803399</v>
      </c>
      <c r="U24" s="5">
        <v>45198423.048190199</v>
      </c>
      <c r="V24" s="5">
        <v>47096810.5290998</v>
      </c>
      <c r="W24" s="5">
        <v>47508641.626674399</v>
      </c>
      <c r="X24" s="5">
        <v>50300918.485101797</v>
      </c>
      <c r="Y24" s="5">
        <v>15785846.3411784</v>
      </c>
      <c r="Z24" s="5">
        <v>16646468.533349</v>
      </c>
      <c r="AA24" s="5">
        <v>18495883.833072599</v>
      </c>
      <c r="AB24" s="5">
        <v>67330721.560129806</v>
      </c>
      <c r="AC24" s="5">
        <v>107662798.215028</v>
      </c>
      <c r="AD24" s="5">
        <v>142195847.292757</v>
      </c>
      <c r="AE24" s="5">
        <v>150196033.50091299</v>
      </c>
      <c r="AF24" s="5">
        <v>166902235.40097401</v>
      </c>
      <c r="AG24" s="5">
        <v>168750838.518731</v>
      </c>
      <c r="AH24" s="5">
        <v>171545792.57068899</v>
      </c>
      <c r="AI24" s="5">
        <v>179044781.70329601</v>
      </c>
      <c r="AJ24" s="5">
        <v>170215470.61245701</v>
      </c>
      <c r="AK24" s="5">
        <v>163673864.460706</v>
      </c>
      <c r="AL24" s="5">
        <v>180321833.77222899</v>
      </c>
      <c r="AM24" s="5">
        <v>197328127.90441501</v>
      </c>
      <c r="AN24" s="5">
        <v>208190528.02749199</v>
      </c>
      <c r="AO24" s="5">
        <v>171973297.75257799</v>
      </c>
      <c r="AP24" s="5">
        <v>171164631.04776299</v>
      </c>
      <c r="AQ24" s="5">
        <v>175592028.198522</v>
      </c>
      <c r="AR24" s="5">
        <v>174256668.612694</v>
      </c>
      <c r="AS24" s="5">
        <v>176454007.983327</v>
      </c>
      <c r="AT24" s="5">
        <v>184692708.89600399</v>
      </c>
      <c r="AU24" s="5">
        <v>192548352.335502</v>
      </c>
      <c r="AV24" s="5">
        <v>187784572.65133801</v>
      </c>
      <c r="AW24" s="5">
        <v>198690414.89387801</v>
      </c>
      <c r="AX24" s="5">
        <v>202733945.002213</v>
      </c>
      <c r="AY24" s="5">
        <v>196147926.36343399</v>
      </c>
      <c r="AZ24" s="5">
        <v>198872223.39900899</v>
      </c>
      <c r="BA24" s="5">
        <v>212644831.70969799</v>
      </c>
      <c r="BB24" s="5">
        <v>221337839.378755</v>
      </c>
      <c r="BC24" s="5">
        <v>221557605.668659</v>
      </c>
      <c r="BD24" s="5">
        <v>241249164</v>
      </c>
      <c r="BE24" s="5">
        <v>244700757.802082</v>
      </c>
      <c r="BF24" s="5">
        <v>245963847.21471301</v>
      </c>
      <c r="BG24" s="5">
        <v>264360112.77228901</v>
      </c>
      <c r="BH24" s="5">
        <v>263954132.10212699</v>
      </c>
      <c r="BI24" s="5">
        <v>261967502.25160301</v>
      </c>
      <c r="BJ24" s="5">
        <v>259329579.577804</v>
      </c>
      <c r="BK24" s="5">
        <v>259006660.276465</v>
      </c>
      <c r="BL24" s="5">
        <v>267793135.38229999</v>
      </c>
      <c r="BM24" s="5">
        <v>271081720.71805602</v>
      </c>
      <c r="BN24" s="5">
        <v>248522087.636747</v>
      </c>
      <c r="BO24" s="5">
        <v>271340907.13167602</v>
      </c>
      <c r="BP24" s="5">
        <v>255237909.375855</v>
      </c>
      <c r="BQ24" s="5">
        <v>265804913.03559801</v>
      </c>
    </row>
    <row r="25" spans="1:69" x14ac:dyDescent="0.2">
      <c r="A25" s="1" t="s">
        <v>268</v>
      </c>
      <c r="B25" s="1" t="s">
        <v>370</v>
      </c>
      <c r="C25" s="1" t="s">
        <v>371</v>
      </c>
      <c r="D25" s="5">
        <v>2692079.2510882001</v>
      </c>
      <c r="E25" s="5">
        <v>4944278.1439934</v>
      </c>
      <c r="F25" s="5">
        <v>5008468.9067311799</v>
      </c>
      <c r="G25" s="5">
        <v>5118717.8996502198</v>
      </c>
      <c r="H25" s="5">
        <v>5109833.5242167199</v>
      </c>
      <c r="I25" s="5">
        <v>5233036.16703106</v>
      </c>
      <c r="J25" s="5">
        <v>5665823.2435958497</v>
      </c>
      <c r="K25" s="5">
        <v>6479188.95895168</v>
      </c>
      <c r="L25" s="5">
        <v>6202554.9762020595</v>
      </c>
      <c r="M25" s="5">
        <v>7685220.5478535397</v>
      </c>
      <c r="N25" s="5">
        <v>8001580.2731941799</v>
      </c>
      <c r="O25" s="5">
        <v>8109171.93587049</v>
      </c>
      <c r="P25" s="5">
        <v>9305951.7729752492</v>
      </c>
      <c r="Q25" s="5">
        <v>10018473.553664999</v>
      </c>
      <c r="R25" s="5">
        <v>11146350.9897826</v>
      </c>
      <c r="S25" s="5">
        <v>11785196.651168199</v>
      </c>
      <c r="T25" s="5">
        <v>11536011.759338999</v>
      </c>
      <c r="U25" s="5">
        <v>11428302.866398901</v>
      </c>
      <c r="V25" s="5">
        <v>12005069.3505548</v>
      </c>
      <c r="W25" s="5">
        <v>11723355.451762101</v>
      </c>
      <c r="X25" s="5">
        <v>14446027.32848</v>
      </c>
      <c r="Y25" s="5">
        <v>4744563.3715254301</v>
      </c>
      <c r="Z25" s="5">
        <v>5142083.6038031597</v>
      </c>
      <c r="AA25" s="5">
        <v>5813593.3260389697</v>
      </c>
      <c r="AB25" s="5">
        <v>20930109.169185098</v>
      </c>
      <c r="AC25" s="5">
        <v>35777176.022224598</v>
      </c>
      <c r="AD25" s="5">
        <v>58865730.808948502</v>
      </c>
      <c r="AE25" s="5">
        <v>63021448.498348102</v>
      </c>
      <c r="AF25" s="5">
        <v>72087188.3201949</v>
      </c>
      <c r="AG25" s="5">
        <v>72654517.452447906</v>
      </c>
      <c r="AH25" s="5">
        <v>74538527.935611904</v>
      </c>
      <c r="AI25" s="5">
        <v>91694252.549159706</v>
      </c>
      <c r="AJ25" s="5">
        <v>78136205.928029194</v>
      </c>
      <c r="AK25" s="5">
        <v>73858473.051559895</v>
      </c>
      <c r="AL25" s="5">
        <v>81309925.641235501</v>
      </c>
      <c r="AM25" s="5">
        <v>78437511.529900804</v>
      </c>
      <c r="AN25" s="5">
        <v>85472936.486788496</v>
      </c>
      <c r="AO25" s="5">
        <v>83543746.576214597</v>
      </c>
      <c r="AP25" s="5">
        <v>87003052.774950102</v>
      </c>
      <c r="AQ25" s="5">
        <v>89683950.444989502</v>
      </c>
      <c r="AR25" s="5">
        <v>87083054.693200797</v>
      </c>
      <c r="AS25" s="5">
        <v>88568725.472677603</v>
      </c>
      <c r="AT25" s="5">
        <v>97774525.310112804</v>
      </c>
      <c r="AU25" s="5">
        <v>101683316.113484</v>
      </c>
      <c r="AV25" s="5">
        <v>103501746.693095</v>
      </c>
      <c r="AW25" s="5">
        <v>106731280.167895</v>
      </c>
      <c r="AX25" s="5">
        <v>113764863.471873</v>
      </c>
      <c r="AY25" s="5">
        <v>117302656.90854201</v>
      </c>
      <c r="AZ25" s="5">
        <v>122677629.95428801</v>
      </c>
      <c r="BA25" s="5">
        <v>131285490.30242001</v>
      </c>
      <c r="BB25" s="5">
        <v>141342264.51295099</v>
      </c>
      <c r="BC25" s="5">
        <v>139972941.389846</v>
      </c>
      <c r="BD25" s="5">
        <v>153726007</v>
      </c>
      <c r="BE25" s="5">
        <v>160700317.86265799</v>
      </c>
      <c r="BF25" s="5">
        <v>164035743.494831</v>
      </c>
      <c r="BG25" s="5">
        <v>170658206.00044301</v>
      </c>
      <c r="BH25" s="5">
        <v>178926846.94303</v>
      </c>
      <c r="BI25" s="5">
        <v>170816846.990352</v>
      </c>
      <c r="BJ25" s="5">
        <v>162881081.352965</v>
      </c>
      <c r="BK25" s="5">
        <v>169666714.16613099</v>
      </c>
      <c r="BL25" s="5">
        <v>174642953.59668699</v>
      </c>
      <c r="BM25" s="5">
        <v>181631977.62456</v>
      </c>
      <c r="BN25" s="5">
        <v>184316931.852512</v>
      </c>
      <c r="BO25" s="5">
        <v>200055185.20998999</v>
      </c>
      <c r="BP25" s="5">
        <v>200478571.45865899</v>
      </c>
      <c r="BQ25" s="5">
        <v>209907553.561777</v>
      </c>
    </row>
    <row r="26" spans="1:69" x14ac:dyDescent="0.2">
      <c r="A26" s="1" t="s">
        <v>281</v>
      </c>
      <c r="B26" s="1" t="s">
        <v>372</v>
      </c>
      <c r="C26" s="1" t="s">
        <v>373</v>
      </c>
      <c r="D26" s="5">
        <v>738723.59396615601</v>
      </c>
      <c r="E26" s="5">
        <v>955378.74553205795</v>
      </c>
      <c r="F26" s="5">
        <v>1021144.14603257</v>
      </c>
      <c r="G26" s="5">
        <v>1100075.3380827201</v>
      </c>
      <c r="H26" s="5">
        <v>1019906.28809971</v>
      </c>
      <c r="I26" s="5">
        <v>1294304.2786456801</v>
      </c>
      <c r="J26" s="5">
        <v>1335288.1183643001</v>
      </c>
      <c r="K26" s="5">
        <v>1337729.09971459</v>
      </c>
      <c r="L26" s="5">
        <v>1251488.96864962</v>
      </c>
      <c r="M26" s="5">
        <v>1259549.5904292599</v>
      </c>
      <c r="N26" s="5">
        <v>1467223.6372690699</v>
      </c>
      <c r="O26" s="5">
        <v>1586267.8435957199</v>
      </c>
      <c r="P26" s="5">
        <v>1823206.8779706601</v>
      </c>
      <c r="Q26" s="5">
        <v>2040972.7518629101</v>
      </c>
      <c r="R26" s="5">
        <v>2102944.88673899</v>
      </c>
      <c r="S26" s="5">
        <v>2409479.3153325198</v>
      </c>
      <c r="T26" s="5">
        <v>2939111.2762647099</v>
      </c>
      <c r="U26" s="5">
        <v>2728378.6122483802</v>
      </c>
      <c r="V26" s="5">
        <v>2618300.1931979302</v>
      </c>
      <c r="W26" s="5">
        <v>2744563.9731093198</v>
      </c>
      <c r="X26" s="5">
        <v>3023010.86462188</v>
      </c>
      <c r="Y26" s="5">
        <v>1012870.81158754</v>
      </c>
      <c r="Z26" s="5">
        <v>965185.81256746501</v>
      </c>
      <c r="AA26" s="5">
        <v>972209.90206193598</v>
      </c>
      <c r="AB26" s="5">
        <v>3377610.2098420402</v>
      </c>
      <c r="AC26" s="5">
        <v>5035306.2549797697</v>
      </c>
      <c r="AD26" s="5">
        <v>7005341.9293541098</v>
      </c>
      <c r="AE26" s="5">
        <v>17529878.349571299</v>
      </c>
      <c r="AF26" s="5">
        <v>17398331.184041701</v>
      </c>
      <c r="AG26" s="5">
        <v>14172549.189019101</v>
      </c>
      <c r="AH26" s="5">
        <v>13258296.3046968</v>
      </c>
      <c r="AI26" s="5">
        <v>11868543.937065801</v>
      </c>
      <c r="AJ26" s="5">
        <v>12031587.831127699</v>
      </c>
      <c r="AK26" s="5">
        <v>13513877.222882099</v>
      </c>
      <c r="AL26" s="5">
        <v>13308664.057755001</v>
      </c>
      <c r="AM26" s="5">
        <v>14482067.853323501</v>
      </c>
      <c r="AN26" s="5">
        <v>13657046.237977499</v>
      </c>
      <c r="AO26" s="5">
        <v>13216639.159972301</v>
      </c>
      <c r="AP26" s="5">
        <v>13739310.0823966</v>
      </c>
      <c r="AQ26" s="5">
        <v>14650059.486083601</v>
      </c>
      <c r="AR26" s="5">
        <v>14413276.4368586</v>
      </c>
      <c r="AS26" s="5">
        <v>14166712.681044901</v>
      </c>
      <c r="AT26" s="5">
        <v>14763285.443948699</v>
      </c>
      <c r="AU26" s="5">
        <v>16726560.8316049</v>
      </c>
      <c r="AV26" s="5">
        <v>19629111.945429798</v>
      </c>
      <c r="AW26" s="5">
        <v>19564382.373331301</v>
      </c>
      <c r="AX26" s="5">
        <v>20608786.743835401</v>
      </c>
      <c r="AY26" s="5">
        <v>20756675.3274104</v>
      </c>
      <c r="AZ26" s="5">
        <v>22120202.1786827</v>
      </c>
      <c r="BA26" s="5">
        <v>23058537.901190098</v>
      </c>
      <c r="BB26" s="5">
        <v>24920895.4709397</v>
      </c>
      <c r="BC26" s="5">
        <v>23535717.521303698</v>
      </c>
      <c r="BD26" s="5">
        <v>26404893</v>
      </c>
      <c r="BE26" s="5">
        <v>26872830.7890088</v>
      </c>
      <c r="BF26" s="5">
        <v>28098259.859223001</v>
      </c>
      <c r="BG26" s="5">
        <v>28112036.505668301</v>
      </c>
      <c r="BH26" s="5">
        <v>27642675.413680699</v>
      </c>
      <c r="BI26" s="5">
        <v>26441763.094749</v>
      </c>
      <c r="BJ26" s="5">
        <v>24663228.7791926</v>
      </c>
      <c r="BK26" s="5">
        <v>24912100.675416</v>
      </c>
      <c r="BL26" s="5">
        <v>24605894.474608202</v>
      </c>
      <c r="BM26" s="5">
        <v>25109640.315617301</v>
      </c>
      <c r="BN26" s="5">
        <v>23963261.817487001</v>
      </c>
      <c r="BO26" s="5">
        <v>24208693.664401699</v>
      </c>
      <c r="BP26" s="5">
        <v>24667689.896576598</v>
      </c>
      <c r="BQ26" s="5">
        <v>24865702.1182358</v>
      </c>
    </row>
    <row r="27" spans="1:69" x14ac:dyDescent="0.2">
      <c r="A27" s="1" t="s">
        <v>288</v>
      </c>
      <c r="B27" s="1" t="s">
        <v>374</v>
      </c>
      <c r="C27" s="1" t="s">
        <v>375</v>
      </c>
      <c r="D27" s="5">
        <v>37362366.387134403</v>
      </c>
      <c r="E27" s="5">
        <v>54335556.686594099</v>
      </c>
      <c r="F27" s="5">
        <v>61511778.320533402</v>
      </c>
      <c r="G27" s="5">
        <v>67800561.653261602</v>
      </c>
      <c r="H27" s="5">
        <v>73350836.073433593</v>
      </c>
      <c r="I27" s="5">
        <v>77448935.272059694</v>
      </c>
      <c r="J27" s="5">
        <v>86419719.698667005</v>
      </c>
      <c r="K27" s="5">
        <v>87273558.175534397</v>
      </c>
      <c r="L27" s="5">
        <v>97813743.076036096</v>
      </c>
      <c r="M27" s="5">
        <v>104306450.457423</v>
      </c>
      <c r="N27" s="5">
        <v>103427240.00421301</v>
      </c>
      <c r="O27" s="5">
        <v>112390277.707679</v>
      </c>
      <c r="P27" s="5">
        <v>126611588.747963</v>
      </c>
      <c r="Q27" s="5">
        <v>137462776.66656601</v>
      </c>
      <c r="R27" s="5">
        <v>149361103.263087</v>
      </c>
      <c r="S27" s="5">
        <v>164771953.17909601</v>
      </c>
      <c r="T27" s="5">
        <v>172305398.57101899</v>
      </c>
      <c r="U27" s="5">
        <v>179146369.25706401</v>
      </c>
      <c r="V27" s="5">
        <v>177088353.31587699</v>
      </c>
      <c r="W27" s="5">
        <v>181148058.00098899</v>
      </c>
      <c r="X27" s="5">
        <v>200460310.61304101</v>
      </c>
      <c r="Y27" s="5">
        <v>62610216.747311197</v>
      </c>
      <c r="Z27" s="5">
        <v>68484980.800340801</v>
      </c>
      <c r="AA27" s="5">
        <v>76393480.213568404</v>
      </c>
      <c r="AB27" s="5">
        <v>308968278.21178001</v>
      </c>
      <c r="AC27" s="5">
        <v>506787011.05629599</v>
      </c>
      <c r="AD27" s="5">
        <v>674650241.62351894</v>
      </c>
      <c r="AE27" s="5">
        <v>688859165.192451</v>
      </c>
      <c r="AF27" s="5">
        <v>732278835.75715697</v>
      </c>
      <c r="AG27" s="5">
        <v>800546795.36177599</v>
      </c>
      <c r="AH27" s="5">
        <v>808851869.114766</v>
      </c>
      <c r="AI27" s="5">
        <v>826298034.829615</v>
      </c>
      <c r="AJ27" s="5">
        <v>774687680.38636994</v>
      </c>
      <c r="AK27" s="5">
        <v>745306586.52378798</v>
      </c>
      <c r="AL27" s="5">
        <v>746226438.27688706</v>
      </c>
      <c r="AM27" s="5">
        <v>769544185.14489198</v>
      </c>
      <c r="AN27" s="5">
        <v>797555851.54724395</v>
      </c>
      <c r="AO27" s="5">
        <v>907796523.05580401</v>
      </c>
      <c r="AP27" s="5">
        <v>896243327.33243001</v>
      </c>
      <c r="AQ27" s="5">
        <v>931818267.287678</v>
      </c>
      <c r="AR27" s="5">
        <v>909185615.34202802</v>
      </c>
      <c r="AS27" s="5">
        <v>913668968.34587002</v>
      </c>
      <c r="AT27" s="5">
        <v>957523390.17141604</v>
      </c>
      <c r="AU27" s="5">
        <v>966761972.02533996</v>
      </c>
      <c r="AV27" s="5">
        <v>985737842.74609196</v>
      </c>
      <c r="AW27" s="5">
        <v>984838500.38278103</v>
      </c>
      <c r="AX27" s="5">
        <v>1009025308.9003</v>
      </c>
      <c r="AY27" s="5">
        <v>1068813237.905</v>
      </c>
      <c r="AZ27" s="5">
        <v>1110778268.7781899</v>
      </c>
      <c r="BA27" s="5">
        <v>1184227764.3487201</v>
      </c>
      <c r="BB27" s="5">
        <v>1212990401.2395201</v>
      </c>
      <c r="BC27" s="5">
        <v>1222032752.32794</v>
      </c>
      <c r="BD27" s="5">
        <v>1294695988</v>
      </c>
      <c r="BE27" s="5">
        <v>1326339901.1849201</v>
      </c>
      <c r="BF27" s="5">
        <v>1333390725.2004399</v>
      </c>
      <c r="BG27" s="5">
        <v>1364581845.6750801</v>
      </c>
      <c r="BH27" s="5">
        <v>1370754649.8008699</v>
      </c>
      <c r="BI27" s="5">
        <v>1330369373.27985</v>
      </c>
      <c r="BJ27" s="5">
        <v>1293355280.7037799</v>
      </c>
      <c r="BK27" s="5">
        <v>1297732717.48616</v>
      </c>
      <c r="BL27" s="5">
        <v>1294513747.49963</v>
      </c>
      <c r="BM27" s="5">
        <v>1319458596.5448799</v>
      </c>
      <c r="BN27" s="5">
        <v>1254710763.06969</v>
      </c>
      <c r="BO27" s="5">
        <v>1269569050.53035</v>
      </c>
      <c r="BP27" s="5">
        <v>1345913753.2076199</v>
      </c>
      <c r="BQ27" s="5">
        <v>1408458089.9441099</v>
      </c>
    </row>
    <row r="28" spans="1:69" x14ac:dyDescent="0.2">
      <c r="A28" s="1" t="s">
        <v>319</v>
      </c>
      <c r="B28" s="1" t="s">
        <v>376</v>
      </c>
      <c r="C28" s="1" t="s">
        <v>377</v>
      </c>
      <c r="AD28" s="5">
        <v>1286722.96448548</v>
      </c>
      <c r="AI28" s="5">
        <v>3200829.1386692398</v>
      </c>
      <c r="AJ28" s="5">
        <v>3309159.7432096698</v>
      </c>
      <c r="AK28" s="5">
        <v>3840800.6315322402</v>
      </c>
      <c r="AL28" s="5">
        <v>3508742.9744371301</v>
      </c>
      <c r="AM28" s="5">
        <v>3901000.3428508402</v>
      </c>
      <c r="AN28" s="5">
        <v>4433488.96638967</v>
      </c>
      <c r="AO28" s="5">
        <v>6345103.1247955402</v>
      </c>
      <c r="AP28" s="5">
        <v>6303181.0240165303</v>
      </c>
      <c r="AQ28" s="5">
        <v>6667979.5645833099</v>
      </c>
      <c r="AR28" s="5">
        <v>7174282.5100153899</v>
      </c>
      <c r="AS28" s="5">
        <v>7189433.0856022201</v>
      </c>
      <c r="AT28" s="5">
        <v>8288746.1806271505</v>
      </c>
      <c r="AU28" s="5">
        <v>10102491.6584477</v>
      </c>
      <c r="AV28" s="5">
        <v>10111516.635151399</v>
      </c>
      <c r="AW28" s="5">
        <v>11010299.4864402</v>
      </c>
      <c r="AX28" s="5">
        <v>11206011.894480599</v>
      </c>
      <c r="AY28" s="5">
        <v>11086448.0815724</v>
      </c>
      <c r="AZ28" s="5">
        <v>11660552.0689374</v>
      </c>
      <c r="BA28" s="5">
        <v>12900772.551721901</v>
      </c>
      <c r="BB28" s="5">
        <v>14097769.842227301</v>
      </c>
      <c r="BC28" s="5">
        <v>14842942.508452799</v>
      </c>
      <c r="BD28" s="5">
        <v>16404816</v>
      </c>
      <c r="BE28" s="5">
        <v>16936785.850151099</v>
      </c>
      <c r="BF28" s="5">
        <v>17690721.917610001</v>
      </c>
      <c r="BG28" s="5">
        <v>18931761.5810927</v>
      </c>
      <c r="BH28" s="5">
        <v>19319348.020780802</v>
      </c>
      <c r="BI28" s="5">
        <v>19840164.581308302</v>
      </c>
      <c r="BJ28" s="5">
        <v>20036905.285700701</v>
      </c>
      <c r="BK28" s="5">
        <v>20871387.947725002</v>
      </c>
      <c r="BL28" s="5">
        <v>20886256.6530759</v>
      </c>
      <c r="BM28" s="5">
        <v>22112887.7859843</v>
      </c>
      <c r="BN28" s="5">
        <v>23034564.158252299</v>
      </c>
      <c r="BO28" s="5">
        <v>24171054.7357095</v>
      </c>
      <c r="BP28" s="5">
        <v>25027373.4295181</v>
      </c>
      <c r="BQ28" s="5">
        <v>26297147.7169258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C5C8-D9C8-4501-B486-17B342C622C2}">
  <sheetPr>
    <tabColor theme="6"/>
  </sheetPr>
  <dimension ref="A1:BM28"/>
  <sheetViews>
    <sheetView topLeftCell="AN1" zoomScaleNormal="100" workbookViewId="0">
      <selection activeCell="D1" sqref="D1:AI1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65" width="10" style="3" customWidth="1"/>
    <col min="66" max="256" width="10.28515625" style="1"/>
    <col min="257" max="257" width="4" style="1" customWidth="1"/>
    <col min="258" max="258" width="10" style="1" customWidth="1"/>
    <col min="259" max="259" width="30" style="1" customWidth="1"/>
    <col min="260" max="321" width="10" style="1" customWidth="1"/>
    <col min="322" max="512" width="10.28515625" style="1"/>
    <col min="513" max="513" width="4" style="1" customWidth="1"/>
    <col min="514" max="514" width="10" style="1" customWidth="1"/>
    <col min="515" max="515" width="30" style="1" customWidth="1"/>
    <col min="516" max="577" width="10" style="1" customWidth="1"/>
    <col min="578" max="768" width="10.28515625" style="1"/>
    <col min="769" max="769" width="4" style="1" customWidth="1"/>
    <col min="770" max="770" width="10" style="1" customWidth="1"/>
    <col min="771" max="771" width="30" style="1" customWidth="1"/>
    <col min="772" max="833" width="10" style="1" customWidth="1"/>
    <col min="834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89" width="10" style="1" customWidth="1"/>
    <col min="1090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345" width="10" style="1" customWidth="1"/>
    <col min="1346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601" width="10" style="1" customWidth="1"/>
    <col min="1602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57" width="10" style="1" customWidth="1"/>
    <col min="1858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113" width="10" style="1" customWidth="1"/>
    <col min="2114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69" width="10" style="1" customWidth="1"/>
    <col min="2370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625" width="10" style="1" customWidth="1"/>
    <col min="2626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81" width="10" style="1" customWidth="1"/>
    <col min="2882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137" width="10" style="1" customWidth="1"/>
    <col min="3138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93" width="10" style="1" customWidth="1"/>
    <col min="3394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649" width="10" style="1" customWidth="1"/>
    <col min="3650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905" width="10" style="1" customWidth="1"/>
    <col min="3906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61" width="10" style="1" customWidth="1"/>
    <col min="4162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417" width="10" style="1" customWidth="1"/>
    <col min="4418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73" width="10" style="1" customWidth="1"/>
    <col min="4674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929" width="10" style="1" customWidth="1"/>
    <col min="4930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85" width="10" style="1" customWidth="1"/>
    <col min="5186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441" width="10" style="1" customWidth="1"/>
    <col min="5442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97" width="10" style="1" customWidth="1"/>
    <col min="5698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53" width="10" style="1" customWidth="1"/>
    <col min="5954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209" width="10" style="1" customWidth="1"/>
    <col min="6210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65" width="10" style="1" customWidth="1"/>
    <col min="6466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721" width="10" style="1" customWidth="1"/>
    <col min="6722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77" width="10" style="1" customWidth="1"/>
    <col min="6978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233" width="10" style="1" customWidth="1"/>
    <col min="7234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89" width="10" style="1" customWidth="1"/>
    <col min="7490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745" width="10" style="1" customWidth="1"/>
    <col min="7746" max="7936" width="10.28515625" style="1"/>
    <col min="7937" max="7937" width="4" style="1" customWidth="1"/>
    <col min="7938" max="7938" width="10" style="1" customWidth="1"/>
    <col min="7939" max="7939" width="30" style="1" customWidth="1"/>
    <col min="7940" max="8001" width="10" style="1" customWidth="1"/>
    <col min="8002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57" width="10" style="1" customWidth="1"/>
    <col min="8258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513" width="10" style="1" customWidth="1"/>
    <col min="8514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69" width="10" style="1" customWidth="1"/>
    <col min="8770" max="8960" width="10.28515625" style="1"/>
    <col min="8961" max="8961" width="4" style="1" customWidth="1"/>
    <col min="8962" max="8962" width="10" style="1" customWidth="1"/>
    <col min="8963" max="8963" width="30" style="1" customWidth="1"/>
    <col min="8964" max="9025" width="10" style="1" customWidth="1"/>
    <col min="9026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81" width="10" style="1" customWidth="1"/>
    <col min="9282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537" width="10" style="1" customWidth="1"/>
    <col min="9538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93" width="10" style="1" customWidth="1"/>
    <col min="9794" max="9984" width="10.28515625" style="1"/>
    <col min="9985" max="9985" width="4" style="1" customWidth="1"/>
    <col min="9986" max="9986" width="10" style="1" customWidth="1"/>
    <col min="9987" max="9987" width="30" style="1" customWidth="1"/>
    <col min="9988" max="10049" width="10" style="1" customWidth="1"/>
    <col min="10050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305" width="10" style="1" customWidth="1"/>
    <col min="10306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61" width="10" style="1" customWidth="1"/>
    <col min="10562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817" width="10" style="1" customWidth="1"/>
    <col min="10818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73" width="10" style="1" customWidth="1"/>
    <col min="11074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329" width="10" style="1" customWidth="1"/>
    <col min="11330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85" width="10" style="1" customWidth="1"/>
    <col min="11586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841" width="10" style="1" customWidth="1"/>
    <col min="11842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97" width="10" style="1" customWidth="1"/>
    <col min="12098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53" width="10" style="1" customWidth="1"/>
    <col min="12354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609" width="10" style="1" customWidth="1"/>
    <col min="12610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65" width="10" style="1" customWidth="1"/>
    <col min="12866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121" width="10" style="1" customWidth="1"/>
    <col min="13122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77" width="10" style="1" customWidth="1"/>
    <col min="13378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633" width="10" style="1" customWidth="1"/>
    <col min="13634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89" width="10" style="1" customWidth="1"/>
    <col min="13890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145" width="10" style="1" customWidth="1"/>
    <col min="14146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401" width="10" style="1" customWidth="1"/>
    <col min="14402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57" width="10" style="1" customWidth="1"/>
    <col min="14658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913" width="10" style="1" customWidth="1"/>
    <col min="14914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69" width="10" style="1" customWidth="1"/>
    <col min="15170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425" width="10" style="1" customWidth="1"/>
    <col min="15426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81" width="10" style="1" customWidth="1"/>
    <col min="15682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937" width="10" style="1" customWidth="1"/>
    <col min="15938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93" width="10" style="1" customWidth="1"/>
    <col min="16194" max="16384" width="10.28515625" style="1"/>
  </cols>
  <sheetData>
    <row r="1" spans="1:65" ht="12.75" customHeight="1" x14ac:dyDescent="0.2">
      <c r="A1" s="1" t="s">
        <v>0</v>
      </c>
      <c r="B1" s="1" t="s">
        <v>1</v>
      </c>
      <c r="C1" s="1" t="s">
        <v>324</v>
      </c>
      <c r="D1" s="6">
        <v>1947</v>
      </c>
      <c r="E1" s="6">
        <v>1948</v>
      </c>
      <c r="F1" s="6">
        <v>1949</v>
      </c>
      <c r="G1" s="6">
        <v>1950</v>
      </c>
      <c r="H1" s="6">
        <v>1951</v>
      </c>
      <c r="I1" s="6">
        <v>1952</v>
      </c>
      <c r="J1" s="6">
        <v>1953</v>
      </c>
      <c r="K1" s="6">
        <v>1954</v>
      </c>
      <c r="L1" s="6">
        <v>1955</v>
      </c>
      <c r="M1" s="6">
        <v>1956</v>
      </c>
      <c r="N1" s="6">
        <v>1957</v>
      </c>
      <c r="O1" s="6">
        <v>1958</v>
      </c>
      <c r="P1" s="6">
        <v>1959</v>
      </c>
      <c r="Q1" s="6">
        <v>1960</v>
      </c>
      <c r="R1" s="6">
        <v>1961</v>
      </c>
      <c r="S1" s="6">
        <v>1962</v>
      </c>
      <c r="T1" s="6">
        <v>1963</v>
      </c>
      <c r="U1" s="6">
        <v>1964</v>
      </c>
      <c r="V1" s="6">
        <v>1965</v>
      </c>
      <c r="W1" s="6">
        <v>1966</v>
      </c>
      <c r="X1" s="6">
        <v>1970</v>
      </c>
      <c r="Y1" s="6">
        <v>1975</v>
      </c>
      <c r="Z1" s="6">
        <v>1980</v>
      </c>
      <c r="AA1" s="6">
        <v>1985</v>
      </c>
      <c r="AB1" s="6">
        <v>1986</v>
      </c>
      <c r="AC1" s="6">
        <v>1987</v>
      </c>
      <c r="AD1" s="6">
        <v>1988</v>
      </c>
      <c r="AE1" s="6">
        <v>1989</v>
      </c>
      <c r="AF1" s="6">
        <v>1990</v>
      </c>
      <c r="AG1" s="6">
        <v>1991</v>
      </c>
      <c r="AH1" s="6">
        <v>1992</v>
      </c>
      <c r="AI1" s="6">
        <v>1993</v>
      </c>
      <c r="AJ1" s="6">
        <v>1994</v>
      </c>
      <c r="AK1" s="6">
        <v>1995</v>
      </c>
      <c r="AL1" s="6">
        <v>1996</v>
      </c>
      <c r="AM1" s="6">
        <v>1997</v>
      </c>
      <c r="AN1" s="6">
        <v>1998</v>
      </c>
      <c r="AO1" s="6">
        <v>1999</v>
      </c>
      <c r="AP1" s="6">
        <v>2000</v>
      </c>
      <c r="AQ1" s="6">
        <v>2001</v>
      </c>
      <c r="AR1" s="6">
        <v>2002</v>
      </c>
      <c r="AS1" s="6">
        <v>2003</v>
      </c>
      <c r="AT1" s="6">
        <v>2004</v>
      </c>
      <c r="AU1" s="6">
        <v>2005</v>
      </c>
      <c r="AV1" s="6">
        <v>2006</v>
      </c>
      <c r="AW1" s="6">
        <v>2007</v>
      </c>
      <c r="AX1" s="6">
        <v>2008</v>
      </c>
      <c r="AY1" s="6">
        <v>2009</v>
      </c>
      <c r="AZ1" s="6">
        <v>2010</v>
      </c>
      <c r="BA1" s="6">
        <v>2011</v>
      </c>
      <c r="BB1" s="6">
        <v>2012</v>
      </c>
      <c r="BC1" s="6">
        <v>2013</v>
      </c>
      <c r="BD1" s="6">
        <v>2014</v>
      </c>
      <c r="BE1" s="6">
        <v>2015</v>
      </c>
      <c r="BF1" s="6">
        <v>2016</v>
      </c>
      <c r="BG1" s="6">
        <v>2017</v>
      </c>
      <c r="BH1" s="6">
        <v>2018</v>
      </c>
      <c r="BI1" s="6">
        <v>2019</v>
      </c>
      <c r="BJ1" s="6">
        <v>2020</v>
      </c>
      <c r="BK1" s="6">
        <v>2021</v>
      </c>
      <c r="BL1" s="6">
        <v>2022</v>
      </c>
      <c r="BM1" s="6">
        <v>2023</v>
      </c>
    </row>
    <row r="2" spans="1:65" x14ac:dyDescent="0.2">
      <c r="A2" s="1" t="s">
        <v>23</v>
      </c>
      <c r="B2" s="1" t="s">
        <v>325</v>
      </c>
      <c r="C2" s="1" t="s">
        <v>326</v>
      </c>
      <c r="Y2" s="3">
        <v>-3.9186263750000001</v>
      </c>
      <c r="Z2" s="3">
        <v>117.2380250889</v>
      </c>
      <c r="AA2" s="3">
        <v>18.844840294400001</v>
      </c>
      <c r="AB2" s="3">
        <v>1.5055947609</v>
      </c>
      <c r="AC2" s="3">
        <v>-3.1894579202000002</v>
      </c>
      <c r="AD2" s="3">
        <v>3.6687267362</v>
      </c>
      <c r="AE2" s="3">
        <v>3.8408117152000001</v>
      </c>
      <c r="AF2" s="3">
        <v>3.6802715838000002</v>
      </c>
      <c r="AG2" s="3">
        <v>4.9486247237000001</v>
      </c>
      <c r="AH2" s="3">
        <v>2.9037203737000001</v>
      </c>
      <c r="AI2" s="3">
        <v>3.3010053099999999</v>
      </c>
      <c r="AJ2" s="3">
        <v>1.566071674</v>
      </c>
      <c r="AK2" s="3">
        <v>4.1316927097000002</v>
      </c>
      <c r="AL2" s="3">
        <v>2.0086610406999998</v>
      </c>
      <c r="AM2" s="3">
        <v>-0.82697314070000005</v>
      </c>
      <c r="AN2" s="3">
        <v>4.5295861197000002</v>
      </c>
      <c r="AO2" s="3">
        <v>4.0925988843000001</v>
      </c>
      <c r="AP2" s="3">
        <v>4.1088418927000001</v>
      </c>
      <c r="AQ2" s="3">
        <v>3.8004244564</v>
      </c>
      <c r="AR2" s="3">
        <v>4.3880009673</v>
      </c>
      <c r="AS2" s="3">
        <v>13.661793268336</v>
      </c>
      <c r="AT2" s="3">
        <v>12.044442286202299</v>
      </c>
      <c r="AU2" s="3">
        <v>13.6516276546292</v>
      </c>
      <c r="AV2" s="3">
        <v>8.3994697460645291</v>
      </c>
      <c r="AW2" s="3">
        <v>17.0827535331257</v>
      </c>
      <c r="AX2" s="3">
        <v>17.443257559490601</v>
      </c>
      <c r="AY2" s="3">
        <v>15.562033023647301</v>
      </c>
      <c r="AZ2" s="3">
        <v>12.6155181125462</v>
      </c>
      <c r="BA2" s="3">
        <v>7.2770569848613498</v>
      </c>
      <c r="BB2" s="3">
        <v>13.2800688848032</v>
      </c>
      <c r="BC2" s="3">
        <v>13.1782884564642</v>
      </c>
      <c r="BD2" s="3">
        <v>17.298066137757498</v>
      </c>
      <c r="BE2" s="3">
        <v>1.2193155682667001</v>
      </c>
      <c r="BF2" s="3">
        <v>0.96483821757080601</v>
      </c>
      <c r="BG2" s="3">
        <v>3.7712080056768</v>
      </c>
      <c r="BH2" s="3">
        <v>7.4139029930831999</v>
      </c>
      <c r="BI2" s="3">
        <v>1.9495897332504599</v>
      </c>
      <c r="BJ2" s="3">
        <v>5.4149269319412703</v>
      </c>
      <c r="BK2" s="3">
        <v>29.7278387334201</v>
      </c>
      <c r="BL2" s="3">
        <v>10.7684507865879</v>
      </c>
      <c r="BM2" s="3">
        <v>11.0456579570247</v>
      </c>
    </row>
    <row r="3" spans="1:65" x14ac:dyDescent="0.2">
      <c r="A3" s="1" t="s">
        <v>28</v>
      </c>
      <c r="B3" s="1" t="s">
        <v>327</v>
      </c>
      <c r="C3" s="1" t="s">
        <v>328</v>
      </c>
      <c r="D3" s="3">
        <v>50.609074708199998</v>
      </c>
      <c r="E3" s="3">
        <v>5.7407590149000001</v>
      </c>
      <c r="F3" s="3">
        <v>6.0365205317999999</v>
      </c>
      <c r="G3" s="3">
        <v>-0.50903714339999995</v>
      </c>
      <c r="H3" s="3">
        <v>6.6576038462999998</v>
      </c>
      <c r="I3" s="3">
        <v>-1.1154967425</v>
      </c>
      <c r="J3" s="4">
        <v>-5.3475750000000002E-4</v>
      </c>
      <c r="K3" s="3">
        <v>2.4429040348000002</v>
      </c>
      <c r="L3" s="3">
        <v>3.4288347855999999</v>
      </c>
      <c r="M3" s="3">
        <v>15.4231374421</v>
      </c>
      <c r="N3" s="3">
        <v>14.560728662300001</v>
      </c>
      <c r="O3" s="3">
        <v>15.2434112404</v>
      </c>
      <c r="P3" s="3">
        <v>5.6102886512000003</v>
      </c>
      <c r="Q3" s="3">
        <v>7.6557548217000004</v>
      </c>
      <c r="R3" s="3">
        <v>10.942270837200001</v>
      </c>
      <c r="S3" s="3">
        <v>6.1099049448000002</v>
      </c>
      <c r="T3" s="3">
        <v>3.2540564538000001</v>
      </c>
      <c r="U3" s="3">
        <v>1.3679613981000001</v>
      </c>
      <c r="V3" s="3">
        <v>-0.3695418989</v>
      </c>
      <c r="W3" s="3">
        <v>-2.3321880117</v>
      </c>
      <c r="X3" s="3">
        <v>28.074569753500001</v>
      </c>
      <c r="Y3" s="3">
        <v>48.980135801000003</v>
      </c>
      <c r="Z3" s="3">
        <v>50.183533408899997</v>
      </c>
      <c r="AA3" s="3">
        <v>37.287319660900003</v>
      </c>
      <c r="AB3" s="3">
        <v>3.0317587522</v>
      </c>
      <c r="AC3" s="3">
        <v>8.9482259784</v>
      </c>
      <c r="AD3" s="3">
        <v>-7.4706843466999997</v>
      </c>
      <c r="AE3" s="3">
        <v>5.5334098833000001</v>
      </c>
      <c r="AF3" s="3">
        <v>8.0627200891000008</v>
      </c>
      <c r="AG3" s="3">
        <v>2.5183064928999999</v>
      </c>
      <c r="AH3" s="3">
        <v>2.9966307145000002</v>
      </c>
      <c r="AI3" s="3">
        <v>-3.8898804618999998</v>
      </c>
      <c r="AJ3" s="3">
        <v>7.1737698437999997</v>
      </c>
      <c r="AK3" s="3">
        <v>-1.7415160755000001</v>
      </c>
      <c r="AL3" s="3">
        <v>0.18817654240000001</v>
      </c>
      <c r="AM3" s="3">
        <v>5.3113136998000003</v>
      </c>
      <c r="AN3" s="3">
        <v>2.16837817</v>
      </c>
      <c r="AO3" s="3">
        <v>-1.3341021889</v>
      </c>
      <c r="AP3" s="3">
        <v>1.9439823983</v>
      </c>
      <c r="AQ3" s="3">
        <v>1.8336021106</v>
      </c>
      <c r="AR3" s="3">
        <v>0.15503021249999999</v>
      </c>
      <c r="AS3" s="3">
        <v>9.4235143673929205</v>
      </c>
      <c r="AT3" s="3">
        <v>11.255336053542299</v>
      </c>
      <c r="AU3" s="3">
        <v>10.250078551605901</v>
      </c>
      <c r="AV3" s="3">
        <v>12.3423256037432</v>
      </c>
      <c r="AW3" s="3">
        <v>14.231098070318801</v>
      </c>
      <c r="AX3" s="3">
        <v>12.0325952055596</v>
      </c>
      <c r="AY3" s="3">
        <v>8.6248654956732906</v>
      </c>
      <c r="AZ3" s="3">
        <v>12.201648571679501</v>
      </c>
      <c r="BA3" s="3">
        <v>16.674443164086501</v>
      </c>
      <c r="BB3" s="3">
        <v>9.4546092513639994</v>
      </c>
      <c r="BC3" s="3">
        <v>7.5962535147865804</v>
      </c>
      <c r="BD3" s="3">
        <v>9.9040089260039093</v>
      </c>
      <c r="BE3" s="3">
        <v>13.1597749593325</v>
      </c>
      <c r="BF3" s="3">
        <v>6.6890587833717197</v>
      </c>
      <c r="BG3" s="3">
        <v>6.8372995383084501</v>
      </c>
      <c r="BH3" s="3">
        <v>2.9554370207890002</v>
      </c>
      <c r="BI3" s="3">
        <v>8.3632184758923707</v>
      </c>
      <c r="BJ3" s="3">
        <v>7.1885209295361996</v>
      </c>
      <c r="BK3" s="3">
        <v>20.6689643766247</v>
      </c>
      <c r="BL3" s="3">
        <v>-0.26199805914246499</v>
      </c>
      <c r="BM3" s="3">
        <v>17.909658381848999</v>
      </c>
    </row>
    <row r="4" spans="1:65" x14ac:dyDescent="0.2">
      <c r="A4" s="1" t="s">
        <v>35</v>
      </c>
      <c r="B4" s="1" t="s">
        <v>329</v>
      </c>
      <c r="C4" s="1" t="s">
        <v>330</v>
      </c>
      <c r="D4" s="3">
        <v>30.586533775700001</v>
      </c>
      <c r="E4" s="3">
        <v>-9.9407549410999998</v>
      </c>
      <c r="F4" s="3">
        <v>2.5168109881</v>
      </c>
      <c r="G4" s="3">
        <v>-4.1576125503999997</v>
      </c>
      <c r="H4" s="3">
        <v>14.7783415466</v>
      </c>
      <c r="I4" s="3">
        <v>4.9702568933000002</v>
      </c>
      <c r="J4" s="3">
        <v>-5.5944800013</v>
      </c>
      <c r="K4" s="3">
        <v>5.1298966886999997</v>
      </c>
      <c r="L4" s="3">
        <v>5.6199899986000004</v>
      </c>
      <c r="M4" s="3">
        <v>32.830549606700004</v>
      </c>
      <c r="N4" s="3">
        <v>15.0016298833</v>
      </c>
      <c r="O4" s="3">
        <v>2.2279957893</v>
      </c>
      <c r="P4" s="3">
        <v>4.7626667977999997</v>
      </c>
      <c r="Q4" s="3">
        <v>17.318722786999999</v>
      </c>
      <c r="R4" s="3">
        <v>28.7281928435</v>
      </c>
      <c r="S4" s="3">
        <v>-18.819003415800001</v>
      </c>
      <c r="T4" s="3">
        <v>-7.1376460885000004</v>
      </c>
      <c r="U4" s="3">
        <v>4.1611213252999999</v>
      </c>
      <c r="V4" s="3">
        <v>5.1287206580999998</v>
      </c>
      <c r="W4" s="3">
        <v>-1.2325565339</v>
      </c>
      <c r="X4" s="3">
        <v>40.2156760421</v>
      </c>
      <c r="Y4" s="3">
        <v>73.841312821100004</v>
      </c>
      <c r="Z4" s="3">
        <v>112.4848790639</v>
      </c>
      <c r="AA4" s="3">
        <v>46.032087991399997</v>
      </c>
      <c r="AB4" s="3">
        <v>7.0177972442999996</v>
      </c>
      <c r="AC4" s="3">
        <v>4.1911602585000001</v>
      </c>
      <c r="AD4" s="3">
        <v>9.4048099316999991</v>
      </c>
      <c r="AE4" s="3">
        <v>4.4388471995999996</v>
      </c>
      <c r="AF4" s="3">
        <v>1.61219287E-2</v>
      </c>
      <c r="AG4" s="3">
        <v>0.7075012638</v>
      </c>
      <c r="AH4" s="3">
        <v>-3.8123801177000001</v>
      </c>
      <c r="AI4" s="3">
        <v>14.0853396741</v>
      </c>
      <c r="AJ4" s="3">
        <v>23.688354860800001</v>
      </c>
      <c r="AK4" s="3">
        <v>22.582770183699999</v>
      </c>
      <c r="AL4" s="3">
        <v>12.387914954499999</v>
      </c>
      <c r="AM4" s="3">
        <v>8.4310499734000004</v>
      </c>
      <c r="AN4" s="3">
        <v>0.61268748809999996</v>
      </c>
      <c r="AO4" s="3">
        <v>-0.24943119920000001</v>
      </c>
      <c r="AP4" s="3">
        <v>7.8304429164</v>
      </c>
      <c r="AQ4" s="3">
        <v>2.7756058036</v>
      </c>
      <c r="AR4" s="3">
        <v>5.9410000543999999</v>
      </c>
      <c r="AS4" s="3">
        <v>17.058517821073501</v>
      </c>
      <c r="AT4" s="3">
        <v>20.217055560844301</v>
      </c>
      <c r="AU4" s="3">
        <v>9.2959675138826103</v>
      </c>
      <c r="AV4" s="3">
        <v>17.516722714366701</v>
      </c>
      <c r="AW4" s="3">
        <v>8.8812287656392606</v>
      </c>
      <c r="AX4" s="3">
        <v>10.6612608120102</v>
      </c>
      <c r="AY4" s="3">
        <v>5.0806641094047702</v>
      </c>
      <c r="AZ4" s="3">
        <v>20.406083167984701</v>
      </c>
      <c r="BA4" s="3">
        <v>16.1920891038165</v>
      </c>
      <c r="BB4" s="3">
        <v>2.1323429316945801</v>
      </c>
      <c r="BC4" s="3">
        <v>14.961417347892301</v>
      </c>
      <c r="BD4" s="3">
        <v>4.3556379229192297</v>
      </c>
      <c r="BE4" s="3">
        <v>-0.115912740021647</v>
      </c>
      <c r="BF4" s="3">
        <v>2.8550881926782901</v>
      </c>
      <c r="BG4" s="3">
        <v>4.7174520261067103</v>
      </c>
      <c r="BH4" s="3">
        <v>7.3670419658406701</v>
      </c>
      <c r="BI4" s="3">
        <v>8.0630483291576507</v>
      </c>
      <c r="BJ4" s="3">
        <v>7.2453031556133904</v>
      </c>
      <c r="BK4" s="3">
        <v>13.370120769470599</v>
      </c>
      <c r="BL4" s="3">
        <v>10.346932233918301</v>
      </c>
      <c r="BM4" s="3">
        <v>11.4747537842048</v>
      </c>
    </row>
    <row r="5" spans="1:65" x14ac:dyDescent="0.2">
      <c r="A5" s="1" t="s">
        <v>44</v>
      </c>
      <c r="B5" s="1" t="s">
        <v>331</v>
      </c>
      <c r="C5" s="1" t="s">
        <v>332</v>
      </c>
      <c r="Y5" s="3">
        <v>-14.844354732799999</v>
      </c>
      <c r="Z5" s="3">
        <v>96.089817616000005</v>
      </c>
      <c r="AA5" s="3">
        <v>57.231257616199997</v>
      </c>
      <c r="AB5" s="3">
        <v>6.6636334864000002</v>
      </c>
      <c r="AC5" s="3">
        <v>1.1855704271</v>
      </c>
      <c r="AD5" s="3">
        <v>1.3974241571999999</v>
      </c>
      <c r="AE5" s="3">
        <v>4.7596050617000003</v>
      </c>
      <c r="AF5" s="3">
        <v>1.3680245361000001</v>
      </c>
      <c r="AG5" s="3">
        <v>5.3847757722000003</v>
      </c>
      <c r="AH5" s="3">
        <v>8.5780000394999991</v>
      </c>
      <c r="AI5" s="3">
        <v>10.1340430151</v>
      </c>
      <c r="AJ5" s="3">
        <v>5.0800518007999997</v>
      </c>
      <c r="AK5" s="3">
        <v>4.5228028574000003</v>
      </c>
      <c r="AL5" s="3">
        <v>5.2246803625</v>
      </c>
      <c r="AM5" s="3">
        <v>5.1977134753999996</v>
      </c>
      <c r="AN5" s="3">
        <v>-0.35583887720000001</v>
      </c>
      <c r="AO5" s="3">
        <v>2.1797072708999998</v>
      </c>
      <c r="AP5" s="3">
        <v>5.2410700659999998</v>
      </c>
      <c r="AQ5" s="3">
        <v>6.1874199668000003</v>
      </c>
      <c r="AR5" s="3">
        <v>6.9485810599000004</v>
      </c>
      <c r="AS5" s="3">
        <v>7.5583383201879002</v>
      </c>
      <c r="AT5" s="3">
        <v>12.057471079150201</v>
      </c>
      <c r="AU5" s="3">
        <v>12.5935357697517</v>
      </c>
      <c r="AV5" s="3">
        <v>22.6270141486761</v>
      </c>
      <c r="AW5" s="3">
        <v>13.8558163861611</v>
      </c>
      <c r="AX5" s="3">
        <v>15.5989424073721</v>
      </c>
      <c r="AY5" s="3">
        <v>7.7728186799834802</v>
      </c>
      <c r="AZ5" s="3">
        <v>9.9742799562548292</v>
      </c>
      <c r="BA5" s="3">
        <v>14.220225193756299</v>
      </c>
      <c r="BB5" s="3">
        <v>18.297356595036302</v>
      </c>
      <c r="BC5" s="3">
        <v>14.6674814578701</v>
      </c>
      <c r="BD5" s="3">
        <v>4.9892168957602898</v>
      </c>
      <c r="BE5" s="3">
        <v>3.4402927579743801</v>
      </c>
      <c r="BF5" s="3">
        <v>3.4689548803275501</v>
      </c>
      <c r="BG5" s="3">
        <v>7.9470246236003197</v>
      </c>
      <c r="BH5" s="3">
        <v>8.4827981150643605</v>
      </c>
      <c r="BI5" s="3">
        <v>4.1765129777799199</v>
      </c>
      <c r="BJ5" s="3">
        <v>5.5579404550388301</v>
      </c>
      <c r="BK5" s="3">
        <v>8.8295297311213705</v>
      </c>
      <c r="BL5" s="3">
        <v>17.484910883153301</v>
      </c>
      <c r="BM5" s="3">
        <v>18.657468903046901</v>
      </c>
    </row>
    <row r="6" spans="1:65" x14ac:dyDescent="0.2">
      <c r="A6" s="1" t="s">
        <v>49</v>
      </c>
      <c r="B6" s="1" t="s">
        <v>333</v>
      </c>
      <c r="C6" s="1" t="s">
        <v>334</v>
      </c>
      <c r="D6" s="3">
        <v>34.624220784000002</v>
      </c>
      <c r="E6" s="3">
        <v>2.9997609609000002</v>
      </c>
      <c r="F6" s="3">
        <v>0.1528944022</v>
      </c>
      <c r="G6" s="3">
        <v>6.4186585434000003</v>
      </c>
      <c r="H6" s="3">
        <v>-0.1242544342</v>
      </c>
      <c r="I6" s="3">
        <v>2.3590243808000002</v>
      </c>
      <c r="J6" s="3">
        <v>9.6648739166999995</v>
      </c>
      <c r="K6" s="3">
        <v>19.122202547000001</v>
      </c>
      <c r="L6" s="3">
        <v>3.3293365568</v>
      </c>
      <c r="M6" s="3">
        <v>2.6170280130000001</v>
      </c>
      <c r="N6" s="3">
        <v>10.8017384037</v>
      </c>
      <c r="O6" s="3">
        <v>15.706984777300001</v>
      </c>
      <c r="P6" s="3">
        <v>13.519627925</v>
      </c>
      <c r="Q6" s="3">
        <v>10.9756543766</v>
      </c>
      <c r="R6" s="3">
        <v>-4.2868322363000004</v>
      </c>
      <c r="S6" s="3">
        <v>5.2458512466</v>
      </c>
      <c r="T6" s="3">
        <v>-5.8621362267999997</v>
      </c>
      <c r="U6" s="3">
        <v>17.432935491599999</v>
      </c>
      <c r="V6" s="3">
        <v>7.5872626219999999</v>
      </c>
      <c r="W6" s="3">
        <v>6.1222428320000004</v>
      </c>
      <c r="X6" s="3">
        <v>28.513319775700001</v>
      </c>
      <c r="Y6" s="3">
        <v>57.096491207</v>
      </c>
      <c r="Z6" s="3">
        <v>66.303374222100004</v>
      </c>
      <c r="AA6" s="3">
        <v>31.195654058399999</v>
      </c>
      <c r="AB6" s="3">
        <v>7.1230462309</v>
      </c>
      <c r="AC6" s="3">
        <v>3.3885473761</v>
      </c>
      <c r="AD6" s="3">
        <v>17.987132173500001</v>
      </c>
      <c r="AE6" s="3">
        <v>-7.0645720503999998</v>
      </c>
      <c r="AF6" s="3">
        <v>6.4156100862000001</v>
      </c>
      <c r="AG6" s="3">
        <v>3.0687747999999999</v>
      </c>
      <c r="AH6" s="3">
        <v>3.0687747999999999</v>
      </c>
      <c r="AI6" s="3">
        <v>10.680460439999999</v>
      </c>
      <c r="AJ6" s="3">
        <v>6.8603406439999999</v>
      </c>
      <c r="AK6" s="3">
        <v>6.8603406439999999</v>
      </c>
      <c r="AL6" s="3">
        <v>1.6567860462999999</v>
      </c>
      <c r="AM6" s="3">
        <v>6.4649171017000002</v>
      </c>
      <c r="AN6" s="3">
        <v>0.45972580029999999</v>
      </c>
      <c r="AO6" s="3">
        <v>0.61745013150000005</v>
      </c>
      <c r="AP6" s="3">
        <v>4.0501511864999999</v>
      </c>
      <c r="AQ6" s="3">
        <v>0.43200754930000002</v>
      </c>
      <c r="AR6" s="3">
        <v>1.510732213</v>
      </c>
      <c r="AS6" s="3">
        <v>14.158446031009699</v>
      </c>
      <c r="AT6" s="3">
        <v>16.014323469624799</v>
      </c>
      <c r="AU6" s="3">
        <v>13.2938902609945</v>
      </c>
      <c r="AV6" s="3">
        <v>7.9915828729125602</v>
      </c>
      <c r="AW6" s="3">
        <v>14.6639206218933</v>
      </c>
      <c r="AX6" s="3">
        <v>11.2850821051747</v>
      </c>
      <c r="AY6" s="3">
        <v>13.376647025287101</v>
      </c>
      <c r="AZ6" s="3">
        <v>11.944881577126299</v>
      </c>
      <c r="BA6" s="3">
        <v>7.8897200753995298</v>
      </c>
      <c r="BB6" s="3">
        <v>9.5854999858735805</v>
      </c>
      <c r="BC6" s="3">
        <v>12.198847219787099</v>
      </c>
      <c r="BD6" s="3">
        <v>9.3171713454875409</v>
      </c>
      <c r="BE6" s="3">
        <v>9.4287175482355998</v>
      </c>
      <c r="BF6" s="3">
        <v>5.5889135525179201</v>
      </c>
      <c r="BG6" s="3">
        <v>3.85914808271828</v>
      </c>
      <c r="BH6" s="3">
        <v>6.5180055126431</v>
      </c>
      <c r="BI6" s="3">
        <v>2.4458406324792099</v>
      </c>
      <c r="BJ6" s="3">
        <v>4.1195908597947302</v>
      </c>
      <c r="BK6" s="3">
        <v>15.490931828482999</v>
      </c>
      <c r="BL6" s="3">
        <v>14.1878108609076</v>
      </c>
      <c r="BM6" s="3">
        <v>7.0387398223841</v>
      </c>
    </row>
    <row r="7" spans="1:65" x14ac:dyDescent="0.2">
      <c r="A7" s="1" t="s">
        <v>64</v>
      </c>
      <c r="B7" s="1" t="s">
        <v>335</v>
      </c>
      <c r="C7" s="1" t="s">
        <v>336</v>
      </c>
      <c r="D7" s="3">
        <v>23.481204996900001</v>
      </c>
      <c r="E7" s="3">
        <v>7.7844061424</v>
      </c>
      <c r="F7" s="3">
        <v>9.6597403289999999</v>
      </c>
      <c r="G7" s="3">
        <v>20.625414448200001</v>
      </c>
      <c r="H7" s="3">
        <v>-20.4808161146</v>
      </c>
      <c r="I7" s="3">
        <v>19.1763362411</v>
      </c>
      <c r="J7" s="3">
        <v>-10.758643731299999</v>
      </c>
      <c r="K7" s="3">
        <v>6.7574108272000002</v>
      </c>
      <c r="L7" s="3">
        <v>10.308282499500001</v>
      </c>
      <c r="M7" s="3">
        <v>18.311982899499998</v>
      </c>
      <c r="N7" s="3">
        <v>10.651639099600001</v>
      </c>
      <c r="O7" s="3">
        <v>-29.051983901900002</v>
      </c>
      <c r="P7" s="3">
        <v>77.329528207199999</v>
      </c>
      <c r="Q7" s="3">
        <v>16.484248467</v>
      </c>
      <c r="R7" s="3">
        <v>4.5871858722000001</v>
      </c>
      <c r="S7" s="3">
        <v>19.845316840799999</v>
      </c>
      <c r="T7" s="3">
        <v>-1.7935514779999999</v>
      </c>
      <c r="U7" s="3">
        <v>9.6801532745000003</v>
      </c>
      <c r="V7" s="3">
        <v>3.6603570154999998</v>
      </c>
      <c r="W7" s="3">
        <v>-4.7396641402000004</v>
      </c>
      <c r="X7" s="3">
        <v>0.1837014679</v>
      </c>
      <c r="Y7" s="3">
        <v>44.818203752999999</v>
      </c>
      <c r="Z7" s="3">
        <v>69.511535321400004</v>
      </c>
      <c r="AA7" s="3">
        <v>18.732144926699998</v>
      </c>
      <c r="AB7" s="3">
        <v>12.0009482392</v>
      </c>
      <c r="AC7" s="3">
        <v>0.17151657140000001</v>
      </c>
      <c r="AD7" s="3">
        <v>-4.7570820704000001</v>
      </c>
      <c r="AE7" s="3">
        <v>-5.2846181504</v>
      </c>
      <c r="AF7" s="3">
        <v>11.608015442899999</v>
      </c>
      <c r="AG7" s="3">
        <v>5.8481855689</v>
      </c>
      <c r="AH7" s="3">
        <v>5.8481855689</v>
      </c>
      <c r="AI7" s="3">
        <v>6.1433425053999997</v>
      </c>
      <c r="AJ7" s="3">
        <v>11.4705459953</v>
      </c>
      <c r="AK7" s="3">
        <v>11.4705459953</v>
      </c>
      <c r="AL7" s="3">
        <v>3.4313306877</v>
      </c>
      <c r="AM7" s="3">
        <v>2.1879709538999998</v>
      </c>
      <c r="AN7" s="3">
        <v>-0.74964768260000003</v>
      </c>
      <c r="AO7" s="3">
        <v>0.65124891780000005</v>
      </c>
      <c r="AP7" s="3">
        <v>4.5416879596999999</v>
      </c>
      <c r="AQ7" s="3">
        <v>-1.4003129818</v>
      </c>
      <c r="AR7" s="3">
        <v>3.6413453902000001</v>
      </c>
      <c r="AS7" s="3">
        <v>13.818726661661801</v>
      </c>
      <c r="AT7" s="3">
        <v>12.859376044935701</v>
      </c>
      <c r="AU7" s="3">
        <v>11.299947932840499</v>
      </c>
      <c r="AV7" s="3">
        <v>13.2511780050487</v>
      </c>
      <c r="AW7" s="3">
        <v>9.2868778260691993</v>
      </c>
      <c r="AX7" s="3">
        <v>18.884418032407702</v>
      </c>
      <c r="AY7" s="3">
        <v>11.2295283332076</v>
      </c>
      <c r="AZ7" s="3">
        <v>18.060042537526598</v>
      </c>
      <c r="BA7" s="3">
        <v>13.057741702823799</v>
      </c>
      <c r="BB7" s="3">
        <v>8.1140061497620604</v>
      </c>
      <c r="BC7" s="3">
        <v>12.4392452873305</v>
      </c>
      <c r="BD7" s="3">
        <v>15.6075325783401</v>
      </c>
      <c r="BE7" s="3">
        <v>3.6296824122193798</v>
      </c>
      <c r="BF7" s="3">
        <v>5.9654604668493496</v>
      </c>
      <c r="BG7" s="3">
        <v>6.8623320333834998</v>
      </c>
      <c r="BH7" s="3">
        <v>5.3963008523153899</v>
      </c>
      <c r="BI7" s="3">
        <v>4.9206631075279796</v>
      </c>
      <c r="BJ7" s="3">
        <v>2.0413891637826298</v>
      </c>
      <c r="BK7" s="3">
        <v>16.757237967578799</v>
      </c>
      <c r="BL7" s="3">
        <v>9.6035566270407298</v>
      </c>
      <c r="BM7" s="3">
        <v>8.7259008368110393</v>
      </c>
    </row>
    <row r="8" spans="1:65" x14ac:dyDescent="0.2">
      <c r="A8" s="1" t="s">
        <v>79</v>
      </c>
      <c r="B8" s="1" t="s">
        <v>337</v>
      </c>
      <c r="C8" s="1" t="s">
        <v>81</v>
      </c>
      <c r="Y8" s="3">
        <v>75.425197153499994</v>
      </c>
      <c r="Z8" s="3">
        <v>107.0212627659</v>
      </c>
      <c r="AA8" s="3">
        <v>-27.512616098100001</v>
      </c>
      <c r="AB8" s="3">
        <v>6.5466305482999996</v>
      </c>
      <c r="AC8" s="3">
        <v>2.2913790831999998</v>
      </c>
      <c r="AD8" s="3">
        <v>3.8583785260000001</v>
      </c>
      <c r="AE8" s="3">
        <v>2.3755305475999999</v>
      </c>
      <c r="AF8" s="3">
        <v>3.3247776336000001</v>
      </c>
      <c r="AG8" s="3">
        <v>1.3825516441000001</v>
      </c>
      <c r="AH8" s="3">
        <v>1.2778017526000001</v>
      </c>
      <c r="AI8" s="3">
        <v>4.5613999428999996</v>
      </c>
      <c r="AJ8" s="3">
        <v>2.8753346238000002</v>
      </c>
      <c r="AK8" s="3">
        <v>3.5233980381999999</v>
      </c>
      <c r="AL8" s="3">
        <v>2.9749545359999998</v>
      </c>
      <c r="AM8" s="3">
        <v>3.7944909491000001</v>
      </c>
      <c r="AN8" s="3">
        <v>2.3042977448999999</v>
      </c>
      <c r="AO8" s="3">
        <v>3.0590585855999999</v>
      </c>
      <c r="AP8" s="3">
        <v>3.3080756867000001</v>
      </c>
      <c r="AQ8" s="3">
        <v>3.2688259045999999</v>
      </c>
      <c r="AR8" s="3">
        <v>4.0969578142999996</v>
      </c>
      <c r="AS8" s="3">
        <v>8.4484937535017206</v>
      </c>
      <c r="AT8" s="3">
        <v>14.7467543349265</v>
      </c>
      <c r="AU8" s="3">
        <v>12.904929975108301</v>
      </c>
      <c r="AV8" s="3">
        <v>11.7897912527354</v>
      </c>
      <c r="AW8" s="3">
        <v>10.326541234148699</v>
      </c>
      <c r="AX8" s="3">
        <v>18.088685515730699</v>
      </c>
      <c r="AY8" s="3">
        <v>12.714643994445099</v>
      </c>
      <c r="AZ8" s="3">
        <v>15.966658438954999</v>
      </c>
      <c r="BA8" s="3">
        <v>7.2099301162978504</v>
      </c>
      <c r="BB8" s="3">
        <v>6.1670741460798197</v>
      </c>
      <c r="BC8" s="3">
        <v>7.1939633690733498</v>
      </c>
      <c r="BD8" s="3">
        <v>12.236787921344201</v>
      </c>
      <c r="BE8" s="3">
        <v>9.2086381979129399</v>
      </c>
      <c r="BF8" s="3">
        <v>9.2421118678805296</v>
      </c>
      <c r="BG8" s="3">
        <v>3.89836216597479</v>
      </c>
      <c r="BH8" s="3">
        <v>4.1250666995954202</v>
      </c>
      <c r="BI8" s="3">
        <v>7.3764665929837898</v>
      </c>
      <c r="BJ8" s="3">
        <v>-2.8384458408957598</v>
      </c>
      <c r="BK8" s="3">
        <v>7.9355499574052599</v>
      </c>
      <c r="BL8" s="3">
        <v>14.5832680898496</v>
      </c>
      <c r="BM8" s="3">
        <v>11.2167626805112</v>
      </c>
    </row>
    <row r="9" spans="1:65" x14ac:dyDescent="0.2">
      <c r="A9" s="1" t="s">
        <v>82</v>
      </c>
      <c r="B9" s="1" t="s">
        <v>338</v>
      </c>
      <c r="C9" s="1" t="s">
        <v>339</v>
      </c>
      <c r="D9" s="3">
        <v>35.470118052300002</v>
      </c>
      <c r="E9" s="3">
        <v>5.1244403503999996</v>
      </c>
      <c r="F9" s="3">
        <v>36.246639705299998</v>
      </c>
      <c r="G9" s="3">
        <v>-0.64468731670000001</v>
      </c>
      <c r="H9" s="3">
        <v>34.672511828899999</v>
      </c>
      <c r="I9" s="3">
        <v>-23.8520536895</v>
      </c>
      <c r="J9" s="3">
        <v>11.201330349699999</v>
      </c>
      <c r="K9" s="3">
        <v>4.3874074025000001</v>
      </c>
      <c r="L9" s="3">
        <v>5.6905193028000003</v>
      </c>
      <c r="M9" s="3">
        <v>-0.4319090854</v>
      </c>
      <c r="N9" s="3">
        <v>12.3373292327</v>
      </c>
      <c r="O9" s="3">
        <v>-0.61262966799999996</v>
      </c>
      <c r="P9" s="3">
        <v>8.1990582952000004</v>
      </c>
      <c r="Q9" s="3">
        <v>7.7715535042999999</v>
      </c>
      <c r="R9" s="3">
        <v>-8.0053247132000003</v>
      </c>
      <c r="S9" s="3">
        <v>13.0716731217</v>
      </c>
      <c r="T9" s="3">
        <v>3.0595066036</v>
      </c>
      <c r="U9" s="3">
        <v>40.129080344899997</v>
      </c>
      <c r="V9" s="3">
        <v>-10.494762095800001</v>
      </c>
      <c r="W9" s="3">
        <v>8.1118073313999997</v>
      </c>
      <c r="X9" s="3">
        <v>40.830009203800003</v>
      </c>
      <c r="Y9" s="3">
        <v>42.595215080999999</v>
      </c>
      <c r="Z9" s="3">
        <v>100.7935504971</v>
      </c>
      <c r="AA9" s="3">
        <v>24.153590149799999</v>
      </c>
      <c r="AB9" s="3">
        <v>3.2764515044999998</v>
      </c>
      <c r="AC9" s="3">
        <v>-1.5452711256</v>
      </c>
      <c r="AD9" s="3">
        <v>3.7091211160999999</v>
      </c>
      <c r="AE9" s="3">
        <v>2.8350901507000001</v>
      </c>
      <c r="AF9" s="3">
        <v>-3.0072876716999999</v>
      </c>
      <c r="AG9" s="3">
        <v>6.7921205935</v>
      </c>
      <c r="AH9" s="3">
        <v>2.7369291613</v>
      </c>
      <c r="AI9" s="3">
        <v>2.8476187990000001</v>
      </c>
      <c r="AJ9" s="3">
        <v>6.6973478967000002</v>
      </c>
      <c r="AK9" s="3">
        <v>0.42778993030000001</v>
      </c>
      <c r="AL9" s="3">
        <v>6.2345883500000001</v>
      </c>
      <c r="AM9" s="3">
        <v>0.46913398550000002</v>
      </c>
      <c r="AN9" s="3">
        <v>3.3875357716000001</v>
      </c>
      <c r="AO9" s="3">
        <v>0.956513269</v>
      </c>
      <c r="AP9" s="3">
        <v>8.9587315680999993</v>
      </c>
      <c r="AQ9" s="3">
        <v>0.33016675740000001</v>
      </c>
      <c r="AR9" s="3">
        <v>7.0795656311000004</v>
      </c>
      <c r="AS9" s="3">
        <v>16.525969521161901</v>
      </c>
      <c r="AT9" s="3">
        <v>26.058899005574599</v>
      </c>
      <c r="AU9" s="3">
        <v>18.3424770336166</v>
      </c>
      <c r="AV9" s="3">
        <v>13.703103840385801</v>
      </c>
      <c r="AW9" s="3">
        <v>13.4568022650363</v>
      </c>
      <c r="AX9" s="3">
        <v>18.847783559060499</v>
      </c>
      <c r="AY9" s="3">
        <v>-3.9891119518429599</v>
      </c>
      <c r="AZ9" s="3">
        <v>23.253398909528201</v>
      </c>
      <c r="BA9" s="3">
        <v>24.224437885771898</v>
      </c>
      <c r="BB9" s="3">
        <v>10.2611310299399</v>
      </c>
      <c r="BC9" s="3">
        <v>0.36265630549153099</v>
      </c>
      <c r="BD9" s="3">
        <v>9.8141104976691995</v>
      </c>
      <c r="BE9" s="3">
        <v>-6.53638286951678</v>
      </c>
      <c r="BF9" s="3">
        <v>-9.2231683736550796</v>
      </c>
      <c r="BG9" s="3">
        <v>3.7848678338785602</v>
      </c>
      <c r="BH9" s="3">
        <v>20.8290397903836</v>
      </c>
      <c r="BI9" s="3">
        <v>0.23758565853736399</v>
      </c>
      <c r="BJ9" s="3">
        <v>0.80113745184182295</v>
      </c>
      <c r="BK9" s="3">
        <v>34.5915447043648</v>
      </c>
      <c r="BL9" s="3">
        <v>-2.03283572380648</v>
      </c>
      <c r="BM9" s="3">
        <v>14.9445920124609</v>
      </c>
    </row>
    <row r="10" spans="1:65" x14ac:dyDescent="0.2">
      <c r="A10" s="1" t="s">
        <v>91</v>
      </c>
      <c r="B10" s="1" t="s">
        <v>340</v>
      </c>
      <c r="C10" s="1" t="s">
        <v>341</v>
      </c>
      <c r="D10" s="3">
        <v>10.700087272499999</v>
      </c>
      <c r="E10" s="3">
        <v>11.907412429300001</v>
      </c>
      <c r="F10" s="3">
        <v>9.4994965652999994</v>
      </c>
      <c r="G10" s="3">
        <v>29.184360938200001</v>
      </c>
      <c r="H10" s="3">
        <v>23.018297532599998</v>
      </c>
      <c r="I10" s="3">
        <v>-17.081646009699998</v>
      </c>
      <c r="J10" s="3">
        <v>42.709973784600002</v>
      </c>
      <c r="K10" s="3">
        <v>-0.83341142290000003</v>
      </c>
      <c r="L10" s="3">
        <v>20.253860723300001</v>
      </c>
      <c r="M10" s="3">
        <v>-0.60260821409999998</v>
      </c>
      <c r="N10" s="3">
        <v>-1.1125399724</v>
      </c>
      <c r="O10" s="3">
        <v>19.909177791000001</v>
      </c>
      <c r="P10" s="3">
        <v>18.999378201999999</v>
      </c>
      <c r="Q10" s="3">
        <v>0.72068215410000003</v>
      </c>
      <c r="R10" s="3">
        <v>21.136305861899999</v>
      </c>
      <c r="S10" s="3">
        <v>26.670126167799999</v>
      </c>
      <c r="T10" s="3">
        <v>1.1379820788999999</v>
      </c>
      <c r="U10" s="3">
        <v>10.120922781599999</v>
      </c>
      <c r="V10" s="3">
        <v>-0.34144949670000002</v>
      </c>
      <c r="W10" s="3">
        <v>0.99200767079999996</v>
      </c>
      <c r="X10" s="3">
        <v>13.6742297409</v>
      </c>
      <c r="Y10" s="3">
        <v>62.329000966199999</v>
      </c>
      <c r="Z10" s="3">
        <v>58.966174616399996</v>
      </c>
      <c r="AA10" s="3">
        <v>12.286383646399999</v>
      </c>
      <c r="AB10" s="3">
        <v>6.5831692905999999</v>
      </c>
      <c r="AC10" s="3">
        <v>2.4601029460000001</v>
      </c>
      <c r="AD10" s="3">
        <v>6.3203011242000002</v>
      </c>
      <c r="AE10" s="3">
        <v>0.13039824750000001</v>
      </c>
      <c r="AF10" s="3">
        <v>1.1146086499999999E-2</v>
      </c>
      <c r="AG10" s="3">
        <v>2.3821251309</v>
      </c>
      <c r="AH10" s="3">
        <v>1.8516533595</v>
      </c>
      <c r="AI10" s="3">
        <v>6.4259512115000001</v>
      </c>
      <c r="AJ10" s="3">
        <v>2.7085733806999999</v>
      </c>
      <c r="AK10" s="3">
        <v>1.8365151263999999</v>
      </c>
      <c r="AL10" s="3">
        <v>2.6399014159999998</v>
      </c>
      <c r="AM10" s="3">
        <v>4.8318156179000002</v>
      </c>
      <c r="AN10" s="3">
        <v>1.1927420313999999</v>
      </c>
      <c r="AO10" s="3">
        <v>1.7472526292999999</v>
      </c>
      <c r="AP10" s="3">
        <v>5.0097392291</v>
      </c>
      <c r="AQ10" s="3">
        <v>3.3378928025999999</v>
      </c>
      <c r="AR10" s="3">
        <v>5.3172473837999998</v>
      </c>
      <c r="AS10" s="3">
        <v>17.935899282838299</v>
      </c>
      <c r="AT10" s="3">
        <v>12.1733603591685</v>
      </c>
      <c r="AU10" s="3">
        <v>5.4033108878466196</v>
      </c>
      <c r="AV10" s="3">
        <v>13.9427721983986</v>
      </c>
      <c r="AW10" s="3">
        <v>16.3504669777891</v>
      </c>
      <c r="AX10" s="3">
        <v>15.4136793870621</v>
      </c>
      <c r="AY10" s="3">
        <v>12.677126686248601</v>
      </c>
      <c r="AZ10" s="3">
        <v>14.9725459042523</v>
      </c>
      <c r="BA10" s="3">
        <v>13.605504514376801</v>
      </c>
      <c r="BB10" s="3">
        <v>14.395363581180399</v>
      </c>
      <c r="BC10" s="3">
        <v>9.0390217632771197</v>
      </c>
      <c r="BD10" s="3">
        <v>9.0648560056192995</v>
      </c>
      <c r="BE10" s="3">
        <v>5.2220194491277496</v>
      </c>
      <c r="BF10" s="3">
        <v>4.6806653940550698</v>
      </c>
      <c r="BG10" s="3">
        <v>5.6055893475648304</v>
      </c>
      <c r="BH10" s="3">
        <v>1.94501487147833</v>
      </c>
      <c r="BI10" s="3">
        <v>6.6387231952228802</v>
      </c>
      <c r="BJ10" s="3">
        <v>7.4056814350019797</v>
      </c>
      <c r="BK10" s="3">
        <v>20.301856661842301</v>
      </c>
      <c r="BL10" s="3">
        <v>18.1577203879135</v>
      </c>
      <c r="BM10" s="3">
        <v>5.7004443090211003</v>
      </c>
    </row>
    <row r="11" spans="1:65" x14ac:dyDescent="0.2">
      <c r="A11" s="1" t="s">
        <v>102</v>
      </c>
      <c r="B11" s="1" t="s">
        <v>342</v>
      </c>
      <c r="C11" s="1" t="s">
        <v>343</v>
      </c>
      <c r="D11" s="3">
        <v>-9.8738823304000007</v>
      </c>
      <c r="E11" s="3">
        <v>15.310139227400001</v>
      </c>
      <c r="F11" s="3">
        <v>-8.9144584936999998</v>
      </c>
      <c r="G11" s="3">
        <v>19.112606449899999</v>
      </c>
      <c r="H11" s="3">
        <v>8.8662860057999993</v>
      </c>
      <c r="I11" s="3">
        <v>11.458832382600001</v>
      </c>
      <c r="J11" s="3">
        <v>10.596099758499999</v>
      </c>
      <c r="K11" s="3">
        <v>6.0276012458999997</v>
      </c>
      <c r="L11" s="3">
        <v>4.5601078372000003</v>
      </c>
      <c r="M11" s="3">
        <v>3.0559436200999999</v>
      </c>
      <c r="N11" s="3">
        <v>8.3734339099999993</v>
      </c>
      <c r="O11" s="3">
        <v>20.3819435642</v>
      </c>
      <c r="P11" s="3">
        <v>25.526680514999999</v>
      </c>
      <c r="Q11" s="3">
        <v>13.9217309393</v>
      </c>
      <c r="R11" s="3">
        <v>5.4372133790000001</v>
      </c>
      <c r="S11" s="3">
        <v>19.915951012299999</v>
      </c>
      <c r="T11" s="3">
        <v>-8.7058053187999995</v>
      </c>
      <c r="U11" s="3">
        <v>2.2784177713</v>
      </c>
      <c r="V11" s="3">
        <v>2.4688058480000001</v>
      </c>
      <c r="W11" s="3">
        <v>5.8472814894000003</v>
      </c>
      <c r="X11" s="3">
        <v>6.1313669211999997</v>
      </c>
      <c r="Y11" s="3">
        <v>43.112975795499999</v>
      </c>
      <c r="Z11" s="3">
        <v>64.788515438700003</v>
      </c>
      <c r="AA11" s="3">
        <v>-6.8518311083999999</v>
      </c>
      <c r="AB11" s="3">
        <v>20.073187726</v>
      </c>
      <c r="AC11" s="3">
        <v>2.8849525613</v>
      </c>
      <c r="AD11" s="3">
        <v>9.0274986687999998</v>
      </c>
      <c r="AE11" s="3">
        <v>0.69328880329999998</v>
      </c>
      <c r="AF11" s="3">
        <v>-1.173381089</v>
      </c>
      <c r="AG11" s="3">
        <v>4.2014283857999999</v>
      </c>
      <c r="AH11" s="3">
        <v>-2.6702867853000001</v>
      </c>
      <c r="AI11" s="3">
        <v>6.1097455840999997</v>
      </c>
      <c r="AJ11" s="3">
        <v>2.2717517827</v>
      </c>
      <c r="AK11" s="3">
        <v>1.5461132393999999</v>
      </c>
      <c r="AL11" s="3">
        <v>4.3008773375000002</v>
      </c>
      <c r="AM11" s="3">
        <v>2.8849930116000002</v>
      </c>
      <c r="AN11" s="3">
        <v>-4.9195212039999996</v>
      </c>
      <c r="AO11" s="3">
        <v>2.8511664424999998</v>
      </c>
      <c r="AP11" s="3">
        <v>4.3687527743999999</v>
      </c>
      <c r="AQ11" s="3">
        <v>1.7547721141999999</v>
      </c>
      <c r="AR11" s="3">
        <v>2.8153847768000002</v>
      </c>
      <c r="AS11" s="3">
        <v>22.474857609609799</v>
      </c>
      <c r="AT11" s="3">
        <v>13.455598910931201</v>
      </c>
      <c r="AU11" s="3">
        <v>13.454418765161201</v>
      </c>
      <c r="AV11" s="3">
        <v>18.3492497214312</v>
      </c>
      <c r="AW11" s="3">
        <v>3.4338637504412199</v>
      </c>
      <c r="AX11" s="3">
        <v>23.4342110632352</v>
      </c>
      <c r="AY11" s="3">
        <v>8.0726999571500908</v>
      </c>
      <c r="AZ11" s="3">
        <v>12.965282646816799</v>
      </c>
      <c r="BA11" s="3">
        <v>12.597599294298</v>
      </c>
      <c r="BB11" s="3">
        <v>16.0069201292164</v>
      </c>
      <c r="BC11" s="3">
        <v>11.9106017811937</v>
      </c>
      <c r="BD11" s="3">
        <v>13.512377493441299</v>
      </c>
      <c r="BE11" s="3">
        <v>2.1263962476367801</v>
      </c>
      <c r="BF11" s="3">
        <v>8.7084516572035895</v>
      </c>
      <c r="BG11" s="3">
        <v>4.9615720485319601</v>
      </c>
      <c r="BH11" s="3">
        <v>9.6453798044212604</v>
      </c>
      <c r="BI11" s="3">
        <v>-0.85512559567427904</v>
      </c>
      <c r="BJ11" s="3">
        <v>9.8377132724288394</v>
      </c>
      <c r="BK11" s="3">
        <v>16.896221725994501</v>
      </c>
      <c r="BL11" s="3">
        <v>11.8485683635322</v>
      </c>
      <c r="BM11" s="3">
        <v>6.7516322046920596</v>
      </c>
    </row>
    <row r="12" spans="1:65" x14ac:dyDescent="0.2">
      <c r="A12" s="1" t="s">
        <v>113</v>
      </c>
      <c r="B12" s="1" t="s">
        <v>344</v>
      </c>
      <c r="C12" s="1" t="s">
        <v>345</v>
      </c>
      <c r="D12" s="3">
        <v>59.078928014100001</v>
      </c>
      <c r="E12" s="3">
        <v>11.129463660700001</v>
      </c>
      <c r="F12" s="3">
        <v>0.26313398510000002</v>
      </c>
      <c r="G12" s="3">
        <v>4.3469277033999996</v>
      </c>
      <c r="H12" s="3">
        <v>7.2762268682000002</v>
      </c>
      <c r="I12" s="3">
        <v>2.5040060902999999</v>
      </c>
      <c r="J12" s="3">
        <v>11.4390069818</v>
      </c>
      <c r="K12" s="3">
        <v>5.6185631990999996</v>
      </c>
      <c r="L12" s="3">
        <v>3.9117312530000001</v>
      </c>
      <c r="M12" s="3">
        <v>4.1054902599999998</v>
      </c>
      <c r="N12" s="3">
        <v>9.1892357419999993</v>
      </c>
      <c r="O12" s="3">
        <v>5.2683486232999996</v>
      </c>
      <c r="P12" s="3">
        <v>9.2105778765000004</v>
      </c>
      <c r="Q12" s="3">
        <v>9.9572422397999993</v>
      </c>
      <c r="R12" s="3">
        <v>7.2033311215999998</v>
      </c>
      <c r="S12" s="3">
        <v>12.1598242922</v>
      </c>
      <c r="T12" s="3">
        <v>-10.1426683833</v>
      </c>
      <c r="U12" s="3">
        <v>15.3735571261</v>
      </c>
      <c r="V12" s="3">
        <v>1.6680903746</v>
      </c>
      <c r="W12" s="3">
        <v>8.7056239035999994</v>
      </c>
      <c r="X12" s="3">
        <v>9.6013448306000004</v>
      </c>
      <c r="Y12" s="3">
        <v>64.6469799499</v>
      </c>
      <c r="Z12" s="3">
        <v>58.583441830600002</v>
      </c>
      <c r="AA12" s="3">
        <v>8.3919411295999993</v>
      </c>
      <c r="AB12" s="3">
        <v>0.88543727100000003</v>
      </c>
      <c r="AC12" s="3">
        <v>11.842017501100001</v>
      </c>
      <c r="AD12" s="3">
        <v>-1.2337668159999999</v>
      </c>
      <c r="AE12" s="3">
        <v>1.450301872</v>
      </c>
      <c r="AF12" s="3">
        <v>-2.1506979878000001</v>
      </c>
      <c r="AG12" s="3">
        <v>2.5253375805</v>
      </c>
      <c r="AH12" s="3">
        <v>-2.0939579433</v>
      </c>
      <c r="AI12" s="3">
        <v>4.2297129217</v>
      </c>
      <c r="AJ12" s="3">
        <v>5.5474819339000003</v>
      </c>
      <c r="AK12" s="3">
        <v>3.1649823652000002</v>
      </c>
      <c r="AL12" s="3">
        <v>3.6916219769</v>
      </c>
      <c r="AM12" s="3">
        <v>2.9954154843</v>
      </c>
      <c r="AN12" s="3">
        <v>-0.26576029280000002</v>
      </c>
      <c r="AO12" s="3">
        <v>8.1581072099999999E-2</v>
      </c>
      <c r="AP12" s="3">
        <v>5.1114478946000004</v>
      </c>
      <c r="AQ12" s="3">
        <v>-0.1159895625</v>
      </c>
      <c r="AR12" s="3">
        <v>3.7311496398999999</v>
      </c>
      <c r="AS12" s="3">
        <v>16.214923147351701</v>
      </c>
      <c r="AT12" s="3">
        <v>19.198289712535399</v>
      </c>
      <c r="AU12" s="3">
        <v>9.5964463659689994</v>
      </c>
      <c r="AV12" s="3">
        <v>12.897928885047101</v>
      </c>
      <c r="AW12" s="3">
        <v>13.0234886656652</v>
      </c>
      <c r="AX12" s="3">
        <v>15.914934976724201</v>
      </c>
      <c r="AY12" s="3">
        <v>3.17156760885279</v>
      </c>
      <c r="AZ12" s="3">
        <v>22.153742528523299</v>
      </c>
      <c r="BA12" s="3">
        <v>13.955568466242299</v>
      </c>
      <c r="BB12" s="3">
        <v>10.5362514160492</v>
      </c>
      <c r="BC12" s="3">
        <v>10.3377454195995</v>
      </c>
      <c r="BD12" s="3">
        <v>5.8665560169587101</v>
      </c>
      <c r="BE12" s="3">
        <v>0.52207734750952695</v>
      </c>
      <c r="BF12" s="3">
        <v>4.9061666932774903</v>
      </c>
      <c r="BG12" s="3">
        <v>5.7937721196649301</v>
      </c>
      <c r="BH12" s="3">
        <v>6.6797204242938397</v>
      </c>
      <c r="BI12" s="3">
        <v>6.0169651816849896</v>
      </c>
      <c r="BJ12" s="3">
        <v>4.7422499452362397</v>
      </c>
      <c r="BK12" s="3">
        <v>25.6020287911068</v>
      </c>
      <c r="BL12" s="3">
        <v>5.7296928160606599</v>
      </c>
      <c r="BM12" s="3">
        <v>7.1958392010717001</v>
      </c>
    </row>
    <row r="13" spans="1:65" x14ac:dyDescent="0.2">
      <c r="A13" s="1" t="s">
        <v>138</v>
      </c>
      <c r="B13" s="1" t="s">
        <v>346</v>
      </c>
      <c r="C13" s="1" t="s">
        <v>347</v>
      </c>
      <c r="Z13" s="3">
        <v>97.195379944500004</v>
      </c>
      <c r="AA13" s="3">
        <v>-7.9465401363000003</v>
      </c>
      <c r="AB13" s="3">
        <v>2.4981957601999998</v>
      </c>
      <c r="AC13" s="3">
        <v>8.0603021356000006</v>
      </c>
      <c r="AD13" s="3">
        <v>4.4773193227999997</v>
      </c>
      <c r="AE13" s="3">
        <v>6.6409665644000002</v>
      </c>
      <c r="AF13" s="3">
        <v>0.55631549140000003</v>
      </c>
      <c r="AG13" s="3">
        <v>5.3778139180000002</v>
      </c>
      <c r="AH13" s="3">
        <v>2.0229986272999998</v>
      </c>
      <c r="AI13" s="3">
        <v>7.9680569682</v>
      </c>
      <c r="AJ13" s="3">
        <v>3.3882722589999998</v>
      </c>
      <c r="AK13" s="3">
        <v>4.9600392888</v>
      </c>
      <c r="AL13" s="3">
        <v>2.1762207424</v>
      </c>
      <c r="AM13" s="3">
        <v>4.5429915133999996</v>
      </c>
      <c r="AN13" s="3">
        <v>2.7784103241000002</v>
      </c>
      <c r="AO13" s="3">
        <v>0.92246957149999997</v>
      </c>
      <c r="AP13" s="3">
        <v>2.4220127368000002</v>
      </c>
      <c r="AQ13" s="3">
        <v>6.3045441995999996</v>
      </c>
      <c r="AR13" s="3">
        <v>2.9437485620000001</v>
      </c>
      <c r="AS13" s="3">
        <v>32.883227342555202</v>
      </c>
      <c r="AT13" s="3">
        <v>6.9838985220835301</v>
      </c>
      <c r="AU13" s="3">
        <v>1.5101204382553901</v>
      </c>
      <c r="AV13" s="3">
        <v>12.402967335486901</v>
      </c>
      <c r="AW13" s="3">
        <v>12.812676546561899</v>
      </c>
      <c r="AX13" s="3">
        <v>20.390712707910499</v>
      </c>
      <c r="AY13" s="3">
        <v>9.1069743743819398</v>
      </c>
      <c r="AZ13" s="3">
        <v>19.6188183019161</v>
      </c>
      <c r="BA13" s="3">
        <v>16.632953010002598</v>
      </c>
      <c r="BB13" s="3">
        <v>12.478948695161</v>
      </c>
      <c r="BC13" s="3">
        <v>11.5943055414927</v>
      </c>
      <c r="BD13" s="3">
        <v>14.084510339341101</v>
      </c>
      <c r="BE13" s="3">
        <v>5.2342179081572802</v>
      </c>
      <c r="BF13" s="3">
        <v>10.603585794876</v>
      </c>
      <c r="BG13" s="3">
        <v>4.9015529432095297</v>
      </c>
      <c r="BH13" s="3">
        <v>10.967945142037101</v>
      </c>
      <c r="BI13" s="3">
        <v>-2.4208850810458898E-2</v>
      </c>
      <c r="BJ13" s="3">
        <v>14.666171625275</v>
      </c>
      <c r="BK13" s="3">
        <v>15.963795985257001</v>
      </c>
      <c r="BL13" s="3">
        <v>17.0203382809182</v>
      </c>
      <c r="BM13" s="3">
        <v>10.813699798041901</v>
      </c>
    </row>
    <row r="14" spans="1:65" x14ac:dyDescent="0.2">
      <c r="A14" s="1" t="s">
        <v>147</v>
      </c>
      <c r="B14" s="1" t="s">
        <v>348</v>
      </c>
      <c r="C14" s="1" t="s">
        <v>349</v>
      </c>
      <c r="D14" s="3">
        <v>10.7284761829</v>
      </c>
      <c r="E14" s="3">
        <v>35.826088851100003</v>
      </c>
      <c r="F14" s="3">
        <v>-2.2942310176</v>
      </c>
      <c r="G14" s="3">
        <v>-20.586465048200001</v>
      </c>
      <c r="H14" s="3">
        <v>9.5669080402999995</v>
      </c>
      <c r="I14" s="3">
        <v>47.080455872199998</v>
      </c>
      <c r="J14" s="3">
        <v>26.2165425546</v>
      </c>
      <c r="K14" s="3">
        <v>16.501928436299998</v>
      </c>
      <c r="L14" s="3">
        <v>-2.1624210664999999</v>
      </c>
      <c r="M14" s="3">
        <v>2.2975685489000002</v>
      </c>
      <c r="N14" s="3">
        <v>0.11507498150000001</v>
      </c>
      <c r="O14" s="3">
        <v>36.206581468300001</v>
      </c>
      <c r="P14" s="3">
        <v>-14.8161081144</v>
      </c>
      <c r="Q14" s="3">
        <v>20.820107398099999</v>
      </c>
      <c r="R14" s="3">
        <v>30.396668265999999</v>
      </c>
      <c r="S14" s="3">
        <v>16.017702714799999</v>
      </c>
      <c r="T14" s="3">
        <v>-18.282876552899999</v>
      </c>
      <c r="U14" s="3">
        <v>15.763345490300001</v>
      </c>
      <c r="V14" s="3">
        <v>2.9728697899999998</v>
      </c>
      <c r="W14" s="3">
        <v>-13.789181343599999</v>
      </c>
      <c r="X14" s="3">
        <v>54.592165876300001</v>
      </c>
      <c r="Y14" s="3">
        <v>-36.631578178200002</v>
      </c>
      <c r="Z14" s="3">
        <v>101.7392671445</v>
      </c>
      <c r="AA14" s="3">
        <v>20.183567607099999</v>
      </c>
      <c r="AB14" s="3">
        <v>12.3086270215</v>
      </c>
      <c r="AC14" s="3">
        <v>7.1744278725999999</v>
      </c>
      <c r="AD14" s="3">
        <v>9.7863495290000007</v>
      </c>
      <c r="AE14" s="3">
        <v>13.820404694800001</v>
      </c>
      <c r="AF14" s="3">
        <v>1.4944242272999999</v>
      </c>
      <c r="AG14" s="3">
        <v>7.4732189574000003</v>
      </c>
      <c r="AH14" s="3">
        <v>11.126823573299999</v>
      </c>
      <c r="AI14" s="3">
        <v>7.1259202038999998</v>
      </c>
      <c r="AJ14" s="3">
        <v>11.8888284969</v>
      </c>
      <c r="AK14" s="3">
        <v>1.9510885022</v>
      </c>
      <c r="AL14" s="3">
        <v>2.8862213128</v>
      </c>
      <c r="AM14" s="3">
        <v>5.422275398</v>
      </c>
      <c r="AN14" s="3">
        <v>6.5417498588000003</v>
      </c>
      <c r="AO14" s="3">
        <v>7.6581603056000001</v>
      </c>
      <c r="AP14" s="3">
        <v>7.6362241462</v>
      </c>
      <c r="AQ14" s="3">
        <v>6.7431589797000004</v>
      </c>
      <c r="AR14" s="3">
        <v>9.4212633486000001</v>
      </c>
      <c r="AS14" s="3">
        <v>39.115104629321401</v>
      </c>
      <c r="AT14" s="3">
        <v>25.064796370931301</v>
      </c>
      <c r="AU14" s="3">
        <v>2.6008373499154098</v>
      </c>
      <c r="AV14" s="3">
        <v>-10.382941557585699</v>
      </c>
      <c r="AW14" s="3">
        <v>23.867666509284199</v>
      </c>
      <c r="AX14" s="3">
        <v>29.3863758559643</v>
      </c>
      <c r="AY14" s="3">
        <v>7.0949883547595904</v>
      </c>
      <c r="AZ14" s="3">
        <v>7.4156094299217701</v>
      </c>
      <c r="BA14" s="3">
        <v>22.178074557222601</v>
      </c>
      <c r="BB14" s="3">
        <v>15.200480863300401</v>
      </c>
      <c r="BC14" s="3">
        <v>11.984114968638099</v>
      </c>
      <c r="BD14" s="3">
        <v>13.475179530892801</v>
      </c>
      <c r="BE14" s="3">
        <v>6.1083897073843998</v>
      </c>
      <c r="BF14" s="3">
        <v>15.3251113527479</v>
      </c>
      <c r="BG14" s="3">
        <v>2.39392550369754</v>
      </c>
      <c r="BH14" s="3">
        <v>8.3541960497611107</v>
      </c>
      <c r="BI14" s="3">
        <v>3.4044513031172201</v>
      </c>
      <c r="BJ14" s="3">
        <v>25.701530237100201</v>
      </c>
      <c r="BK14" s="3">
        <v>30.641350459719</v>
      </c>
      <c r="BL14" s="3">
        <v>9.4850145402969996</v>
      </c>
      <c r="BM14" s="3">
        <v>6.8412608771108996</v>
      </c>
    </row>
    <row r="15" spans="1:65" x14ac:dyDescent="0.2">
      <c r="A15" s="1" t="s">
        <v>158</v>
      </c>
      <c r="B15" s="1" t="s">
        <v>350</v>
      </c>
      <c r="C15" s="1" t="s">
        <v>351</v>
      </c>
      <c r="D15" s="3">
        <v>18.917896707099999</v>
      </c>
      <c r="E15" s="3">
        <v>-1.7355298583000001</v>
      </c>
      <c r="F15" s="3">
        <v>-11.891841513199999</v>
      </c>
      <c r="G15" s="3">
        <v>9.6177227723000005</v>
      </c>
      <c r="H15" s="3">
        <v>9.8157043397999999</v>
      </c>
      <c r="I15" s="3">
        <v>6.6726915835999998</v>
      </c>
      <c r="J15" s="3">
        <v>-1.2985757895000001</v>
      </c>
      <c r="K15" s="3">
        <v>9.4312759258999996</v>
      </c>
      <c r="L15" s="3">
        <v>12.2006853467</v>
      </c>
      <c r="M15" s="3">
        <v>22.2183919193</v>
      </c>
      <c r="N15" s="3">
        <v>33.841150446500002</v>
      </c>
      <c r="O15" s="3">
        <v>-0.78139577289999995</v>
      </c>
      <c r="P15" s="3">
        <v>-2.9925813295000001</v>
      </c>
      <c r="Q15" s="3">
        <v>25.8414568516</v>
      </c>
      <c r="R15" s="3">
        <v>16.596889330900002</v>
      </c>
      <c r="S15" s="3">
        <v>-6.7591167422999998</v>
      </c>
      <c r="T15" s="3">
        <v>1.3649850172</v>
      </c>
      <c r="U15" s="3">
        <v>-1.249598078</v>
      </c>
      <c r="V15" s="3">
        <v>8.7737361044999993</v>
      </c>
      <c r="W15" s="3">
        <v>10.2973100736</v>
      </c>
      <c r="X15" s="3">
        <v>11.143508200299999</v>
      </c>
      <c r="Y15" s="3">
        <v>50.889929653499998</v>
      </c>
      <c r="Z15" s="3">
        <v>115.2112684057</v>
      </c>
      <c r="AA15" s="3">
        <v>4.0947868615000003</v>
      </c>
      <c r="AB15" s="3">
        <v>16.636233490199999</v>
      </c>
      <c r="AC15" s="3">
        <v>6.3214518753000002</v>
      </c>
      <c r="AD15" s="3">
        <v>4.8764580228999996</v>
      </c>
      <c r="AE15" s="3">
        <v>3.9263688028999999</v>
      </c>
      <c r="AF15" s="3">
        <v>4.9795400497999998</v>
      </c>
      <c r="AG15" s="3">
        <v>-2.1320787607999998</v>
      </c>
      <c r="AH15" s="3">
        <v>3.4265163102999998</v>
      </c>
      <c r="AI15" s="3">
        <v>7.0244456836999998</v>
      </c>
      <c r="AJ15" s="3">
        <v>-1.5975612391</v>
      </c>
      <c r="AK15" s="3">
        <v>3.17414039E-2</v>
      </c>
      <c r="AL15" s="3">
        <v>0.27649983610000001</v>
      </c>
      <c r="AM15" s="3">
        <v>2.9552756811999998</v>
      </c>
      <c r="AN15" s="3">
        <v>2.2579815852</v>
      </c>
      <c r="AO15" s="3">
        <v>1.8124169739</v>
      </c>
      <c r="AP15" s="3">
        <v>4.7029643562999999</v>
      </c>
      <c r="AQ15" s="3">
        <v>3.497954762</v>
      </c>
      <c r="AR15" s="3">
        <v>3.6376466489000001</v>
      </c>
      <c r="AS15" s="3">
        <v>14.3039432698822</v>
      </c>
      <c r="AT15" s="3">
        <v>23.1335937791129</v>
      </c>
      <c r="AU15" s="3">
        <v>8.7199605416571693</v>
      </c>
      <c r="AV15" s="3">
        <v>13.4741959316676</v>
      </c>
      <c r="AW15" s="3">
        <v>12.752203111813399</v>
      </c>
      <c r="AX15" s="3">
        <v>17.571168608114402</v>
      </c>
      <c r="AY15" s="3">
        <v>1.16166848035018</v>
      </c>
      <c r="AZ15" s="3">
        <v>34.086417379452399</v>
      </c>
      <c r="BA15" s="3">
        <v>19.3823685348205</v>
      </c>
      <c r="BB15" s="3">
        <v>8.47946772476703</v>
      </c>
      <c r="BC15" s="3">
        <v>13.2086754123736</v>
      </c>
      <c r="BD15" s="3">
        <v>2.7717898460205999</v>
      </c>
      <c r="BE15" s="3">
        <v>5.0684775756813902</v>
      </c>
      <c r="BF15" s="3">
        <v>5.5065212049503103</v>
      </c>
      <c r="BG15" s="3">
        <v>12.399680150639799</v>
      </c>
      <c r="BH15" s="3">
        <v>3.94067078932824</v>
      </c>
      <c r="BI15" s="3">
        <v>10.5530982344784</v>
      </c>
      <c r="BJ15" s="3">
        <v>21.055754592195601</v>
      </c>
      <c r="BK15" s="3">
        <v>21.751565804775801</v>
      </c>
      <c r="BL15" s="3">
        <v>-10.179763569410101</v>
      </c>
      <c r="BM15" s="3">
        <v>7.7938896173916303</v>
      </c>
    </row>
    <row r="16" spans="1:65" x14ac:dyDescent="0.2">
      <c r="A16" s="1" t="s">
        <v>171</v>
      </c>
      <c r="B16" s="1" t="s">
        <v>352</v>
      </c>
      <c r="C16" s="1" t="s">
        <v>353</v>
      </c>
      <c r="D16" s="3">
        <v>44.654025476000001</v>
      </c>
      <c r="E16" s="3">
        <v>17.426382738699999</v>
      </c>
      <c r="F16" s="3">
        <v>5.7104505910999999</v>
      </c>
      <c r="G16" s="3">
        <v>11.560842231200001</v>
      </c>
      <c r="H16" s="3">
        <v>-2.8045695232000001</v>
      </c>
      <c r="I16" s="3">
        <v>-3.3234480724000002</v>
      </c>
      <c r="J16" s="3">
        <v>-13.5746382759</v>
      </c>
      <c r="K16" s="3">
        <v>16.957470347600001</v>
      </c>
      <c r="L16" s="3">
        <v>8.0619768359999995</v>
      </c>
      <c r="M16" s="3">
        <v>8.8239657867000005</v>
      </c>
      <c r="N16" s="3">
        <v>1.4796386619999999</v>
      </c>
      <c r="O16" s="3">
        <v>-2.1575137919</v>
      </c>
      <c r="P16" s="3">
        <v>39.816244558999998</v>
      </c>
      <c r="Q16" s="3">
        <v>26.524360200699999</v>
      </c>
      <c r="R16" s="3">
        <v>1.5711878841</v>
      </c>
      <c r="S16" s="3">
        <v>23.732287236600001</v>
      </c>
      <c r="T16" s="3">
        <v>-8.9577452113000007</v>
      </c>
      <c r="U16" s="3">
        <v>3.7775531317</v>
      </c>
      <c r="V16" s="3">
        <v>4.5582273000000004</v>
      </c>
      <c r="W16" s="3">
        <v>-20.783959107400001</v>
      </c>
      <c r="X16" s="3">
        <v>-7.1516375136999999</v>
      </c>
      <c r="Y16" s="3">
        <v>57.439045884400002</v>
      </c>
      <c r="Z16" s="3">
        <v>33.833709542599998</v>
      </c>
      <c r="AA16" s="3">
        <v>16.587222004600001</v>
      </c>
      <c r="AB16" s="3">
        <v>7.7317012851999998</v>
      </c>
      <c r="AC16" s="3">
        <v>0.35360490579999998</v>
      </c>
      <c r="AD16" s="3">
        <v>2.8351616232999999</v>
      </c>
      <c r="AE16" s="3">
        <v>2.3856877582</v>
      </c>
      <c r="AF16" s="3">
        <v>2.8605882071000002</v>
      </c>
      <c r="AG16" s="3">
        <v>2.6033472603000001</v>
      </c>
      <c r="AH16" s="3">
        <v>-2.2004935073</v>
      </c>
      <c r="AI16" s="3">
        <v>-3.1365456142000001</v>
      </c>
      <c r="AJ16" s="3">
        <v>12.9626075812</v>
      </c>
      <c r="AK16" s="3">
        <v>4.0093111538999997</v>
      </c>
      <c r="AL16" s="3">
        <v>2.6448107114999999</v>
      </c>
      <c r="AM16" s="3">
        <v>3.0643319448000002</v>
      </c>
      <c r="AN16" s="3">
        <v>-2.2899913248999999</v>
      </c>
      <c r="AO16" s="3">
        <v>2.7826457163999998</v>
      </c>
      <c r="AP16" s="3">
        <v>4.3728000640999998</v>
      </c>
      <c r="AQ16" s="3">
        <v>0.82790606239999998</v>
      </c>
      <c r="AR16" s="3">
        <v>4.7671405187999998</v>
      </c>
      <c r="AS16" s="3">
        <v>15.6185433443626</v>
      </c>
      <c r="AT16" s="3">
        <v>6.9203252562098303</v>
      </c>
      <c r="AU16" s="3">
        <v>11.4190454625992</v>
      </c>
      <c r="AV16" s="3">
        <v>18.6862662700816</v>
      </c>
      <c r="AW16" s="3">
        <v>9.9423812708465196</v>
      </c>
      <c r="AX16" s="3">
        <v>17.371430955934098</v>
      </c>
      <c r="AY16" s="3">
        <v>12.4242694370788</v>
      </c>
      <c r="AZ16" s="3">
        <v>10.889982754449299</v>
      </c>
      <c r="BA16" s="3">
        <v>10.6992194971663</v>
      </c>
      <c r="BB16" s="3">
        <v>14.495653725388401</v>
      </c>
      <c r="BC16" s="3">
        <v>9.1529797968850204</v>
      </c>
      <c r="BD16" s="3">
        <v>14.143091860524301</v>
      </c>
      <c r="BE16" s="3">
        <v>6.0551944865698797</v>
      </c>
      <c r="BF16" s="3">
        <v>5.27750490765452</v>
      </c>
      <c r="BG16" s="3">
        <v>5.56976093016908</v>
      </c>
      <c r="BH16" s="3">
        <v>3.1681428540474599</v>
      </c>
      <c r="BI16" s="3">
        <v>5.6117403416726903</v>
      </c>
      <c r="BJ16" s="3">
        <v>3.3918122702599498</v>
      </c>
      <c r="BK16" s="3">
        <v>10.212105969219801</v>
      </c>
      <c r="BL16" s="3">
        <v>11.1317996358102</v>
      </c>
      <c r="BM16" s="3">
        <v>12.6245489343396</v>
      </c>
    </row>
    <row r="17" spans="1:65" x14ac:dyDescent="0.2">
      <c r="A17" s="1" t="s">
        <v>180</v>
      </c>
      <c r="B17" s="1" t="s">
        <v>354</v>
      </c>
      <c r="C17" s="1" t="s">
        <v>355</v>
      </c>
      <c r="D17" s="3">
        <v>27.064600345900001</v>
      </c>
      <c r="E17" s="3">
        <v>10.0321859628</v>
      </c>
      <c r="F17" s="3">
        <v>1.5018244191000001</v>
      </c>
      <c r="G17" s="3">
        <v>7.5214179117000004</v>
      </c>
      <c r="H17" s="3">
        <v>6.5398970400999996</v>
      </c>
      <c r="I17" s="3">
        <v>-5.7441865670999999</v>
      </c>
      <c r="J17" s="3">
        <v>1.5413394449</v>
      </c>
      <c r="K17" s="3">
        <v>8.3911143673000002</v>
      </c>
      <c r="L17" s="3">
        <v>3.0630034525999998</v>
      </c>
      <c r="M17" s="3">
        <v>12.335770026100001</v>
      </c>
      <c r="N17" s="3">
        <v>11.2572100999</v>
      </c>
      <c r="O17" s="3">
        <v>11.572004445699999</v>
      </c>
      <c r="P17" s="3">
        <v>6.5628385633999997</v>
      </c>
      <c r="Q17" s="3">
        <v>8.5352867048000007</v>
      </c>
      <c r="R17" s="3">
        <v>9.7382040940000003</v>
      </c>
      <c r="S17" s="3">
        <v>10.7126422534</v>
      </c>
      <c r="T17" s="3">
        <v>6.9257754533</v>
      </c>
      <c r="U17" s="3">
        <v>0.80031794410000001</v>
      </c>
      <c r="V17" s="3">
        <v>1.3828652883000001</v>
      </c>
      <c r="W17" s="3">
        <v>0.25159953499999999</v>
      </c>
      <c r="X17" s="3">
        <v>14.568575083700001</v>
      </c>
      <c r="Y17" s="3">
        <v>49.376317022099997</v>
      </c>
      <c r="Z17" s="3">
        <v>33.4872296279</v>
      </c>
      <c r="AA17" s="3">
        <v>9.9912332054000004</v>
      </c>
      <c r="AB17" s="3">
        <v>10.189992355699999</v>
      </c>
      <c r="AC17" s="3">
        <v>15.5209168889</v>
      </c>
      <c r="AD17" s="3">
        <v>-1.7321514585</v>
      </c>
      <c r="AE17" s="3">
        <v>-5.5458654274999999</v>
      </c>
      <c r="AF17" s="3">
        <v>14.7656660691</v>
      </c>
      <c r="AG17" s="3">
        <v>8.1266842503000003</v>
      </c>
      <c r="AH17" s="3">
        <v>8.1266842503000003</v>
      </c>
      <c r="AI17" s="3">
        <v>-5.0977201150999996</v>
      </c>
      <c r="AJ17" s="3">
        <v>2.8541047688000001</v>
      </c>
      <c r="AK17" s="3">
        <v>2.8541047688000001</v>
      </c>
      <c r="AL17" s="3">
        <v>0.29314018800000002</v>
      </c>
      <c r="AM17" s="3">
        <v>3.1292617059999999</v>
      </c>
      <c r="AN17" s="3">
        <v>-0.38934005350000001</v>
      </c>
      <c r="AO17" s="3">
        <v>0.65282899729999999</v>
      </c>
      <c r="AP17" s="3">
        <v>4.3287522278999999</v>
      </c>
      <c r="AQ17" s="3">
        <v>1.6397355065000001</v>
      </c>
      <c r="AR17" s="3">
        <v>4.1113568104000002</v>
      </c>
      <c r="AS17" s="3">
        <v>7.6542338324971597</v>
      </c>
      <c r="AT17" s="3">
        <v>15.887426900019801</v>
      </c>
      <c r="AU17" s="3">
        <v>11.6881442645797</v>
      </c>
      <c r="AV17" s="3">
        <v>10.4397573065063</v>
      </c>
      <c r="AW17" s="3">
        <v>12.5691541360339</v>
      </c>
      <c r="AX17" s="3">
        <v>12.7356707745401</v>
      </c>
      <c r="AY17" s="3">
        <v>13.274387334019201</v>
      </c>
      <c r="AZ17" s="3">
        <v>21.8512947148905</v>
      </c>
      <c r="BA17" s="3">
        <v>13.346878313106201</v>
      </c>
      <c r="BB17" s="3">
        <v>16.1830353181549</v>
      </c>
      <c r="BC17" s="3">
        <v>10.2830747785183</v>
      </c>
      <c r="BD17" s="3">
        <v>9.9131215153622101</v>
      </c>
      <c r="BE17" s="3">
        <v>1.17377137974338</v>
      </c>
      <c r="BF17" s="3">
        <v>6.6138636617487698</v>
      </c>
      <c r="BG17" s="3">
        <v>8.5239877842563505</v>
      </c>
      <c r="BH17" s="3">
        <v>2.6113578716347101</v>
      </c>
      <c r="BI17" s="3">
        <v>6.1718707301062903</v>
      </c>
      <c r="BJ17" s="3">
        <v>-2.2976918796908201</v>
      </c>
      <c r="BK17" s="3">
        <v>14.2292622063551</v>
      </c>
      <c r="BL17" s="3">
        <v>11.328334418626801</v>
      </c>
      <c r="BM17" s="3">
        <v>10.0260752622025</v>
      </c>
    </row>
    <row r="18" spans="1:65" x14ac:dyDescent="0.2">
      <c r="A18" s="1" t="s">
        <v>191</v>
      </c>
      <c r="B18" s="1" t="s">
        <v>356</v>
      </c>
      <c r="C18" s="1" t="s">
        <v>357</v>
      </c>
      <c r="D18" s="3">
        <v>12.938652972</v>
      </c>
      <c r="E18" s="3">
        <v>-21.518799484199999</v>
      </c>
      <c r="F18" s="3">
        <v>-1.7546181809000001</v>
      </c>
      <c r="G18" s="3">
        <v>1.4414221819999999</v>
      </c>
      <c r="H18" s="3">
        <v>1.5449004942</v>
      </c>
      <c r="I18" s="3">
        <v>14.0466057805</v>
      </c>
      <c r="J18" s="3">
        <v>-9.3575563984999999</v>
      </c>
      <c r="K18" s="3">
        <v>0.99908101969999996</v>
      </c>
      <c r="L18" s="3">
        <v>9.6684124059999998</v>
      </c>
      <c r="M18" s="3">
        <v>13.6142047012</v>
      </c>
      <c r="N18" s="3">
        <v>10.015715183699999</v>
      </c>
      <c r="O18" s="3">
        <v>-3.0965723377000001</v>
      </c>
      <c r="P18" s="3">
        <v>29.803741274</v>
      </c>
      <c r="Q18" s="3">
        <v>6.7208365068000004</v>
      </c>
      <c r="R18" s="3">
        <v>21.811213320099998</v>
      </c>
      <c r="S18" s="3">
        <v>26.089071551100002</v>
      </c>
      <c r="T18" s="3">
        <v>-20.6016359425</v>
      </c>
      <c r="U18" s="3">
        <v>18.802921277100001</v>
      </c>
      <c r="V18" s="3">
        <v>1.6990454988000001</v>
      </c>
      <c r="W18" s="3">
        <v>3.5992127448</v>
      </c>
      <c r="X18" s="3">
        <v>6.9986432958</v>
      </c>
      <c r="Y18" s="3">
        <v>57.539106601699999</v>
      </c>
      <c r="Z18" s="3">
        <v>49.0251782689</v>
      </c>
      <c r="AA18" s="3">
        <v>11.2674402968</v>
      </c>
      <c r="AB18" s="3">
        <v>7.3117943137000001</v>
      </c>
      <c r="AC18" s="3">
        <v>1.6405895508999999</v>
      </c>
      <c r="AD18" s="3">
        <v>7.1122346891000001</v>
      </c>
      <c r="AE18" s="3">
        <v>3.1215416965</v>
      </c>
      <c r="AF18" s="3">
        <v>0.49457605180000003</v>
      </c>
      <c r="AG18" s="3">
        <v>4.5559099439999997</v>
      </c>
      <c r="AH18" s="3">
        <v>-2.4017604589000001</v>
      </c>
      <c r="AI18" s="3">
        <v>5.3938427715000001</v>
      </c>
      <c r="AJ18" s="3">
        <v>7.6408655187000001</v>
      </c>
      <c r="AK18" s="3">
        <v>1.9827757037</v>
      </c>
      <c r="AL18" s="3">
        <v>3.3608865097999998</v>
      </c>
      <c r="AM18" s="3">
        <v>1.2278469558</v>
      </c>
      <c r="AN18" s="3">
        <v>0.15972512229999999</v>
      </c>
      <c r="AO18" s="3">
        <v>1.5937577081000001</v>
      </c>
      <c r="AP18" s="3">
        <v>3.2068563964000001</v>
      </c>
      <c r="AQ18" s="3">
        <v>2.0750978473999999</v>
      </c>
      <c r="AR18" s="3">
        <v>1.7454978587000001</v>
      </c>
      <c r="AS18" s="3">
        <v>18.143088898981901</v>
      </c>
      <c r="AT18" s="3">
        <v>11.783382834807</v>
      </c>
      <c r="AU18" s="3">
        <v>13.8774083047812</v>
      </c>
      <c r="AV18" s="3">
        <v>24.726335378236801</v>
      </c>
      <c r="AW18" s="3">
        <v>2.81132905574187</v>
      </c>
      <c r="AX18" s="3">
        <v>17.961850119593802</v>
      </c>
      <c r="AY18" s="3">
        <v>16.929281246952801</v>
      </c>
      <c r="AZ18" s="3">
        <v>17.5373232208315</v>
      </c>
      <c r="BA18" s="3">
        <v>16.490136196942199</v>
      </c>
      <c r="BB18" s="3">
        <v>10.3939145523662</v>
      </c>
      <c r="BC18" s="3">
        <v>9.2392524046549092</v>
      </c>
      <c r="BD18" s="3">
        <v>20.5855638129546</v>
      </c>
      <c r="BE18" s="3">
        <v>3.7806383644655202</v>
      </c>
      <c r="BF18" s="3">
        <v>5.7912367419753901</v>
      </c>
      <c r="BG18" s="3">
        <v>9.53379048769348</v>
      </c>
      <c r="BH18" s="3">
        <v>11.0499663169453</v>
      </c>
      <c r="BI18" s="3">
        <v>4.7686431916143297</v>
      </c>
      <c r="BJ18" s="3">
        <v>6.8405045510406799</v>
      </c>
      <c r="BK18" s="3">
        <v>13.542961101221801</v>
      </c>
      <c r="BL18" s="3">
        <v>13.753606364763799</v>
      </c>
      <c r="BM18" s="3">
        <v>11.096872438370699</v>
      </c>
    </row>
    <row r="19" spans="1:65" x14ac:dyDescent="0.2">
      <c r="A19" s="1" t="s">
        <v>200</v>
      </c>
      <c r="B19" s="1" t="s">
        <v>358</v>
      </c>
      <c r="C19" s="1" t="s">
        <v>359</v>
      </c>
      <c r="D19" s="3">
        <v>84.372774332299997</v>
      </c>
      <c r="E19" s="3">
        <v>18.548269935299999</v>
      </c>
      <c r="F19" s="3">
        <v>11.8833634357</v>
      </c>
      <c r="G19" s="3">
        <v>21.491311195800002</v>
      </c>
      <c r="H19" s="3">
        <v>2.3616057677</v>
      </c>
      <c r="I19" s="3">
        <v>17.553893191499998</v>
      </c>
      <c r="J19" s="3">
        <v>7.5808153984000004</v>
      </c>
      <c r="K19" s="3">
        <v>-7.8410405894000004</v>
      </c>
      <c r="L19" s="3">
        <v>34.571902952400002</v>
      </c>
      <c r="M19" s="3">
        <v>-18.396507117799999</v>
      </c>
      <c r="N19" s="3">
        <v>20.954997193600001</v>
      </c>
      <c r="O19" s="3">
        <v>27.3506036225</v>
      </c>
      <c r="P19" s="3">
        <v>21.401583416699999</v>
      </c>
      <c r="Q19" s="3">
        <v>9.0000922313</v>
      </c>
      <c r="R19" s="3">
        <v>3.1272269864000002</v>
      </c>
      <c r="S19" s="3">
        <v>13.457608496400001</v>
      </c>
      <c r="T19" s="3">
        <v>-13.8823957853</v>
      </c>
      <c r="U19" s="3">
        <v>5.4762398897000004</v>
      </c>
      <c r="V19" s="3">
        <v>17.692312637200001</v>
      </c>
      <c r="W19" s="3">
        <v>3.97657072E-2</v>
      </c>
      <c r="X19" s="3">
        <v>23.152690346100002</v>
      </c>
      <c r="Y19" s="3">
        <v>95.191990515300006</v>
      </c>
      <c r="Z19" s="3">
        <v>24.654170073700001</v>
      </c>
      <c r="AA19" s="3">
        <v>9.1774408047999998</v>
      </c>
      <c r="AB19" s="3">
        <v>3.1409122662</v>
      </c>
      <c r="AC19" s="3">
        <v>16.769400866200002</v>
      </c>
      <c r="AD19" s="3">
        <v>0.1513853228</v>
      </c>
      <c r="AE19" s="3">
        <v>4.4339009437000003</v>
      </c>
      <c r="AF19" s="3">
        <v>-7.5787188800000002E-2</v>
      </c>
      <c r="AG19" s="3">
        <v>-3.2257103000000002E-2</v>
      </c>
      <c r="AH19" s="3">
        <v>-0.1324649795</v>
      </c>
      <c r="AI19" s="3">
        <v>10.0070234502</v>
      </c>
      <c r="AJ19" s="3">
        <v>5.5128549386000003</v>
      </c>
      <c r="AK19" s="3">
        <v>1.7839985526</v>
      </c>
      <c r="AL19" s="3">
        <v>5.3582874566000003</v>
      </c>
      <c r="AM19" s="3">
        <v>1.5364192318000001</v>
      </c>
      <c r="AN19" s="3">
        <v>3.1964670304</v>
      </c>
      <c r="AO19" s="3">
        <v>0.50073081699999999</v>
      </c>
      <c r="AP19" s="3">
        <v>5.3795916731000002</v>
      </c>
      <c r="AQ19" s="3">
        <v>3.8265438065000001</v>
      </c>
      <c r="AR19" s="3">
        <v>1.9781436959000001</v>
      </c>
      <c r="AS19" s="3">
        <v>24.710740996432101</v>
      </c>
      <c r="AT19" s="3">
        <v>12.188465489283701</v>
      </c>
      <c r="AU19" s="3">
        <v>3.2506498704390299</v>
      </c>
      <c r="AV19" s="3">
        <v>7.9895213496569601</v>
      </c>
      <c r="AW19" s="3">
        <v>20.022461445240701</v>
      </c>
      <c r="AX19" s="3">
        <v>12.393381419163401</v>
      </c>
      <c r="AY19" s="3">
        <v>5.9196060762610498</v>
      </c>
      <c r="AZ19" s="3">
        <v>14.5059383366759</v>
      </c>
      <c r="BA19" s="3">
        <v>14.172410852491</v>
      </c>
      <c r="BB19" s="3">
        <v>11.083416893773601</v>
      </c>
      <c r="BC19" s="3">
        <v>16.756850413543201</v>
      </c>
      <c r="BD19" s="3">
        <v>4.37896981955969</v>
      </c>
      <c r="BE19" s="3">
        <v>8.2964500390079507</v>
      </c>
      <c r="BF19" s="3">
        <v>6.59251802821022</v>
      </c>
      <c r="BG19" s="3">
        <v>4.8987088469086402</v>
      </c>
      <c r="BH19" s="3">
        <v>4.3965899519254998</v>
      </c>
      <c r="BI19" s="3">
        <v>5.9876982811532802</v>
      </c>
      <c r="BJ19" s="3">
        <v>4.6214878384363596</v>
      </c>
      <c r="BK19" s="3">
        <v>12.7154289488968</v>
      </c>
      <c r="BL19" s="3">
        <v>11.752900446537399</v>
      </c>
      <c r="BM19" s="3">
        <v>9.1616205902047607</v>
      </c>
    </row>
    <row r="20" spans="1:65" x14ac:dyDescent="0.2">
      <c r="A20" s="1" t="s">
        <v>221</v>
      </c>
      <c r="B20" s="1" t="s">
        <v>360</v>
      </c>
      <c r="C20" s="1" t="s">
        <v>361</v>
      </c>
      <c r="D20" s="3">
        <v>24.4001122403</v>
      </c>
      <c r="E20" s="3">
        <v>10.0023267465</v>
      </c>
      <c r="F20" s="3">
        <v>10.7736758275</v>
      </c>
      <c r="G20" s="3">
        <v>4.9205799571000002</v>
      </c>
      <c r="H20" s="3">
        <v>3.3120380825</v>
      </c>
      <c r="I20" s="3">
        <v>6.3300933563999999</v>
      </c>
      <c r="J20" s="3">
        <v>2.7583781063999999</v>
      </c>
      <c r="K20" s="3">
        <v>7.3191743917999998</v>
      </c>
      <c r="L20" s="3">
        <v>8.1352913894000007</v>
      </c>
      <c r="M20" s="3">
        <v>7.4992463184</v>
      </c>
      <c r="N20" s="3">
        <v>3.1275636351</v>
      </c>
      <c r="O20" s="3">
        <v>11.895853801599999</v>
      </c>
      <c r="P20" s="3">
        <v>4.8415259352</v>
      </c>
      <c r="Q20" s="3">
        <v>7.5464842867000002</v>
      </c>
      <c r="R20" s="3">
        <v>9.7806158008999997</v>
      </c>
      <c r="S20" s="3">
        <v>-1.5027374995</v>
      </c>
      <c r="T20" s="3">
        <v>10.2605571405</v>
      </c>
      <c r="U20" s="3">
        <v>2.5398460599999999E-2</v>
      </c>
      <c r="V20" s="3">
        <v>-1.4805440572999999</v>
      </c>
      <c r="W20" s="3">
        <v>6.4823266970000004</v>
      </c>
      <c r="X20" s="3">
        <v>42.269139152000001</v>
      </c>
      <c r="Y20" s="3">
        <v>48.295271774200003</v>
      </c>
      <c r="Z20" s="3">
        <v>27.4638427117</v>
      </c>
      <c r="AA20" s="3">
        <v>-1.7945037339000001</v>
      </c>
      <c r="AB20" s="3">
        <v>8.2215640573000002</v>
      </c>
      <c r="AC20" s="3">
        <v>0.44461928480000001</v>
      </c>
      <c r="AD20" s="3">
        <v>0.70215986090000004</v>
      </c>
      <c r="AE20" s="3">
        <v>3.0094762050999999</v>
      </c>
      <c r="AF20" s="3">
        <v>-4.1676180194999999</v>
      </c>
      <c r="AG20" s="3">
        <v>0.63463393369999999</v>
      </c>
      <c r="AH20" s="3">
        <v>-1.732214766</v>
      </c>
      <c r="AI20" s="3">
        <v>1.3570104867999999</v>
      </c>
      <c r="AJ20" s="3">
        <v>2.3815772756000002</v>
      </c>
      <c r="AK20" s="3">
        <v>2.5367896176000002</v>
      </c>
      <c r="AL20" s="3">
        <v>0.98903988279999999</v>
      </c>
      <c r="AM20" s="3">
        <v>0.95307830419999995</v>
      </c>
      <c r="AN20" s="3">
        <v>0.78200684740000004</v>
      </c>
      <c r="AO20" s="3">
        <v>0.44189160830000002</v>
      </c>
      <c r="AP20" s="3">
        <v>2.5746961428000001</v>
      </c>
      <c r="AQ20" s="3">
        <v>0.87374469190000004</v>
      </c>
      <c r="AR20" s="3">
        <v>3.8236423075000001</v>
      </c>
      <c r="AS20" s="3">
        <v>9.9450832849481401</v>
      </c>
      <c r="AT20" s="3">
        <v>19.031681227810498</v>
      </c>
      <c r="AU20" s="3">
        <v>11.8667178360498</v>
      </c>
      <c r="AV20" s="3">
        <v>11.084058569738101</v>
      </c>
      <c r="AW20" s="3">
        <v>7.9936772686715099</v>
      </c>
      <c r="AX20" s="3">
        <v>16.863701898007601</v>
      </c>
      <c r="AY20" s="3">
        <v>3.5330572810293202</v>
      </c>
      <c r="AZ20" s="3">
        <v>14.862024787005801</v>
      </c>
      <c r="BA20" s="3">
        <v>13.984366150160801</v>
      </c>
      <c r="BB20" s="3">
        <v>12.114070985000501</v>
      </c>
      <c r="BC20" s="3">
        <v>9.2785684972148399</v>
      </c>
      <c r="BD20" s="3">
        <v>6.82091640485553</v>
      </c>
      <c r="BE20" s="3">
        <v>-1.77891579879934</v>
      </c>
      <c r="BF20" s="3">
        <v>-2.8427611421150001</v>
      </c>
      <c r="BG20" s="3">
        <v>4.8726426039865904</v>
      </c>
      <c r="BH20" s="3">
        <v>12.991757389397099</v>
      </c>
      <c r="BI20" s="3">
        <v>2.7763877999862601</v>
      </c>
      <c r="BJ20" s="3">
        <v>-3.3470023871449701</v>
      </c>
      <c r="BK20" s="3">
        <v>25.931402282462798</v>
      </c>
      <c r="BL20" s="3">
        <v>21.511768539980199</v>
      </c>
      <c r="BM20" s="3">
        <v>1.6782907675559</v>
      </c>
    </row>
    <row r="21" spans="1:65" x14ac:dyDescent="0.2">
      <c r="A21" s="1" t="s">
        <v>234</v>
      </c>
      <c r="B21" s="1" t="s">
        <v>362</v>
      </c>
      <c r="C21" s="1" t="s">
        <v>363</v>
      </c>
      <c r="D21" s="3">
        <v>53.712154805300003</v>
      </c>
      <c r="E21" s="3">
        <v>5.2361106713999996</v>
      </c>
      <c r="F21" s="3">
        <v>8.6949268543000002</v>
      </c>
      <c r="G21" s="3">
        <v>7.7554049986000004</v>
      </c>
      <c r="H21" s="3">
        <v>9.7972662160000006</v>
      </c>
      <c r="I21" s="3">
        <v>-5.3143640349999997</v>
      </c>
      <c r="J21" s="3">
        <v>-19.839272482799998</v>
      </c>
      <c r="K21" s="3">
        <v>9.8806914908000003</v>
      </c>
      <c r="L21" s="3">
        <v>13.379981685300001</v>
      </c>
      <c r="M21" s="3">
        <v>17.639210625299999</v>
      </c>
      <c r="N21" s="3">
        <v>-0.74043699590000001</v>
      </c>
      <c r="O21" s="3">
        <v>-10.998104725399999</v>
      </c>
      <c r="P21" s="3">
        <v>62.112185329600003</v>
      </c>
      <c r="Q21" s="3">
        <v>14.7222070367</v>
      </c>
      <c r="R21" s="3">
        <v>3.4639324016000002</v>
      </c>
      <c r="S21" s="3">
        <v>16.820654136400002</v>
      </c>
      <c r="T21" s="3">
        <v>1.7815892705</v>
      </c>
      <c r="U21" s="3">
        <v>-1.0013665409000001</v>
      </c>
      <c r="V21" s="3">
        <v>4.1049617926000002</v>
      </c>
      <c r="W21" s="3">
        <v>2.7399201058</v>
      </c>
      <c r="X21" s="3">
        <v>-15.5564926633</v>
      </c>
      <c r="Y21" s="3">
        <v>76.334636866400004</v>
      </c>
      <c r="Z21" s="3">
        <v>53.973185760500002</v>
      </c>
      <c r="AA21" s="3">
        <v>30.665286535100002</v>
      </c>
      <c r="AB21" s="3">
        <v>10.570365778099999</v>
      </c>
      <c r="AC21" s="3">
        <v>23.640313989300001</v>
      </c>
      <c r="AD21" s="3">
        <v>-12.2045235531</v>
      </c>
      <c r="AE21" s="3">
        <v>9.1920626722000005</v>
      </c>
      <c r="AF21" s="3">
        <v>-13.527150882000001</v>
      </c>
      <c r="AG21" s="3">
        <v>20.106626588800001</v>
      </c>
      <c r="AH21" s="3">
        <v>20.106626588800001</v>
      </c>
      <c r="AI21" s="3">
        <v>13.2062950322</v>
      </c>
      <c r="AJ21" s="3">
        <v>6.9735782957000003</v>
      </c>
      <c r="AK21" s="3">
        <v>6.9735782957000003</v>
      </c>
      <c r="AL21" s="3">
        <v>2.7185558662</v>
      </c>
      <c r="AM21" s="3">
        <v>4.5505668365999998</v>
      </c>
      <c r="AN21" s="3">
        <v>0.95406378459999996</v>
      </c>
      <c r="AO21" s="3">
        <v>2.6152849069999999</v>
      </c>
      <c r="AP21" s="3">
        <v>4.6359671983000004</v>
      </c>
      <c r="AQ21" s="3">
        <v>1.9281087655</v>
      </c>
      <c r="AR21" s="3">
        <v>4.9326833487000004</v>
      </c>
      <c r="AS21" s="3">
        <v>9.5721740781523899</v>
      </c>
      <c r="AT21" s="3">
        <v>16.057088383721702</v>
      </c>
      <c r="AU21" s="3">
        <v>15.734160549739199</v>
      </c>
      <c r="AV21" s="3">
        <v>14.640246431622501</v>
      </c>
      <c r="AW21" s="3">
        <v>14.976480686605299</v>
      </c>
      <c r="AX21" s="3">
        <v>9.8053636450648298</v>
      </c>
      <c r="AY21" s="3">
        <v>7.0666939803161801</v>
      </c>
      <c r="AZ21" s="3">
        <v>16.9465720204619</v>
      </c>
      <c r="BA21" s="3">
        <v>13.288625611042001</v>
      </c>
      <c r="BB21" s="3">
        <v>13.2200446784415</v>
      </c>
      <c r="BC21" s="3">
        <v>11.001952331162499</v>
      </c>
      <c r="BD21" s="3">
        <v>4.8606405273356703</v>
      </c>
      <c r="BE21" s="3">
        <v>5.9758026383928504</v>
      </c>
      <c r="BF21" s="3">
        <v>4.2384021887389096</v>
      </c>
      <c r="BG21" s="3">
        <v>7.7560464315890201</v>
      </c>
      <c r="BH21" s="3">
        <v>4.1420197292647503</v>
      </c>
      <c r="BI21" s="3">
        <v>6.52119839159168</v>
      </c>
      <c r="BJ21" s="3">
        <v>0.33689073154129601</v>
      </c>
      <c r="BK21" s="3">
        <v>12.0200806662946</v>
      </c>
      <c r="BL21" s="3">
        <v>17.009770093694101</v>
      </c>
      <c r="BM21" s="3">
        <v>8.4428094857378593</v>
      </c>
    </row>
    <row r="22" spans="1:65" x14ac:dyDescent="0.2">
      <c r="A22" s="1" t="s">
        <v>243</v>
      </c>
      <c r="B22" s="1" t="s">
        <v>364</v>
      </c>
      <c r="C22" s="1" t="s">
        <v>365</v>
      </c>
      <c r="Y22" s="3">
        <v>81.866188730199994</v>
      </c>
      <c r="Z22" s="3">
        <v>228.50308060820001</v>
      </c>
      <c r="AA22" s="3">
        <v>86.538725532699999</v>
      </c>
      <c r="AB22" s="3">
        <v>6.7270298850000003</v>
      </c>
      <c r="AC22" s="3">
        <v>0.74502148530000001</v>
      </c>
      <c r="AD22" s="3">
        <v>4.6355302447</v>
      </c>
      <c r="AE22" s="3">
        <v>3.4359817282999998</v>
      </c>
      <c r="AF22" s="3">
        <v>-0.79729082650000005</v>
      </c>
      <c r="AG22" s="3">
        <v>3.7863655136999999</v>
      </c>
      <c r="AH22" s="3">
        <v>7.3324802867000001</v>
      </c>
      <c r="AI22" s="3">
        <v>2.0295595457000002</v>
      </c>
      <c r="AJ22" s="3">
        <v>8.7841502611000006</v>
      </c>
      <c r="AK22" s="3">
        <v>3.3439589166000001</v>
      </c>
      <c r="AL22" s="3">
        <v>3.4858981519999999</v>
      </c>
      <c r="AM22" s="3">
        <v>0.89722234329999995</v>
      </c>
      <c r="AN22" s="3">
        <v>-1.8602628263000001</v>
      </c>
      <c r="AO22" s="3">
        <v>5.5229284558999998</v>
      </c>
      <c r="AP22" s="3">
        <v>3.4628039594</v>
      </c>
      <c r="AQ22" s="3">
        <v>4.3721820431999996</v>
      </c>
      <c r="AR22" s="3">
        <v>8.0842997876999991</v>
      </c>
      <c r="AS22" s="3">
        <v>26.211528958987</v>
      </c>
      <c r="AT22" s="3">
        <v>16.759992827593798</v>
      </c>
      <c r="AU22" s="3">
        <v>13.695857956656701</v>
      </c>
      <c r="AV22" s="3">
        <v>4.3390326635906904</v>
      </c>
      <c r="AW22" s="3">
        <v>10.5989538031208</v>
      </c>
      <c r="AX22" s="3">
        <v>19.7194338199809</v>
      </c>
      <c r="AY22" s="3">
        <v>14.112765454505301</v>
      </c>
      <c r="AZ22" s="3">
        <v>21.205956296093099</v>
      </c>
      <c r="BA22" s="3">
        <v>15.3373110722834</v>
      </c>
      <c r="BB22" s="3">
        <v>9.2041063417738496</v>
      </c>
      <c r="BC22" s="3">
        <v>3.3497239704682902</v>
      </c>
      <c r="BD22" s="3">
        <v>9.3490902871280408</v>
      </c>
      <c r="BE22" s="3">
        <v>7.44131039180707</v>
      </c>
      <c r="BF22" s="3">
        <v>7.9233093985168104</v>
      </c>
      <c r="BG22" s="3">
        <v>10.2781325430922</v>
      </c>
      <c r="BH22" s="3">
        <v>3.2122122392867301</v>
      </c>
      <c r="BI22" s="3">
        <v>4.8478404651665503</v>
      </c>
      <c r="BJ22" s="3">
        <v>9.5716226866020495</v>
      </c>
      <c r="BK22" s="3">
        <v>12.735494844728899</v>
      </c>
      <c r="BL22" s="3">
        <v>14.827821200279701</v>
      </c>
      <c r="BM22" s="3">
        <v>14.463147447130201</v>
      </c>
    </row>
    <row r="23" spans="1:65" x14ac:dyDescent="0.2">
      <c r="A23" s="1" t="s">
        <v>248</v>
      </c>
      <c r="B23" s="1" t="s">
        <v>366</v>
      </c>
      <c r="C23" s="1" t="s">
        <v>367</v>
      </c>
      <c r="Y23" s="3">
        <v>57.749737373199999</v>
      </c>
      <c r="Z23" s="3">
        <v>83.2057110099</v>
      </c>
      <c r="AA23" s="3">
        <v>73.485366296099997</v>
      </c>
      <c r="AB23" s="3">
        <v>9.0830441216000004</v>
      </c>
      <c r="AC23" s="3">
        <v>12.2354708681</v>
      </c>
      <c r="AD23" s="3">
        <v>10.365136246200001</v>
      </c>
      <c r="AE23" s="3">
        <v>3.4033754025</v>
      </c>
      <c r="AF23" s="3">
        <v>4.3140779006000001</v>
      </c>
      <c r="AG23" s="3">
        <v>6.7503109589000001</v>
      </c>
      <c r="AH23" s="3">
        <v>3.4524140569999999</v>
      </c>
      <c r="AI23" s="3">
        <v>3.9820331808999998</v>
      </c>
      <c r="AJ23" s="3">
        <v>3.5393739375000002</v>
      </c>
      <c r="AK23" s="3">
        <v>4.7350695615999996</v>
      </c>
      <c r="AL23" s="3">
        <v>3.5602807433999999</v>
      </c>
      <c r="AM23" s="3">
        <v>2.5041707052</v>
      </c>
      <c r="AN23" s="3">
        <v>-1.5411310522999999</v>
      </c>
      <c r="AO23" s="3">
        <v>5.4461623946</v>
      </c>
      <c r="AP23" s="3">
        <v>3.963650506</v>
      </c>
      <c r="AQ23" s="3">
        <v>7.2989097815999999</v>
      </c>
      <c r="AR23" s="3">
        <v>8.0578229367999992</v>
      </c>
      <c r="AS23" s="3">
        <v>8.4467062118290297</v>
      </c>
      <c r="AT23" s="3">
        <v>8.8152991367655797</v>
      </c>
      <c r="AU23" s="3">
        <v>13.131594395124999</v>
      </c>
      <c r="AV23" s="3">
        <v>19.071092837481999</v>
      </c>
      <c r="AW23" s="3">
        <v>10.5418819225068</v>
      </c>
      <c r="AX23" s="3">
        <v>15.1918658235835</v>
      </c>
      <c r="AY23" s="3">
        <v>17.144499368218298</v>
      </c>
      <c r="AZ23" s="3">
        <v>17.051820573962299</v>
      </c>
      <c r="BA23" s="3">
        <v>10.0098506585934</v>
      </c>
      <c r="BB23" s="3">
        <v>5.5827449002350704</v>
      </c>
      <c r="BC23" s="3">
        <v>16.848389547669701</v>
      </c>
      <c r="BD23" s="3">
        <v>8.1391563941858092</v>
      </c>
      <c r="BE23" s="3">
        <v>5.1188090625302198</v>
      </c>
      <c r="BF23" s="3">
        <v>7.5206398965918204</v>
      </c>
      <c r="BG23" s="3">
        <v>9.9105467357144992</v>
      </c>
      <c r="BH23" s="3">
        <v>10.4527832928491</v>
      </c>
      <c r="BI23" s="3">
        <v>6.8978296764365199</v>
      </c>
      <c r="BJ23" s="3">
        <v>12.1188181519927</v>
      </c>
      <c r="BK23" s="3">
        <v>13.593768604584699</v>
      </c>
      <c r="BL23" s="3">
        <v>15.8920461414787</v>
      </c>
      <c r="BM23" s="3">
        <v>19.101197790488499</v>
      </c>
    </row>
    <row r="24" spans="1:65" x14ac:dyDescent="0.2">
      <c r="A24" s="1" t="s">
        <v>253</v>
      </c>
      <c r="B24" s="1" t="s">
        <v>368</v>
      </c>
      <c r="C24" s="1" t="s">
        <v>369</v>
      </c>
      <c r="D24" s="3">
        <v>35.342222166200003</v>
      </c>
      <c r="E24" s="3">
        <v>1.2944951767999999</v>
      </c>
      <c r="F24" s="3">
        <v>9.0126295285999998</v>
      </c>
      <c r="G24" s="3">
        <v>3.4263247933000001</v>
      </c>
      <c r="H24" s="3">
        <v>2.8614551254</v>
      </c>
      <c r="I24" s="3">
        <v>8.8416904985000002</v>
      </c>
      <c r="J24" s="3">
        <v>13.833070494299999</v>
      </c>
      <c r="K24" s="3">
        <v>4.5994844604000003</v>
      </c>
      <c r="L24" s="3">
        <v>10.8509881348</v>
      </c>
      <c r="M24" s="3">
        <v>8.1596574398000001</v>
      </c>
      <c r="N24" s="3">
        <v>2.4869071331999999</v>
      </c>
      <c r="O24" s="3">
        <v>6.8801250768999997</v>
      </c>
      <c r="P24" s="3">
        <v>5.8710392055999998</v>
      </c>
      <c r="Q24" s="3">
        <v>7.5890395507999999</v>
      </c>
      <c r="R24" s="3">
        <v>7.3741526239999997</v>
      </c>
      <c r="S24" s="3">
        <v>10.9404500396</v>
      </c>
      <c r="T24" s="3">
        <v>0.57169484049999997</v>
      </c>
      <c r="U24" s="3">
        <v>4.1761399170000004</v>
      </c>
      <c r="V24" s="3">
        <v>0.66438155529999998</v>
      </c>
      <c r="W24" s="3">
        <v>6.0720182995999998</v>
      </c>
      <c r="X24" s="3">
        <v>33.827203137399998</v>
      </c>
      <c r="Y24" s="3">
        <v>60.115202949299999</v>
      </c>
      <c r="Z24" s="3">
        <v>31.922913999999999</v>
      </c>
      <c r="AA24" s="3">
        <v>5.6261380904999996</v>
      </c>
      <c r="AB24" s="3">
        <v>-3.3463800488</v>
      </c>
      <c r="AC24" s="3">
        <v>22.3584785651</v>
      </c>
      <c r="AD24" s="3">
        <v>-8.255879234</v>
      </c>
      <c r="AE24" s="3">
        <v>-8.3849887623000008</v>
      </c>
      <c r="AF24" s="3">
        <v>5.1707574514000001</v>
      </c>
      <c r="AG24" s="3">
        <v>9.1198521309</v>
      </c>
      <c r="AH24" s="3">
        <v>9.1198521309</v>
      </c>
      <c r="AI24" s="3">
        <v>3.1014898346000002</v>
      </c>
      <c r="AJ24" s="3">
        <v>4.2002194654</v>
      </c>
      <c r="AK24" s="3">
        <v>4.2002194654</v>
      </c>
      <c r="AL24" s="3">
        <v>-0.19641479589999999</v>
      </c>
      <c r="AM24" s="3">
        <v>5.8912671663999996</v>
      </c>
      <c r="AN24" s="3">
        <v>-0.85569825610000005</v>
      </c>
      <c r="AO24" s="3">
        <v>1.4027286473</v>
      </c>
      <c r="AP24" s="3">
        <v>4.3087215202999998</v>
      </c>
      <c r="AQ24" s="3">
        <v>2.0202148088</v>
      </c>
      <c r="AR24" s="3">
        <v>1.7070584118000001</v>
      </c>
      <c r="AS24" s="3">
        <v>20.717011428880902</v>
      </c>
      <c r="AT24" s="3">
        <v>9.9449129015692606</v>
      </c>
      <c r="AU24" s="3">
        <v>3.9412120259644001</v>
      </c>
      <c r="AV24" s="3">
        <v>8.2572611883526594</v>
      </c>
      <c r="AW24" s="3">
        <v>13.8103197871486</v>
      </c>
      <c r="AX24" s="3">
        <v>13.2254644361358</v>
      </c>
      <c r="AY24" s="3">
        <v>7.4200342783267796</v>
      </c>
      <c r="AZ24" s="3">
        <v>18.059768937757902</v>
      </c>
      <c r="BA24" s="3">
        <v>9.8683251810149404</v>
      </c>
      <c r="BB24" s="3">
        <v>8.50030470494249</v>
      </c>
      <c r="BC24" s="3">
        <v>15.5451060188499</v>
      </c>
      <c r="BD24" s="3">
        <v>7.6810883907220902</v>
      </c>
      <c r="BE24" s="3">
        <v>6.7565867239230002</v>
      </c>
      <c r="BF24" s="3">
        <v>7.0150382310677202</v>
      </c>
      <c r="BG24" s="3">
        <v>3.54229206184558</v>
      </c>
      <c r="BH24" s="3">
        <v>8.0383460254630208</v>
      </c>
      <c r="BI24" s="3">
        <v>5.5041660970294402</v>
      </c>
      <c r="BJ24" s="3">
        <v>-2.3882251883749701</v>
      </c>
      <c r="BK24" s="3">
        <v>23.430033227499599</v>
      </c>
      <c r="BL24" s="3">
        <v>2.1246044549823</v>
      </c>
      <c r="BM24" s="3">
        <v>9.5131678315759203</v>
      </c>
    </row>
    <row r="25" spans="1:65" x14ac:dyDescent="0.2">
      <c r="A25" s="1" t="s">
        <v>268</v>
      </c>
      <c r="B25" s="1" t="s">
        <v>370</v>
      </c>
      <c r="C25" s="1" t="s">
        <v>371</v>
      </c>
      <c r="D25" s="3">
        <v>83.283623300299993</v>
      </c>
      <c r="E25" s="3">
        <v>1.5711534047</v>
      </c>
      <c r="F25" s="3">
        <v>2.3702704155999998</v>
      </c>
      <c r="G25" s="3">
        <v>-0.2433419443</v>
      </c>
      <c r="H25" s="3">
        <v>2.2809892475</v>
      </c>
      <c r="I25" s="3">
        <v>8.2906570510000002</v>
      </c>
      <c r="J25" s="3">
        <v>14.368570807399999</v>
      </c>
      <c r="K25" s="3">
        <v>-4.2374320945999999</v>
      </c>
      <c r="L25" s="3">
        <v>23.9233521807</v>
      </c>
      <c r="M25" s="3">
        <v>4.0198879613000003</v>
      </c>
      <c r="N25" s="3">
        <v>1.1170181986000001</v>
      </c>
      <c r="O25" s="3">
        <v>15.3844606818</v>
      </c>
      <c r="P25" s="3">
        <v>7.4162504442000001</v>
      </c>
      <c r="Q25" s="3">
        <v>11.0457625792</v>
      </c>
      <c r="R25" s="3">
        <v>5.88929875</v>
      </c>
      <c r="S25" s="3">
        <v>-2.1576331137000002</v>
      </c>
      <c r="T25" s="3">
        <v>-0.55608356329999997</v>
      </c>
      <c r="U25" s="3">
        <v>4.7423596311000003</v>
      </c>
      <c r="V25" s="3">
        <v>-2.2947170260999998</v>
      </c>
      <c r="W25" s="3">
        <v>23.113935678899999</v>
      </c>
      <c r="X25" s="3">
        <v>45.039741369300003</v>
      </c>
      <c r="Y25" s="3">
        <v>70.085718886500004</v>
      </c>
      <c r="Z25" s="3">
        <v>65.147184914500002</v>
      </c>
      <c r="AA25" s="3">
        <v>7.0597051397000001</v>
      </c>
      <c r="AB25" s="3">
        <v>9.3472978547000007</v>
      </c>
      <c r="AC25" s="3">
        <v>4.3396284488000001</v>
      </c>
      <c r="AD25" s="3">
        <v>-0.68234938639999998</v>
      </c>
      <c r="AE25" s="3">
        <v>4.5950821104999999</v>
      </c>
      <c r="AF25" s="3">
        <v>-2.4361753090999998</v>
      </c>
      <c r="AG25" s="3">
        <v>2.8066166022000001</v>
      </c>
      <c r="AH25" s="3">
        <v>3.5078450253</v>
      </c>
      <c r="AI25" s="3">
        <v>5.5828082093000004</v>
      </c>
      <c r="AJ25" s="3">
        <v>3.3429382574000002</v>
      </c>
      <c r="AK25" s="3">
        <v>5.7742381824000004</v>
      </c>
      <c r="AL25" s="3">
        <v>3.5952534909999998</v>
      </c>
      <c r="AM25" s="3">
        <v>4.5108666893000002</v>
      </c>
      <c r="AN25" s="3">
        <v>-6.8400185599999996E-2</v>
      </c>
      <c r="AO25" s="3">
        <v>1.7824788009999999</v>
      </c>
      <c r="AP25" s="3">
        <v>4.1822738197999998</v>
      </c>
      <c r="AQ25" s="3">
        <v>3.1917973760999998</v>
      </c>
      <c r="AR25" s="3">
        <v>2.0320335613</v>
      </c>
      <c r="AS25" s="3">
        <v>17.65096891916</v>
      </c>
      <c r="AT25" s="3">
        <v>14.852913427347501</v>
      </c>
      <c r="AU25" s="3">
        <v>10.772058385063399</v>
      </c>
      <c r="AV25" s="3">
        <v>11.6668218285383</v>
      </c>
      <c r="AW25" s="3">
        <v>13.9074932248613</v>
      </c>
      <c r="AX25" s="3">
        <v>17.111243114353201</v>
      </c>
      <c r="AY25" s="3">
        <v>6.2738302835251698</v>
      </c>
      <c r="AZ25" s="3">
        <v>19.076492231302201</v>
      </c>
      <c r="BA25" s="3">
        <v>13.232838995161</v>
      </c>
      <c r="BB25" s="3">
        <v>10.183547354469299</v>
      </c>
      <c r="BC25" s="3">
        <v>11.8447463279633</v>
      </c>
      <c r="BD25" s="3">
        <v>13.072041361630101</v>
      </c>
      <c r="BE25" s="3">
        <v>2.6906535963996099</v>
      </c>
      <c r="BF25" s="3">
        <v>3.0813545974182799</v>
      </c>
      <c r="BG25" s="3">
        <v>7.9903388241792896</v>
      </c>
      <c r="BH25" s="3">
        <v>7.5582771619299303</v>
      </c>
      <c r="BI25" s="3">
        <v>8.3952021260040404</v>
      </c>
      <c r="BJ25" s="3">
        <v>8.0464173265123105</v>
      </c>
      <c r="BK25" s="3">
        <v>22.702990299197399</v>
      </c>
      <c r="BL25" s="3">
        <v>8.7974278498644107</v>
      </c>
      <c r="BM25" s="3">
        <v>10.105401457391199</v>
      </c>
    </row>
    <row r="26" spans="1:65" x14ac:dyDescent="0.2">
      <c r="A26" s="1" t="s">
        <v>281</v>
      </c>
      <c r="B26" s="1" t="s">
        <v>372</v>
      </c>
      <c r="C26" s="1" t="s">
        <v>373</v>
      </c>
      <c r="D26" s="3">
        <v>29.838008678400001</v>
      </c>
      <c r="E26" s="3">
        <v>7.1126668141999998</v>
      </c>
      <c r="F26" s="3">
        <v>7.5952845679000003</v>
      </c>
      <c r="G26" s="3">
        <v>-7.2778218438</v>
      </c>
      <c r="H26" s="3">
        <v>26.825806576000002</v>
      </c>
      <c r="I26" s="3">
        <v>3.1143454258999999</v>
      </c>
      <c r="J26" s="3">
        <v>0.24552460540000001</v>
      </c>
      <c r="K26" s="3">
        <v>-6.4942342306</v>
      </c>
      <c r="L26" s="3">
        <v>0.65964818020000004</v>
      </c>
      <c r="M26" s="3">
        <v>16.687910409400001</v>
      </c>
      <c r="N26" s="3">
        <v>7.9951894280999998</v>
      </c>
      <c r="O26" s="3">
        <v>14.9363499001</v>
      </c>
      <c r="P26" s="3">
        <v>11.945711791100001</v>
      </c>
      <c r="Q26" s="3">
        <v>2.9934720420000001</v>
      </c>
      <c r="R26" s="3">
        <v>14.574700501400001</v>
      </c>
      <c r="S26" s="3">
        <v>22.314829524499999</v>
      </c>
      <c r="T26" s="3">
        <v>-7.5397299994999996</v>
      </c>
      <c r="U26" s="3">
        <v>-3.7993923350999999</v>
      </c>
      <c r="V26" s="3">
        <v>4.6952794182000002</v>
      </c>
      <c r="W26" s="3">
        <v>9.8886021493000005</v>
      </c>
      <c r="X26" s="3">
        <v>12.023461891</v>
      </c>
      <c r="Y26" s="3">
        <v>49.237393431599997</v>
      </c>
      <c r="Z26" s="3">
        <v>38.710894528200001</v>
      </c>
      <c r="AA26" s="3">
        <v>150.71592331319999</v>
      </c>
      <c r="AB26" s="3">
        <v>11.413139876600001</v>
      </c>
      <c r="AC26" s="3">
        <v>0.63773317129999996</v>
      </c>
      <c r="AD26" s="3">
        <v>2.653580217</v>
      </c>
      <c r="AE26" s="3">
        <v>1.3924617879000001</v>
      </c>
      <c r="AF26" s="3">
        <v>1.5794694918000001</v>
      </c>
      <c r="AG26" s="3">
        <v>1.3739341535</v>
      </c>
      <c r="AH26" s="3">
        <v>-0.73494927080000005</v>
      </c>
      <c r="AI26" s="3">
        <v>4.4770610751</v>
      </c>
      <c r="AJ26" s="3">
        <v>2.4040191434999998</v>
      </c>
      <c r="AK26" s="3">
        <v>1.0313577313</v>
      </c>
      <c r="AL26" s="3">
        <v>3.4175984573</v>
      </c>
      <c r="AM26" s="3">
        <v>7.0815631214000003</v>
      </c>
      <c r="AN26" s="3">
        <v>-6.2346948700000002E-2</v>
      </c>
      <c r="AO26" s="3">
        <v>-0.52235144509999998</v>
      </c>
      <c r="AP26" s="3">
        <v>3.5337016366</v>
      </c>
      <c r="AQ26" s="3">
        <v>0.80644133910000004</v>
      </c>
      <c r="AR26" s="3">
        <v>4.0069047452</v>
      </c>
      <c r="AS26" s="3">
        <v>13.7147914143478</v>
      </c>
      <c r="AT26" s="3">
        <v>13.504183215493599</v>
      </c>
      <c r="AU26" s="3">
        <v>8.2021508582092597</v>
      </c>
      <c r="AV26" s="3">
        <v>13.7883834352567</v>
      </c>
      <c r="AW26" s="3">
        <v>10.954166427625999</v>
      </c>
      <c r="AX26" s="3">
        <v>17.564216494817099</v>
      </c>
      <c r="AY26" s="3">
        <v>1.34867822390658</v>
      </c>
      <c r="AZ26" s="3">
        <v>21.640933397207601</v>
      </c>
      <c r="BA26" s="3">
        <v>10.2381744171431</v>
      </c>
      <c r="BB26" s="3">
        <v>12.8654459460871</v>
      </c>
      <c r="BC26" s="3">
        <v>7.5572742864686404</v>
      </c>
      <c r="BD26" s="3">
        <v>6.0460913698573604</v>
      </c>
      <c r="BE26" s="3">
        <v>2.89305481960711</v>
      </c>
      <c r="BF26" s="3">
        <v>0.83230518928960395</v>
      </c>
      <c r="BG26" s="3">
        <v>4.7175125068683696</v>
      </c>
      <c r="BH26" s="3">
        <v>3.2091557650339801</v>
      </c>
      <c r="BI26" s="3">
        <v>6.3579970679695501</v>
      </c>
      <c r="BJ26" s="3">
        <v>1.61150667149136</v>
      </c>
      <c r="BK26" s="3">
        <v>14.207858914239299</v>
      </c>
      <c r="BL26" s="3">
        <v>10.626101138224399</v>
      </c>
      <c r="BM26" s="3">
        <v>6.0036368459095</v>
      </c>
    </row>
    <row r="27" spans="1:65" x14ac:dyDescent="0.2">
      <c r="A27" s="1" t="s">
        <v>288</v>
      </c>
      <c r="B27" s="1" t="s">
        <v>374</v>
      </c>
      <c r="C27" s="1" t="s">
        <v>375</v>
      </c>
      <c r="D27" s="3">
        <v>45.148333034499998</v>
      </c>
      <c r="E27" s="3">
        <v>13.333651498</v>
      </c>
      <c r="F27" s="3">
        <v>10.4262254053</v>
      </c>
      <c r="G27" s="3">
        <v>7.9712213325999999</v>
      </c>
      <c r="H27" s="3">
        <v>5.6495800519000001</v>
      </c>
      <c r="I27" s="3">
        <v>11.512057498100001</v>
      </c>
      <c r="J27" s="3">
        <v>0.99639227159999999</v>
      </c>
      <c r="K27" s="3">
        <v>12.107942185000001</v>
      </c>
      <c r="L27" s="3">
        <v>7.1345626466000001</v>
      </c>
      <c r="M27" s="3">
        <v>-1.1099390342</v>
      </c>
      <c r="N27" s="3">
        <v>8.7287330808999997</v>
      </c>
      <c r="O27" s="3">
        <v>12.353682704100001</v>
      </c>
      <c r="P27" s="3">
        <v>8.4343251987999999</v>
      </c>
      <c r="Q27" s="3">
        <v>8.7916289684999995</v>
      </c>
      <c r="R27" s="3">
        <v>10.4006917558</v>
      </c>
      <c r="S27" s="3">
        <v>4.5434496437999998</v>
      </c>
      <c r="T27" s="3">
        <v>4.2320264026999999</v>
      </c>
      <c r="U27" s="3">
        <v>-1.5299956816</v>
      </c>
      <c r="V27" s="3">
        <v>2.4744267066000001</v>
      </c>
      <c r="W27" s="3">
        <v>10.6136933524</v>
      </c>
      <c r="X27" s="3">
        <v>53.892807621700001</v>
      </c>
      <c r="Y27" s="3">
        <v>64.271599328500002</v>
      </c>
      <c r="Z27" s="3">
        <v>33.122946626299999</v>
      </c>
      <c r="AA27" s="3">
        <v>2.1061396746000001</v>
      </c>
      <c r="AB27" s="3">
        <v>6.9275496053000003</v>
      </c>
      <c r="AC27" s="3">
        <v>2.9210213081999998</v>
      </c>
      <c r="AD27" s="3">
        <v>-0.64128177050000001</v>
      </c>
      <c r="AE27" s="3">
        <v>2.0679686276</v>
      </c>
      <c r="AF27" s="3">
        <v>-5.3103331109000003</v>
      </c>
      <c r="AG27" s="3">
        <v>-0.48080527760000003</v>
      </c>
      <c r="AH27" s="3">
        <v>-2.5004791788</v>
      </c>
      <c r="AI27" s="3">
        <v>6.1830304542999999</v>
      </c>
      <c r="AJ27" s="3">
        <v>5.9412577542999996</v>
      </c>
      <c r="AK27" s="3">
        <v>4.6778599735000004</v>
      </c>
      <c r="AL27" s="3">
        <v>1.2725436322000001</v>
      </c>
      <c r="AM27" s="3">
        <v>3.3819908571999999</v>
      </c>
      <c r="AN27" s="3">
        <v>-1.1952238847000001</v>
      </c>
      <c r="AO27" s="3">
        <v>-1.3386535423999999</v>
      </c>
      <c r="AP27" s="3">
        <v>4.2628419828000004</v>
      </c>
      <c r="AQ27" s="3">
        <v>0.38395454000000001</v>
      </c>
      <c r="AR27" s="3">
        <v>1.1716240535</v>
      </c>
      <c r="AS27" s="3">
        <v>13.986930069596299</v>
      </c>
      <c r="AT27" s="3">
        <v>10.398361102050901</v>
      </c>
      <c r="AU27" s="3">
        <v>13.796863338745</v>
      </c>
      <c r="AV27" s="3">
        <v>10.9665740934618</v>
      </c>
      <c r="AW27" s="3">
        <v>13.4772507338153</v>
      </c>
      <c r="AX27" s="3">
        <v>11.420576585867</v>
      </c>
      <c r="AY27" s="3">
        <v>8.1134612012724201</v>
      </c>
      <c r="AZ27" s="3">
        <v>14.870293682187199</v>
      </c>
      <c r="BA27" s="3">
        <v>10.9660277251126</v>
      </c>
      <c r="BB27" s="3">
        <v>8.5169526944776006</v>
      </c>
      <c r="BC27" s="3">
        <v>10.0193471539152</v>
      </c>
      <c r="BD27" s="3">
        <v>8.3345636724973193</v>
      </c>
      <c r="BE27" s="3">
        <v>4.3970522798252301</v>
      </c>
      <c r="BF27" s="3">
        <v>5.0959007073134499</v>
      </c>
      <c r="BG27" s="3">
        <v>4.0222663924608097</v>
      </c>
      <c r="BH27" s="3">
        <v>4.2343426304012803</v>
      </c>
      <c r="BI27" s="3">
        <v>6.2326256480767803</v>
      </c>
      <c r="BJ27" s="3">
        <v>1.2477326517733001</v>
      </c>
      <c r="BK27" s="3">
        <v>14.3887383188847</v>
      </c>
      <c r="BL27" s="3">
        <v>15.096306102852299</v>
      </c>
      <c r="BM27" s="3">
        <v>10.046241393683401</v>
      </c>
    </row>
    <row r="28" spans="1:65" x14ac:dyDescent="0.2">
      <c r="A28" s="1" t="s">
        <v>319</v>
      </c>
      <c r="B28" s="1" t="s">
        <v>376</v>
      </c>
      <c r="C28" s="1" t="s">
        <v>377</v>
      </c>
      <c r="AF28" s="3">
        <v>-3.7754175220000001</v>
      </c>
      <c r="AG28" s="3">
        <v>3.4331114479</v>
      </c>
      <c r="AH28" s="3">
        <v>3.7309082415999999</v>
      </c>
      <c r="AI28" s="3">
        <v>2.2445364129000001</v>
      </c>
      <c r="AJ28" s="3">
        <v>2.6755149989000002</v>
      </c>
      <c r="AK28" s="3">
        <v>4.3443567100999996</v>
      </c>
      <c r="AL28" s="3">
        <v>2.2689711338</v>
      </c>
      <c r="AM28" s="3">
        <v>3.8936651910000002</v>
      </c>
      <c r="AN28" s="3">
        <v>4.2355845122</v>
      </c>
      <c r="AO28" s="3">
        <v>2.9315541659000002</v>
      </c>
      <c r="AP28" s="3">
        <v>2.8624617325999999</v>
      </c>
      <c r="AQ28" s="3">
        <v>0.75329609310000001</v>
      </c>
      <c r="AR28" s="3">
        <v>3.0049603281000001</v>
      </c>
      <c r="AS28" s="3">
        <v>24.232235485047301</v>
      </c>
      <c r="AT28" s="3">
        <v>9.6673960606073006</v>
      </c>
      <c r="AU28" s="3">
        <v>6.2849751364530304</v>
      </c>
      <c r="AV28" s="3">
        <v>12.3035054895723</v>
      </c>
      <c r="AW28" s="3">
        <v>17.7599321965989</v>
      </c>
      <c r="AX28" s="3">
        <v>18.871563226122198</v>
      </c>
      <c r="AY28" s="3">
        <v>12.985803613336101</v>
      </c>
      <c r="AZ28" s="3">
        <v>19.832365751912899</v>
      </c>
      <c r="BA28" s="3">
        <v>11.831111059093899</v>
      </c>
      <c r="BB28" s="3">
        <v>12.7481836603784</v>
      </c>
      <c r="BC28" s="3">
        <v>15.0462255909397</v>
      </c>
      <c r="BD28" s="3">
        <v>10.0546354075968</v>
      </c>
      <c r="BE28" s="3">
        <v>10.4659750082123</v>
      </c>
      <c r="BF28" s="3">
        <v>9.1755903872518907</v>
      </c>
      <c r="BG28" s="3">
        <v>7.9890159879354696</v>
      </c>
      <c r="BH28" s="3">
        <v>4.5679751679159697</v>
      </c>
      <c r="BI28" s="3">
        <v>10.345256177258999</v>
      </c>
      <c r="BJ28" s="3">
        <v>10.9103273632817</v>
      </c>
      <c r="BK28" s="3">
        <v>18.627715227030901</v>
      </c>
      <c r="BL28" s="3">
        <v>12.413935726878099</v>
      </c>
      <c r="BM28" s="3">
        <v>10.4948126825164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BD43-F1CB-4177-96C8-1B4E06E73FF0}">
  <sheetPr>
    <tabColor theme="6"/>
  </sheetPr>
  <dimension ref="A1:O138"/>
  <sheetViews>
    <sheetView topLeftCell="A96" zoomScaleNormal="100" workbookViewId="0">
      <selection activeCell="N2" sqref="N2:O138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15" width="10" style="5" customWidth="1"/>
    <col min="16" max="256" width="10.28515625" style="1"/>
    <col min="257" max="257" width="4" style="1" customWidth="1"/>
    <col min="258" max="258" width="10" style="1" customWidth="1"/>
    <col min="259" max="259" width="30" style="1" customWidth="1"/>
    <col min="260" max="271" width="10" style="1" customWidth="1"/>
    <col min="272" max="512" width="10.28515625" style="1"/>
    <col min="513" max="513" width="4" style="1" customWidth="1"/>
    <col min="514" max="514" width="10" style="1" customWidth="1"/>
    <col min="515" max="515" width="30" style="1" customWidth="1"/>
    <col min="516" max="527" width="10" style="1" customWidth="1"/>
    <col min="528" max="768" width="10.28515625" style="1"/>
    <col min="769" max="769" width="4" style="1" customWidth="1"/>
    <col min="770" max="770" width="10" style="1" customWidth="1"/>
    <col min="771" max="771" width="30" style="1" customWidth="1"/>
    <col min="772" max="783" width="10" style="1" customWidth="1"/>
    <col min="784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39" width="10" style="1" customWidth="1"/>
    <col min="1040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295" width="10" style="1" customWidth="1"/>
    <col min="1296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551" width="10" style="1" customWidth="1"/>
    <col min="1552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07" width="10" style="1" customWidth="1"/>
    <col min="1808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063" width="10" style="1" customWidth="1"/>
    <col min="2064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19" width="10" style="1" customWidth="1"/>
    <col min="2320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575" width="10" style="1" customWidth="1"/>
    <col min="2576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31" width="10" style="1" customWidth="1"/>
    <col min="2832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087" width="10" style="1" customWidth="1"/>
    <col min="3088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43" width="10" style="1" customWidth="1"/>
    <col min="3344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599" width="10" style="1" customWidth="1"/>
    <col min="3600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855" width="10" style="1" customWidth="1"/>
    <col min="3856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11" width="10" style="1" customWidth="1"/>
    <col min="4112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367" width="10" style="1" customWidth="1"/>
    <col min="4368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23" width="10" style="1" customWidth="1"/>
    <col min="4624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879" width="10" style="1" customWidth="1"/>
    <col min="4880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35" width="10" style="1" customWidth="1"/>
    <col min="5136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391" width="10" style="1" customWidth="1"/>
    <col min="5392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47" width="10" style="1" customWidth="1"/>
    <col min="5648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03" width="10" style="1" customWidth="1"/>
    <col min="5904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159" width="10" style="1" customWidth="1"/>
    <col min="6160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15" width="10" style="1" customWidth="1"/>
    <col min="6416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671" width="10" style="1" customWidth="1"/>
    <col min="6672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27" width="10" style="1" customWidth="1"/>
    <col min="6928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183" width="10" style="1" customWidth="1"/>
    <col min="7184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39" width="10" style="1" customWidth="1"/>
    <col min="7440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695" width="10" style="1" customWidth="1"/>
    <col min="7696" max="7936" width="10.28515625" style="1"/>
    <col min="7937" max="7937" width="4" style="1" customWidth="1"/>
    <col min="7938" max="7938" width="10" style="1" customWidth="1"/>
    <col min="7939" max="7939" width="30" style="1" customWidth="1"/>
    <col min="7940" max="7951" width="10" style="1" customWidth="1"/>
    <col min="7952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07" width="10" style="1" customWidth="1"/>
    <col min="8208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463" width="10" style="1" customWidth="1"/>
    <col min="8464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19" width="10" style="1" customWidth="1"/>
    <col min="8720" max="8960" width="10.28515625" style="1"/>
    <col min="8961" max="8961" width="4" style="1" customWidth="1"/>
    <col min="8962" max="8962" width="10" style="1" customWidth="1"/>
    <col min="8963" max="8963" width="30" style="1" customWidth="1"/>
    <col min="8964" max="8975" width="10" style="1" customWidth="1"/>
    <col min="8976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31" width="10" style="1" customWidth="1"/>
    <col min="9232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487" width="10" style="1" customWidth="1"/>
    <col min="9488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43" width="10" style="1" customWidth="1"/>
    <col min="9744" max="9984" width="10.28515625" style="1"/>
    <col min="9985" max="9985" width="4" style="1" customWidth="1"/>
    <col min="9986" max="9986" width="10" style="1" customWidth="1"/>
    <col min="9987" max="9987" width="30" style="1" customWidth="1"/>
    <col min="9988" max="9999" width="10" style="1" customWidth="1"/>
    <col min="10000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255" width="10" style="1" customWidth="1"/>
    <col min="10256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11" width="10" style="1" customWidth="1"/>
    <col min="10512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767" width="10" style="1" customWidth="1"/>
    <col min="10768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23" width="10" style="1" customWidth="1"/>
    <col min="11024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279" width="10" style="1" customWidth="1"/>
    <col min="11280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35" width="10" style="1" customWidth="1"/>
    <col min="11536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791" width="10" style="1" customWidth="1"/>
    <col min="11792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47" width="10" style="1" customWidth="1"/>
    <col min="12048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03" width="10" style="1" customWidth="1"/>
    <col min="12304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559" width="10" style="1" customWidth="1"/>
    <col min="12560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15" width="10" style="1" customWidth="1"/>
    <col min="12816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071" width="10" style="1" customWidth="1"/>
    <col min="13072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27" width="10" style="1" customWidth="1"/>
    <col min="13328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583" width="10" style="1" customWidth="1"/>
    <col min="13584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39" width="10" style="1" customWidth="1"/>
    <col min="13840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095" width="10" style="1" customWidth="1"/>
    <col min="14096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351" width="10" style="1" customWidth="1"/>
    <col min="14352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07" width="10" style="1" customWidth="1"/>
    <col min="14608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863" width="10" style="1" customWidth="1"/>
    <col min="14864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19" width="10" style="1" customWidth="1"/>
    <col min="15120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375" width="10" style="1" customWidth="1"/>
    <col min="15376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31" width="10" style="1" customWidth="1"/>
    <col min="15632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887" width="10" style="1" customWidth="1"/>
    <col min="15888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43" width="10" style="1" customWidth="1"/>
    <col min="16144" max="16384" width="10.28515625" style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6">
        <v>1920</v>
      </c>
      <c r="E1" s="6">
        <v>1940</v>
      </c>
      <c r="F1" s="6">
        <v>1950</v>
      </c>
      <c r="G1" s="6">
        <v>1960</v>
      </c>
      <c r="H1" s="6">
        <v>1970</v>
      </c>
      <c r="I1" s="6">
        <v>1980</v>
      </c>
      <c r="J1" s="6">
        <v>1991</v>
      </c>
      <c r="K1" s="6">
        <v>1996</v>
      </c>
      <c r="L1" s="6">
        <v>2000</v>
      </c>
      <c r="M1" s="6">
        <v>2007</v>
      </c>
      <c r="N1" s="6">
        <v>2010</v>
      </c>
      <c r="O1" s="6">
        <v>2022</v>
      </c>
    </row>
    <row r="2" spans="1:15" x14ac:dyDescent="0.2">
      <c r="A2" s="1" t="s">
        <v>23</v>
      </c>
      <c r="B2" s="1" t="s">
        <v>24</v>
      </c>
      <c r="C2" s="1" t="s">
        <v>25</v>
      </c>
      <c r="D2" s="5">
        <v>35911</v>
      </c>
      <c r="E2" s="5">
        <v>35913</v>
      </c>
      <c r="F2" s="5">
        <v>50503</v>
      </c>
      <c r="G2" s="5">
        <v>65253</v>
      </c>
      <c r="H2" s="5">
        <v>83214</v>
      </c>
      <c r="I2" s="5">
        <v>105777</v>
      </c>
      <c r="J2" s="5">
        <v>122248</v>
      </c>
      <c r="K2" s="5">
        <v>137390</v>
      </c>
      <c r="L2" s="5">
        <v>157978</v>
      </c>
      <c r="M2" s="5">
        <v>190910</v>
      </c>
      <c r="N2" s="5">
        <v>206084</v>
      </c>
      <c r="O2" s="5">
        <v>242063</v>
      </c>
    </row>
    <row r="3" spans="1:15" x14ac:dyDescent="0.2">
      <c r="A3" s="1" t="s">
        <v>23</v>
      </c>
      <c r="B3" s="1" t="s">
        <v>26</v>
      </c>
      <c r="C3" s="1" t="s">
        <v>27</v>
      </c>
      <c r="D3" s="5">
        <v>56468</v>
      </c>
      <c r="E3" s="5">
        <v>43855</v>
      </c>
      <c r="F3" s="5">
        <v>64252</v>
      </c>
      <c r="G3" s="5">
        <v>93599</v>
      </c>
      <c r="H3" s="5">
        <v>132085</v>
      </c>
      <c r="I3" s="5">
        <v>195499</v>
      </c>
      <c r="J3" s="5">
        <v>295470</v>
      </c>
      <c r="K3" s="5">
        <v>346203</v>
      </c>
      <c r="L3" s="5">
        <v>399904</v>
      </c>
      <c r="M3" s="5">
        <v>464475</v>
      </c>
      <c r="N3" s="5">
        <v>527475</v>
      </c>
      <c r="O3" s="5">
        <v>587955</v>
      </c>
    </row>
    <row r="4" spans="1:15" x14ac:dyDescent="0.2">
      <c r="A4" s="1" t="s">
        <v>28</v>
      </c>
      <c r="B4" s="1" t="s">
        <v>29</v>
      </c>
      <c r="C4" s="1" t="s">
        <v>30</v>
      </c>
      <c r="D4" s="5">
        <v>115516</v>
      </c>
      <c r="E4" s="5">
        <v>116956</v>
      </c>
      <c r="F4" s="5">
        <v>184696</v>
      </c>
      <c r="G4" s="5">
        <v>205593</v>
      </c>
      <c r="H4" s="5">
        <v>255448</v>
      </c>
      <c r="I4" s="5">
        <v>315923</v>
      </c>
      <c r="J4" s="5">
        <v>372901</v>
      </c>
      <c r="K4" s="5">
        <v>382988</v>
      </c>
      <c r="L4" s="5">
        <v>413808</v>
      </c>
      <c r="M4" s="5">
        <v>425843</v>
      </c>
      <c r="N4" s="5">
        <v>432667</v>
      </c>
      <c r="O4" s="5">
        <v>422847</v>
      </c>
    </row>
    <row r="5" spans="1:15" x14ac:dyDescent="0.2">
      <c r="A5" s="1" t="s">
        <v>28</v>
      </c>
      <c r="B5" s="1" t="s">
        <v>31</v>
      </c>
      <c r="C5" s="1" t="s">
        <v>32</v>
      </c>
      <c r="D5" s="5">
        <v>136420</v>
      </c>
      <c r="E5" s="5">
        <v>168168</v>
      </c>
      <c r="F5" s="5">
        <v>196055</v>
      </c>
      <c r="G5" s="5">
        <v>249267</v>
      </c>
      <c r="H5" s="5">
        <v>375218</v>
      </c>
      <c r="I5" s="5">
        <v>453509</v>
      </c>
      <c r="J5" s="5">
        <v>537179</v>
      </c>
      <c r="K5" s="5">
        <v>547998</v>
      </c>
      <c r="L5" s="5">
        <v>581860</v>
      </c>
      <c r="M5" s="5">
        <v>605126</v>
      </c>
      <c r="N5" s="5">
        <v>623302</v>
      </c>
      <c r="O5" s="5">
        <v>637658</v>
      </c>
    </row>
    <row r="6" spans="1:15" x14ac:dyDescent="0.2">
      <c r="A6" s="1" t="s">
        <v>28</v>
      </c>
      <c r="B6" s="1" t="s">
        <v>33</v>
      </c>
      <c r="C6" s="1" t="s">
        <v>34</v>
      </c>
      <c r="D6" s="5">
        <v>726812</v>
      </c>
      <c r="E6" s="5">
        <v>666176</v>
      </c>
      <c r="F6" s="5">
        <v>712386</v>
      </c>
      <c r="G6" s="5">
        <v>801299</v>
      </c>
      <c r="H6" s="5">
        <v>957402</v>
      </c>
      <c r="I6" s="5">
        <v>1213483</v>
      </c>
      <c r="J6" s="5">
        <v>1604020</v>
      </c>
      <c r="K6" s="5">
        <v>1702265</v>
      </c>
      <c r="L6" s="5">
        <v>1832188</v>
      </c>
      <c r="M6" s="5">
        <v>2006134</v>
      </c>
      <c r="N6" s="5">
        <v>2064525</v>
      </c>
      <c r="O6" s="5">
        <v>2067178</v>
      </c>
    </row>
    <row r="7" spans="1:15" x14ac:dyDescent="0.2">
      <c r="A7" s="1" t="s">
        <v>35</v>
      </c>
      <c r="B7" s="1" t="s">
        <v>36</v>
      </c>
      <c r="C7" s="1" t="s">
        <v>37</v>
      </c>
      <c r="D7" s="5">
        <v>18918</v>
      </c>
      <c r="E7" s="5">
        <v>18790</v>
      </c>
      <c r="F7" s="5">
        <v>19119</v>
      </c>
      <c r="G7" s="5">
        <v>45147</v>
      </c>
      <c r="H7" s="5">
        <v>43479</v>
      </c>
      <c r="I7" s="5">
        <v>49403</v>
      </c>
      <c r="J7" s="5">
        <v>86235</v>
      </c>
      <c r="K7" s="5">
        <v>90065</v>
      </c>
      <c r="L7" s="5">
        <v>101720</v>
      </c>
      <c r="M7" s="5">
        <v>118035</v>
      </c>
      <c r="N7" s="5">
        <v>121337</v>
      </c>
      <c r="O7" s="5">
        <v>124941</v>
      </c>
    </row>
    <row r="8" spans="1:15" x14ac:dyDescent="0.2">
      <c r="A8" s="1" t="s">
        <v>35</v>
      </c>
      <c r="B8" s="1" t="s">
        <v>38</v>
      </c>
      <c r="C8" s="1" t="s">
        <v>39</v>
      </c>
      <c r="D8" s="5">
        <v>57787</v>
      </c>
      <c r="E8" s="5">
        <v>62322</v>
      </c>
      <c r="F8" s="5">
        <v>82672</v>
      </c>
      <c r="G8" s="5">
        <v>108392</v>
      </c>
      <c r="H8" s="5">
        <v>124293</v>
      </c>
      <c r="I8" s="5">
        <v>163811</v>
      </c>
      <c r="J8" s="5">
        <v>222459</v>
      </c>
      <c r="K8" s="5">
        <v>269029</v>
      </c>
      <c r="L8" s="5">
        <v>313169</v>
      </c>
      <c r="M8" s="5">
        <v>331522</v>
      </c>
      <c r="N8" s="5">
        <v>351939</v>
      </c>
      <c r="O8" s="5">
        <v>400916</v>
      </c>
    </row>
    <row r="9" spans="1:15" x14ac:dyDescent="0.2">
      <c r="A9" s="1" t="s">
        <v>35</v>
      </c>
      <c r="B9" s="1" t="s">
        <v>40</v>
      </c>
      <c r="C9" s="1" t="s">
        <v>41</v>
      </c>
      <c r="D9" s="5">
        <v>185450</v>
      </c>
      <c r="E9" s="5">
        <v>243478</v>
      </c>
      <c r="F9" s="5">
        <v>313382</v>
      </c>
      <c r="G9" s="5">
        <v>442339</v>
      </c>
      <c r="H9" s="5">
        <v>655606</v>
      </c>
      <c r="I9" s="5">
        <v>1052803</v>
      </c>
      <c r="J9" s="5">
        <v>1570685</v>
      </c>
      <c r="K9" s="5">
        <v>1822862</v>
      </c>
      <c r="L9" s="5">
        <v>2167589</v>
      </c>
      <c r="M9" s="5">
        <v>2506783</v>
      </c>
      <c r="N9" s="5">
        <v>2726732</v>
      </c>
      <c r="O9" s="5">
        <v>3090088</v>
      </c>
    </row>
    <row r="10" spans="1:15" x14ac:dyDescent="0.2">
      <c r="A10" s="1" t="s">
        <v>35</v>
      </c>
      <c r="B10" s="1" t="s">
        <v>42</v>
      </c>
      <c r="C10" s="1" t="s">
        <v>43</v>
      </c>
      <c r="D10" s="5">
        <v>86792</v>
      </c>
      <c r="E10" s="5">
        <v>91569</v>
      </c>
      <c r="F10" s="5">
        <v>98926</v>
      </c>
      <c r="G10" s="5">
        <v>118896</v>
      </c>
      <c r="H10" s="5">
        <v>131825</v>
      </c>
      <c r="I10" s="5">
        <v>164511</v>
      </c>
      <c r="J10" s="5">
        <v>223864</v>
      </c>
      <c r="K10" s="5">
        <v>207323</v>
      </c>
      <c r="L10" s="5">
        <v>234775</v>
      </c>
      <c r="M10" s="5">
        <v>265599</v>
      </c>
      <c r="N10" s="5">
        <v>283977</v>
      </c>
      <c r="O10" s="5">
        <v>325668</v>
      </c>
    </row>
    <row r="11" spans="1:15" x14ac:dyDescent="0.2">
      <c r="A11" s="1" t="s">
        <v>44</v>
      </c>
      <c r="B11" s="1" t="s">
        <v>45</v>
      </c>
      <c r="C11" s="1" t="s">
        <v>46</v>
      </c>
      <c r="D11" s="5">
        <v>6032</v>
      </c>
      <c r="E11" s="5">
        <v>6374</v>
      </c>
      <c r="F11" s="5">
        <v>11778</v>
      </c>
      <c r="G11" s="5">
        <v>14178</v>
      </c>
      <c r="H11" s="5">
        <v>17636</v>
      </c>
      <c r="I11" s="5">
        <v>17373</v>
      </c>
      <c r="J11" s="5">
        <v>25500</v>
      </c>
      <c r="K11" s="5">
        <v>28232</v>
      </c>
      <c r="L11" s="5">
        <v>36144</v>
      </c>
      <c r="M11" s="5">
        <v>51077</v>
      </c>
      <c r="N11" s="5">
        <v>53934</v>
      </c>
      <c r="O11" s="5">
        <v>62785</v>
      </c>
    </row>
    <row r="12" spans="1:15" x14ac:dyDescent="0.2">
      <c r="A12" s="1" t="s">
        <v>44</v>
      </c>
      <c r="B12" s="1" t="s">
        <v>47</v>
      </c>
      <c r="C12" s="1" t="s">
        <v>48</v>
      </c>
      <c r="D12" s="5">
        <v>30445</v>
      </c>
      <c r="E12" s="5">
        <v>24373</v>
      </c>
      <c r="F12" s="5">
        <v>25699</v>
      </c>
      <c r="G12" s="5">
        <v>54342</v>
      </c>
      <c r="H12" s="5">
        <v>96594</v>
      </c>
      <c r="I12" s="5">
        <v>157885</v>
      </c>
      <c r="J12" s="5">
        <v>263897</v>
      </c>
      <c r="K12" s="5">
        <v>351227</v>
      </c>
      <c r="L12" s="5">
        <v>440888</v>
      </c>
      <c r="M12" s="5">
        <v>536234</v>
      </c>
      <c r="N12" s="5">
        <v>615592</v>
      </c>
      <c r="O12" s="5">
        <v>670974</v>
      </c>
    </row>
    <row r="13" spans="1:15" x14ac:dyDescent="0.2">
      <c r="A13" s="1" t="s">
        <v>49</v>
      </c>
      <c r="B13" s="1" t="s">
        <v>50</v>
      </c>
      <c r="C13" s="1" t="s">
        <v>51</v>
      </c>
      <c r="D13" s="5">
        <v>130606</v>
      </c>
      <c r="E13" s="5">
        <v>151295</v>
      </c>
      <c r="F13" s="5">
        <v>179347</v>
      </c>
      <c r="G13" s="5">
        <v>211104</v>
      </c>
      <c r="H13" s="5">
        <v>279332</v>
      </c>
      <c r="I13" s="5">
        <v>345927</v>
      </c>
      <c r="J13" s="5">
        <v>450221</v>
      </c>
      <c r="K13" s="5">
        <v>473057</v>
      </c>
      <c r="L13" s="5">
        <v>496048</v>
      </c>
      <c r="M13" s="5">
        <v>553758</v>
      </c>
      <c r="N13" s="5">
        <v>579253</v>
      </c>
      <c r="O13" s="5">
        <v>661929</v>
      </c>
    </row>
    <row r="14" spans="1:15" x14ac:dyDescent="0.2">
      <c r="A14" s="1" t="s">
        <v>49</v>
      </c>
      <c r="B14" s="1" t="s">
        <v>52</v>
      </c>
      <c r="C14" s="1" t="s">
        <v>53</v>
      </c>
      <c r="D14" s="5">
        <v>243330</v>
      </c>
      <c r="E14" s="5">
        <v>223780</v>
      </c>
      <c r="F14" s="5">
        <v>300342</v>
      </c>
      <c r="G14" s="5">
        <v>329918</v>
      </c>
      <c r="H14" s="5">
        <v>459765</v>
      </c>
      <c r="I14" s="5">
        <v>631596</v>
      </c>
      <c r="J14" s="5">
        <v>769963</v>
      </c>
      <c r="K14" s="5">
        <v>829486</v>
      </c>
      <c r="L14" s="5">
        <v>877034</v>
      </c>
      <c r="M14" s="5">
        <v>978414</v>
      </c>
      <c r="N14" s="5">
        <v>964405</v>
      </c>
      <c r="O14" s="5">
        <v>1037935</v>
      </c>
    </row>
    <row r="15" spans="1:15" x14ac:dyDescent="0.2">
      <c r="A15" s="1" t="s">
        <v>49</v>
      </c>
      <c r="B15" s="1" t="s">
        <v>54</v>
      </c>
      <c r="C15" s="1" t="s">
        <v>55</v>
      </c>
      <c r="D15" s="5">
        <v>530718</v>
      </c>
      <c r="E15" s="5">
        <v>669394</v>
      </c>
      <c r="F15" s="5">
        <v>837209</v>
      </c>
      <c r="G15" s="5">
        <v>943774</v>
      </c>
      <c r="H15" s="5">
        <v>1274046</v>
      </c>
      <c r="I15" s="5">
        <v>1590455</v>
      </c>
      <c r="J15" s="5">
        <v>2018116</v>
      </c>
      <c r="K15" s="5">
        <v>2092343</v>
      </c>
      <c r="L15" s="5">
        <v>2081821</v>
      </c>
      <c r="M15" s="5">
        <v>2224075</v>
      </c>
      <c r="N15" s="5">
        <v>2226300</v>
      </c>
      <c r="O15" s="5">
        <v>2311471</v>
      </c>
    </row>
    <row r="16" spans="1:15" x14ac:dyDescent="0.2">
      <c r="A16" s="1" t="s">
        <v>49</v>
      </c>
      <c r="B16" s="1" t="s">
        <v>56</v>
      </c>
      <c r="C16" s="1" t="s">
        <v>57</v>
      </c>
      <c r="D16" s="5">
        <v>405217</v>
      </c>
      <c r="E16" s="5">
        <v>453206</v>
      </c>
      <c r="F16" s="5">
        <v>615423</v>
      </c>
      <c r="G16" s="5">
        <v>722929</v>
      </c>
      <c r="H16" s="5">
        <v>905945</v>
      </c>
      <c r="I16" s="5">
        <v>1089708</v>
      </c>
      <c r="J16" s="5">
        <v>1372965</v>
      </c>
      <c r="K16" s="5">
        <v>1382233</v>
      </c>
      <c r="L16" s="5">
        <v>1465232</v>
      </c>
      <c r="M16" s="5">
        <v>1514079</v>
      </c>
      <c r="N16" s="5">
        <v>1545922</v>
      </c>
      <c r="O16" s="5">
        <v>1550743</v>
      </c>
    </row>
    <row r="17" spans="1:15" x14ac:dyDescent="0.2">
      <c r="A17" s="1" t="s">
        <v>49</v>
      </c>
      <c r="B17" s="1" t="s">
        <v>58</v>
      </c>
      <c r="C17" s="1" t="s">
        <v>59</v>
      </c>
      <c r="D17" s="5">
        <v>781144</v>
      </c>
      <c r="E17" s="5">
        <v>798785</v>
      </c>
      <c r="F17" s="5">
        <v>914076</v>
      </c>
      <c r="G17" s="5">
        <v>1232506</v>
      </c>
      <c r="H17" s="5">
        <v>1665333</v>
      </c>
      <c r="I17" s="5">
        <v>2361515</v>
      </c>
      <c r="J17" s="5">
        <v>3134886</v>
      </c>
      <c r="K17" s="5">
        <v>3374566</v>
      </c>
      <c r="L17" s="5">
        <v>3717384</v>
      </c>
      <c r="M17" s="5">
        <v>4322393</v>
      </c>
      <c r="N17" s="5">
        <v>4210499</v>
      </c>
      <c r="O17" s="5">
        <v>4045524</v>
      </c>
    </row>
    <row r="18" spans="1:15" x14ac:dyDescent="0.2">
      <c r="A18" s="1" t="s">
        <v>49</v>
      </c>
      <c r="B18" s="1" t="s">
        <v>60</v>
      </c>
      <c r="C18" s="1" t="s">
        <v>61</v>
      </c>
      <c r="D18" s="5">
        <v>902206</v>
      </c>
      <c r="E18" s="5">
        <v>1075470</v>
      </c>
      <c r="F18" s="5">
        <v>1267390</v>
      </c>
      <c r="G18" s="5">
        <v>1450978</v>
      </c>
      <c r="H18" s="5">
        <v>1674032</v>
      </c>
      <c r="I18" s="5">
        <v>1901887</v>
      </c>
      <c r="J18" s="5">
        <v>2264255</v>
      </c>
      <c r="K18" s="5">
        <v>2459178</v>
      </c>
      <c r="L18" s="5">
        <v>2477798</v>
      </c>
      <c r="M18" s="5">
        <v>2480647</v>
      </c>
      <c r="N18" s="5">
        <v>2478787</v>
      </c>
      <c r="O18" s="5">
        <v>2527972</v>
      </c>
    </row>
    <row r="19" spans="1:15" x14ac:dyDescent="0.2">
      <c r="A19" s="1" t="s">
        <v>49</v>
      </c>
      <c r="B19" s="1" t="s">
        <v>62</v>
      </c>
      <c r="C19" s="1" t="s">
        <v>63</v>
      </c>
      <c r="D19" s="5">
        <v>341244</v>
      </c>
      <c r="E19" s="5">
        <v>546182</v>
      </c>
      <c r="F19" s="5">
        <v>720788</v>
      </c>
      <c r="G19" s="5">
        <v>1027843</v>
      </c>
      <c r="H19" s="5">
        <v>1234984</v>
      </c>
      <c r="I19" s="5">
        <v>1534304</v>
      </c>
      <c r="J19" s="5">
        <v>1857585</v>
      </c>
      <c r="K19" s="5">
        <v>1930812</v>
      </c>
      <c r="L19" s="5">
        <v>1970451</v>
      </c>
      <c r="M19" s="5">
        <v>2007288</v>
      </c>
      <c r="N19" s="5">
        <v>2011740</v>
      </c>
      <c r="O19" s="5">
        <v>2006052</v>
      </c>
    </row>
    <row r="20" spans="1:15" x14ac:dyDescent="0.2">
      <c r="A20" s="1" t="s">
        <v>64</v>
      </c>
      <c r="B20" s="1" t="s">
        <v>65</v>
      </c>
      <c r="C20" s="1" t="s">
        <v>66</v>
      </c>
      <c r="D20" s="5">
        <v>326172</v>
      </c>
      <c r="E20" s="5">
        <v>449070</v>
      </c>
      <c r="F20" s="5">
        <v>572935</v>
      </c>
      <c r="G20" s="5">
        <v>637603</v>
      </c>
      <c r="H20" s="5">
        <v>800298</v>
      </c>
      <c r="I20" s="5">
        <v>902503</v>
      </c>
      <c r="J20" s="5">
        <v>1029159</v>
      </c>
      <c r="K20" s="5">
        <v>1085004</v>
      </c>
      <c r="L20" s="5">
        <v>1178307</v>
      </c>
      <c r="M20" s="5">
        <v>1275910</v>
      </c>
      <c r="N20" s="5">
        <v>1326771</v>
      </c>
      <c r="O20" s="5">
        <v>1414700</v>
      </c>
    </row>
    <row r="21" spans="1:15" x14ac:dyDescent="0.2">
      <c r="A21" s="1" t="s">
        <v>64</v>
      </c>
      <c r="B21" s="1" t="s">
        <v>67</v>
      </c>
      <c r="C21" s="1" t="s">
        <v>68</v>
      </c>
      <c r="D21" s="5">
        <v>217565</v>
      </c>
      <c r="E21" s="5">
        <v>341868</v>
      </c>
      <c r="F21" s="5">
        <v>434935</v>
      </c>
      <c r="G21" s="5">
        <v>516414</v>
      </c>
      <c r="H21" s="5">
        <v>611100</v>
      </c>
      <c r="I21" s="5">
        <v>672581</v>
      </c>
      <c r="J21" s="5">
        <v>750397</v>
      </c>
      <c r="K21" s="5">
        <v>792235</v>
      </c>
      <c r="L21" s="5">
        <v>876470</v>
      </c>
      <c r="M21" s="5">
        <v>957529</v>
      </c>
      <c r="N21" s="5">
        <v>1006582</v>
      </c>
      <c r="O21" s="5">
        <v>1065595</v>
      </c>
    </row>
    <row r="22" spans="1:15" x14ac:dyDescent="0.2">
      <c r="A22" s="1" t="s">
        <v>64</v>
      </c>
      <c r="B22" s="1" t="s">
        <v>69</v>
      </c>
      <c r="C22" s="1" t="s">
        <v>70</v>
      </c>
      <c r="D22" s="5">
        <v>171124</v>
      </c>
      <c r="E22" s="5">
        <v>303974</v>
      </c>
      <c r="F22" s="5">
        <v>413108</v>
      </c>
      <c r="G22" s="5">
        <v>668166</v>
      </c>
      <c r="H22" s="5">
        <v>1070114</v>
      </c>
      <c r="I22" s="5">
        <v>1627050</v>
      </c>
      <c r="J22" s="5">
        <v>2357100</v>
      </c>
      <c r="K22" s="5">
        <v>2645278</v>
      </c>
      <c r="L22" s="5">
        <v>2930374</v>
      </c>
      <c r="M22" s="5">
        <v>3376883</v>
      </c>
      <c r="N22" s="5">
        <v>3468137</v>
      </c>
      <c r="O22" s="5">
        <v>3595041</v>
      </c>
    </row>
    <row r="23" spans="1:15" x14ac:dyDescent="0.2">
      <c r="A23" s="1" t="s">
        <v>64</v>
      </c>
      <c r="B23" s="1" t="s">
        <v>71</v>
      </c>
      <c r="C23" s="1" t="s">
        <v>72</v>
      </c>
      <c r="D23" s="5">
        <v>174758</v>
      </c>
      <c r="E23" s="5">
        <v>346679</v>
      </c>
      <c r="F23" s="5">
        <v>451871</v>
      </c>
      <c r="G23" s="5">
        <v>536001</v>
      </c>
      <c r="H23" s="5">
        <v>713769</v>
      </c>
      <c r="I23" s="5">
        <v>773234</v>
      </c>
      <c r="J23" s="5">
        <v>776629</v>
      </c>
      <c r="K23" s="5">
        <v>775228</v>
      </c>
      <c r="L23" s="5">
        <v>814125</v>
      </c>
      <c r="M23" s="5">
        <v>854035</v>
      </c>
      <c r="N23" s="5">
        <v>869778</v>
      </c>
      <c r="O23" s="5">
        <v>861696</v>
      </c>
    </row>
    <row r="24" spans="1:15" x14ac:dyDescent="0.2">
      <c r="A24" s="1" t="s">
        <v>64</v>
      </c>
      <c r="B24" s="1" t="s">
        <v>73</v>
      </c>
      <c r="C24" s="1" t="s">
        <v>74</v>
      </c>
      <c r="D24" s="5">
        <v>124626</v>
      </c>
      <c r="E24" s="5">
        <v>178164</v>
      </c>
      <c r="F24" s="5">
        <v>237213</v>
      </c>
      <c r="G24" s="5">
        <v>265538</v>
      </c>
      <c r="H24" s="5">
        <v>338800</v>
      </c>
      <c r="I24" s="5">
        <v>387827</v>
      </c>
      <c r="J24" s="5">
        <v>428889</v>
      </c>
      <c r="K24" s="5">
        <v>453382</v>
      </c>
      <c r="L24" s="5">
        <v>484830</v>
      </c>
      <c r="M24" s="5">
        <v>515830</v>
      </c>
      <c r="N24" s="5">
        <v>528274</v>
      </c>
      <c r="O24" s="5">
        <v>542538</v>
      </c>
    </row>
    <row r="25" spans="1:15" x14ac:dyDescent="0.2">
      <c r="A25" s="1" t="s">
        <v>64</v>
      </c>
      <c r="B25" s="1" t="s">
        <v>75</v>
      </c>
      <c r="C25" s="1" t="s">
        <v>76</v>
      </c>
      <c r="D25" s="5">
        <v>105395</v>
      </c>
      <c r="E25" s="5">
        <v>162102</v>
      </c>
      <c r="F25" s="5">
        <v>191716</v>
      </c>
      <c r="G25" s="5">
        <v>228522</v>
      </c>
      <c r="H25" s="5">
        <v>283757</v>
      </c>
      <c r="I25" s="5">
        <v>306177</v>
      </c>
      <c r="J25" s="5">
        <v>337282</v>
      </c>
      <c r="K25" s="5">
        <v>336481</v>
      </c>
      <c r="L25" s="5">
        <v>357623</v>
      </c>
      <c r="M25" s="5">
        <v>366713</v>
      </c>
      <c r="N25" s="5">
        <v>376239</v>
      </c>
      <c r="O25" s="5">
        <v>368790</v>
      </c>
    </row>
    <row r="26" spans="1:15" x14ac:dyDescent="0.2">
      <c r="A26" s="1" t="s">
        <v>64</v>
      </c>
      <c r="B26" s="1" t="s">
        <v>77</v>
      </c>
      <c r="C26" s="1" t="s">
        <v>78</v>
      </c>
      <c r="D26" s="5">
        <v>199588</v>
      </c>
      <c r="E26" s="5">
        <v>309175</v>
      </c>
      <c r="F26" s="5">
        <v>393672</v>
      </c>
      <c r="G26" s="5">
        <v>437351</v>
      </c>
      <c r="H26" s="5">
        <v>543765</v>
      </c>
      <c r="I26" s="5">
        <v>619057</v>
      </c>
      <c r="J26" s="5">
        <v>687191</v>
      </c>
      <c r="K26" s="5">
        <v>721682</v>
      </c>
      <c r="L26" s="5">
        <v>789868</v>
      </c>
      <c r="M26" s="5">
        <v>838386</v>
      </c>
      <c r="N26" s="5">
        <v>876600</v>
      </c>
      <c r="O26" s="5">
        <v>946597</v>
      </c>
    </row>
    <row r="27" spans="1:15" x14ac:dyDescent="0.2">
      <c r="A27" s="1" t="s">
        <v>79</v>
      </c>
      <c r="B27" s="1" t="s">
        <v>80</v>
      </c>
      <c r="C27" s="1" t="s">
        <v>81</v>
      </c>
      <c r="G27" s="5">
        <v>139796</v>
      </c>
      <c r="H27" s="5">
        <v>537492</v>
      </c>
      <c r="I27" s="5">
        <v>1176908</v>
      </c>
      <c r="J27" s="5">
        <v>1601094</v>
      </c>
      <c r="K27" s="5">
        <v>1821946</v>
      </c>
      <c r="L27" s="5">
        <v>2051146</v>
      </c>
      <c r="M27" s="5">
        <v>2455903</v>
      </c>
      <c r="N27" s="5">
        <v>2570160</v>
      </c>
      <c r="O27" s="5">
        <v>2817381</v>
      </c>
    </row>
    <row r="28" spans="1:15" x14ac:dyDescent="0.2">
      <c r="A28" s="1" t="s">
        <v>82</v>
      </c>
      <c r="B28" s="1" t="s">
        <v>83</v>
      </c>
      <c r="C28" s="1" t="s">
        <v>84</v>
      </c>
      <c r="D28" s="5">
        <v>22364</v>
      </c>
      <c r="E28" s="5">
        <v>124676</v>
      </c>
      <c r="F28" s="5">
        <v>218631</v>
      </c>
      <c r="G28" s="5">
        <v>472774</v>
      </c>
      <c r="H28" s="5">
        <v>367299</v>
      </c>
      <c r="I28" s="5">
        <v>363320</v>
      </c>
      <c r="J28" s="5">
        <v>358415</v>
      </c>
      <c r="K28" s="5">
        <v>362841</v>
      </c>
      <c r="L28" s="5">
        <v>387205</v>
      </c>
      <c r="M28" s="5">
        <v>392015</v>
      </c>
      <c r="N28" s="5">
        <v>413065</v>
      </c>
      <c r="O28" s="5">
        <v>425596</v>
      </c>
    </row>
    <row r="29" spans="1:15" x14ac:dyDescent="0.2">
      <c r="A29" s="1" t="s">
        <v>82</v>
      </c>
      <c r="B29" s="1" t="s">
        <v>85</v>
      </c>
      <c r="C29" s="1" t="s">
        <v>86</v>
      </c>
      <c r="D29" s="5">
        <v>53210</v>
      </c>
      <c r="E29" s="5">
        <v>68790</v>
      </c>
      <c r="F29" s="5">
        <v>118415</v>
      </c>
      <c r="G29" s="5">
        <v>187847</v>
      </c>
      <c r="H29" s="5">
        <v>271639</v>
      </c>
      <c r="I29" s="5">
        <v>320837</v>
      </c>
      <c r="J29" s="5">
        <v>405986</v>
      </c>
      <c r="K29" s="5">
        <v>436088</v>
      </c>
      <c r="L29" s="5">
        <v>459500</v>
      </c>
      <c r="M29" s="5">
        <v>497320</v>
      </c>
      <c r="N29" s="5">
        <v>548850</v>
      </c>
      <c r="O29" s="5">
        <v>607584</v>
      </c>
    </row>
    <row r="30" spans="1:15" x14ac:dyDescent="0.2">
      <c r="A30" s="1" t="s">
        <v>82</v>
      </c>
      <c r="B30" s="1" t="s">
        <v>87</v>
      </c>
      <c r="C30" s="1" t="s">
        <v>88</v>
      </c>
      <c r="D30" s="5">
        <v>186490</v>
      </c>
      <c r="E30" s="5">
        <v>248747</v>
      </c>
      <c r="F30" s="5">
        <v>273326</v>
      </c>
      <c r="G30" s="5">
        <v>380230</v>
      </c>
      <c r="H30" s="5">
        <v>606946</v>
      </c>
      <c r="I30" s="5">
        <v>955452</v>
      </c>
      <c r="J30" s="5">
        <v>1380161</v>
      </c>
      <c r="K30" s="5">
        <v>1524240</v>
      </c>
      <c r="L30" s="5">
        <v>1719008</v>
      </c>
      <c r="M30" s="5">
        <v>1907522</v>
      </c>
      <c r="N30" s="5">
        <v>1987103</v>
      </c>
      <c r="O30" s="5">
        <v>2208539</v>
      </c>
    </row>
    <row r="31" spans="1:15" x14ac:dyDescent="0.2">
      <c r="A31" s="1" t="s">
        <v>82</v>
      </c>
      <c r="B31" s="1" t="s">
        <v>89</v>
      </c>
      <c r="C31" s="1" t="s">
        <v>90</v>
      </c>
      <c r="D31" s="5">
        <v>195264</v>
      </c>
      <c r="E31" s="5">
        <v>347936</v>
      </c>
      <c r="F31" s="5">
        <v>346866</v>
      </c>
      <c r="G31" s="5">
        <v>377497</v>
      </c>
      <c r="H31" s="5">
        <v>353440</v>
      </c>
      <c r="I31" s="5">
        <v>383729</v>
      </c>
      <c r="J31" s="5">
        <v>456056</v>
      </c>
      <c r="K31" s="5">
        <v>479538</v>
      </c>
      <c r="L31" s="5">
        <v>531784</v>
      </c>
      <c r="M31" s="5">
        <v>554812</v>
      </c>
      <c r="N31" s="5">
        <v>565934</v>
      </c>
      <c r="O31" s="5">
        <v>591993</v>
      </c>
    </row>
    <row r="32" spans="1:15" x14ac:dyDescent="0.2">
      <c r="A32" s="1" t="s">
        <v>91</v>
      </c>
      <c r="B32" s="1" t="s">
        <v>92</v>
      </c>
      <c r="C32" s="1" t="s">
        <v>93</v>
      </c>
      <c r="D32" s="5">
        <v>21223</v>
      </c>
      <c r="E32" s="5">
        <v>44250</v>
      </c>
      <c r="F32" s="5">
        <v>136444</v>
      </c>
      <c r="G32" s="5">
        <v>109482</v>
      </c>
      <c r="H32" s="5">
        <v>163968</v>
      </c>
      <c r="I32" s="5">
        <v>196848</v>
      </c>
      <c r="J32" s="5">
        <v>216445</v>
      </c>
      <c r="K32" s="5">
        <v>216430</v>
      </c>
      <c r="L32" s="5">
        <v>219901</v>
      </c>
      <c r="M32" s="5">
        <v>216528</v>
      </c>
      <c r="N32" s="5">
        <v>220541</v>
      </c>
      <c r="O32" s="5">
        <v>223185</v>
      </c>
    </row>
    <row r="33" spans="1:15" x14ac:dyDescent="0.2">
      <c r="A33" s="1" t="s">
        <v>91</v>
      </c>
      <c r="B33" s="1" t="s">
        <v>94</v>
      </c>
      <c r="C33" s="1" t="s">
        <v>95</v>
      </c>
      <c r="D33" s="5">
        <v>20164</v>
      </c>
      <c r="E33" s="5">
        <v>24833</v>
      </c>
      <c r="F33" s="5">
        <v>49597</v>
      </c>
      <c r="G33" s="5">
        <v>99423</v>
      </c>
      <c r="H33" s="5">
        <v>172826</v>
      </c>
      <c r="I33" s="5">
        <v>238423</v>
      </c>
      <c r="J33" s="5">
        <v>290182</v>
      </c>
      <c r="K33" s="5">
        <v>283535</v>
      </c>
      <c r="L33" s="5">
        <v>282521</v>
      </c>
      <c r="M33" s="5">
        <v>281061</v>
      </c>
      <c r="N33" s="5">
        <v>294110</v>
      </c>
      <c r="O33" s="5">
        <v>296277</v>
      </c>
    </row>
    <row r="34" spans="1:15" x14ac:dyDescent="0.2">
      <c r="A34" s="1" t="s">
        <v>91</v>
      </c>
      <c r="B34" s="1" t="s">
        <v>96</v>
      </c>
      <c r="C34" s="1" t="s">
        <v>97</v>
      </c>
      <c r="D34" s="5">
        <v>71329</v>
      </c>
      <c r="E34" s="5">
        <v>171865</v>
      </c>
      <c r="F34" s="5">
        <v>325924</v>
      </c>
      <c r="G34" s="5">
        <v>714836</v>
      </c>
      <c r="H34" s="5">
        <v>1155939</v>
      </c>
      <c r="I34" s="5">
        <v>1571958</v>
      </c>
      <c r="J34" s="5">
        <v>2042273</v>
      </c>
      <c r="K34" s="5">
        <v>2300832</v>
      </c>
      <c r="L34" s="5">
        <v>2536110</v>
      </c>
      <c r="M34" s="5">
        <v>2924950</v>
      </c>
      <c r="N34" s="5">
        <v>3056794</v>
      </c>
      <c r="O34" s="5">
        <v>3581463</v>
      </c>
    </row>
    <row r="35" spans="1:15" x14ac:dyDescent="0.2">
      <c r="A35" s="1" t="s">
        <v>91</v>
      </c>
      <c r="B35" s="1" t="s">
        <v>98</v>
      </c>
      <c r="C35" s="1" t="s">
        <v>99</v>
      </c>
      <c r="D35" s="5">
        <v>85984</v>
      </c>
      <c r="E35" s="5">
        <v>105241</v>
      </c>
      <c r="F35" s="5">
        <v>129604</v>
      </c>
      <c r="G35" s="5">
        <v>161338</v>
      </c>
      <c r="H35" s="5">
        <v>210978</v>
      </c>
      <c r="I35" s="5">
        <v>328653</v>
      </c>
      <c r="J35" s="5">
        <v>558241</v>
      </c>
      <c r="K35" s="5">
        <v>733060</v>
      </c>
      <c r="L35" s="5">
        <v>907456</v>
      </c>
      <c r="M35" s="5">
        <v>1063068</v>
      </c>
      <c r="N35" s="5">
        <v>1159722</v>
      </c>
      <c r="O35" s="5">
        <v>1460932</v>
      </c>
    </row>
    <row r="36" spans="1:15" x14ac:dyDescent="0.2">
      <c r="A36" s="1" t="s">
        <v>91</v>
      </c>
      <c r="B36" s="1" t="s">
        <v>100</v>
      </c>
      <c r="C36" s="1" t="s">
        <v>101</v>
      </c>
      <c r="D36" s="5">
        <v>201322</v>
      </c>
      <c r="E36" s="5">
        <v>315829</v>
      </c>
      <c r="F36" s="5">
        <v>369312</v>
      </c>
      <c r="G36" s="5">
        <v>508709</v>
      </c>
      <c r="H36" s="5">
        <v>713179</v>
      </c>
      <c r="I36" s="5">
        <v>785243</v>
      </c>
      <c r="J36" s="5">
        <v>911762</v>
      </c>
      <c r="K36" s="5">
        <v>981110</v>
      </c>
      <c r="L36" s="5">
        <v>1058208</v>
      </c>
      <c r="M36" s="5">
        <v>1161428</v>
      </c>
      <c r="N36" s="5">
        <v>1272621</v>
      </c>
      <c r="O36" s="5">
        <v>1494638</v>
      </c>
    </row>
    <row r="37" spans="1:15" x14ac:dyDescent="0.2">
      <c r="A37" s="1" t="s">
        <v>102</v>
      </c>
      <c r="B37" s="1" t="s">
        <v>103</v>
      </c>
      <c r="C37" s="1" t="s">
        <v>104</v>
      </c>
      <c r="D37" s="5">
        <v>380995</v>
      </c>
      <c r="E37" s="5">
        <v>485158</v>
      </c>
      <c r="F37" s="5">
        <v>615475</v>
      </c>
      <c r="G37" s="5">
        <v>847570</v>
      </c>
      <c r="H37" s="5">
        <v>1058643</v>
      </c>
      <c r="I37" s="5">
        <v>1425215</v>
      </c>
      <c r="J37" s="5">
        <v>1785526</v>
      </c>
      <c r="K37" s="5">
        <v>1951392</v>
      </c>
      <c r="L37" s="5">
        <v>2147128</v>
      </c>
      <c r="M37" s="5">
        <v>2410001</v>
      </c>
      <c r="N37" s="5">
        <v>2605412</v>
      </c>
      <c r="O37" s="5">
        <v>2779620</v>
      </c>
    </row>
    <row r="38" spans="1:15" x14ac:dyDescent="0.2">
      <c r="A38" s="1" t="s">
        <v>102</v>
      </c>
      <c r="B38" s="1" t="s">
        <v>105</v>
      </c>
      <c r="C38" s="1" t="s">
        <v>106</v>
      </c>
      <c r="D38" s="5">
        <v>33687</v>
      </c>
      <c r="E38" s="5">
        <v>48352</v>
      </c>
      <c r="F38" s="5">
        <v>59867</v>
      </c>
      <c r="G38" s="5">
        <v>297292</v>
      </c>
      <c r="H38" s="5">
        <v>438420</v>
      </c>
      <c r="I38" s="5">
        <v>733355</v>
      </c>
      <c r="J38" s="5">
        <v>1080060</v>
      </c>
      <c r="K38" s="5">
        <v>1139949</v>
      </c>
      <c r="L38" s="5">
        <v>1241181</v>
      </c>
      <c r="M38" s="5">
        <v>1314126</v>
      </c>
      <c r="N38" s="5">
        <v>1409940</v>
      </c>
      <c r="O38" s="5">
        <v>1401349</v>
      </c>
    </row>
    <row r="39" spans="1:15" x14ac:dyDescent="0.2">
      <c r="A39" s="1" t="s">
        <v>102</v>
      </c>
      <c r="B39" s="1" t="s">
        <v>107</v>
      </c>
      <c r="C39" s="1" t="s">
        <v>108</v>
      </c>
      <c r="D39" s="5">
        <v>82970</v>
      </c>
      <c r="E39" s="5">
        <v>166853</v>
      </c>
      <c r="F39" s="5">
        <v>240288</v>
      </c>
      <c r="G39" s="5">
        <v>509909</v>
      </c>
      <c r="H39" s="5">
        <v>598581</v>
      </c>
      <c r="I39" s="5">
        <v>734298</v>
      </c>
      <c r="J39" s="5">
        <v>794406</v>
      </c>
      <c r="K39" s="5">
        <v>802205</v>
      </c>
      <c r="L39" s="5">
        <v>843035</v>
      </c>
      <c r="M39" s="5">
        <v>855512</v>
      </c>
      <c r="N39" s="5">
        <v>915039</v>
      </c>
      <c r="O39" s="5">
        <v>910262</v>
      </c>
    </row>
    <row r="40" spans="1:15" x14ac:dyDescent="0.2">
      <c r="A40" s="1" t="s">
        <v>102</v>
      </c>
      <c r="B40" s="1" t="s">
        <v>109</v>
      </c>
      <c r="C40" s="1" t="s">
        <v>110</v>
      </c>
      <c r="D40" s="5">
        <v>300394</v>
      </c>
      <c r="E40" s="5">
        <v>441441</v>
      </c>
      <c r="F40" s="5">
        <v>560287</v>
      </c>
      <c r="G40" s="5">
        <v>696239</v>
      </c>
      <c r="H40" s="5">
        <v>759170</v>
      </c>
      <c r="I40" s="5">
        <v>934489</v>
      </c>
      <c r="J40" s="5">
        <v>1046936</v>
      </c>
      <c r="K40" s="5">
        <v>1090701</v>
      </c>
      <c r="L40" s="5">
        <v>1169028</v>
      </c>
      <c r="M40" s="5">
        <v>1252495</v>
      </c>
      <c r="N40" s="5">
        <v>1336005</v>
      </c>
      <c r="O40" s="5">
        <v>1352035</v>
      </c>
    </row>
    <row r="41" spans="1:15" x14ac:dyDescent="0.2">
      <c r="A41" s="1" t="s">
        <v>102</v>
      </c>
      <c r="B41" s="1" t="s">
        <v>111</v>
      </c>
      <c r="C41" s="1" t="s">
        <v>112</v>
      </c>
      <c r="D41" s="5">
        <v>76291</v>
      </c>
      <c r="E41" s="5">
        <v>93365</v>
      </c>
      <c r="F41" s="5">
        <v>107331</v>
      </c>
      <c r="G41" s="5">
        <v>126361</v>
      </c>
      <c r="H41" s="5">
        <v>137864</v>
      </c>
      <c r="I41" s="5">
        <v>169087</v>
      </c>
      <c r="J41" s="5">
        <v>223325</v>
      </c>
      <c r="K41" s="5">
        <v>237936</v>
      </c>
      <c r="L41" s="5">
        <v>257181</v>
      </c>
      <c r="M41" s="5">
        <v>286861</v>
      </c>
      <c r="N41" s="5">
        <v>308393</v>
      </c>
      <c r="O41" s="5">
        <v>332539</v>
      </c>
    </row>
    <row r="42" spans="1:15" x14ac:dyDescent="0.2">
      <c r="A42" s="1" t="s">
        <v>113</v>
      </c>
      <c r="B42" s="1" t="s">
        <v>114</v>
      </c>
      <c r="C42" s="1" t="s">
        <v>115</v>
      </c>
      <c r="D42" s="5">
        <v>60215</v>
      </c>
      <c r="E42" s="5">
        <v>76557</v>
      </c>
      <c r="F42" s="5">
        <v>118173</v>
      </c>
      <c r="G42" s="5">
        <v>156796</v>
      </c>
      <c r="H42" s="5">
        <v>232170</v>
      </c>
      <c r="I42" s="5">
        <v>278914</v>
      </c>
      <c r="J42" s="5">
        <v>305285</v>
      </c>
      <c r="K42" s="5">
        <v>314179</v>
      </c>
      <c r="L42" s="5">
        <v>334534</v>
      </c>
      <c r="M42" s="5">
        <v>350489</v>
      </c>
      <c r="N42" s="5">
        <v>366418</v>
      </c>
      <c r="O42" s="5">
        <v>389591</v>
      </c>
    </row>
    <row r="43" spans="1:15" x14ac:dyDescent="0.2">
      <c r="A43" s="1" t="s">
        <v>113</v>
      </c>
      <c r="B43" s="1" t="s">
        <v>116</v>
      </c>
      <c r="C43" s="1" t="s">
        <v>117</v>
      </c>
      <c r="D43" s="5">
        <v>497516</v>
      </c>
      <c r="E43" s="5">
        <v>510225</v>
      </c>
      <c r="F43" s="5">
        <v>611153</v>
      </c>
      <c r="G43" s="5">
        <v>821194</v>
      </c>
      <c r="H43" s="5">
        <v>980658</v>
      </c>
      <c r="I43" s="5">
        <v>1127127</v>
      </c>
      <c r="J43" s="5">
        <v>1359049</v>
      </c>
      <c r="K43" s="5">
        <v>1387865</v>
      </c>
      <c r="L43" s="5">
        <v>1495284</v>
      </c>
      <c r="M43" s="5">
        <v>1581867</v>
      </c>
      <c r="N43" s="5">
        <v>1610413</v>
      </c>
      <c r="O43" s="5">
        <v>1648473</v>
      </c>
    </row>
    <row r="44" spans="1:15" x14ac:dyDescent="0.2">
      <c r="A44" s="1" t="s">
        <v>113</v>
      </c>
      <c r="B44" s="1" t="s">
        <v>118</v>
      </c>
      <c r="C44" s="1" t="s">
        <v>119</v>
      </c>
      <c r="D44" s="5">
        <v>345826</v>
      </c>
      <c r="E44" s="5">
        <v>370981</v>
      </c>
      <c r="F44" s="5">
        <v>477285</v>
      </c>
      <c r="G44" s="5">
        <v>528250</v>
      </c>
      <c r="H44" s="5">
        <v>593384</v>
      </c>
      <c r="I44" s="5">
        <v>604176</v>
      </c>
      <c r="J44" s="5">
        <v>658238</v>
      </c>
      <c r="K44" s="5">
        <v>659142</v>
      </c>
      <c r="L44" s="5">
        <v>679850</v>
      </c>
      <c r="M44" s="5">
        <v>694888</v>
      </c>
      <c r="N44" s="5">
        <v>699413</v>
      </c>
      <c r="O44" s="5">
        <v>668279</v>
      </c>
    </row>
    <row r="45" spans="1:15" x14ac:dyDescent="0.2">
      <c r="A45" s="1" t="s">
        <v>113</v>
      </c>
      <c r="B45" s="1" t="s">
        <v>120</v>
      </c>
      <c r="C45" s="1" t="s">
        <v>121</v>
      </c>
      <c r="D45" s="5">
        <v>163199</v>
      </c>
      <c r="E45" s="5">
        <v>237254</v>
      </c>
      <c r="F45" s="5">
        <v>307905</v>
      </c>
      <c r="G45" s="5">
        <v>615176</v>
      </c>
      <c r="H45" s="5">
        <v>438140</v>
      </c>
      <c r="I45" s="5">
        <v>387772</v>
      </c>
      <c r="J45" s="5">
        <v>394988</v>
      </c>
      <c r="K45" s="5">
        <v>380472</v>
      </c>
      <c r="L45" s="5">
        <v>382976</v>
      </c>
      <c r="M45" s="5">
        <v>376667</v>
      </c>
      <c r="N45" s="5">
        <v>385413</v>
      </c>
      <c r="O45" s="5">
        <v>367097</v>
      </c>
    </row>
    <row r="46" spans="1:15" x14ac:dyDescent="0.2">
      <c r="A46" s="1" t="s">
        <v>113</v>
      </c>
      <c r="B46" s="1" t="s">
        <v>122</v>
      </c>
      <c r="C46" s="1" t="s">
        <v>123</v>
      </c>
      <c r="D46" s="5">
        <v>488598</v>
      </c>
      <c r="E46" s="5">
        <v>617004</v>
      </c>
      <c r="F46" s="5">
        <v>716977</v>
      </c>
      <c r="G46" s="5">
        <v>918444</v>
      </c>
      <c r="H46" s="5">
        <v>1095164</v>
      </c>
      <c r="I46" s="5">
        <v>1337305</v>
      </c>
      <c r="J46" s="5">
        <v>1595648</v>
      </c>
      <c r="K46" s="5">
        <v>1735587</v>
      </c>
      <c r="L46" s="5">
        <v>1871237</v>
      </c>
      <c r="M46" s="5">
        <v>2092131</v>
      </c>
      <c r="N46" s="5">
        <v>2144482</v>
      </c>
      <c r="O46" s="5">
        <v>2409442</v>
      </c>
    </row>
    <row r="47" spans="1:15" x14ac:dyDescent="0.2">
      <c r="A47" s="1" t="s">
        <v>113</v>
      </c>
      <c r="B47" s="1" t="s">
        <v>124</v>
      </c>
      <c r="C47" s="1" t="s">
        <v>125</v>
      </c>
      <c r="D47" s="5">
        <v>180883</v>
      </c>
      <c r="E47" s="5">
        <v>211958</v>
      </c>
      <c r="F47" s="5">
        <v>230254</v>
      </c>
      <c r="G47" s="5">
        <v>276118</v>
      </c>
      <c r="H47" s="5">
        <v>306922</v>
      </c>
      <c r="I47" s="5">
        <v>312667</v>
      </c>
      <c r="J47" s="5">
        <v>348315</v>
      </c>
      <c r="K47" s="5">
        <v>365150</v>
      </c>
      <c r="L47" s="5">
        <v>381602</v>
      </c>
      <c r="M47" s="5">
        <v>397475</v>
      </c>
      <c r="N47" s="5">
        <v>412712</v>
      </c>
      <c r="O47" s="5">
        <v>432115</v>
      </c>
    </row>
    <row r="48" spans="1:15" x14ac:dyDescent="0.2">
      <c r="A48" s="1" t="s">
        <v>113</v>
      </c>
      <c r="B48" s="1" t="s">
        <v>126</v>
      </c>
      <c r="C48" s="1" t="s">
        <v>127</v>
      </c>
      <c r="D48" s="5">
        <v>772168</v>
      </c>
      <c r="E48" s="5">
        <v>971144</v>
      </c>
      <c r="F48" s="5">
        <v>1179107</v>
      </c>
      <c r="G48" s="5">
        <v>1683037</v>
      </c>
      <c r="H48" s="5">
        <v>2527677</v>
      </c>
      <c r="I48" s="5">
        <v>3598468</v>
      </c>
      <c r="J48" s="5">
        <v>4620624</v>
      </c>
      <c r="K48" s="5">
        <v>5061255</v>
      </c>
      <c r="L48" s="5">
        <v>5588300</v>
      </c>
      <c r="M48" s="5">
        <v>6259573</v>
      </c>
      <c r="N48" s="5">
        <v>6236117</v>
      </c>
      <c r="O48" s="5">
        <v>6580569</v>
      </c>
    </row>
    <row r="49" spans="1:15" x14ac:dyDescent="0.2">
      <c r="A49" s="1" t="s">
        <v>113</v>
      </c>
      <c r="B49" s="1" t="s">
        <v>128</v>
      </c>
      <c r="C49" s="1" t="s">
        <v>129</v>
      </c>
      <c r="D49" s="5">
        <v>436509</v>
      </c>
      <c r="E49" s="5">
        <v>678944</v>
      </c>
      <c r="F49" s="5">
        <v>879906</v>
      </c>
      <c r="G49" s="5">
        <v>1212429</v>
      </c>
      <c r="H49" s="5">
        <v>1372429</v>
      </c>
      <c r="I49" s="5">
        <v>1394262</v>
      </c>
      <c r="J49" s="5">
        <v>1461404</v>
      </c>
      <c r="K49" s="5">
        <v>1474853</v>
      </c>
      <c r="L49" s="5">
        <v>1535178</v>
      </c>
      <c r="M49" s="5">
        <v>1591392</v>
      </c>
      <c r="N49" s="5">
        <v>1620993</v>
      </c>
      <c r="O49" s="5">
        <v>1599803</v>
      </c>
    </row>
    <row r="50" spans="1:15" x14ac:dyDescent="0.2">
      <c r="A50" s="1" t="s">
        <v>113</v>
      </c>
      <c r="B50" s="1" t="s">
        <v>130</v>
      </c>
      <c r="C50" s="1" t="s">
        <v>131</v>
      </c>
      <c r="D50" s="5">
        <v>330551</v>
      </c>
      <c r="E50" s="5">
        <v>373865</v>
      </c>
      <c r="F50" s="5">
        <v>416038</v>
      </c>
      <c r="G50" s="5">
        <v>490871</v>
      </c>
      <c r="H50" s="5">
        <v>537891</v>
      </c>
      <c r="I50" s="5">
        <v>618946</v>
      </c>
      <c r="J50" s="5">
        <v>726059</v>
      </c>
      <c r="K50" s="5">
        <v>787614</v>
      </c>
      <c r="L50" s="5">
        <v>839112</v>
      </c>
      <c r="M50" s="5">
        <v>918398</v>
      </c>
      <c r="N50" s="5">
        <v>955030</v>
      </c>
      <c r="O50" s="5">
        <v>1051053</v>
      </c>
    </row>
    <row r="51" spans="1:15" x14ac:dyDescent="0.2">
      <c r="A51" s="1" t="s">
        <v>113</v>
      </c>
      <c r="B51" s="1" t="s">
        <v>132</v>
      </c>
      <c r="C51" s="1" t="s">
        <v>133</v>
      </c>
      <c r="D51" s="5">
        <v>1156231</v>
      </c>
      <c r="E51" s="5">
        <v>1211782</v>
      </c>
      <c r="F51" s="5">
        <v>1256103</v>
      </c>
      <c r="G51" s="5">
        <v>1391254</v>
      </c>
      <c r="H51" s="5">
        <v>1458498</v>
      </c>
      <c r="I51" s="5">
        <v>1667651</v>
      </c>
      <c r="J51" s="5">
        <v>1961401</v>
      </c>
      <c r="K51" s="5">
        <v>2094039</v>
      </c>
      <c r="L51" s="5">
        <v>2251628</v>
      </c>
      <c r="M51" s="5">
        <v>2346077</v>
      </c>
      <c r="N51" s="5">
        <v>2438611</v>
      </c>
      <c r="O51" s="5">
        <v>2592107</v>
      </c>
    </row>
    <row r="52" spans="1:15" x14ac:dyDescent="0.2">
      <c r="A52" s="1" t="s">
        <v>113</v>
      </c>
      <c r="B52" s="1" t="s">
        <v>134</v>
      </c>
      <c r="C52" s="1" t="s">
        <v>135</v>
      </c>
      <c r="D52" s="5">
        <v>218067</v>
      </c>
      <c r="E52" s="5">
        <v>230450</v>
      </c>
      <c r="F52" s="5">
        <v>259873</v>
      </c>
      <c r="G52" s="5">
        <v>322958</v>
      </c>
      <c r="H52" s="5">
        <v>368266</v>
      </c>
      <c r="I52" s="5">
        <v>413851</v>
      </c>
      <c r="J52" s="5">
        <v>464983</v>
      </c>
      <c r="K52" s="5">
        <v>490410</v>
      </c>
      <c r="L52" s="5">
        <v>511956</v>
      </c>
      <c r="M52" s="5">
        <v>537952</v>
      </c>
      <c r="N52" s="5">
        <v>554354</v>
      </c>
      <c r="O52" s="5">
        <v>578269</v>
      </c>
    </row>
    <row r="53" spans="1:15" x14ac:dyDescent="0.2">
      <c r="A53" s="1" t="s">
        <v>113</v>
      </c>
      <c r="B53" s="1" t="s">
        <v>136</v>
      </c>
      <c r="C53" s="1" t="s">
        <v>137</v>
      </c>
      <c r="D53" s="5">
        <v>1238410</v>
      </c>
      <c r="E53" s="5">
        <v>1273204</v>
      </c>
      <c r="F53" s="5">
        <v>1329414</v>
      </c>
      <c r="G53" s="5">
        <v>1543513</v>
      </c>
      <c r="H53" s="5">
        <v>1574464</v>
      </c>
      <c r="I53" s="5">
        <v>1638966</v>
      </c>
      <c r="J53" s="5">
        <v>1847158</v>
      </c>
      <c r="K53" s="5">
        <v>1922047</v>
      </c>
      <c r="L53" s="5">
        <v>2033478</v>
      </c>
      <c r="M53" s="5">
        <v>2126597</v>
      </c>
      <c r="N53" s="5">
        <v>2173374</v>
      </c>
      <c r="O53" s="5">
        <v>2223191</v>
      </c>
    </row>
    <row r="54" spans="1:15" x14ac:dyDescent="0.2">
      <c r="A54" s="1" t="s">
        <v>138</v>
      </c>
      <c r="B54" s="1" t="s">
        <v>139</v>
      </c>
      <c r="C54" s="1" t="s">
        <v>140</v>
      </c>
      <c r="D54" s="5">
        <v>39778</v>
      </c>
      <c r="E54" s="5">
        <v>68277</v>
      </c>
      <c r="F54" s="5">
        <v>75847</v>
      </c>
      <c r="G54" s="5">
        <v>117495</v>
      </c>
      <c r="H54" s="5">
        <v>163994</v>
      </c>
      <c r="I54" s="5">
        <v>182157</v>
      </c>
      <c r="J54" s="5">
        <v>201407</v>
      </c>
      <c r="K54" s="5">
        <v>204345</v>
      </c>
      <c r="L54" s="5">
        <v>222589</v>
      </c>
      <c r="M54" s="5">
        <v>229739</v>
      </c>
      <c r="N54" s="5">
        <v>244099</v>
      </c>
      <c r="O54" s="5">
        <v>238202</v>
      </c>
    </row>
    <row r="55" spans="1:15" x14ac:dyDescent="0.2">
      <c r="A55" s="1" t="s">
        <v>138</v>
      </c>
      <c r="B55" s="1" t="s">
        <v>141</v>
      </c>
      <c r="C55" s="1" t="s">
        <v>142</v>
      </c>
      <c r="D55" s="5">
        <v>28259</v>
      </c>
      <c r="E55" s="5">
        <v>60832</v>
      </c>
      <c r="F55" s="5">
        <v>84148</v>
      </c>
      <c r="G55" s="5">
        <v>141545</v>
      </c>
      <c r="H55" s="5">
        <v>242389</v>
      </c>
      <c r="I55" s="5">
        <v>416408</v>
      </c>
      <c r="J55" s="5">
        <v>666291</v>
      </c>
      <c r="K55" s="5">
        <v>749729</v>
      </c>
      <c r="L55" s="5">
        <v>827990</v>
      </c>
      <c r="M55" s="5">
        <v>914611</v>
      </c>
      <c r="N55" s="5">
        <v>991025</v>
      </c>
      <c r="O55" s="5">
        <v>1117436</v>
      </c>
    </row>
    <row r="56" spans="1:15" x14ac:dyDescent="0.2">
      <c r="A56" s="1" t="s">
        <v>138</v>
      </c>
      <c r="B56" s="1" t="s">
        <v>143</v>
      </c>
      <c r="C56" s="1" t="s">
        <v>144</v>
      </c>
      <c r="D56" s="5">
        <v>19187</v>
      </c>
      <c r="E56" s="5">
        <v>29483</v>
      </c>
      <c r="F56" s="5">
        <v>48306</v>
      </c>
      <c r="G56" s="5">
        <v>97590</v>
      </c>
      <c r="H56" s="5">
        <v>180125</v>
      </c>
      <c r="I56" s="5">
        <v>212720</v>
      </c>
      <c r="J56" s="5">
        <v>267368</v>
      </c>
      <c r="K56" s="5">
        <v>294280</v>
      </c>
      <c r="L56" s="5">
        <v>317109</v>
      </c>
      <c r="M56" s="5">
        <v>349726</v>
      </c>
      <c r="N56" s="5">
        <v>381394</v>
      </c>
      <c r="O56" s="5">
        <v>452938</v>
      </c>
    </row>
    <row r="57" spans="1:15" x14ac:dyDescent="0.2">
      <c r="A57" s="1" t="s">
        <v>138</v>
      </c>
      <c r="B57" s="1" t="s">
        <v>145</v>
      </c>
      <c r="C57" s="1" t="s">
        <v>146</v>
      </c>
      <c r="D57" s="5">
        <v>43160</v>
      </c>
      <c r="E57" s="5">
        <v>80048</v>
      </c>
      <c r="F57" s="5">
        <v>101094</v>
      </c>
      <c r="G57" s="5">
        <v>215388</v>
      </c>
      <c r="H57" s="5">
        <v>411652</v>
      </c>
      <c r="I57" s="5">
        <v>558484</v>
      </c>
      <c r="J57" s="5">
        <v>645307</v>
      </c>
      <c r="K57" s="5">
        <v>679480</v>
      </c>
      <c r="L57" s="5">
        <v>710382</v>
      </c>
      <c r="M57" s="5">
        <v>771198</v>
      </c>
      <c r="N57" s="5">
        <v>832506</v>
      </c>
      <c r="O57" s="5">
        <v>948437</v>
      </c>
    </row>
    <row r="58" spans="1:15" x14ac:dyDescent="0.2">
      <c r="A58" s="1" t="s">
        <v>147</v>
      </c>
      <c r="B58" s="1" t="s">
        <v>148</v>
      </c>
      <c r="C58" s="1" t="s">
        <v>149</v>
      </c>
      <c r="D58" s="5">
        <v>4475</v>
      </c>
      <c r="E58" s="5">
        <v>11218</v>
      </c>
      <c r="F58" s="5">
        <v>8207</v>
      </c>
      <c r="G58" s="5">
        <v>9197</v>
      </c>
      <c r="H58" s="5">
        <v>14195</v>
      </c>
      <c r="I58" s="5">
        <v>164472</v>
      </c>
      <c r="J58" s="5">
        <v>530699</v>
      </c>
      <c r="K58" s="5">
        <v>592825</v>
      </c>
      <c r="L58" s="5">
        <v>709128</v>
      </c>
      <c r="M58" s="5">
        <v>885570</v>
      </c>
      <c r="N58" s="5">
        <v>942751</v>
      </c>
      <c r="O58" s="5">
        <v>1215103</v>
      </c>
    </row>
    <row r="59" spans="1:15" x14ac:dyDescent="0.2">
      <c r="A59" s="1" t="s">
        <v>147</v>
      </c>
      <c r="B59" s="1" t="s">
        <v>150</v>
      </c>
      <c r="C59" s="1" t="s">
        <v>151</v>
      </c>
      <c r="D59" s="5">
        <v>5448</v>
      </c>
      <c r="E59" s="5">
        <v>3202</v>
      </c>
      <c r="F59" s="5">
        <v>6628</v>
      </c>
      <c r="G59" s="5">
        <v>15075</v>
      </c>
      <c r="H59" s="5">
        <v>31578</v>
      </c>
      <c r="I59" s="5">
        <v>102027</v>
      </c>
      <c r="J59" s="5">
        <v>177999</v>
      </c>
      <c r="K59" s="5">
        <v>212973</v>
      </c>
      <c r="L59" s="5">
        <v>227659</v>
      </c>
      <c r="M59" s="5">
        <v>257801</v>
      </c>
      <c r="N59" s="5">
        <v>276901</v>
      </c>
      <c r="O59" s="5">
        <v>346806</v>
      </c>
    </row>
    <row r="60" spans="1:15" x14ac:dyDescent="0.2">
      <c r="A60" s="1" t="s">
        <v>147</v>
      </c>
      <c r="B60" s="1" t="s">
        <v>152</v>
      </c>
      <c r="C60" s="1" t="s">
        <v>153</v>
      </c>
      <c r="D60" s="5">
        <v>1206</v>
      </c>
      <c r="E60" s="5">
        <v>3272</v>
      </c>
      <c r="F60" s="5">
        <v>5962</v>
      </c>
      <c r="G60" s="5">
        <v>6923</v>
      </c>
      <c r="H60" s="5">
        <v>31826</v>
      </c>
      <c r="I60" s="5">
        <v>177765</v>
      </c>
      <c r="J60" s="5">
        <v>234368</v>
      </c>
      <c r="K60" s="5">
        <v>259911</v>
      </c>
      <c r="L60" s="5">
        <v>278110</v>
      </c>
      <c r="M60" s="5">
        <v>310334</v>
      </c>
      <c r="N60" s="5">
        <v>320119</v>
      </c>
      <c r="O60" s="5">
        <v>345975</v>
      </c>
    </row>
    <row r="61" spans="1:15" x14ac:dyDescent="0.2">
      <c r="A61" s="1" t="s">
        <v>147</v>
      </c>
      <c r="B61" s="1" t="s">
        <v>154</v>
      </c>
      <c r="C61" s="1" t="s">
        <v>155</v>
      </c>
      <c r="D61" s="5">
        <v>87099</v>
      </c>
      <c r="E61" s="5">
        <v>128209</v>
      </c>
      <c r="F61" s="5">
        <v>140456</v>
      </c>
      <c r="G61" s="5">
        <v>201694</v>
      </c>
      <c r="H61" s="5">
        <v>330471</v>
      </c>
      <c r="I61" s="5">
        <v>474722</v>
      </c>
      <c r="J61" s="5">
        <v>794898</v>
      </c>
      <c r="K61" s="5">
        <v>847978</v>
      </c>
      <c r="L61" s="5">
        <v>931042</v>
      </c>
      <c r="M61" s="5">
        <v>994883</v>
      </c>
      <c r="N61" s="5">
        <v>1047416</v>
      </c>
      <c r="O61" s="5">
        <v>1189667</v>
      </c>
    </row>
    <row r="62" spans="1:15" x14ac:dyDescent="0.2">
      <c r="A62" s="1" t="s">
        <v>147</v>
      </c>
      <c r="B62" s="1" t="s">
        <v>156</v>
      </c>
      <c r="C62" s="1" t="s">
        <v>157</v>
      </c>
      <c r="E62" s="5">
        <v>41623</v>
      </c>
      <c r="F62" s="5">
        <v>51396</v>
      </c>
      <c r="G62" s="5">
        <v>91956</v>
      </c>
      <c r="H62" s="5">
        <v>190779</v>
      </c>
      <c r="I62" s="5">
        <v>219932</v>
      </c>
      <c r="J62" s="5">
        <v>289267</v>
      </c>
      <c r="K62" s="5">
        <v>322145</v>
      </c>
      <c r="L62" s="5">
        <v>359306</v>
      </c>
      <c r="M62" s="5">
        <v>406054</v>
      </c>
      <c r="N62" s="5">
        <v>447935</v>
      </c>
      <c r="O62" s="5">
        <v>561098</v>
      </c>
    </row>
    <row r="63" spans="1:15" x14ac:dyDescent="0.2">
      <c r="A63" s="1" t="s">
        <v>158</v>
      </c>
      <c r="B63" s="1" t="s">
        <v>159</v>
      </c>
      <c r="C63" s="1" t="s">
        <v>160</v>
      </c>
      <c r="D63" s="5">
        <v>129473</v>
      </c>
      <c r="E63" s="5">
        <v>130210</v>
      </c>
      <c r="F63" s="5">
        <v>153326</v>
      </c>
      <c r="G63" s="5">
        <v>221953</v>
      </c>
      <c r="H63" s="5">
        <v>304489</v>
      </c>
      <c r="I63" s="5">
        <v>467422</v>
      </c>
      <c r="J63" s="5">
        <v>560797</v>
      </c>
      <c r="K63" s="5">
        <v>577670</v>
      </c>
      <c r="L63" s="5">
        <v>638320</v>
      </c>
      <c r="M63" s="5">
        <v>682969</v>
      </c>
      <c r="N63" s="5">
        <v>736432</v>
      </c>
      <c r="O63" s="5">
        <v>845084</v>
      </c>
    </row>
    <row r="64" spans="1:15" x14ac:dyDescent="0.2">
      <c r="A64" s="1" t="s">
        <v>158</v>
      </c>
      <c r="B64" s="1" t="s">
        <v>161</v>
      </c>
      <c r="C64" s="1" t="s">
        <v>162</v>
      </c>
      <c r="D64" s="5">
        <v>150824</v>
      </c>
      <c r="E64" s="5">
        <v>124815</v>
      </c>
      <c r="F64" s="5">
        <v>153265</v>
      </c>
      <c r="G64" s="5">
        <v>178589</v>
      </c>
      <c r="H64" s="5">
        <v>214295</v>
      </c>
      <c r="I64" s="5">
        <v>283029</v>
      </c>
      <c r="J64" s="5">
        <v>317022</v>
      </c>
      <c r="K64" s="5">
        <v>340744</v>
      </c>
      <c r="L64" s="5">
        <v>380555</v>
      </c>
      <c r="M64" s="5">
        <v>438694</v>
      </c>
      <c r="N64" s="5">
        <v>487010</v>
      </c>
      <c r="O64" s="5">
        <v>557220</v>
      </c>
    </row>
    <row r="65" spans="1:15" x14ac:dyDescent="0.2">
      <c r="A65" s="1" t="s">
        <v>158</v>
      </c>
      <c r="B65" s="1" t="s">
        <v>163</v>
      </c>
      <c r="C65" s="1" t="s">
        <v>164</v>
      </c>
      <c r="D65" s="5">
        <v>236402</v>
      </c>
      <c r="E65" s="5">
        <v>237840</v>
      </c>
      <c r="F65" s="5">
        <v>322835</v>
      </c>
      <c r="G65" s="5">
        <v>489473</v>
      </c>
      <c r="H65" s="5">
        <v>774288</v>
      </c>
      <c r="I65" s="5">
        <v>1175563</v>
      </c>
      <c r="J65" s="5">
        <v>1620564</v>
      </c>
      <c r="K65" s="5">
        <v>1832257</v>
      </c>
      <c r="L65" s="5">
        <v>2086551</v>
      </c>
      <c r="M65" s="5">
        <v>2388927</v>
      </c>
      <c r="N65" s="5">
        <v>2437297</v>
      </c>
      <c r="O65" s="5">
        <v>2432714</v>
      </c>
    </row>
    <row r="66" spans="1:15" x14ac:dyDescent="0.2">
      <c r="A66" s="1" t="s">
        <v>158</v>
      </c>
      <c r="B66" s="1" t="s">
        <v>165</v>
      </c>
      <c r="C66" s="1" t="s">
        <v>166</v>
      </c>
      <c r="D66" s="5">
        <v>387569</v>
      </c>
      <c r="E66" s="5">
        <v>388184</v>
      </c>
      <c r="F66" s="5">
        <v>452515</v>
      </c>
      <c r="G66" s="5">
        <v>581216</v>
      </c>
      <c r="H66" s="5">
        <v>721752</v>
      </c>
      <c r="I66" s="5">
        <v>1008983</v>
      </c>
      <c r="J66" s="5">
        <v>1218214</v>
      </c>
      <c r="K66" s="5">
        <v>1315722</v>
      </c>
      <c r="L66" s="5">
        <v>1475673</v>
      </c>
      <c r="M66" s="5">
        <v>1622402</v>
      </c>
      <c r="N66" s="5">
        <v>1789387</v>
      </c>
      <c r="O66" s="5">
        <v>1897410</v>
      </c>
    </row>
    <row r="67" spans="1:15" x14ac:dyDescent="0.2">
      <c r="A67" s="1" t="s">
        <v>158</v>
      </c>
      <c r="B67" s="1" t="s">
        <v>167</v>
      </c>
      <c r="C67" s="1" t="s">
        <v>168</v>
      </c>
      <c r="D67" s="5">
        <v>24939</v>
      </c>
      <c r="E67" s="5">
        <v>15580</v>
      </c>
      <c r="F67" s="5">
        <v>18531</v>
      </c>
      <c r="G67" s="5">
        <v>25576</v>
      </c>
      <c r="H67" s="5">
        <v>39825</v>
      </c>
      <c r="I67" s="5">
        <v>104209</v>
      </c>
      <c r="J67" s="5">
        <v>344008</v>
      </c>
      <c r="K67" s="5">
        <v>399464</v>
      </c>
      <c r="L67" s="5">
        <v>422226</v>
      </c>
      <c r="M67" s="5">
        <v>493443</v>
      </c>
      <c r="N67" s="5">
        <v>483411</v>
      </c>
      <c r="O67" s="5">
        <v>583074</v>
      </c>
    </row>
    <row r="68" spans="1:15" x14ac:dyDescent="0.2">
      <c r="A68" s="1" t="s">
        <v>158</v>
      </c>
      <c r="B68" s="1" t="s">
        <v>169</v>
      </c>
      <c r="C68" s="1" t="s">
        <v>170</v>
      </c>
      <c r="D68" s="5">
        <v>17823</v>
      </c>
      <c r="E68" s="5">
        <v>17268</v>
      </c>
      <c r="F68" s="5">
        <v>22801</v>
      </c>
      <c r="G68" s="5">
        <v>41386</v>
      </c>
      <c r="H68" s="5">
        <v>112349</v>
      </c>
      <c r="I68" s="5">
        <v>364292</v>
      </c>
      <c r="J68" s="5">
        <v>889455</v>
      </c>
      <c r="K68" s="5">
        <v>1044992</v>
      </c>
      <c r="L68" s="5">
        <v>1192640</v>
      </c>
      <c r="M68" s="5">
        <v>1439138</v>
      </c>
      <c r="N68" s="5">
        <v>1647514</v>
      </c>
      <c r="O68" s="5">
        <v>1805523</v>
      </c>
    </row>
    <row r="69" spans="1:15" x14ac:dyDescent="0.2">
      <c r="A69" s="1" t="s">
        <v>171</v>
      </c>
      <c r="B69" s="1" t="s">
        <v>172</v>
      </c>
      <c r="C69" s="1" t="s">
        <v>173</v>
      </c>
      <c r="D69" s="5">
        <v>205774</v>
      </c>
      <c r="E69" s="5">
        <v>380399</v>
      </c>
      <c r="F69" s="5">
        <v>462478</v>
      </c>
      <c r="G69" s="5">
        <v>542799</v>
      </c>
      <c r="H69" s="5">
        <v>674988</v>
      </c>
      <c r="I69" s="5">
        <v>764450</v>
      </c>
      <c r="J69" s="5">
        <v>802825</v>
      </c>
      <c r="K69" s="5">
        <v>801151</v>
      </c>
      <c r="L69" s="5">
        <v>819855</v>
      </c>
      <c r="M69" s="5">
        <v>847330</v>
      </c>
      <c r="N69" s="5">
        <v>863178</v>
      </c>
      <c r="O69" s="5">
        <v>866122</v>
      </c>
    </row>
    <row r="70" spans="1:15" x14ac:dyDescent="0.2">
      <c r="A70" s="1" t="s">
        <v>171</v>
      </c>
      <c r="B70" s="1" t="s">
        <v>174</v>
      </c>
      <c r="C70" s="1" t="s">
        <v>175</v>
      </c>
      <c r="D70" s="5">
        <v>113450</v>
      </c>
      <c r="E70" s="5">
        <v>157315</v>
      </c>
      <c r="F70" s="5">
        <v>181104</v>
      </c>
      <c r="G70" s="5">
        <v>191856</v>
      </c>
      <c r="H70" s="5">
        <v>234880</v>
      </c>
      <c r="I70" s="5">
        <v>263526</v>
      </c>
      <c r="J70" s="5">
        <v>268336</v>
      </c>
      <c r="K70" s="5">
        <v>267843</v>
      </c>
      <c r="L70" s="5">
        <v>277116</v>
      </c>
      <c r="M70" s="5">
        <v>291476</v>
      </c>
      <c r="N70" s="5">
        <v>298263</v>
      </c>
      <c r="O70" s="5">
        <v>305554</v>
      </c>
    </row>
    <row r="71" spans="1:15" x14ac:dyDescent="0.2">
      <c r="A71" s="1" t="s">
        <v>171</v>
      </c>
      <c r="B71" s="1" t="s">
        <v>176</v>
      </c>
      <c r="C71" s="1" t="s">
        <v>177</v>
      </c>
      <c r="D71" s="5">
        <v>442621</v>
      </c>
      <c r="E71" s="5">
        <v>588682</v>
      </c>
      <c r="F71" s="5">
        <v>707417</v>
      </c>
      <c r="G71" s="5">
        <v>797154</v>
      </c>
      <c r="H71" s="5">
        <v>894885</v>
      </c>
      <c r="I71" s="5">
        <v>996924</v>
      </c>
      <c r="J71" s="5">
        <v>1110553</v>
      </c>
      <c r="K71" s="5">
        <v>1132091</v>
      </c>
      <c r="L71" s="5">
        <v>1151229</v>
      </c>
      <c r="M71" s="5">
        <v>1186906</v>
      </c>
      <c r="N71" s="5">
        <v>1213279</v>
      </c>
      <c r="O71" s="5">
        <v>1249493</v>
      </c>
    </row>
    <row r="72" spans="1:15" x14ac:dyDescent="0.2">
      <c r="A72" s="1" t="s">
        <v>171</v>
      </c>
      <c r="B72" s="1" t="s">
        <v>178</v>
      </c>
      <c r="C72" s="1" t="s">
        <v>179</v>
      </c>
      <c r="D72" s="5">
        <v>199261</v>
      </c>
      <c r="E72" s="5">
        <v>295886</v>
      </c>
      <c r="F72" s="5">
        <v>362260</v>
      </c>
      <c r="G72" s="5">
        <v>459336</v>
      </c>
      <c r="H72" s="5">
        <v>577710</v>
      </c>
      <c r="I72" s="5">
        <v>745446</v>
      </c>
      <c r="J72" s="5">
        <v>1019400</v>
      </c>
      <c r="K72" s="5">
        <v>1104531</v>
      </c>
      <c r="L72" s="5">
        <v>1196594</v>
      </c>
      <c r="M72" s="5">
        <v>1315683</v>
      </c>
      <c r="N72" s="5">
        <v>1391808</v>
      </c>
      <c r="O72" s="5">
        <v>1553518</v>
      </c>
    </row>
    <row r="73" spans="1:15" x14ac:dyDescent="0.2">
      <c r="A73" s="1" t="s">
        <v>180</v>
      </c>
      <c r="B73" s="1" t="s">
        <v>181</v>
      </c>
      <c r="C73" s="1" t="s">
        <v>182</v>
      </c>
      <c r="D73" s="5">
        <v>203521</v>
      </c>
      <c r="E73" s="5">
        <v>320835</v>
      </c>
      <c r="F73" s="5">
        <v>449547</v>
      </c>
      <c r="G73" s="5">
        <v>493810</v>
      </c>
      <c r="H73" s="5">
        <v>659044</v>
      </c>
      <c r="I73" s="5">
        <v>781957</v>
      </c>
      <c r="J73" s="5">
        <v>874080</v>
      </c>
      <c r="K73" s="5">
        <v>865312</v>
      </c>
      <c r="L73" s="5">
        <v>912534</v>
      </c>
      <c r="M73" s="5">
        <v>964049</v>
      </c>
      <c r="N73" s="5">
        <v>996830</v>
      </c>
      <c r="O73" s="5">
        <v>1051783</v>
      </c>
    </row>
    <row r="74" spans="1:15" x14ac:dyDescent="0.2">
      <c r="A74" s="1" t="s">
        <v>180</v>
      </c>
      <c r="B74" s="1" t="s">
        <v>183</v>
      </c>
      <c r="C74" s="1" t="s">
        <v>184</v>
      </c>
      <c r="D74" s="5">
        <v>73160</v>
      </c>
      <c r="E74" s="5">
        <v>72515</v>
      </c>
      <c r="F74" s="5">
        <v>95955</v>
      </c>
      <c r="G74" s="5">
        <v>121342</v>
      </c>
      <c r="H74" s="5">
        <v>195361</v>
      </c>
      <c r="I74" s="5">
        <v>271873</v>
      </c>
      <c r="J74" s="5">
        <v>380991</v>
      </c>
      <c r="K74" s="5">
        <v>419937</v>
      </c>
      <c r="L74" s="5">
        <v>465927</v>
      </c>
      <c r="M74" s="5">
        <v>540156</v>
      </c>
      <c r="N74" s="5">
        <v>578203</v>
      </c>
      <c r="O74" s="5">
        <v>677190</v>
      </c>
    </row>
    <row r="75" spans="1:15" x14ac:dyDescent="0.2">
      <c r="A75" s="1" t="s">
        <v>180</v>
      </c>
      <c r="B75" s="1" t="s">
        <v>185</v>
      </c>
      <c r="C75" s="1" t="s">
        <v>186</v>
      </c>
      <c r="D75" s="5">
        <v>846757</v>
      </c>
      <c r="E75" s="5">
        <v>1087742</v>
      </c>
      <c r="F75" s="5">
        <v>1286821</v>
      </c>
      <c r="G75" s="5">
        <v>1370136</v>
      </c>
      <c r="H75" s="5">
        <v>1539923</v>
      </c>
      <c r="I75" s="5">
        <v>1666418</v>
      </c>
      <c r="J75" s="5">
        <v>1818575</v>
      </c>
      <c r="K75" s="5">
        <v>1873584</v>
      </c>
      <c r="L75" s="5">
        <v>2000351</v>
      </c>
      <c r="M75" s="5">
        <v>2098617</v>
      </c>
      <c r="N75" s="5">
        <v>2217600</v>
      </c>
      <c r="O75" s="5">
        <v>2339935</v>
      </c>
    </row>
    <row r="76" spans="1:15" x14ac:dyDescent="0.2">
      <c r="A76" s="1" t="s">
        <v>180</v>
      </c>
      <c r="B76" s="1" t="s">
        <v>187</v>
      </c>
      <c r="C76" s="1" t="s">
        <v>188</v>
      </c>
      <c r="D76" s="5">
        <v>581115</v>
      </c>
      <c r="E76" s="5">
        <v>630681</v>
      </c>
      <c r="F76" s="5">
        <v>719453</v>
      </c>
      <c r="G76" s="5">
        <v>834838</v>
      </c>
      <c r="H76" s="5">
        <v>939124</v>
      </c>
      <c r="I76" s="5">
        <v>1035528</v>
      </c>
      <c r="J76" s="5">
        <v>1132544</v>
      </c>
      <c r="K76" s="5">
        <v>1150450</v>
      </c>
      <c r="L76" s="5">
        <v>1210725</v>
      </c>
      <c r="M76" s="5">
        <v>1221445</v>
      </c>
      <c r="N76" s="5">
        <v>1310638</v>
      </c>
      <c r="O76" s="5">
        <v>1259882</v>
      </c>
    </row>
    <row r="77" spans="1:15" x14ac:dyDescent="0.2">
      <c r="A77" s="1" t="s">
        <v>180</v>
      </c>
      <c r="B77" s="1" t="s">
        <v>189</v>
      </c>
      <c r="C77" s="1" t="s">
        <v>190</v>
      </c>
      <c r="D77" s="5">
        <v>450282</v>
      </c>
      <c r="E77" s="5">
        <v>576467</v>
      </c>
      <c r="F77" s="5">
        <v>843990</v>
      </c>
      <c r="G77" s="5">
        <v>1261821</v>
      </c>
      <c r="H77" s="5">
        <v>1828414</v>
      </c>
      <c r="I77" s="5">
        <v>2387727</v>
      </c>
      <c r="J77" s="5">
        <v>2921665</v>
      </c>
      <c r="K77" s="5">
        <v>3089788</v>
      </c>
      <c r="L77" s="5">
        <v>3339616</v>
      </c>
      <c r="M77" s="5">
        <v>3661119</v>
      </c>
      <c r="N77" s="5">
        <v>3693177</v>
      </c>
      <c r="O77" s="5">
        <v>3730141</v>
      </c>
    </row>
    <row r="78" spans="1:15" x14ac:dyDescent="0.2">
      <c r="A78" s="1" t="s">
        <v>191</v>
      </c>
      <c r="B78" s="1" t="s">
        <v>192</v>
      </c>
      <c r="C78" s="1" t="s">
        <v>193</v>
      </c>
      <c r="D78" s="5">
        <v>141940</v>
      </c>
      <c r="E78" s="5">
        <v>204912</v>
      </c>
      <c r="F78" s="5">
        <v>269328</v>
      </c>
      <c r="G78" s="5">
        <v>293274</v>
      </c>
      <c r="H78" s="5">
        <v>380262</v>
      </c>
      <c r="I78" s="5">
        <v>460343</v>
      </c>
      <c r="J78" s="5">
        <v>528027</v>
      </c>
      <c r="K78" s="5">
        <v>550483</v>
      </c>
      <c r="L78" s="5">
        <v>576343</v>
      </c>
      <c r="M78" s="5">
        <v>614286</v>
      </c>
      <c r="N78" s="5">
        <v>632883</v>
      </c>
      <c r="O78" s="5">
        <v>674432</v>
      </c>
    </row>
    <row r="79" spans="1:15" x14ac:dyDescent="0.2">
      <c r="A79" s="1" t="s">
        <v>191</v>
      </c>
      <c r="B79" s="1" t="s">
        <v>194</v>
      </c>
      <c r="C79" s="1" t="s">
        <v>195</v>
      </c>
      <c r="D79" s="5">
        <v>232415</v>
      </c>
      <c r="E79" s="5">
        <v>306003</v>
      </c>
      <c r="F79" s="5">
        <v>382671</v>
      </c>
      <c r="G79" s="5">
        <v>495203</v>
      </c>
      <c r="H79" s="5">
        <v>677053</v>
      </c>
      <c r="I79" s="5">
        <v>906084</v>
      </c>
      <c r="J79" s="5">
        <v>1167577</v>
      </c>
      <c r="K79" s="5">
        <v>1229526</v>
      </c>
      <c r="L79" s="5">
        <v>1317847</v>
      </c>
      <c r="M79" s="5">
        <v>1405228</v>
      </c>
      <c r="N79" s="5">
        <v>1446398</v>
      </c>
      <c r="O79" s="5">
        <v>1520854</v>
      </c>
    </row>
    <row r="80" spans="1:15" x14ac:dyDescent="0.2">
      <c r="A80" s="1" t="s">
        <v>191</v>
      </c>
      <c r="B80" s="1" t="s">
        <v>196</v>
      </c>
      <c r="C80" s="1" t="s">
        <v>197</v>
      </c>
      <c r="D80" s="5">
        <v>115550</v>
      </c>
      <c r="E80" s="5">
        <v>148902</v>
      </c>
      <c r="F80" s="5">
        <v>181483</v>
      </c>
      <c r="G80" s="5">
        <v>228012</v>
      </c>
      <c r="H80" s="5">
        <v>307246</v>
      </c>
      <c r="I80" s="5">
        <v>380967</v>
      </c>
      <c r="J80" s="5">
        <v>438427</v>
      </c>
      <c r="K80" s="5">
        <v>443437</v>
      </c>
      <c r="L80" s="5">
        <v>469304</v>
      </c>
      <c r="M80" s="5">
        <v>503486</v>
      </c>
      <c r="N80" s="5">
        <v>511616</v>
      </c>
      <c r="O80" s="5">
        <v>536475</v>
      </c>
    </row>
    <row r="81" spans="1:15" x14ac:dyDescent="0.2">
      <c r="A81" s="1" t="s">
        <v>191</v>
      </c>
      <c r="B81" s="1" t="s">
        <v>198</v>
      </c>
      <c r="C81" s="1" t="s">
        <v>199</v>
      </c>
      <c r="D81" s="5">
        <v>119098</v>
      </c>
      <c r="E81" s="5">
        <v>157784</v>
      </c>
      <c r="F81" s="5">
        <v>212214</v>
      </c>
      <c r="G81" s="5">
        <v>232711</v>
      </c>
      <c r="H81" s="5">
        <v>316012</v>
      </c>
      <c r="I81" s="5">
        <v>391802</v>
      </c>
      <c r="J81" s="5">
        <v>448106</v>
      </c>
      <c r="K81" s="5">
        <v>449639</v>
      </c>
      <c r="L81" s="5">
        <v>479933</v>
      </c>
      <c r="M81" s="5">
        <v>509421</v>
      </c>
      <c r="N81" s="5">
        <v>519395</v>
      </c>
      <c r="O81" s="5">
        <v>529176</v>
      </c>
    </row>
    <row r="82" spans="1:15" x14ac:dyDescent="0.2">
      <c r="A82" s="1" t="s">
        <v>200</v>
      </c>
      <c r="B82" s="1" t="s">
        <v>201</v>
      </c>
      <c r="C82" s="1" t="s">
        <v>202</v>
      </c>
      <c r="G82" s="5">
        <v>512758</v>
      </c>
      <c r="H82" s="5">
        <v>962778</v>
      </c>
      <c r="I82" s="5">
        <v>746543</v>
      </c>
      <c r="J82" s="5">
        <v>655509</v>
      </c>
      <c r="K82" s="5">
        <v>628840</v>
      </c>
      <c r="L82" s="5">
        <v>641084</v>
      </c>
      <c r="M82" s="5">
        <v>652605</v>
      </c>
      <c r="N82" s="5">
        <v>678319</v>
      </c>
      <c r="O82" s="5">
        <v>726229</v>
      </c>
    </row>
    <row r="83" spans="1:15" x14ac:dyDescent="0.2">
      <c r="A83" s="1" t="s">
        <v>200</v>
      </c>
      <c r="B83" s="1" t="s">
        <v>203</v>
      </c>
      <c r="C83" s="1" t="s">
        <v>204</v>
      </c>
      <c r="F83" s="5">
        <v>32948</v>
      </c>
      <c r="G83" s="5">
        <v>230971</v>
      </c>
      <c r="H83" s="5">
        <v>528734</v>
      </c>
      <c r="I83" s="5">
        <v>406734</v>
      </c>
      <c r="J83" s="5">
        <v>387451</v>
      </c>
      <c r="K83" s="5">
        <v>356191</v>
      </c>
      <c r="L83" s="5">
        <v>346686</v>
      </c>
      <c r="M83" s="5">
        <v>331220</v>
      </c>
      <c r="N83" s="5">
        <v>334125</v>
      </c>
      <c r="O83" s="5">
        <v>341931</v>
      </c>
    </row>
    <row r="84" spans="1:15" x14ac:dyDescent="0.2">
      <c r="A84" s="1" t="s">
        <v>200</v>
      </c>
      <c r="B84" s="1" t="s">
        <v>205</v>
      </c>
      <c r="C84" s="1" t="s">
        <v>206</v>
      </c>
      <c r="D84" s="5">
        <v>3946</v>
      </c>
      <c r="E84" s="5">
        <v>104278</v>
      </c>
      <c r="F84" s="5">
        <v>517595</v>
      </c>
      <c r="G84" s="5">
        <v>1150326</v>
      </c>
      <c r="H84" s="5">
        <v>1521540</v>
      </c>
      <c r="I84" s="5">
        <v>1459566</v>
      </c>
      <c r="J84" s="5">
        <v>1638677</v>
      </c>
      <c r="K84" s="5">
        <v>1724115</v>
      </c>
      <c r="L84" s="5">
        <v>1829191</v>
      </c>
      <c r="M84" s="5">
        <v>1954862</v>
      </c>
      <c r="N84" s="5">
        <v>2037183</v>
      </c>
      <c r="O84" s="5">
        <v>2271620</v>
      </c>
    </row>
    <row r="85" spans="1:15" x14ac:dyDescent="0.2">
      <c r="A85" s="1" t="s">
        <v>200</v>
      </c>
      <c r="B85" s="1" t="s">
        <v>207</v>
      </c>
      <c r="C85" s="1" t="s">
        <v>208</v>
      </c>
      <c r="D85" s="5">
        <v>72627</v>
      </c>
      <c r="E85" s="5">
        <v>236171</v>
      </c>
      <c r="F85" s="5">
        <v>423744</v>
      </c>
      <c r="G85" s="5">
        <v>608559</v>
      </c>
      <c r="H85" s="5">
        <v>705953</v>
      </c>
      <c r="I85" s="5">
        <v>571713</v>
      </c>
      <c r="J85" s="5">
        <v>555339</v>
      </c>
      <c r="K85" s="5">
        <v>540178</v>
      </c>
      <c r="L85" s="5">
        <v>548190</v>
      </c>
      <c r="M85" s="5">
        <v>540296</v>
      </c>
      <c r="N85" s="5">
        <v>546224</v>
      </c>
      <c r="O85" s="5">
        <v>546187</v>
      </c>
    </row>
    <row r="86" spans="1:15" x14ac:dyDescent="0.2">
      <c r="A86" s="1" t="s">
        <v>200</v>
      </c>
      <c r="B86" s="1" t="s">
        <v>209</v>
      </c>
      <c r="C86" s="1" t="s">
        <v>210</v>
      </c>
      <c r="D86" s="5">
        <v>120342</v>
      </c>
      <c r="E86" s="5">
        <v>178929</v>
      </c>
      <c r="F86" s="5">
        <v>216751</v>
      </c>
      <c r="G86" s="5">
        <v>253742</v>
      </c>
      <c r="H86" s="5">
        <v>355253</v>
      </c>
      <c r="I86" s="5">
        <v>472655</v>
      </c>
      <c r="J86" s="5">
        <v>547559</v>
      </c>
      <c r="K86" s="5">
        <v>581143</v>
      </c>
      <c r="L86" s="5">
        <v>623356</v>
      </c>
      <c r="M86" s="5">
        <v>674124</v>
      </c>
      <c r="N86" s="5">
        <v>689279</v>
      </c>
      <c r="O86" s="5">
        <v>758121</v>
      </c>
    </row>
    <row r="87" spans="1:15" x14ac:dyDescent="0.2">
      <c r="A87" s="1" t="s">
        <v>200</v>
      </c>
      <c r="B87" s="1" t="s">
        <v>211</v>
      </c>
      <c r="C87" s="1" t="s">
        <v>212</v>
      </c>
      <c r="D87" s="5">
        <v>14427</v>
      </c>
      <c r="E87" s="5">
        <v>7645</v>
      </c>
      <c r="F87" s="5">
        <v>16421</v>
      </c>
      <c r="G87" s="5">
        <v>135036</v>
      </c>
      <c r="H87" s="5">
        <v>752432</v>
      </c>
      <c r="I87" s="5">
        <v>960775</v>
      </c>
      <c r="J87" s="5">
        <v>1016481</v>
      </c>
      <c r="K87" s="5">
        <v>1078584</v>
      </c>
      <c r="L87" s="5">
        <v>1138626</v>
      </c>
      <c r="M87" s="5">
        <v>1245391</v>
      </c>
      <c r="N87" s="5">
        <v>1219558</v>
      </c>
      <c r="O87" s="5">
        <v>1403266</v>
      </c>
    </row>
    <row r="88" spans="1:15" x14ac:dyDescent="0.2">
      <c r="A88" s="1" t="s">
        <v>200</v>
      </c>
      <c r="B88" s="1" t="s">
        <v>213</v>
      </c>
      <c r="C88" s="1" t="s">
        <v>214</v>
      </c>
      <c r="G88" s="5">
        <v>212628</v>
      </c>
      <c r="H88" s="5">
        <v>446360</v>
      </c>
      <c r="I88" s="5">
        <v>521269</v>
      </c>
      <c r="J88" s="5">
        <v>478126</v>
      </c>
      <c r="K88" s="5">
        <v>472425</v>
      </c>
      <c r="L88" s="5">
        <v>472626</v>
      </c>
      <c r="M88" s="5">
        <v>476540</v>
      </c>
      <c r="N88" s="5">
        <v>497127</v>
      </c>
      <c r="O88" s="5">
        <v>572169</v>
      </c>
    </row>
    <row r="89" spans="1:15" x14ac:dyDescent="0.2">
      <c r="A89" s="1" t="s">
        <v>200</v>
      </c>
      <c r="B89" s="1" t="s">
        <v>215</v>
      </c>
      <c r="C89" s="1" t="s">
        <v>216</v>
      </c>
      <c r="D89" s="5">
        <v>56524</v>
      </c>
      <c r="E89" s="5">
        <v>136959</v>
      </c>
      <c r="F89" s="5">
        <v>245458</v>
      </c>
      <c r="G89" s="5">
        <v>242638</v>
      </c>
      <c r="H89" s="5">
        <v>338136</v>
      </c>
      <c r="I89" s="5">
        <v>484245</v>
      </c>
      <c r="J89" s="5">
        <v>501428</v>
      </c>
      <c r="K89" s="5">
        <v>526914</v>
      </c>
      <c r="L89" s="5">
        <v>533799</v>
      </c>
      <c r="M89" s="5">
        <v>543564</v>
      </c>
      <c r="N89" s="5">
        <v>544190</v>
      </c>
      <c r="O89" s="5">
        <v>551246</v>
      </c>
    </row>
    <row r="90" spans="1:15" x14ac:dyDescent="0.2">
      <c r="A90" s="1" t="s">
        <v>200</v>
      </c>
      <c r="B90" s="1" t="s">
        <v>217</v>
      </c>
      <c r="C90" s="1" t="s">
        <v>218</v>
      </c>
      <c r="D90" s="5">
        <v>116303</v>
      </c>
      <c r="E90" s="5">
        <v>193534</v>
      </c>
      <c r="F90" s="5">
        <v>207338</v>
      </c>
      <c r="G90" s="5">
        <v>222908</v>
      </c>
      <c r="H90" s="5">
        <v>267830</v>
      </c>
      <c r="I90" s="5">
        <v>302530</v>
      </c>
      <c r="J90" s="5">
        <v>348617</v>
      </c>
      <c r="K90" s="5">
        <v>360914</v>
      </c>
      <c r="L90" s="5">
        <v>377612</v>
      </c>
      <c r="M90" s="5">
        <v>396081</v>
      </c>
      <c r="N90" s="5">
        <v>404779</v>
      </c>
      <c r="O90" s="5">
        <v>407850</v>
      </c>
    </row>
    <row r="91" spans="1:15" x14ac:dyDescent="0.2">
      <c r="A91" s="1" t="s">
        <v>200</v>
      </c>
      <c r="B91" s="1" t="s">
        <v>219</v>
      </c>
      <c r="C91" s="1" t="s">
        <v>220</v>
      </c>
      <c r="D91" s="5">
        <v>301542</v>
      </c>
      <c r="E91" s="5">
        <v>378760</v>
      </c>
      <c r="F91" s="5">
        <v>455292</v>
      </c>
      <c r="G91" s="5">
        <v>694155</v>
      </c>
      <c r="H91" s="5">
        <v>1050805</v>
      </c>
      <c r="I91" s="5">
        <v>1703819</v>
      </c>
      <c r="J91" s="5">
        <v>2319526</v>
      </c>
      <c r="K91" s="5">
        <v>2734500</v>
      </c>
      <c r="L91" s="5">
        <v>3053473</v>
      </c>
      <c r="M91" s="5">
        <v>3469820</v>
      </c>
      <c r="N91" s="5">
        <v>3493742</v>
      </c>
      <c r="O91" s="5">
        <v>3865761</v>
      </c>
    </row>
    <row r="92" spans="1:15" x14ac:dyDescent="0.2">
      <c r="A92" s="1" t="s">
        <v>221</v>
      </c>
      <c r="B92" s="1" t="s">
        <v>222</v>
      </c>
      <c r="C92" s="1" t="s">
        <v>223</v>
      </c>
      <c r="D92" s="5">
        <v>217422</v>
      </c>
      <c r="E92" s="5">
        <v>284601</v>
      </c>
      <c r="F92" s="5">
        <v>267245</v>
      </c>
      <c r="G92" s="5">
        <v>259680</v>
      </c>
      <c r="H92" s="5">
        <v>230153</v>
      </c>
      <c r="I92" s="5">
        <v>229782</v>
      </c>
      <c r="J92" s="5">
        <v>273062</v>
      </c>
      <c r="K92" s="5">
        <v>283596</v>
      </c>
      <c r="L92" s="5">
        <v>297837</v>
      </c>
      <c r="M92" s="5">
        <v>307032</v>
      </c>
      <c r="N92" s="5">
        <v>317493</v>
      </c>
      <c r="O92" s="5">
        <v>324037</v>
      </c>
    </row>
    <row r="93" spans="1:15" x14ac:dyDescent="0.2">
      <c r="A93" s="1" t="s">
        <v>221</v>
      </c>
      <c r="B93" s="1" t="s">
        <v>224</v>
      </c>
      <c r="C93" s="1" t="s">
        <v>225</v>
      </c>
      <c r="D93" s="5">
        <v>311516</v>
      </c>
      <c r="E93" s="5">
        <v>364518</v>
      </c>
      <c r="F93" s="5">
        <v>381458</v>
      </c>
      <c r="G93" s="5">
        <v>449704</v>
      </c>
      <c r="H93" s="5">
        <v>486446</v>
      </c>
      <c r="I93" s="5">
        <v>527590</v>
      </c>
      <c r="J93" s="5">
        <v>611576</v>
      </c>
      <c r="K93" s="5">
        <v>653844</v>
      </c>
      <c r="L93" s="5">
        <v>699292</v>
      </c>
      <c r="M93" s="5">
        <v>766246</v>
      </c>
      <c r="N93" s="5">
        <v>849515</v>
      </c>
      <c r="O93" s="5">
        <v>920826</v>
      </c>
    </row>
    <row r="94" spans="1:15" x14ac:dyDescent="0.2">
      <c r="A94" s="1" t="s">
        <v>221</v>
      </c>
      <c r="B94" s="1" t="s">
        <v>226</v>
      </c>
      <c r="C94" s="1" t="s">
        <v>227</v>
      </c>
      <c r="D94" s="5">
        <v>257597</v>
      </c>
      <c r="E94" s="5">
        <v>238061</v>
      </c>
      <c r="F94" s="5">
        <v>243541</v>
      </c>
      <c r="G94" s="5">
        <v>273906</v>
      </c>
      <c r="H94" s="5">
        <v>303540</v>
      </c>
      <c r="I94" s="5">
        <v>354123</v>
      </c>
      <c r="J94" s="5">
        <v>425722</v>
      </c>
      <c r="K94" s="5">
        <v>434338</v>
      </c>
      <c r="L94" s="5">
        <v>452646</v>
      </c>
      <c r="M94" s="5">
        <v>464746</v>
      </c>
      <c r="N94" s="5">
        <v>481357</v>
      </c>
      <c r="O94" s="5">
        <v>494004</v>
      </c>
    </row>
    <row r="95" spans="1:15" x14ac:dyDescent="0.2">
      <c r="A95" s="1" t="s">
        <v>221</v>
      </c>
      <c r="B95" s="1" t="s">
        <v>228</v>
      </c>
      <c r="C95" s="1" t="s">
        <v>229</v>
      </c>
      <c r="D95" s="5">
        <v>125901</v>
      </c>
      <c r="E95" s="5">
        <v>99487</v>
      </c>
      <c r="F95" s="5">
        <v>99486</v>
      </c>
      <c r="G95" s="5">
        <v>124477</v>
      </c>
      <c r="H95" s="5">
        <v>170498</v>
      </c>
      <c r="I95" s="5">
        <v>225485</v>
      </c>
      <c r="J95" s="5">
        <v>304153</v>
      </c>
      <c r="K95" s="5">
        <v>379964</v>
      </c>
      <c r="L95" s="5">
        <v>462325</v>
      </c>
      <c r="M95" s="5">
        <v>591262</v>
      </c>
      <c r="N95" s="5">
        <v>700842</v>
      </c>
      <c r="O95" s="5">
        <v>868285</v>
      </c>
    </row>
    <row r="96" spans="1:15" x14ac:dyDescent="0.2">
      <c r="A96" s="1" t="s">
        <v>221</v>
      </c>
      <c r="B96" s="1" t="s">
        <v>230</v>
      </c>
      <c r="C96" s="1" t="s">
        <v>231</v>
      </c>
      <c r="D96" s="5">
        <v>205373</v>
      </c>
      <c r="E96" s="5">
        <v>195085</v>
      </c>
      <c r="F96" s="5">
        <v>260668</v>
      </c>
      <c r="G96" s="5">
        <v>372238</v>
      </c>
      <c r="H96" s="5">
        <v>503045</v>
      </c>
      <c r="I96" s="5">
        <v>678243</v>
      </c>
      <c r="J96" s="5">
        <v>803752</v>
      </c>
      <c r="K96" s="5">
        <v>860442</v>
      </c>
      <c r="L96" s="5">
        <v>933983</v>
      </c>
      <c r="M96" s="5">
        <v>1026143</v>
      </c>
      <c r="N96" s="5">
        <v>1062237</v>
      </c>
      <c r="O96" s="5">
        <v>1077807</v>
      </c>
    </row>
    <row r="97" spans="1:15" x14ac:dyDescent="0.2">
      <c r="A97" s="1" t="s">
        <v>221</v>
      </c>
      <c r="B97" s="1" t="s">
        <v>232</v>
      </c>
      <c r="C97" s="1" t="s">
        <v>233</v>
      </c>
      <c r="D97" s="5">
        <v>1589161</v>
      </c>
      <c r="E97" s="5">
        <v>2430246</v>
      </c>
      <c r="F97" s="5">
        <v>3422247</v>
      </c>
      <c r="G97" s="5">
        <v>5169641</v>
      </c>
      <c r="H97" s="5">
        <v>7301120</v>
      </c>
      <c r="I97" s="5">
        <v>9276408</v>
      </c>
      <c r="J97" s="5">
        <v>10389441</v>
      </c>
      <c r="K97" s="5">
        <v>10794124</v>
      </c>
      <c r="L97" s="5">
        <v>11546023</v>
      </c>
      <c r="M97" s="5">
        <v>12264946</v>
      </c>
      <c r="N97" s="5">
        <v>12578485</v>
      </c>
      <c r="O97" s="5">
        <v>12370215</v>
      </c>
    </row>
    <row r="98" spans="1:15" x14ac:dyDescent="0.2">
      <c r="A98" s="1" t="s">
        <v>234</v>
      </c>
      <c r="B98" s="1" t="s">
        <v>235</v>
      </c>
      <c r="C98" s="1" t="s">
        <v>236</v>
      </c>
      <c r="D98" s="5">
        <v>136525</v>
      </c>
      <c r="E98" s="5">
        <v>206170</v>
      </c>
      <c r="F98" s="5">
        <v>269851</v>
      </c>
      <c r="G98" s="5">
        <v>332781</v>
      </c>
      <c r="H98" s="5">
        <v>462860</v>
      </c>
      <c r="I98" s="5">
        <v>568272</v>
      </c>
      <c r="J98" s="5">
        <v>688776</v>
      </c>
      <c r="K98" s="5">
        <v>710312</v>
      </c>
      <c r="L98" s="5">
        <v>742075</v>
      </c>
      <c r="M98" s="5">
        <v>789009</v>
      </c>
      <c r="N98" s="5">
        <v>826707</v>
      </c>
      <c r="O98" s="5">
        <v>842503</v>
      </c>
    </row>
    <row r="99" spans="1:15" x14ac:dyDescent="0.2">
      <c r="A99" s="1" t="s">
        <v>234</v>
      </c>
      <c r="B99" s="1" t="s">
        <v>237</v>
      </c>
      <c r="C99" s="1" t="s">
        <v>238</v>
      </c>
      <c r="D99" s="5">
        <v>145081</v>
      </c>
      <c r="E99" s="5">
        <v>197473</v>
      </c>
      <c r="F99" s="5">
        <v>210403</v>
      </c>
      <c r="G99" s="5">
        <v>213239</v>
      </c>
      <c r="H99" s="5">
        <v>282297</v>
      </c>
      <c r="I99" s="5">
        <v>299749</v>
      </c>
      <c r="J99" s="5">
        <v>341854</v>
      </c>
      <c r="K99" s="5">
        <v>340337</v>
      </c>
      <c r="L99" s="5">
        <v>360612</v>
      </c>
      <c r="M99" s="5">
        <v>373814</v>
      </c>
      <c r="N99" s="5">
        <v>381846</v>
      </c>
      <c r="O99" s="5">
        <v>382899</v>
      </c>
    </row>
    <row r="100" spans="1:15" x14ac:dyDescent="0.2">
      <c r="A100" s="1" t="s">
        <v>234</v>
      </c>
      <c r="B100" s="1" t="s">
        <v>239</v>
      </c>
      <c r="C100" s="1" t="s">
        <v>240</v>
      </c>
      <c r="D100" s="5">
        <v>62850</v>
      </c>
      <c r="E100" s="5">
        <v>132817</v>
      </c>
      <c r="F100" s="5">
        <v>182307</v>
      </c>
      <c r="G100" s="5">
        <v>234311</v>
      </c>
      <c r="H100" s="5">
        <v>290707</v>
      </c>
      <c r="I100" s="5">
        <v>317615</v>
      </c>
      <c r="J100" s="5">
        <v>353135</v>
      </c>
      <c r="K100" s="5">
        <v>372929</v>
      </c>
      <c r="L100" s="5">
        <v>388785</v>
      </c>
      <c r="M100" s="5">
        <v>411537</v>
      </c>
      <c r="N100" s="5">
        <v>426757</v>
      </c>
      <c r="O100" s="5">
        <v>428441</v>
      </c>
    </row>
    <row r="101" spans="1:15" x14ac:dyDescent="0.2">
      <c r="A101" s="1" t="s">
        <v>234</v>
      </c>
      <c r="B101" s="1" t="s">
        <v>241</v>
      </c>
      <c r="C101" s="1" t="s">
        <v>242</v>
      </c>
      <c r="D101" s="5">
        <v>192679</v>
      </c>
      <c r="E101" s="5">
        <v>231558</v>
      </c>
      <c r="F101" s="5">
        <v>305360</v>
      </c>
      <c r="G101" s="5">
        <v>360492</v>
      </c>
      <c r="H101" s="5">
        <v>514320</v>
      </c>
      <c r="I101" s="5">
        <v>713199</v>
      </c>
      <c r="J101" s="5">
        <v>1031802</v>
      </c>
      <c r="K101" s="5">
        <v>1135082</v>
      </c>
      <c r="L101" s="5">
        <v>1286037</v>
      </c>
      <c r="M101" s="5">
        <v>1439380</v>
      </c>
      <c r="N101" s="5">
        <v>1532717</v>
      </c>
      <c r="O101" s="5">
        <v>1648886</v>
      </c>
    </row>
    <row r="102" spans="1:15" x14ac:dyDescent="0.2">
      <c r="A102" s="1" t="s">
        <v>243</v>
      </c>
      <c r="B102" s="1" t="s">
        <v>244</v>
      </c>
      <c r="C102" s="1" t="s">
        <v>245</v>
      </c>
      <c r="D102" s="5">
        <v>23305</v>
      </c>
      <c r="E102" s="5">
        <v>14417</v>
      </c>
      <c r="F102" s="5">
        <v>36935</v>
      </c>
      <c r="G102" s="5">
        <v>70232</v>
      </c>
      <c r="H102" s="5">
        <v>111064</v>
      </c>
      <c r="I102" s="5">
        <v>168633</v>
      </c>
      <c r="J102" s="5">
        <v>337741</v>
      </c>
      <c r="K102" s="5">
        <v>389725</v>
      </c>
      <c r="L102" s="5">
        <v>472373</v>
      </c>
      <c r="M102" s="5">
        <v>543357</v>
      </c>
      <c r="N102" s="5">
        <v>611689</v>
      </c>
      <c r="O102" s="5">
        <v>636735</v>
      </c>
    </row>
    <row r="103" spans="1:15" x14ac:dyDescent="0.2">
      <c r="A103" s="1" t="s">
        <v>243</v>
      </c>
      <c r="B103" s="1" t="s">
        <v>246</v>
      </c>
      <c r="C103" s="1" t="s">
        <v>247</v>
      </c>
      <c r="I103" s="5">
        <v>322392</v>
      </c>
      <c r="J103" s="5">
        <v>794951</v>
      </c>
      <c r="K103" s="5">
        <v>839581</v>
      </c>
      <c r="L103" s="5">
        <v>908579</v>
      </c>
      <c r="M103" s="5">
        <v>910399</v>
      </c>
      <c r="N103" s="5">
        <v>950720</v>
      </c>
      <c r="O103" s="5">
        <v>944461</v>
      </c>
    </row>
    <row r="104" spans="1:15" x14ac:dyDescent="0.2">
      <c r="A104" s="1" t="s">
        <v>248</v>
      </c>
      <c r="B104" s="1" t="s">
        <v>249</v>
      </c>
      <c r="C104" s="1" t="s">
        <v>250</v>
      </c>
      <c r="D104" s="5">
        <v>7424</v>
      </c>
      <c r="E104" s="5">
        <v>10509</v>
      </c>
      <c r="F104" s="5">
        <v>17247</v>
      </c>
      <c r="G104" s="5">
        <v>25705</v>
      </c>
      <c r="H104" s="5">
        <v>36464</v>
      </c>
      <c r="I104" s="5">
        <v>67017</v>
      </c>
      <c r="J104" s="5">
        <v>176126</v>
      </c>
      <c r="K104" s="5">
        <v>202758</v>
      </c>
      <c r="L104" s="5">
        <v>260596</v>
      </c>
      <c r="M104" s="5">
        <v>316336</v>
      </c>
      <c r="N104" s="5">
        <v>362681</v>
      </c>
      <c r="O104" s="5">
        <v>528156</v>
      </c>
    </row>
    <row r="105" spans="1:15" x14ac:dyDescent="0.2">
      <c r="A105" s="1" t="s">
        <v>248</v>
      </c>
      <c r="B105" s="1" t="s">
        <v>251</v>
      </c>
      <c r="C105" s="1" t="s">
        <v>252</v>
      </c>
      <c r="D105" s="5">
        <v>1490</v>
      </c>
      <c r="E105" s="5">
        <v>3024</v>
      </c>
      <c r="F105" s="5">
        <v>869</v>
      </c>
      <c r="G105" s="5">
        <v>3166</v>
      </c>
      <c r="H105" s="5">
        <v>4421</v>
      </c>
      <c r="I105" s="5">
        <v>12104</v>
      </c>
      <c r="J105" s="5">
        <v>41457</v>
      </c>
      <c r="K105" s="5">
        <v>44373</v>
      </c>
      <c r="L105" s="5">
        <v>63801</v>
      </c>
      <c r="M105" s="5">
        <v>79389</v>
      </c>
      <c r="N105" s="5">
        <v>87798</v>
      </c>
      <c r="O105" s="5">
        <v>108551</v>
      </c>
    </row>
    <row r="106" spans="1:15" x14ac:dyDescent="0.2">
      <c r="A106" s="1" t="s">
        <v>253</v>
      </c>
      <c r="B106" s="1" t="s">
        <v>254</v>
      </c>
      <c r="C106" s="1" t="s">
        <v>255</v>
      </c>
      <c r="D106" s="5">
        <v>372567</v>
      </c>
      <c r="E106" s="5">
        <v>809238</v>
      </c>
      <c r="F106" s="5">
        <v>1112872</v>
      </c>
      <c r="G106" s="5">
        <v>1482733</v>
      </c>
      <c r="H106" s="5">
        <v>1791995</v>
      </c>
      <c r="I106" s="5">
        <v>1905566</v>
      </c>
      <c r="J106" s="5">
        <v>1943386</v>
      </c>
      <c r="K106" s="5">
        <v>1955327</v>
      </c>
      <c r="L106" s="5">
        <v>1959688</v>
      </c>
      <c r="M106" s="5">
        <v>1937239</v>
      </c>
      <c r="N106" s="5">
        <v>1946510</v>
      </c>
      <c r="O106" s="5">
        <v>1981313</v>
      </c>
    </row>
    <row r="107" spans="1:15" x14ac:dyDescent="0.2">
      <c r="A107" s="1" t="s">
        <v>253</v>
      </c>
      <c r="B107" s="1" t="s">
        <v>256</v>
      </c>
      <c r="C107" s="1" t="s">
        <v>257</v>
      </c>
      <c r="D107" s="5">
        <v>246871</v>
      </c>
      <c r="E107" s="5">
        <v>326392</v>
      </c>
      <c r="F107" s="5">
        <v>417748</v>
      </c>
      <c r="G107" s="5">
        <v>465023</v>
      </c>
      <c r="H107" s="5">
        <v>560344</v>
      </c>
      <c r="I107" s="5">
        <v>648540</v>
      </c>
      <c r="J107" s="5">
        <v>784798</v>
      </c>
      <c r="K107" s="5">
        <v>855752</v>
      </c>
      <c r="L107" s="5">
        <v>923118</v>
      </c>
      <c r="M107" s="5">
        <v>1001725</v>
      </c>
      <c r="N107" s="5">
        <v>1054203</v>
      </c>
      <c r="O107" s="5">
        <v>1134876</v>
      </c>
    </row>
    <row r="108" spans="1:15" x14ac:dyDescent="0.2">
      <c r="A108" s="1" t="s">
        <v>253</v>
      </c>
      <c r="B108" s="1" t="s">
        <v>258</v>
      </c>
      <c r="C108" s="1" t="s">
        <v>259</v>
      </c>
      <c r="D108" s="5">
        <v>136893</v>
      </c>
      <c r="E108" s="5">
        <v>217603</v>
      </c>
      <c r="F108" s="5">
        <v>252730</v>
      </c>
      <c r="G108" s="5">
        <v>345446</v>
      </c>
      <c r="H108" s="5">
        <v>407563</v>
      </c>
      <c r="I108" s="5">
        <v>430890</v>
      </c>
      <c r="J108" s="5">
        <v>479797</v>
      </c>
      <c r="K108" s="5">
        <v>503970</v>
      </c>
      <c r="L108" s="5">
        <v>526558</v>
      </c>
      <c r="M108" s="5">
        <v>541027</v>
      </c>
      <c r="N108" s="5">
        <v>536938</v>
      </c>
      <c r="O108" s="5">
        <v>529887</v>
      </c>
    </row>
    <row r="109" spans="1:15" x14ac:dyDescent="0.2">
      <c r="A109" s="1" t="s">
        <v>253</v>
      </c>
      <c r="B109" s="1" t="s">
        <v>260</v>
      </c>
      <c r="C109" s="1" t="s">
        <v>261</v>
      </c>
      <c r="D109" s="5">
        <v>265697</v>
      </c>
      <c r="E109" s="5">
        <v>396597</v>
      </c>
      <c r="F109" s="5">
        <v>452660</v>
      </c>
      <c r="G109" s="5">
        <v>505133</v>
      </c>
      <c r="H109" s="5">
        <v>559246</v>
      </c>
      <c r="I109" s="5">
        <v>585851</v>
      </c>
      <c r="J109" s="5">
        <v>664328</v>
      </c>
      <c r="K109" s="5">
        <v>698008</v>
      </c>
      <c r="L109" s="5">
        <v>732957</v>
      </c>
      <c r="M109" s="5">
        <v>761062</v>
      </c>
      <c r="N109" s="5">
        <v>778841</v>
      </c>
      <c r="O109" s="5">
        <v>815060</v>
      </c>
    </row>
    <row r="110" spans="1:15" x14ac:dyDescent="0.2">
      <c r="A110" s="1" t="s">
        <v>253</v>
      </c>
      <c r="B110" s="1" t="s">
        <v>262</v>
      </c>
      <c r="C110" s="1" t="s">
        <v>263</v>
      </c>
      <c r="D110" s="5">
        <v>525243</v>
      </c>
      <c r="E110" s="5">
        <v>789293</v>
      </c>
      <c r="F110" s="5">
        <v>1036556</v>
      </c>
      <c r="G110" s="5">
        <v>1525140</v>
      </c>
      <c r="H110" s="5">
        <v>2137832</v>
      </c>
      <c r="I110" s="5">
        <v>2877991</v>
      </c>
      <c r="J110" s="5">
        <v>3757500</v>
      </c>
      <c r="K110" s="5">
        <v>4052528</v>
      </c>
      <c r="L110" s="5">
        <v>4403498</v>
      </c>
      <c r="M110" s="5">
        <v>4709718</v>
      </c>
      <c r="N110" s="5">
        <v>4742302</v>
      </c>
      <c r="O110" s="5">
        <v>4831544</v>
      </c>
    </row>
    <row r="111" spans="1:15" x14ac:dyDescent="0.2">
      <c r="A111" s="1" t="s">
        <v>253</v>
      </c>
      <c r="B111" s="1" t="s">
        <v>264</v>
      </c>
      <c r="C111" s="1" t="s">
        <v>265</v>
      </c>
      <c r="D111" s="5">
        <v>301493</v>
      </c>
      <c r="E111" s="5">
        <v>366986</v>
      </c>
      <c r="F111" s="5">
        <v>406308</v>
      </c>
      <c r="G111" s="5">
        <v>476964</v>
      </c>
      <c r="H111" s="5">
        <v>555285</v>
      </c>
      <c r="I111" s="5">
        <v>606267</v>
      </c>
      <c r="J111" s="5">
        <v>694571</v>
      </c>
      <c r="K111" s="5">
        <v>721381</v>
      </c>
      <c r="L111" s="5">
        <v>747115</v>
      </c>
      <c r="M111" s="5">
        <v>713743</v>
      </c>
      <c r="N111" s="5">
        <v>723005</v>
      </c>
      <c r="O111" s="5">
        <v>698692</v>
      </c>
    </row>
    <row r="112" spans="1:15" x14ac:dyDescent="0.2">
      <c r="A112" s="1" t="s">
        <v>253</v>
      </c>
      <c r="B112" s="1" t="s">
        <v>266</v>
      </c>
      <c r="C112" s="1" t="s">
        <v>267</v>
      </c>
      <c r="D112" s="5">
        <v>333430</v>
      </c>
      <c r="E112" s="5">
        <v>414580</v>
      </c>
      <c r="F112" s="5">
        <v>485947</v>
      </c>
      <c r="G112" s="5">
        <v>588220</v>
      </c>
      <c r="H112" s="5">
        <v>652576</v>
      </c>
      <c r="I112" s="5">
        <v>718744</v>
      </c>
      <c r="J112" s="5">
        <v>814290</v>
      </c>
      <c r="K112" s="5">
        <v>847722</v>
      </c>
      <c r="L112" s="5">
        <v>894908</v>
      </c>
      <c r="M112" s="5">
        <v>918326</v>
      </c>
      <c r="N112" s="5">
        <v>912130</v>
      </c>
      <c r="O112" s="5">
        <v>891593</v>
      </c>
    </row>
    <row r="113" spans="1:15" x14ac:dyDescent="0.2">
      <c r="A113" s="1" t="s">
        <v>268</v>
      </c>
      <c r="B113" s="1" t="s">
        <v>269</v>
      </c>
      <c r="C113" s="1" t="s">
        <v>270</v>
      </c>
      <c r="D113" s="5">
        <v>24650</v>
      </c>
      <c r="E113" s="5">
        <v>138466</v>
      </c>
      <c r="F113" s="5">
        <v>280199</v>
      </c>
      <c r="G113" s="5">
        <v>470431</v>
      </c>
      <c r="H113" s="5">
        <v>745638</v>
      </c>
      <c r="I113" s="5">
        <v>931330</v>
      </c>
      <c r="J113" s="5">
        <v>1051083</v>
      </c>
      <c r="K113" s="5">
        <v>1077901</v>
      </c>
      <c r="L113" s="5">
        <v>1116963</v>
      </c>
      <c r="M113" s="5">
        <v>1152766</v>
      </c>
      <c r="N113" s="5">
        <v>1200712</v>
      </c>
      <c r="O113" s="5">
        <v>1358188</v>
      </c>
    </row>
    <row r="114" spans="1:15" x14ac:dyDescent="0.2">
      <c r="A114" s="1" t="s">
        <v>268</v>
      </c>
      <c r="B114" s="1" t="s">
        <v>271</v>
      </c>
      <c r="C114" s="1" t="s">
        <v>272</v>
      </c>
      <c r="D114" s="5">
        <v>134034</v>
      </c>
      <c r="E114" s="5">
        <v>218738</v>
      </c>
      <c r="F114" s="5">
        <v>269620</v>
      </c>
      <c r="G114" s="5">
        <v>330647</v>
      </c>
      <c r="H114" s="5">
        <v>421703</v>
      </c>
      <c r="I114" s="5">
        <v>610697</v>
      </c>
      <c r="J114" s="5">
        <v>838211</v>
      </c>
      <c r="K114" s="5">
        <v>935716</v>
      </c>
      <c r="L114" s="5">
        <v>1026606</v>
      </c>
      <c r="M114" s="5">
        <v>1141018</v>
      </c>
      <c r="N114" s="5">
        <v>1212843</v>
      </c>
      <c r="O114" s="5">
        <v>1446326</v>
      </c>
    </row>
    <row r="115" spans="1:15" x14ac:dyDescent="0.2">
      <c r="A115" s="1" t="s">
        <v>268</v>
      </c>
      <c r="B115" s="1" t="s">
        <v>273</v>
      </c>
      <c r="C115" s="1" t="s">
        <v>274</v>
      </c>
      <c r="D115" s="5">
        <v>79466</v>
      </c>
      <c r="E115" s="5">
        <v>174406</v>
      </c>
      <c r="F115" s="5">
        <v>184352</v>
      </c>
      <c r="G115" s="5">
        <v>255930</v>
      </c>
      <c r="H115" s="5">
        <v>324298</v>
      </c>
      <c r="I115" s="5">
        <v>349638</v>
      </c>
      <c r="J115" s="5">
        <v>375121</v>
      </c>
      <c r="K115" s="5">
        <v>372262</v>
      </c>
      <c r="L115" s="5">
        <v>401184</v>
      </c>
      <c r="M115" s="5">
        <v>406765</v>
      </c>
      <c r="N115" s="5">
        <v>406741</v>
      </c>
      <c r="O115" s="5">
        <v>423004</v>
      </c>
    </row>
    <row r="116" spans="1:15" x14ac:dyDescent="0.2">
      <c r="A116" s="1" t="s">
        <v>268</v>
      </c>
      <c r="B116" s="1" t="s">
        <v>275</v>
      </c>
      <c r="C116" s="1" t="s">
        <v>276</v>
      </c>
      <c r="D116" s="5">
        <v>133884</v>
      </c>
      <c r="E116" s="5">
        <v>241380</v>
      </c>
      <c r="F116" s="5">
        <v>328382</v>
      </c>
      <c r="G116" s="5">
        <v>446643</v>
      </c>
      <c r="H116" s="5">
        <v>577746</v>
      </c>
      <c r="I116" s="5">
        <v>723221</v>
      </c>
      <c r="J116" s="5">
        <v>943620</v>
      </c>
      <c r="K116" s="5">
        <v>1057132</v>
      </c>
      <c r="L116" s="5">
        <v>1187183</v>
      </c>
      <c r="M116" s="5">
        <v>1365250</v>
      </c>
      <c r="N116" s="5">
        <v>1508980</v>
      </c>
      <c r="O116" s="5">
        <v>1975432</v>
      </c>
    </row>
    <row r="117" spans="1:15" x14ac:dyDescent="0.2">
      <c r="A117" s="1" t="s">
        <v>268</v>
      </c>
      <c r="B117" s="1" t="s">
        <v>277</v>
      </c>
      <c r="C117" s="1" t="s">
        <v>278</v>
      </c>
      <c r="D117" s="5">
        <v>137677</v>
      </c>
      <c r="E117" s="5">
        <v>165371</v>
      </c>
      <c r="F117" s="5">
        <v>182735</v>
      </c>
      <c r="G117" s="5">
        <v>238620</v>
      </c>
      <c r="H117" s="5">
        <v>328034</v>
      </c>
      <c r="I117" s="5">
        <v>446281</v>
      </c>
      <c r="J117" s="5">
        <v>619265</v>
      </c>
      <c r="K117" s="5">
        <v>668561</v>
      </c>
      <c r="L117" s="5">
        <v>803255</v>
      </c>
      <c r="M117" s="5">
        <v>923940</v>
      </c>
      <c r="N117" s="5">
        <v>994095</v>
      </c>
      <c r="O117" s="5">
        <v>1326902</v>
      </c>
    </row>
    <row r="118" spans="1:15" x14ac:dyDescent="0.2">
      <c r="A118" s="1" t="s">
        <v>268</v>
      </c>
      <c r="B118" s="1" t="s">
        <v>279</v>
      </c>
      <c r="C118" s="1" t="s">
        <v>280</v>
      </c>
      <c r="D118" s="5">
        <v>159032</v>
      </c>
      <c r="E118" s="5">
        <v>239979</v>
      </c>
      <c r="F118" s="5">
        <v>315214</v>
      </c>
      <c r="G118" s="5">
        <v>386981</v>
      </c>
      <c r="H118" s="5">
        <v>504241</v>
      </c>
      <c r="I118" s="5">
        <v>567125</v>
      </c>
      <c r="J118" s="5">
        <v>714694</v>
      </c>
      <c r="K118" s="5">
        <v>763672</v>
      </c>
      <c r="L118" s="5">
        <v>822671</v>
      </c>
      <c r="M118" s="5">
        <v>876513</v>
      </c>
      <c r="N118" s="5">
        <v>925065</v>
      </c>
      <c r="O118" s="5">
        <v>1080509</v>
      </c>
    </row>
    <row r="119" spans="1:15" x14ac:dyDescent="0.2">
      <c r="A119" s="1" t="s">
        <v>281</v>
      </c>
      <c r="B119" s="1" t="s">
        <v>282</v>
      </c>
      <c r="C119" s="1" t="s">
        <v>283</v>
      </c>
      <c r="D119" s="5">
        <v>37836</v>
      </c>
      <c r="E119" s="5">
        <v>48813</v>
      </c>
      <c r="F119" s="5">
        <v>69235</v>
      </c>
      <c r="G119" s="5">
        <v>81584</v>
      </c>
      <c r="H119" s="5">
        <v>118326</v>
      </c>
      <c r="I119" s="5">
        <v>152206</v>
      </c>
      <c r="J119" s="5">
        <v>167949</v>
      </c>
      <c r="K119" s="5">
        <v>173344</v>
      </c>
      <c r="L119" s="5">
        <v>196364</v>
      </c>
      <c r="M119" s="5">
        <v>211675</v>
      </c>
      <c r="N119" s="5">
        <v>224691</v>
      </c>
      <c r="O119" s="5">
        <v>239236</v>
      </c>
    </row>
    <row r="120" spans="1:15" x14ac:dyDescent="0.2">
      <c r="A120" s="1" t="s">
        <v>281</v>
      </c>
      <c r="B120" s="1" t="s">
        <v>284</v>
      </c>
      <c r="C120" s="1" t="s">
        <v>285</v>
      </c>
      <c r="D120" s="5">
        <v>157686</v>
      </c>
      <c r="E120" s="5">
        <v>175643</v>
      </c>
      <c r="F120" s="5">
        <v>211783</v>
      </c>
      <c r="G120" s="5">
        <v>236909</v>
      </c>
      <c r="H120" s="5">
        <v>259201</v>
      </c>
      <c r="I120" s="5">
        <v>295095</v>
      </c>
      <c r="J120" s="5">
        <v>348879</v>
      </c>
      <c r="K120" s="5">
        <v>374578</v>
      </c>
      <c r="L120" s="5">
        <v>404934</v>
      </c>
      <c r="M120" s="5">
        <v>429187</v>
      </c>
      <c r="N120" s="5">
        <v>446207</v>
      </c>
      <c r="O120" s="5">
        <v>478373</v>
      </c>
    </row>
    <row r="121" spans="1:15" x14ac:dyDescent="0.2">
      <c r="A121" s="1" t="s">
        <v>281</v>
      </c>
      <c r="B121" s="1" t="s">
        <v>286</v>
      </c>
      <c r="C121" s="1" t="s">
        <v>287</v>
      </c>
      <c r="D121" s="5">
        <v>281542</v>
      </c>
      <c r="E121" s="5">
        <v>317870</v>
      </c>
      <c r="F121" s="5">
        <v>363343</v>
      </c>
      <c r="G121" s="5">
        <v>433285</v>
      </c>
      <c r="H121" s="5">
        <v>523152</v>
      </c>
      <c r="I121" s="5">
        <v>693078</v>
      </c>
      <c r="J121" s="5">
        <v>975048</v>
      </c>
      <c r="K121" s="5">
        <v>1076098</v>
      </c>
      <c r="L121" s="5">
        <v>1183531</v>
      </c>
      <c r="M121" s="5">
        <v>1298564</v>
      </c>
      <c r="N121" s="5">
        <v>1397119</v>
      </c>
      <c r="O121" s="5">
        <v>1492395</v>
      </c>
    </row>
    <row r="122" spans="1:15" x14ac:dyDescent="0.2">
      <c r="A122" s="1" t="s">
        <v>288</v>
      </c>
      <c r="B122" s="1" t="s">
        <v>289</v>
      </c>
      <c r="C122" s="1" t="s">
        <v>290</v>
      </c>
      <c r="D122" s="5">
        <v>263362</v>
      </c>
      <c r="E122" s="5">
        <v>618570</v>
      </c>
      <c r="F122" s="5">
        <v>689160</v>
      </c>
      <c r="G122" s="5">
        <v>924165</v>
      </c>
      <c r="H122" s="5">
        <v>981687</v>
      </c>
      <c r="I122" s="5">
        <v>1040241</v>
      </c>
      <c r="J122" s="5">
        <v>1242883</v>
      </c>
      <c r="K122" s="5">
        <v>1337580</v>
      </c>
      <c r="L122" s="5">
        <v>1421152</v>
      </c>
      <c r="M122" s="5">
        <v>1505728</v>
      </c>
      <c r="N122" s="5">
        <v>1569220</v>
      </c>
      <c r="O122" s="5">
        <v>1737629</v>
      </c>
    </row>
    <row r="123" spans="1:15" x14ac:dyDescent="0.2">
      <c r="A123" s="1" t="s">
        <v>288</v>
      </c>
      <c r="B123" s="1" t="s">
        <v>291</v>
      </c>
      <c r="C123" s="1" t="s">
        <v>292</v>
      </c>
      <c r="D123" s="5">
        <v>684842</v>
      </c>
      <c r="E123" s="5">
        <v>739213</v>
      </c>
      <c r="F123" s="5">
        <v>747315</v>
      </c>
      <c r="G123" s="5">
        <v>906502</v>
      </c>
      <c r="H123" s="5">
        <v>1074329</v>
      </c>
      <c r="I123" s="5">
        <v>1348482</v>
      </c>
      <c r="J123" s="5">
        <v>1806475</v>
      </c>
      <c r="K123" s="5">
        <v>1957436</v>
      </c>
      <c r="L123" s="5">
        <v>2104682</v>
      </c>
      <c r="M123" s="5">
        <v>2246443</v>
      </c>
      <c r="N123" s="5">
        <v>2376360</v>
      </c>
      <c r="O123" s="5">
        <v>2562609</v>
      </c>
    </row>
    <row r="124" spans="1:15" x14ac:dyDescent="0.2">
      <c r="A124" s="1" t="s">
        <v>288</v>
      </c>
      <c r="B124" s="1" t="s">
        <v>293</v>
      </c>
      <c r="C124" s="1" t="s">
        <v>294</v>
      </c>
      <c r="D124" s="5">
        <v>43871</v>
      </c>
      <c r="E124" s="5">
        <v>257771</v>
      </c>
      <c r="F124" s="5">
        <v>399061</v>
      </c>
      <c r="G124" s="5">
        <v>452203</v>
      </c>
      <c r="H124" s="5">
        <v>481732</v>
      </c>
      <c r="I124" s="5">
        <v>491392</v>
      </c>
      <c r="J124" s="5">
        <v>577610</v>
      </c>
      <c r="K124" s="5">
        <v>608580</v>
      </c>
      <c r="L124" s="5">
        <v>635539</v>
      </c>
      <c r="M124" s="5">
        <v>669167</v>
      </c>
      <c r="N124" s="5">
        <v>695801</v>
      </c>
      <c r="O124" s="5">
        <v>737720</v>
      </c>
    </row>
    <row r="125" spans="1:15" x14ac:dyDescent="0.2">
      <c r="A125" s="1" t="s">
        <v>288</v>
      </c>
      <c r="B125" s="1" t="s">
        <v>295</v>
      </c>
      <c r="C125" s="1" t="s">
        <v>296</v>
      </c>
      <c r="D125" s="5">
        <v>442500</v>
      </c>
      <c r="E125" s="5">
        <v>718249</v>
      </c>
      <c r="F125" s="5">
        <v>667602</v>
      </c>
      <c r="G125" s="5">
        <v>738297</v>
      </c>
      <c r="H125" s="5">
        <v>742040</v>
      </c>
      <c r="I125" s="5">
        <v>888789</v>
      </c>
      <c r="J125" s="5">
        <v>1118828</v>
      </c>
      <c r="K125" s="5">
        <v>1215376</v>
      </c>
      <c r="L125" s="5">
        <v>1309726</v>
      </c>
      <c r="M125" s="5">
        <v>1416746</v>
      </c>
      <c r="N125" s="5">
        <v>1454111</v>
      </c>
      <c r="O125" s="5">
        <v>1551730</v>
      </c>
    </row>
    <row r="126" spans="1:15" x14ac:dyDescent="0.2">
      <c r="A126" s="1" t="s">
        <v>288</v>
      </c>
      <c r="B126" s="1" t="s">
        <v>297</v>
      </c>
      <c r="C126" s="1" t="s">
        <v>298</v>
      </c>
      <c r="D126" s="5">
        <v>242587</v>
      </c>
      <c r="E126" s="5">
        <v>275770</v>
      </c>
      <c r="F126" s="5">
        <v>241955</v>
      </c>
      <c r="G126" s="5">
        <v>283995</v>
      </c>
      <c r="H126" s="5">
        <v>336198</v>
      </c>
      <c r="I126" s="5">
        <v>450997</v>
      </c>
      <c r="J126" s="5">
        <v>609306</v>
      </c>
      <c r="K126" s="5">
        <v>665396</v>
      </c>
      <c r="L126" s="5">
        <v>719326</v>
      </c>
      <c r="M126" s="5">
        <v>770447</v>
      </c>
      <c r="N126" s="5">
        <v>810926</v>
      </c>
      <c r="O126" s="5">
        <v>882979</v>
      </c>
    </row>
    <row r="127" spans="1:15" x14ac:dyDescent="0.2">
      <c r="A127" s="1" t="s">
        <v>288</v>
      </c>
      <c r="B127" s="1" t="s">
        <v>299</v>
      </c>
      <c r="C127" s="1" t="s">
        <v>300</v>
      </c>
      <c r="D127" s="5">
        <v>285071</v>
      </c>
      <c r="E127" s="5">
        <v>314354</v>
      </c>
      <c r="F127" s="5">
        <v>332478</v>
      </c>
      <c r="G127" s="5">
        <v>418466</v>
      </c>
      <c r="H127" s="5">
        <v>541786</v>
      </c>
      <c r="I127" s="5">
        <v>750394</v>
      </c>
      <c r="J127" s="5">
        <v>1008882</v>
      </c>
      <c r="K127" s="5">
        <v>1121538</v>
      </c>
      <c r="L127" s="5">
        <v>1218951</v>
      </c>
      <c r="M127" s="5">
        <v>1322072</v>
      </c>
      <c r="N127" s="5">
        <v>1377257</v>
      </c>
      <c r="O127" s="5">
        <v>1513291</v>
      </c>
    </row>
    <row r="128" spans="1:15" x14ac:dyDescent="0.2">
      <c r="A128" s="1" t="s">
        <v>288</v>
      </c>
      <c r="B128" s="1" t="s">
        <v>301</v>
      </c>
      <c r="C128" s="1" t="s">
        <v>302</v>
      </c>
      <c r="D128" s="5">
        <v>581968</v>
      </c>
      <c r="E128" s="5">
        <v>596387</v>
      </c>
      <c r="F128" s="5">
        <v>645556</v>
      </c>
      <c r="G128" s="5">
        <v>854075</v>
      </c>
      <c r="H128" s="5">
        <v>1196599</v>
      </c>
      <c r="I128" s="5">
        <v>1927820</v>
      </c>
      <c r="J128" s="5">
        <v>2680848</v>
      </c>
      <c r="K128" s="5">
        <v>2976079</v>
      </c>
      <c r="L128" s="5">
        <v>3271634</v>
      </c>
      <c r="M128" s="5">
        <v>3592931</v>
      </c>
      <c r="N128" s="5">
        <v>3785620</v>
      </c>
      <c r="O128" s="5">
        <v>4184986</v>
      </c>
    </row>
    <row r="129" spans="1:15" x14ac:dyDescent="0.2">
      <c r="A129" s="1" t="s">
        <v>288</v>
      </c>
      <c r="B129" s="1" t="s">
        <v>303</v>
      </c>
      <c r="C129" s="1" t="s">
        <v>304</v>
      </c>
      <c r="E129" s="5">
        <v>216500</v>
      </c>
      <c r="F129" s="5">
        <v>546585</v>
      </c>
      <c r="G129" s="5">
        <v>712200</v>
      </c>
      <c r="H129" s="5">
        <v>699539</v>
      </c>
      <c r="I129" s="5">
        <v>683087</v>
      </c>
      <c r="J129" s="5">
        <v>749942</v>
      </c>
      <c r="K129" s="5">
        <v>770476</v>
      </c>
      <c r="L129" s="5">
        <v>803870</v>
      </c>
      <c r="M129" s="5">
        <v>828824</v>
      </c>
      <c r="N129" s="5">
        <v>848124</v>
      </c>
      <c r="O129" s="5">
        <v>873642</v>
      </c>
    </row>
    <row r="130" spans="1:15" x14ac:dyDescent="0.2">
      <c r="A130" s="1" t="s">
        <v>288</v>
      </c>
      <c r="B130" s="1" t="s">
        <v>305</v>
      </c>
      <c r="C130" s="1" t="s">
        <v>306</v>
      </c>
      <c r="D130" s="5">
        <v>12811</v>
      </c>
      <c r="E130" s="5">
        <v>281452</v>
      </c>
      <c r="F130" s="5">
        <v>318708</v>
      </c>
      <c r="G130" s="5">
        <v>339568</v>
      </c>
      <c r="H130" s="5">
        <v>303954</v>
      </c>
      <c r="I130" s="5">
        <v>327550</v>
      </c>
      <c r="J130" s="5">
        <v>372752</v>
      </c>
      <c r="K130" s="5">
        <v>388594</v>
      </c>
      <c r="L130" s="5">
        <v>418121</v>
      </c>
      <c r="M130" s="5">
        <v>436707</v>
      </c>
      <c r="N130" s="5">
        <v>440058</v>
      </c>
      <c r="O130" s="5">
        <v>461944</v>
      </c>
    </row>
    <row r="131" spans="1:15" x14ac:dyDescent="0.2">
      <c r="A131" s="1" t="s">
        <v>288</v>
      </c>
      <c r="B131" s="1" t="s">
        <v>307</v>
      </c>
      <c r="C131" s="1" t="s">
        <v>308</v>
      </c>
      <c r="D131" s="5">
        <v>154723</v>
      </c>
      <c r="E131" s="5">
        <v>286191</v>
      </c>
      <c r="F131" s="5">
        <v>319621</v>
      </c>
      <c r="G131" s="5">
        <v>373767</v>
      </c>
      <c r="H131" s="5">
        <v>390443</v>
      </c>
      <c r="I131" s="5">
        <v>381005</v>
      </c>
      <c r="J131" s="5">
        <v>459147</v>
      </c>
      <c r="K131" s="5">
        <v>491799</v>
      </c>
      <c r="L131" s="5">
        <v>517504</v>
      </c>
      <c r="M131" s="5">
        <v>539240</v>
      </c>
      <c r="N131" s="5">
        <v>553778</v>
      </c>
      <c r="O131" s="5">
        <v>569948</v>
      </c>
    </row>
    <row r="132" spans="1:15" x14ac:dyDescent="0.2">
      <c r="A132" s="1" t="s">
        <v>288</v>
      </c>
      <c r="B132" s="1" t="s">
        <v>309</v>
      </c>
      <c r="C132" s="1" t="s">
        <v>310</v>
      </c>
      <c r="D132" s="5">
        <v>193542</v>
      </c>
      <c r="E132" s="5">
        <v>246871</v>
      </c>
      <c r="F132" s="5">
        <v>269325</v>
      </c>
      <c r="G132" s="5">
        <v>332029</v>
      </c>
      <c r="H132" s="5">
        <v>409667</v>
      </c>
      <c r="I132" s="5">
        <v>522116</v>
      </c>
      <c r="J132" s="5">
        <v>642999</v>
      </c>
      <c r="K132" s="5">
        <v>690372</v>
      </c>
      <c r="L132" s="5">
        <v>748748</v>
      </c>
      <c r="M132" s="5">
        <v>793469</v>
      </c>
      <c r="N132" s="5">
        <v>824453</v>
      </c>
      <c r="O132" s="5">
        <v>885913</v>
      </c>
    </row>
    <row r="133" spans="1:15" x14ac:dyDescent="0.2">
      <c r="A133" s="1" t="s">
        <v>288</v>
      </c>
      <c r="B133" s="1" t="s">
        <v>311</v>
      </c>
      <c r="C133" s="1" t="s">
        <v>312</v>
      </c>
      <c r="D133" s="5">
        <v>366906</v>
      </c>
      <c r="E133" s="5">
        <v>389967</v>
      </c>
      <c r="F133" s="5">
        <v>455127</v>
      </c>
      <c r="G133" s="5">
        <v>617231</v>
      </c>
      <c r="H133" s="5">
        <v>847321</v>
      </c>
      <c r="I133" s="5">
        <v>1273426</v>
      </c>
      <c r="J133" s="5">
        <v>1776056</v>
      </c>
      <c r="K133" s="5">
        <v>1972133</v>
      </c>
      <c r="L133" s="5">
        <v>2251083</v>
      </c>
      <c r="M133" s="5">
        <v>2452227</v>
      </c>
      <c r="N133" s="5">
        <v>2644519</v>
      </c>
      <c r="O133" s="5">
        <v>3131867</v>
      </c>
    </row>
    <row r="134" spans="1:15" x14ac:dyDescent="0.2">
      <c r="A134" s="1" t="s">
        <v>288</v>
      </c>
      <c r="B134" s="1" t="s">
        <v>313</v>
      </c>
      <c r="C134" s="1" t="s">
        <v>314</v>
      </c>
      <c r="D134" s="5">
        <v>428609</v>
      </c>
      <c r="E134" s="5">
        <v>396344</v>
      </c>
      <c r="F134" s="5">
        <v>477235</v>
      </c>
      <c r="G134" s="5">
        <v>610559</v>
      </c>
      <c r="H134" s="5">
        <v>834652</v>
      </c>
      <c r="I134" s="5">
        <v>1221221</v>
      </c>
      <c r="J134" s="5">
        <v>1651594</v>
      </c>
      <c r="K134" s="5">
        <v>1792714</v>
      </c>
      <c r="L134" s="5">
        <v>1992110</v>
      </c>
      <c r="M134" s="5">
        <v>2155485</v>
      </c>
      <c r="N134" s="5">
        <v>2264594</v>
      </c>
      <c r="O134" s="5">
        <v>2505723</v>
      </c>
    </row>
    <row r="135" spans="1:15" x14ac:dyDescent="0.2">
      <c r="A135" s="1" t="s">
        <v>288</v>
      </c>
      <c r="B135" s="1" t="s">
        <v>315</v>
      </c>
      <c r="C135" s="1" t="s">
        <v>316</v>
      </c>
      <c r="D135" s="5">
        <v>64802</v>
      </c>
      <c r="E135" s="5">
        <v>84231</v>
      </c>
      <c r="F135" s="5">
        <v>101657</v>
      </c>
      <c r="G135" s="5">
        <v>117202</v>
      </c>
      <c r="H135" s="5">
        <v>164587</v>
      </c>
      <c r="I135" s="5">
        <v>241369</v>
      </c>
      <c r="J135" s="5">
        <v>324286</v>
      </c>
      <c r="K135" s="5">
        <v>366321</v>
      </c>
      <c r="L135" s="5">
        <v>424736</v>
      </c>
      <c r="M135" s="5">
        <v>442982</v>
      </c>
      <c r="N135" s="5">
        <v>462390</v>
      </c>
      <c r="O135" s="5">
        <v>516585</v>
      </c>
    </row>
    <row r="136" spans="1:15" x14ac:dyDescent="0.2">
      <c r="A136" s="1" t="s">
        <v>288</v>
      </c>
      <c r="B136" s="1" t="s">
        <v>317</v>
      </c>
      <c r="C136" s="1" t="s">
        <v>318</v>
      </c>
      <c r="D136" s="5">
        <v>826594</v>
      </c>
      <c r="E136" s="5">
        <v>1758446</v>
      </c>
      <c r="F136" s="5">
        <v>2923038</v>
      </c>
      <c r="G136" s="5">
        <v>5143547</v>
      </c>
      <c r="H136" s="5">
        <v>8766441</v>
      </c>
      <c r="I136" s="5">
        <v>13494185</v>
      </c>
      <c r="J136" s="5">
        <v>16567317</v>
      </c>
      <c r="K136" s="5">
        <v>17764716</v>
      </c>
      <c r="L136" s="5">
        <v>19198273</v>
      </c>
      <c r="M136" s="5">
        <v>20655102</v>
      </c>
      <c r="N136" s="5">
        <v>21154988</v>
      </c>
      <c r="O136" s="5">
        <v>22294672</v>
      </c>
    </row>
    <row r="137" spans="1:15" x14ac:dyDescent="0.2">
      <c r="A137" s="1" t="s">
        <v>319</v>
      </c>
      <c r="B137" s="1" t="s">
        <v>320</v>
      </c>
      <c r="C137" s="1" t="s">
        <v>321</v>
      </c>
      <c r="D137" s="5">
        <v>38993</v>
      </c>
      <c r="E137" s="5">
        <v>66300</v>
      </c>
      <c r="F137" s="5">
        <v>81681</v>
      </c>
      <c r="G137" s="5">
        <v>187477</v>
      </c>
      <c r="H137" s="5">
        <v>346426</v>
      </c>
      <c r="I137" s="5">
        <v>527080</v>
      </c>
      <c r="J137" s="5">
        <v>655329</v>
      </c>
      <c r="K137" s="5">
        <v>713129</v>
      </c>
      <c r="L137" s="5">
        <v>764552</v>
      </c>
      <c r="M137" s="5">
        <v>793841</v>
      </c>
      <c r="N137" s="5">
        <v>870586</v>
      </c>
      <c r="O137" s="5">
        <v>910716</v>
      </c>
    </row>
    <row r="138" spans="1:15" x14ac:dyDescent="0.2">
      <c r="A138" s="1" t="s">
        <v>319</v>
      </c>
      <c r="B138" s="1" t="s">
        <v>322</v>
      </c>
      <c r="C138" s="1" t="s">
        <v>323</v>
      </c>
      <c r="D138" s="5">
        <v>72904</v>
      </c>
      <c r="E138" s="5">
        <v>98096</v>
      </c>
      <c r="F138" s="5">
        <v>122360</v>
      </c>
      <c r="G138" s="5">
        <v>136195</v>
      </c>
      <c r="H138" s="5">
        <v>174713</v>
      </c>
      <c r="I138" s="5">
        <v>211969</v>
      </c>
      <c r="J138" s="5">
        <v>264534</v>
      </c>
      <c r="K138" s="5">
        <v>335513</v>
      </c>
      <c r="L138" s="5">
        <v>393138</v>
      </c>
      <c r="M138" s="5">
        <v>449786</v>
      </c>
      <c r="N138" s="5">
        <v>512859</v>
      </c>
      <c r="O138" s="5">
        <v>600744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14E5-513A-480F-A5A5-06D09FFAE296}">
  <sheetPr>
    <tabColor theme="6"/>
  </sheetPr>
  <dimension ref="A1:AI138"/>
  <sheetViews>
    <sheetView zoomScaleNormal="100" workbookViewId="0">
      <selection activeCell="K2" sqref="K2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33" width="10" style="2" customWidth="1"/>
    <col min="34" max="256" width="10.28515625" style="1"/>
    <col min="257" max="257" width="4" style="1" customWidth="1"/>
    <col min="258" max="258" width="10" style="1" customWidth="1"/>
    <col min="259" max="259" width="30" style="1" customWidth="1"/>
    <col min="260" max="289" width="10" style="1" customWidth="1"/>
    <col min="290" max="512" width="10.28515625" style="1"/>
    <col min="513" max="513" width="4" style="1" customWidth="1"/>
    <col min="514" max="514" width="10" style="1" customWidth="1"/>
    <col min="515" max="515" width="30" style="1" customWidth="1"/>
    <col min="516" max="545" width="10" style="1" customWidth="1"/>
    <col min="546" max="768" width="10.28515625" style="1"/>
    <col min="769" max="769" width="4" style="1" customWidth="1"/>
    <col min="770" max="770" width="10" style="1" customWidth="1"/>
    <col min="771" max="771" width="30" style="1" customWidth="1"/>
    <col min="772" max="801" width="10" style="1" customWidth="1"/>
    <col min="802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57" width="10" style="1" customWidth="1"/>
    <col min="1058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313" width="10" style="1" customWidth="1"/>
    <col min="1314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569" width="10" style="1" customWidth="1"/>
    <col min="1570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25" width="10" style="1" customWidth="1"/>
    <col min="1826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081" width="10" style="1" customWidth="1"/>
    <col min="2082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37" width="10" style="1" customWidth="1"/>
    <col min="2338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593" width="10" style="1" customWidth="1"/>
    <col min="2594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49" width="10" style="1" customWidth="1"/>
    <col min="2850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105" width="10" style="1" customWidth="1"/>
    <col min="3106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61" width="10" style="1" customWidth="1"/>
    <col min="3362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617" width="10" style="1" customWidth="1"/>
    <col min="3618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873" width="10" style="1" customWidth="1"/>
    <col min="3874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29" width="10" style="1" customWidth="1"/>
    <col min="4130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385" width="10" style="1" customWidth="1"/>
    <col min="4386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41" width="10" style="1" customWidth="1"/>
    <col min="4642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897" width="10" style="1" customWidth="1"/>
    <col min="4898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53" width="10" style="1" customWidth="1"/>
    <col min="5154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409" width="10" style="1" customWidth="1"/>
    <col min="5410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65" width="10" style="1" customWidth="1"/>
    <col min="5666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21" width="10" style="1" customWidth="1"/>
    <col min="5922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177" width="10" style="1" customWidth="1"/>
    <col min="6178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33" width="10" style="1" customWidth="1"/>
    <col min="6434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689" width="10" style="1" customWidth="1"/>
    <col min="6690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45" width="10" style="1" customWidth="1"/>
    <col min="6946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201" width="10" style="1" customWidth="1"/>
    <col min="7202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57" width="10" style="1" customWidth="1"/>
    <col min="7458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713" width="10" style="1" customWidth="1"/>
    <col min="7714" max="7936" width="10.28515625" style="1"/>
    <col min="7937" max="7937" width="4" style="1" customWidth="1"/>
    <col min="7938" max="7938" width="10" style="1" customWidth="1"/>
    <col min="7939" max="7939" width="30" style="1" customWidth="1"/>
    <col min="7940" max="7969" width="10" style="1" customWidth="1"/>
    <col min="7970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25" width="10" style="1" customWidth="1"/>
    <col min="8226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481" width="10" style="1" customWidth="1"/>
    <col min="8482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37" width="10" style="1" customWidth="1"/>
    <col min="8738" max="8960" width="10.28515625" style="1"/>
    <col min="8961" max="8961" width="4" style="1" customWidth="1"/>
    <col min="8962" max="8962" width="10" style="1" customWidth="1"/>
    <col min="8963" max="8963" width="30" style="1" customWidth="1"/>
    <col min="8964" max="8993" width="10" style="1" customWidth="1"/>
    <col min="8994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49" width="10" style="1" customWidth="1"/>
    <col min="9250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505" width="10" style="1" customWidth="1"/>
    <col min="9506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61" width="10" style="1" customWidth="1"/>
    <col min="9762" max="9984" width="10.28515625" style="1"/>
    <col min="9985" max="9985" width="4" style="1" customWidth="1"/>
    <col min="9986" max="9986" width="10" style="1" customWidth="1"/>
    <col min="9987" max="9987" width="30" style="1" customWidth="1"/>
    <col min="9988" max="10017" width="10" style="1" customWidth="1"/>
    <col min="10018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273" width="10" style="1" customWidth="1"/>
    <col min="10274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29" width="10" style="1" customWidth="1"/>
    <col min="10530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785" width="10" style="1" customWidth="1"/>
    <col min="10786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41" width="10" style="1" customWidth="1"/>
    <col min="11042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297" width="10" style="1" customWidth="1"/>
    <col min="11298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53" width="10" style="1" customWidth="1"/>
    <col min="11554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809" width="10" style="1" customWidth="1"/>
    <col min="11810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65" width="10" style="1" customWidth="1"/>
    <col min="12066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21" width="10" style="1" customWidth="1"/>
    <col min="12322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577" width="10" style="1" customWidth="1"/>
    <col min="12578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33" width="10" style="1" customWidth="1"/>
    <col min="12834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089" width="10" style="1" customWidth="1"/>
    <col min="13090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45" width="10" style="1" customWidth="1"/>
    <col min="13346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601" width="10" style="1" customWidth="1"/>
    <col min="13602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57" width="10" style="1" customWidth="1"/>
    <col min="13858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113" width="10" style="1" customWidth="1"/>
    <col min="14114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369" width="10" style="1" customWidth="1"/>
    <col min="14370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25" width="10" style="1" customWidth="1"/>
    <col min="14626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881" width="10" style="1" customWidth="1"/>
    <col min="14882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37" width="10" style="1" customWidth="1"/>
    <col min="15138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393" width="10" style="1" customWidth="1"/>
    <col min="15394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49" width="10" style="1" customWidth="1"/>
    <col min="15650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905" width="10" style="1" customWidth="1"/>
    <col min="15906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61" width="10" style="1" customWidth="1"/>
    <col min="16162" max="16384" width="10.28515625" style="1"/>
  </cols>
  <sheetData>
    <row r="1" spans="1:35" ht="12.75" customHeight="1" x14ac:dyDescent="0.2">
      <c r="A1" s="1" t="s">
        <v>0</v>
      </c>
      <c r="B1" s="1" t="s">
        <v>1</v>
      </c>
      <c r="C1" s="1" t="s">
        <v>2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1996</v>
      </c>
      <c r="M1" s="6">
        <v>1999</v>
      </c>
      <c r="N1" s="6">
        <v>2000</v>
      </c>
      <c r="O1" s="6">
        <v>2001</v>
      </c>
      <c r="P1" s="6">
        <v>2002</v>
      </c>
      <c r="Q1" s="6">
        <v>2003</v>
      </c>
      <c r="R1" s="6">
        <v>2004</v>
      </c>
      <c r="S1" s="6">
        <v>2005</v>
      </c>
      <c r="T1" s="6">
        <v>2006</v>
      </c>
      <c r="U1" s="6">
        <v>2007</v>
      </c>
      <c r="V1" s="6">
        <v>2008</v>
      </c>
      <c r="W1" s="6">
        <v>2009</v>
      </c>
      <c r="X1" s="6">
        <v>2010</v>
      </c>
      <c r="Y1" s="6">
        <v>2011</v>
      </c>
      <c r="Z1" s="6">
        <v>2012</v>
      </c>
      <c r="AA1" s="6">
        <v>2013</v>
      </c>
      <c r="AB1" s="6">
        <v>2014</v>
      </c>
      <c r="AC1" s="6">
        <v>2015</v>
      </c>
      <c r="AD1" s="6">
        <v>2016</v>
      </c>
      <c r="AE1" s="6">
        <v>2017</v>
      </c>
      <c r="AF1" s="6">
        <v>2018</v>
      </c>
      <c r="AG1" s="6">
        <v>2019</v>
      </c>
      <c r="AH1" s="6">
        <v>2020</v>
      </c>
      <c r="AI1" s="6">
        <v>2021</v>
      </c>
    </row>
    <row r="2" spans="1:35" x14ac:dyDescent="0.2">
      <c r="A2" s="1" t="s">
        <v>23</v>
      </c>
      <c r="B2" s="1" t="s">
        <v>24</v>
      </c>
      <c r="C2" s="1" t="s">
        <v>25</v>
      </c>
      <c r="D2" s="2">
        <v>1575.2900453271</v>
      </c>
      <c r="E2" s="2">
        <v>2898.0616624458999</v>
      </c>
      <c r="F2" s="2">
        <v>35382.255764899201</v>
      </c>
      <c r="G2" s="2">
        <v>29296.384334340499</v>
      </c>
      <c r="H2" s="2">
        <v>39775.005386493402</v>
      </c>
      <c r="I2" s="2">
        <v>40611.278510620003</v>
      </c>
      <c r="J2" s="2">
        <v>187335.08168716257</v>
      </c>
      <c r="K2" s="5">
        <v>425866.76816671807</v>
      </c>
      <c r="L2" s="2">
        <v>440157.8000479826</v>
      </c>
      <c r="M2" s="2">
        <v>456498.0206184939</v>
      </c>
      <c r="N2" s="2">
        <v>536470.79717145301</v>
      </c>
      <c r="O2" s="2">
        <v>539025.68642306235</v>
      </c>
      <c r="P2" s="2">
        <v>568917.90194097324</v>
      </c>
      <c r="Q2" s="2">
        <v>606766.80232425011</v>
      </c>
      <c r="R2" s="2">
        <v>660426.50314058445</v>
      </c>
      <c r="S2" s="2">
        <v>716884.32314224273</v>
      </c>
      <c r="T2" s="2">
        <v>759211.93693549733</v>
      </c>
      <c r="U2" s="2">
        <v>793767.6361867052</v>
      </c>
      <c r="V2" s="2">
        <v>785939.20799999998</v>
      </c>
      <c r="W2" s="2">
        <v>788500.15173258807</v>
      </c>
      <c r="X2" s="2">
        <v>828514.48693017615</v>
      </c>
      <c r="Y2" s="2">
        <v>882337.37919434265</v>
      </c>
      <c r="Z2" s="2">
        <v>911330.14589089388</v>
      </c>
      <c r="AA2" s="2">
        <v>874078.66160464473</v>
      </c>
      <c r="AB2" s="2">
        <v>870135.951580778</v>
      </c>
      <c r="AC2" s="2">
        <v>890587.63561964792</v>
      </c>
      <c r="AD2" s="2">
        <v>898244.38730239321</v>
      </c>
      <c r="AE2" s="2">
        <v>886540.12813784159</v>
      </c>
      <c r="AF2" s="2">
        <v>890649.03137782216</v>
      </c>
      <c r="AG2" s="2">
        <v>906925.59569073899</v>
      </c>
    </row>
    <row r="3" spans="1:35" x14ac:dyDescent="0.2">
      <c r="A3" s="1" t="s">
        <v>23</v>
      </c>
      <c r="B3" s="1" t="s">
        <v>26</v>
      </c>
      <c r="C3" s="1" t="s">
        <v>27</v>
      </c>
      <c r="D3" s="2">
        <v>4004.3632449918</v>
      </c>
      <c r="E3" s="2">
        <v>10922.411642898001</v>
      </c>
      <c r="F3" s="2">
        <v>141946.54236202338</v>
      </c>
      <c r="G3" s="2">
        <v>156518.6321601558</v>
      </c>
      <c r="H3" s="2">
        <v>282446.06376539392</v>
      </c>
      <c r="I3" s="2">
        <v>353582.02105665539</v>
      </c>
      <c r="J3" s="2">
        <v>1535226.9794529765</v>
      </c>
      <c r="K3" s="2">
        <v>1144725.3909023697</v>
      </c>
      <c r="L3" s="2">
        <v>1175811.4238249676</v>
      </c>
      <c r="M3" s="2">
        <v>1237144.6578854586</v>
      </c>
      <c r="N3" s="2">
        <v>1424793.5229467559</v>
      </c>
      <c r="O3" s="2">
        <v>1429834.9021955419</v>
      </c>
      <c r="P3" s="2">
        <v>1442158.0838450135</v>
      </c>
      <c r="Q3" s="2">
        <v>1530417.5455323486</v>
      </c>
      <c r="R3" s="2">
        <v>1672070.1486776702</v>
      </c>
      <c r="S3" s="2">
        <v>1777841.5358490688</v>
      </c>
      <c r="T3" s="2">
        <v>1866464.6702925395</v>
      </c>
      <c r="U3" s="2">
        <v>1928688.9714194597</v>
      </c>
      <c r="V3" s="2">
        <v>1975805.8379999998</v>
      </c>
      <c r="W3" s="2">
        <v>1984931.2624526776</v>
      </c>
      <c r="X3" s="2">
        <v>2097088.0076748396</v>
      </c>
      <c r="Y3" s="2">
        <v>2259535.8571170573</v>
      </c>
      <c r="Z3" s="2">
        <v>2303125.7390792365</v>
      </c>
      <c r="AA3" s="2">
        <v>2238141.5205312427</v>
      </c>
      <c r="AB3" s="2">
        <v>2225099.6655793348</v>
      </c>
      <c r="AC3" s="2">
        <v>2285323.0789749892</v>
      </c>
      <c r="AD3" s="2">
        <v>2297520.9495294746</v>
      </c>
      <c r="AE3" s="2">
        <v>2301449.612007983</v>
      </c>
      <c r="AF3" s="2">
        <v>2292015.4418231188</v>
      </c>
      <c r="AG3" s="2">
        <v>2235891.5004474977</v>
      </c>
    </row>
    <row r="4" spans="1:35" x14ac:dyDescent="0.2">
      <c r="A4" s="1" t="s">
        <v>28</v>
      </c>
      <c r="B4" s="1" t="s">
        <v>29</v>
      </c>
      <c r="C4" s="1" t="s">
        <v>30</v>
      </c>
      <c r="D4" s="2">
        <v>1358.8379780302998</v>
      </c>
      <c r="E4" s="2">
        <v>6060.9786985490991</v>
      </c>
      <c r="F4" s="2">
        <v>25886.892190942901</v>
      </c>
      <c r="G4" s="2">
        <v>33304.7061720157</v>
      </c>
      <c r="H4" s="2">
        <v>47922.980023001903</v>
      </c>
      <c r="I4" s="2">
        <v>102901.1991591463</v>
      </c>
      <c r="J4" s="2">
        <v>187264.04931073292</v>
      </c>
      <c r="K4" s="2">
        <v>507869.39488953608</v>
      </c>
      <c r="L4" s="2">
        <v>529780.86302728788</v>
      </c>
      <c r="M4" s="2">
        <v>534311.96096682642</v>
      </c>
      <c r="N4" s="2">
        <v>648407.27647726855</v>
      </c>
      <c r="O4" s="2">
        <v>642492.66008516401</v>
      </c>
      <c r="P4" s="2">
        <v>653653.16971237096</v>
      </c>
      <c r="Q4" s="2">
        <v>705848.16589108866</v>
      </c>
      <c r="R4" s="2">
        <v>765871.87407162692</v>
      </c>
      <c r="S4" s="2">
        <v>826959.00124523218</v>
      </c>
      <c r="T4" s="2">
        <v>881210.20097072655</v>
      </c>
      <c r="U4" s="2">
        <v>914861.46895943803</v>
      </c>
      <c r="V4" s="2">
        <v>939664.68899999978</v>
      </c>
      <c r="W4" s="2">
        <v>979042.57826547336</v>
      </c>
      <c r="X4" s="2">
        <v>987615.4041862603</v>
      </c>
      <c r="Y4" s="2">
        <v>1058454.0727499675</v>
      </c>
      <c r="Z4" s="2">
        <v>1044697.5276200799</v>
      </c>
      <c r="AA4" s="2">
        <v>1023638.3624652703</v>
      </c>
      <c r="AB4" s="2">
        <v>1062076.5410353285</v>
      </c>
      <c r="AC4" s="2">
        <v>1078291.1066690991</v>
      </c>
      <c r="AD4" s="2">
        <v>1094685.8085930019</v>
      </c>
      <c r="AE4" s="2">
        <v>1075334.8936027093</v>
      </c>
      <c r="AF4" s="2">
        <v>1099853.9506120523</v>
      </c>
      <c r="AG4" s="2">
        <v>1075550.2590000927</v>
      </c>
    </row>
    <row r="5" spans="1:35" x14ac:dyDescent="0.2">
      <c r="A5" s="1" t="s">
        <v>28</v>
      </c>
      <c r="B5" s="1" t="s">
        <v>31</v>
      </c>
      <c r="C5" s="1" t="s">
        <v>32</v>
      </c>
      <c r="D5" s="2">
        <v>937.95895828629989</v>
      </c>
      <c r="E5" s="2">
        <v>6265.9393308666004</v>
      </c>
      <c r="F5" s="2">
        <v>33186.550902243594</v>
      </c>
      <c r="G5" s="2">
        <v>43750.121398839292</v>
      </c>
      <c r="H5" s="2">
        <v>66159.386698379909</v>
      </c>
      <c r="I5" s="2">
        <v>183098.66722831453</v>
      </c>
      <c r="J5" s="2">
        <v>373337.37841336342</v>
      </c>
      <c r="K5" s="2">
        <v>733241.32608241902</v>
      </c>
      <c r="L5" s="2">
        <v>756331.87512809527</v>
      </c>
      <c r="M5" s="2">
        <v>779739.27728702885</v>
      </c>
      <c r="N5" s="2">
        <v>908484.97667915176</v>
      </c>
      <c r="O5" s="2">
        <v>907425.20376427053</v>
      </c>
      <c r="P5" s="2">
        <v>920928.81241960754</v>
      </c>
      <c r="Q5" s="2">
        <v>973629.01542607893</v>
      </c>
      <c r="R5" s="2">
        <v>1058207.2735895596</v>
      </c>
      <c r="S5" s="2">
        <v>1126356.9176575574</v>
      </c>
      <c r="T5" s="2">
        <v>1221426.7259554102</v>
      </c>
      <c r="U5" s="2">
        <v>1267008.2688279771</v>
      </c>
      <c r="V5" s="2">
        <v>1306324.2790000003</v>
      </c>
      <c r="W5" s="2">
        <v>1366554.3363134793</v>
      </c>
      <c r="X5" s="2">
        <v>1387126.7675917801</v>
      </c>
      <c r="Y5" s="2">
        <v>1482103.9720592874</v>
      </c>
      <c r="Z5" s="2">
        <v>1445230.4921270888</v>
      </c>
      <c r="AA5" s="2">
        <v>1447850.3847116712</v>
      </c>
      <c r="AB5" s="2">
        <v>1521404.9862372428</v>
      </c>
      <c r="AC5" s="2">
        <v>1501925.1606580361</v>
      </c>
      <c r="AD5" s="2">
        <v>1533567.2536555238</v>
      </c>
      <c r="AE5" s="2">
        <v>1503959.5582239188</v>
      </c>
      <c r="AF5" s="2">
        <v>1523975.7535182198</v>
      </c>
      <c r="AG5" s="2">
        <v>1476699.7205082681</v>
      </c>
    </row>
    <row r="6" spans="1:35" x14ac:dyDescent="0.2">
      <c r="A6" s="1" t="s">
        <v>28</v>
      </c>
      <c r="B6" s="1" t="s">
        <v>33</v>
      </c>
      <c r="C6" s="1" t="s">
        <v>34</v>
      </c>
      <c r="D6" s="2">
        <v>22270.512701875803</v>
      </c>
      <c r="E6" s="2">
        <v>63728.116605757394</v>
      </c>
      <c r="F6" s="2">
        <v>416190.09872768505</v>
      </c>
      <c r="G6" s="2">
        <v>582850.10483564285</v>
      </c>
      <c r="H6" s="2">
        <v>880219.5244103485</v>
      </c>
      <c r="I6" s="2">
        <v>2152913.9934522137</v>
      </c>
      <c r="J6" s="2">
        <v>3563582.6659252495</v>
      </c>
      <c r="K6" s="2">
        <v>2258511.1623725588</v>
      </c>
      <c r="L6" s="2">
        <v>2320980.2074927324</v>
      </c>
      <c r="M6" s="2">
        <v>2531482.1968970657</v>
      </c>
      <c r="N6" s="2">
        <v>3050648.7708728872</v>
      </c>
      <c r="O6" s="2">
        <v>2989831.1094458224</v>
      </c>
      <c r="P6" s="2">
        <v>3049131.5780541683</v>
      </c>
      <c r="Q6" s="2">
        <v>3241759.8481268268</v>
      </c>
      <c r="R6" s="2">
        <v>3522322.4193640794</v>
      </c>
      <c r="S6" s="2">
        <v>3753427.0970088285</v>
      </c>
      <c r="T6" s="2">
        <v>4068543.6794322762</v>
      </c>
      <c r="U6" s="2">
        <v>4267148.5442076214</v>
      </c>
      <c r="V6" s="2">
        <v>4383185.0419999994</v>
      </c>
      <c r="W6" s="2">
        <v>4524224.9198550154</v>
      </c>
      <c r="X6" s="2">
        <v>4548473.0521052983</v>
      </c>
      <c r="Y6" s="2">
        <v>4902930.7484111907</v>
      </c>
      <c r="Z6" s="2">
        <v>4866992.8605298866</v>
      </c>
      <c r="AA6" s="2">
        <v>4822734.4710734012</v>
      </c>
      <c r="AB6" s="2">
        <v>4966189.718847028</v>
      </c>
      <c r="AC6" s="2">
        <v>4994154.7687006518</v>
      </c>
      <c r="AD6" s="2">
        <v>5024761.5707593653</v>
      </c>
      <c r="AE6" s="2">
        <v>4967514.6351840571</v>
      </c>
      <c r="AF6" s="2">
        <v>4972256.5996176582</v>
      </c>
      <c r="AG6" s="2">
        <v>4986965.5948947622</v>
      </c>
    </row>
    <row r="7" spans="1:35" x14ac:dyDescent="0.2">
      <c r="A7" s="1" t="s">
        <v>35</v>
      </c>
      <c r="B7" s="1" t="s">
        <v>36</v>
      </c>
      <c r="C7" s="1" t="s">
        <v>37</v>
      </c>
      <c r="D7" s="2">
        <v>192.4018375972</v>
      </c>
      <c r="E7" s="2">
        <v>656.16490470480005</v>
      </c>
      <c r="F7" s="2">
        <v>16666.9653369712</v>
      </c>
      <c r="G7" s="2">
        <v>20282.3499831724</v>
      </c>
      <c r="H7" s="2">
        <v>30851.617417471502</v>
      </c>
      <c r="I7" s="2">
        <v>26555.601933823898</v>
      </c>
      <c r="J7" s="2">
        <v>141478.8057392349</v>
      </c>
      <c r="K7" s="2">
        <v>171526.78983864974</v>
      </c>
      <c r="L7" s="2">
        <v>175372.34000680878</v>
      </c>
      <c r="M7" s="2">
        <v>187614.92734568467</v>
      </c>
      <c r="N7" s="2">
        <v>208564.7424688405</v>
      </c>
      <c r="O7" s="2">
        <v>210921.89080972699</v>
      </c>
      <c r="P7" s="2">
        <v>219787.83425744591</v>
      </c>
      <c r="Q7" s="2">
        <v>237483.19109092059</v>
      </c>
      <c r="R7" s="2">
        <v>265366.54160112253</v>
      </c>
      <c r="S7" s="2">
        <v>288238.3495451106</v>
      </c>
      <c r="T7" s="2">
        <v>302748.76767232612</v>
      </c>
      <c r="U7" s="2">
        <v>306674.24259550322</v>
      </c>
      <c r="V7" s="2">
        <v>312866.61700000003</v>
      </c>
      <c r="W7" s="2">
        <v>321602.60197646258</v>
      </c>
      <c r="X7" s="2">
        <v>322167.7845830525</v>
      </c>
      <c r="Y7" s="2">
        <v>345079.05237454083</v>
      </c>
      <c r="Z7" s="2">
        <v>356429.56368001329</v>
      </c>
      <c r="AA7" s="2">
        <v>347853.55044484482</v>
      </c>
      <c r="AB7" s="2">
        <v>330513.45859968849</v>
      </c>
      <c r="AC7" s="2">
        <v>344610.3211454858</v>
      </c>
      <c r="AD7" s="2">
        <v>351097.66031981388</v>
      </c>
      <c r="AE7" s="2">
        <v>368931.68971856404</v>
      </c>
      <c r="AF7" s="2">
        <v>372051.31556346244</v>
      </c>
      <c r="AG7" s="2">
        <v>384008.94998950546</v>
      </c>
    </row>
    <row r="8" spans="1:35" x14ac:dyDescent="0.2">
      <c r="A8" s="1" t="s">
        <v>35</v>
      </c>
      <c r="B8" s="1" t="s">
        <v>38</v>
      </c>
      <c r="C8" s="1" t="s">
        <v>39</v>
      </c>
      <c r="D8" s="2">
        <v>1394.9133225795999</v>
      </c>
      <c r="E8" s="2">
        <v>3526.8863627879996</v>
      </c>
      <c r="F8" s="2">
        <v>39256.193836094608</v>
      </c>
      <c r="G8" s="2">
        <v>37154.709068516</v>
      </c>
      <c r="H8" s="2">
        <v>43396.281961445595</v>
      </c>
      <c r="I8" s="2">
        <v>50793.281117959996</v>
      </c>
      <c r="J8" s="2">
        <v>290382.87952838454</v>
      </c>
      <c r="K8" s="2">
        <v>546628.55136421637</v>
      </c>
      <c r="L8" s="2">
        <v>561030.7575091027</v>
      </c>
      <c r="M8" s="2">
        <v>583676.51564538502</v>
      </c>
      <c r="N8" s="2">
        <v>649964.54749224149</v>
      </c>
      <c r="O8" s="2">
        <v>650950.80575298448</v>
      </c>
      <c r="P8" s="2">
        <v>655525.75453960418</v>
      </c>
      <c r="Q8" s="2">
        <v>719867.55280419625</v>
      </c>
      <c r="R8" s="2">
        <v>795608.53276060219</v>
      </c>
      <c r="S8" s="2">
        <v>774478.016040824</v>
      </c>
      <c r="T8" s="2">
        <v>811555.54591984197</v>
      </c>
      <c r="U8" s="2">
        <v>822049.19718811638</v>
      </c>
      <c r="V8" s="2">
        <v>868589.701</v>
      </c>
      <c r="W8" s="2">
        <v>934633.6693102828</v>
      </c>
      <c r="X8" s="2">
        <v>914231.48237599444</v>
      </c>
      <c r="Y8" s="2">
        <v>1012047.3853435995</v>
      </c>
      <c r="Z8" s="2">
        <v>1054712.7779267079</v>
      </c>
      <c r="AA8" s="2">
        <v>1021911.8733478504</v>
      </c>
      <c r="AB8" s="2">
        <v>974205.91699215979</v>
      </c>
      <c r="AC8" s="2">
        <v>1031665.9967194571</v>
      </c>
      <c r="AD8" s="2">
        <v>1048043.0417973276</v>
      </c>
      <c r="AE8" s="2">
        <v>1115102.3040383691</v>
      </c>
      <c r="AF8" s="2">
        <v>1126988.9479685656</v>
      </c>
      <c r="AG8" s="2">
        <v>1163212.0981684502</v>
      </c>
    </row>
    <row r="9" spans="1:35" x14ac:dyDescent="0.2">
      <c r="A9" s="1" t="s">
        <v>35</v>
      </c>
      <c r="B9" s="1" t="s">
        <v>40</v>
      </c>
      <c r="C9" s="1" t="s">
        <v>41</v>
      </c>
      <c r="D9" s="2">
        <v>17496.542106495603</v>
      </c>
      <c r="E9" s="2">
        <v>50059.914188100505</v>
      </c>
      <c r="F9" s="2">
        <v>541374.70060016331</v>
      </c>
      <c r="G9" s="2">
        <v>785097.58438995224</v>
      </c>
      <c r="H9" s="2">
        <v>1336377.0216014516</v>
      </c>
      <c r="I9" s="2">
        <v>1152512.86311612</v>
      </c>
      <c r="J9" s="2">
        <v>4728411.9083533986</v>
      </c>
      <c r="K9" s="2">
        <v>3980101.4425385413</v>
      </c>
      <c r="L9" s="2">
        <v>4139995.8634372577</v>
      </c>
      <c r="M9" s="2">
        <v>4382123.1825501379</v>
      </c>
      <c r="N9" s="2">
        <v>4832460.6950759059</v>
      </c>
      <c r="O9" s="2">
        <v>4769150.3929474959</v>
      </c>
      <c r="P9" s="2">
        <v>4968009.908508705</v>
      </c>
      <c r="Q9" s="2">
        <v>5461437.1861134209</v>
      </c>
      <c r="R9" s="2">
        <v>6193399.2513800925</v>
      </c>
      <c r="S9" s="2">
        <v>6070776.3310589911</v>
      </c>
      <c r="T9" s="2">
        <v>6421991.5840437617</v>
      </c>
      <c r="U9" s="2">
        <v>6581918.1141482638</v>
      </c>
      <c r="V9" s="2">
        <v>6903822.7829999989</v>
      </c>
      <c r="W9" s="2">
        <v>7175814.3793983879</v>
      </c>
      <c r="X9" s="2">
        <v>7395539.0962915067</v>
      </c>
      <c r="Y9" s="2">
        <v>7880494.2103624484</v>
      </c>
      <c r="Z9" s="2">
        <v>8191103.3404144831</v>
      </c>
      <c r="AA9" s="2">
        <v>7826891.9516020762</v>
      </c>
      <c r="AB9" s="2">
        <v>7585625.5344134169</v>
      </c>
      <c r="AC9" s="2">
        <v>7829712.889232019</v>
      </c>
      <c r="AD9" s="2">
        <v>7995324.1352679376</v>
      </c>
      <c r="AE9" s="2">
        <v>8456962.3266249821</v>
      </c>
      <c r="AF9" s="2">
        <v>8324972.8610946583</v>
      </c>
      <c r="AG9" s="2">
        <v>8355332.3691603001</v>
      </c>
    </row>
    <row r="10" spans="1:35" x14ac:dyDescent="0.2">
      <c r="A10" s="1" t="s">
        <v>35</v>
      </c>
      <c r="B10" s="1" t="s">
        <v>42</v>
      </c>
      <c r="C10" s="1" t="s">
        <v>43</v>
      </c>
      <c r="D10" s="2">
        <v>2152.4955581186</v>
      </c>
      <c r="E10" s="2">
        <v>2925.4018668089002</v>
      </c>
      <c r="F10" s="2">
        <v>15038.862160525499</v>
      </c>
      <c r="G10" s="2">
        <v>19553.612379641301</v>
      </c>
      <c r="H10" s="2">
        <v>40977.981382665697</v>
      </c>
      <c r="I10" s="2">
        <v>34902.009647671301</v>
      </c>
      <c r="J10" s="2">
        <v>203136.50762539241</v>
      </c>
      <c r="K10" s="2">
        <v>370865.38429248083</v>
      </c>
      <c r="L10" s="2">
        <v>408655.07105183118</v>
      </c>
      <c r="M10" s="2">
        <v>438918.18174285395</v>
      </c>
      <c r="N10" s="2">
        <v>465828.8450701306</v>
      </c>
      <c r="O10" s="2">
        <v>461896.23515976657</v>
      </c>
      <c r="P10" s="2">
        <v>473297.44771388802</v>
      </c>
      <c r="Q10" s="2">
        <v>513505.70532998734</v>
      </c>
      <c r="R10" s="2">
        <v>563575.80270562368</v>
      </c>
      <c r="S10" s="2">
        <v>623350.38330591633</v>
      </c>
      <c r="T10" s="2">
        <v>658295.68725020892</v>
      </c>
      <c r="U10" s="2">
        <v>659914.4809888266</v>
      </c>
      <c r="V10" s="2">
        <v>696221.99799999991</v>
      </c>
      <c r="W10" s="2">
        <v>721148.98190513847</v>
      </c>
      <c r="X10" s="2">
        <v>734097.78857741493</v>
      </c>
      <c r="Y10" s="2">
        <v>783284.68194999499</v>
      </c>
      <c r="Z10" s="2">
        <v>811469.81070292136</v>
      </c>
      <c r="AA10" s="2">
        <v>787194.48966571107</v>
      </c>
      <c r="AB10" s="2">
        <v>754353.81677524443</v>
      </c>
      <c r="AC10" s="2">
        <v>783458.49822226237</v>
      </c>
      <c r="AD10" s="2">
        <v>798516.62496342452</v>
      </c>
      <c r="AE10" s="2">
        <v>835221.25054269866</v>
      </c>
      <c r="AF10" s="2">
        <v>841392.30922191078</v>
      </c>
      <c r="AG10" s="2">
        <v>865514.47704628576</v>
      </c>
    </row>
    <row r="11" spans="1:35" x14ac:dyDescent="0.2">
      <c r="A11" s="1" t="s">
        <v>44</v>
      </c>
      <c r="B11" s="1" t="s">
        <v>45</v>
      </c>
      <c r="C11" s="1" t="s">
        <v>46</v>
      </c>
      <c r="D11" s="2">
        <v>444.92924944340001</v>
      </c>
      <c r="E11" s="2">
        <v>1157.4313044316</v>
      </c>
      <c r="F11" s="2">
        <v>13081.6363831331</v>
      </c>
      <c r="G11" s="2">
        <v>18194.435232325999</v>
      </c>
      <c r="H11" s="2">
        <v>21165.776390937099</v>
      </c>
      <c r="I11" s="2">
        <v>9351.3388637759999</v>
      </c>
      <c r="J11" s="2">
        <v>78928.637690341406</v>
      </c>
      <c r="K11" s="2">
        <v>152769.43695743533</v>
      </c>
      <c r="L11" s="2">
        <v>164146.03608005415</v>
      </c>
      <c r="M11" s="2">
        <v>176217.65164367983</v>
      </c>
      <c r="N11" s="2">
        <v>180847.31845469109</v>
      </c>
      <c r="O11" s="2">
        <v>173996.04549229651</v>
      </c>
      <c r="P11" s="2">
        <v>186236.73565684987</v>
      </c>
      <c r="Q11" s="2">
        <v>195363.11181107382</v>
      </c>
      <c r="R11" s="2">
        <v>217056.14240870898</v>
      </c>
      <c r="S11" s="2">
        <v>277108.26898202428</v>
      </c>
      <c r="T11" s="2">
        <v>301200.13320640958</v>
      </c>
      <c r="U11" s="2">
        <v>311344.12793747144</v>
      </c>
      <c r="V11" s="2">
        <v>297784.92</v>
      </c>
      <c r="W11" s="2">
        <v>307550.09382601472</v>
      </c>
      <c r="X11" s="2">
        <v>325324.89187503804</v>
      </c>
      <c r="Y11" s="2">
        <v>340256.70093391696</v>
      </c>
      <c r="Z11" s="2">
        <v>329478.90690681629</v>
      </c>
      <c r="AA11" s="2">
        <v>312868.43575591885</v>
      </c>
      <c r="AB11" s="2">
        <v>321290.32823642483</v>
      </c>
      <c r="AC11" s="2">
        <v>342086.77034251549</v>
      </c>
      <c r="AD11" s="2">
        <v>356005.60679138976</v>
      </c>
      <c r="AE11" s="2">
        <v>371741.03529944911</v>
      </c>
      <c r="AF11" s="2">
        <v>374158.47317615314</v>
      </c>
      <c r="AG11" s="2">
        <v>351971.5552371649</v>
      </c>
    </row>
    <row r="12" spans="1:35" x14ac:dyDescent="0.2">
      <c r="A12" s="1" t="s">
        <v>44</v>
      </c>
      <c r="B12" s="1" t="s">
        <v>47</v>
      </c>
      <c r="C12" s="1" t="s">
        <v>48</v>
      </c>
      <c r="D12" s="2">
        <v>877.83338403729999</v>
      </c>
      <c r="E12" s="2">
        <v>893.71277937140007</v>
      </c>
      <c r="F12" s="2">
        <v>75491.627814541411</v>
      </c>
      <c r="G12" s="2">
        <v>126200.99559785381</v>
      </c>
      <c r="H12" s="2">
        <v>192536.13779902679</v>
      </c>
      <c r="I12" s="2">
        <v>190580.4278958491</v>
      </c>
      <c r="J12" s="2">
        <v>1686981.8647465282</v>
      </c>
      <c r="K12" s="2">
        <v>2109944.7265754663</v>
      </c>
      <c r="L12" s="2">
        <v>2032286.0836895925</v>
      </c>
      <c r="M12" s="2">
        <v>2170148.5081512951</v>
      </c>
      <c r="N12" s="2">
        <v>2334609.2012590813</v>
      </c>
      <c r="O12" s="2">
        <v>2243983.8259481732</v>
      </c>
      <c r="P12" s="2">
        <v>2390750.6067616828</v>
      </c>
      <c r="Q12" s="2">
        <v>2535284.7624070412</v>
      </c>
      <c r="R12" s="2">
        <v>2861468.4751046002</v>
      </c>
      <c r="S12" s="2">
        <v>2977505.8050421863</v>
      </c>
      <c r="T12" s="2">
        <v>3189964.2387440014</v>
      </c>
      <c r="U12" s="2">
        <v>3241765.4807624542</v>
      </c>
      <c r="V12" s="2">
        <v>3374997.7230000002</v>
      </c>
      <c r="W12" s="2">
        <v>3455533.8731125626</v>
      </c>
      <c r="X12" s="2">
        <v>3669433.2074566339</v>
      </c>
      <c r="Y12" s="2">
        <v>3804645.0315121738</v>
      </c>
      <c r="Z12" s="2">
        <v>3710241.7027642224</v>
      </c>
      <c r="AA12" s="2">
        <v>3547903.1043185904</v>
      </c>
      <c r="AB12" s="2">
        <v>3625111.6300182268</v>
      </c>
      <c r="AC12" s="2">
        <v>3748743.8965859576</v>
      </c>
      <c r="AD12" s="2">
        <v>3854467.2685691672</v>
      </c>
      <c r="AE12" s="2">
        <v>4019226.7767857122</v>
      </c>
      <c r="AF12" s="2">
        <v>3982344.7716089496</v>
      </c>
      <c r="AG12" s="2">
        <v>3712430.3353000525</v>
      </c>
    </row>
    <row r="13" spans="1:35" x14ac:dyDescent="0.2">
      <c r="A13" s="1" t="s">
        <v>49</v>
      </c>
      <c r="B13" s="1" t="s">
        <v>50</v>
      </c>
      <c r="C13" s="1" t="s">
        <v>51</v>
      </c>
      <c r="D13" s="2">
        <v>865.80826918749983</v>
      </c>
      <c r="E13" s="2">
        <v>4042.0509823901002</v>
      </c>
      <c r="F13" s="2">
        <v>20520.298304443095</v>
      </c>
      <c r="G13" s="2">
        <v>34936.581249401694</v>
      </c>
      <c r="H13" s="2">
        <v>69931.742663094599</v>
      </c>
      <c r="I13" s="2">
        <v>158180.2207558018</v>
      </c>
      <c r="J13" s="2">
        <v>313873.11334843573</v>
      </c>
      <c r="K13" s="2">
        <v>501201.33235664887</v>
      </c>
      <c r="L13" s="2">
        <v>543858.32759339327</v>
      </c>
      <c r="M13" s="2">
        <v>604983.83103630377</v>
      </c>
      <c r="N13" s="2">
        <v>731272.22716740321</v>
      </c>
      <c r="O13" s="2">
        <v>713130.31068134634</v>
      </c>
      <c r="P13" s="2">
        <v>723291.86758951156</v>
      </c>
      <c r="Q13" s="2">
        <v>834028.73488686199</v>
      </c>
      <c r="R13" s="2">
        <v>882028.77079570387</v>
      </c>
      <c r="S13" s="2">
        <v>935136.657082116</v>
      </c>
      <c r="T13" s="2">
        <v>975619.35875736643</v>
      </c>
      <c r="U13" s="2">
        <v>1060305.3262306442</v>
      </c>
      <c r="V13" s="2">
        <v>1118955.2839999998</v>
      </c>
      <c r="W13" s="2">
        <v>1173345.4617213681</v>
      </c>
      <c r="X13" s="2">
        <v>1217486.1727012333</v>
      </c>
      <c r="Y13" s="2">
        <v>1307066.90571849</v>
      </c>
      <c r="Z13" s="2">
        <v>1356237.841109683</v>
      </c>
      <c r="AA13" s="2">
        <v>1396774.9788430403</v>
      </c>
      <c r="AB13" s="2">
        <v>1355595.2566989169</v>
      </c>
      <c r="AC13" s="2">
        <v>1409711.5302495933</v>
      </c>
      <c r="AD13" s="2">
        <v>1435740.9472517907</v>
      </c>
      <c r="AE13" s="2">
        <v>1498250.4061344438</v>
      </c>
      <c r="AF13" s="2">
        <v>1492761.5354389169</v>
      </c>
      <c r="AG13" s="2">
        <v>1373981.7152993651</v>
      </c>
    </row>
    <row r="14" spans="1:35" x14ac:dyDescent="0.2">
      <c r="A14" s="1" t="s">
        <v>49</v>
      </c>
      <c r="B14" s="1" t="s">
        <v>52</v>
      </c>
      <c r="C14" s="1" t="s">
        <v>53</v>
      </c>
      <c r="D14" s="2">
        <v>5615.7286348679991</v>
      </c>
      <c r="E14" s="2">
        <v>14469.370907977202</v>
      </c>
      <c r="F14" s="2">
        <v>78574.018168963506</v>
      </c>
      <c r="G14" s="2">
        <v>115735.3631074897</v>
      </c>
      <c r="H14" s="2">
        <v>146607.64125749411</v>
      </c>
      <c r="I14" s="2">
        <v>293626.90490238601</v>
      </c>
      <c r="J14" s="2">
        <v>530821.34188008716</v>
      </c>
      <c r="K14" s="2">
        <v>912206.21213222668</v>
      </c>
      <c r="L14" s="2">
        <v>993883.4460535706</v>
      </c>
      <c r="M14" s="2">
        <v>1044469.3735022444</v>
      </c>
      <c r="N14" s="2">
        <v>1276999.7598558883</v>
      </c>
      <c r="O14" s="2">
        <v>1256358.2557719869</v>
      </c>
      <c r="P14" s="2">
        <v>1268842.2882687734</v>
      </c>
      <c r="Q14" s="2">
        <v>1396316.7637215804</v>
      </c>
      <c r="R14" s="2">
        <v>1483769.3551834868</v>
      </c>
      <c r="S14" s="2">
        <v>1589171.8842465091</v>
      </c>
      <c r="T14" s="2">
        <v>1670819.178428493</v>
      </c>
      <c r="U14" s="2">
        <v>1830392.5127501688</v>
      </c>
      <c r="V14" s="2">
        <v>1864352.5460000001</v>
      </c>
      <c r="W14" s="2">
        <v>1925602.0091051378</v>
      </c>
      <c r="X14" s="2">
        <v>1968294.1274946348</v>
      </c>
      <c r="Y14" s="2">
        <v>2058926.8555041733</v>
      </c>
      <c r="Z14" s="2">
        <v>2114141.4988909108</v>
      </c>
      <c r="AA14" s="2">
        <v>2138900.1789709548</v>
      </c>
      <c r="AB14" s="2">
        <v>2090124.7306367327</v>
      </c>
      <c r="AC14" s="2">
        <v>2127628.0781917037</v>
      </c>
      <c r="AD14" s="2">
        <v>2166653.1130260248</v>
      </c>
      <c r="AE14" s="2">
        <v>2264003.2828912502</v>
      </c>
      <c r="AF14" s="2">
        <v>2249167.792846804</v>
      </c>
      <c r="AG14" s="2">
        <v>2101493.5334075294</v>
      </c>
    </row>
    <row r="15" spans="1:35" x14ac:dyDescent="0.2">
      <c r="A15" s="1" t="s">
        <v>49</v>
      </c>
      <c r="B15" s="1" t="s">
        <v>54</v>
      </c>
      <c r="C15" s="1" t="s">
        <v>55</v>
      </c>
      <c r="D15" s="2">
        <v>5675.8542091177997</v>
      </c>
      <c r="E15" s="2">
        <v>26200.105824260998</v>
      </c>
      <c r="F15" s="2">
        <v>168919.56269095966</v>
      </c>
      <c r="G15" s="2">
        <v>269471.49576103815</v>
      </c>
      <c r="H15" s="2">
        <v>381577.89983706211</v>
      </c>
      <c r="I15" s="2">
        <v>762327.57325011364</v>
      </c>
      <c r="J15" s="2">
        <v>1283968.9198667193</v>
      </c>
      <c r="K15" s="2">
        <v>2149478.6847388092</v>
      </c>
      <c r="L15" s="2">
        <v>2205107.5040428247</v>
      </c>
      <c r="M15" s="2">
        <v>2388872.3245562222</v>
      </c>
      <c r="N15" s="2">
        <v>2850477.5308339531</v>
      </c>
      <c r="O15" s="2">
        <v>2754106.5918355645</v>
      </c>
      <c r="P15" s="2">
        <v>2740354.3289453052</v>
      </c>
      <c r="Q15" s="2">
        <v>3040695.7887241566</v>
      </c>
      <c r="R15" s="2">
        <v>3242284.5513149523</v>
      </c>
      <c r="S15" s="2">
        <v>3447588.7639999022</v>
      </c>
      <c r="T15" s="2">
        <v>3576561.7086473727</v>
      </c>
      <c r="U15" s="2">
        <v>3799250.9497097819</v>
      </c>
      <c r="V15" s="2">
        <v>3918083.6649999991</v>
      </c>
      <c r="W15" s="2">
        <v>4060998.7121266495</v>
      </c>
      <c r="X15" s="2">
        <v>4093315.6516813082</v>
      </c>
      <c r="Y15" s="2">
        <v>4327246.5365506168</v>
      </c>
      <c r="Z15" s="2">
        <v>4408543.2631203355</v>
      </c>
      <c r="AA15" s="2">
        <v>4533745.7937103594</v>
      </c>
      <c r="AB15" s="2">
        <v>4494857.9904594282</v>
      </c>
      <c r="AC15" s="2">
        <v>4586135.6442437684</v>
      </c>
      <c r="AD15" s="2">
        <v>4556305.3708162829</v>
      </c>
      <c r="AE15" s="2">
        <v>4773689.4555220576</v>
      </c>
      <c r="AF15" s="2">
        <v>4655955.5134538226</v>
      </c>
      <c r="AG15" s="2">
        <v>4218761.4356370671</v>
      </c>
    </row>
    <row r="16" spans="1:35" x14ac:dyDescent="0.2">
      <c r="A16" s="1" t="s">
        <v>49</v>
      </c>
      <c r="B16" s="1" t="s">
        <v>56</v>
      </c>
      <c r="C16" s="1" t="s">
        <v>57</v>
      </c>
      <c r="D16" s="2">
        <v>4533.4682983834</v>
      </c>
      <c r="E16" s="2">
        <v>23739.726965415299</v>
      </c>
      <c r="F16" s="2">
        <v>99236.608499360707</v>
      </c>
      <c r="G16" s="2">
        <v>154743.33298856369</v>
      </c>
      <c r="H16" s="2">
        <v>218078.8120824263</v>
      </c>
      <c r="I16" s="2">
        <v>418444.05095441715</v>
      </c>
      <c r="J16" s="2">
        <v>703310.65176712302</v>
      </c>
      <c r="K16" s="2">
        <v>1386723.3743313472</v>
      </c>
      <c r="L16" s="2">
        <v>1511647.8972968017</v>
      </c>
      <c r="M16" s="2">
        <v>1654980.7998186199</v>
      </c>
      <c r="N16" s="2">
        <v>2045051.7987609748</v>
      </c>
      <c r="O16" s="2">
        <v>1999990.9340690249</v>
      </c>
      <c r="P16" s="2">
        <v>2006157.4175375917</v>
      </c>
      <c r="Q16" s="2">
        <v>2240234.7436681823</v>
      </c>
      <c r="R16" s="2">
        <v>2387126.3693740456</v>
      </c>
      <c r="S16" s="2">
        <v>2486496.575390954</v>
      </c>
      <c r="T16" s="2">
        <v>2559979.5039076139</v>
      </c>
      <c r="U16" s="2">
        <v>2763811.1304762317</v>
      </c>
      <c r="V16" s="2">
        <v>2876347.4299999992</v>
      </c>
      <c r="W16" s="2">
        <v>3003070.7327036508</v>
      </c>
      <c r="X16" s="2">
        <v>3059958.6158959819</v>
      </c>
      <c r="Y16" s="2">
        <v>3247160.006060869</v>
      </c>
      <c r="Z16" s="2">
        <v>3288423.6337509346</v>
      </c>
      <c r="AA16" s="2">
        <v>3357220.8171938499</v>
      </c>
      <c r="AB16" s="2">
        <v>3280941.1592493425</v>
      </c>
      <c r="AC16" s="2">
        <v>3346647.528729938</v>
      </c>
      <c r="AD16" s="2">
        <v>3309419.3460435895</v>
      </c>
      <c r="AE16" s="2">
        <v>3441007.8311970723</v>
      </c>
      <c r="AF16" s="2">
        <v>3439821.0805875296</v>
      </c>
      <c r="AG16" s="2">
        <v>3175406.3153096926</v>
      </c>
    </row>
    <row r="17" spans="1:33" x14ac:dyDescent="0.2">
      <c r="A17" s="1" t="s">
        <v>49</v>
      </c>
      <c r="B17" s="1" t="s">
        <v>58</v>
      </c>
      <c r="C17" s="1" t="s">
        <v>59</v>
      </c>
      <c r="D17" s="2">
        <v>57961.053576156395</v>
      </c>
      <c r="E17" s="2">
        <v>187574.59776251522</v>
      </c>
      <c r="F17" s="2">
        <v>1535186.4803768366</v>
      </c>
      <c r="G17" s="2">
        <v>2353529.2073254539</v>
      </c>
      <c r="H17" s="2">
        <v>3054939.9238230106</v>
      </c>
      <c r="I17" s="2">
        <v>6166128.2633385966</v>
      </c>
      <c r="J17" s="2">
        <v>8109681.6503395457</v>
      </c>
      <c r="K17" s="2">
        <v>4106355.9737073551</v>
      </c>
      <c r="L17" s="2">
        <v>4238470.391869369</v>
      </c>
      <c r="M17" s="2">
        <v>4699292.4279506393</v>
      </c>
      <c r="N17" s="2">
        <v>5223507.052207347</v>
      </c>
      <c r="O17" s="2">
        <v>5169314.645928584</v>
      </c>
      <c r="P17" s="2">
        <v>5225292.7175438637</v>
      </c>
      <c r="Q17" s="2">
        <v>5745970.5854208348</v>
      </c>
      <c r="R17" s="2">
        <v>6236680.3896488231</v>
      </c>
      <c r="S17" s="2">
        <v>6723294.5861551175</v>
      </c>
      <c r="T17" s="2">
        <v>6962312.8591761542</v>
      </c>
      <c r="U17" s="2">
        <v>7571072.9578661574</v>
      </c>
      <c r="V17" s="2">
        <v>7587799.6660000002</v>
      </c>
      <c r="W17" s="2">
        <v>7904745.6180955777</v>
      </c>
      <c r="X17" s="2">
        <v>8159736.7273921957</v>
      </c>
      <c r="Y17" s="2">
        <v>8729891.2579522468</v>
      </c>
      <c r="Z17" s="2">
        <v>8894199.0637402032</v>
      </c>
      <c r="AA17" s="2">
        <v>9146950.3531042524</v>
      </c>
      <c r="AB17" s="2">
        <v>8794052.5749440677</v>
      </c>
      <c r="AC17" s="2">
        <v>8927595.1701270863</v>
      </c>
      <c r="AD17" s="2">
        <v>8883875.6064508297</v>
      </c>
      <c r="AE17" s="2">
        <v>9259664.8401998207</v>
      </c>
      <c r="AF17" s="2">
        <v>8822693.7268424872</v>
      </c>
      <c r="AG17" s="2">
        <v>7954817.9461266585</v>
      </c>
    </row>
    <row r="18" spans="1:33" x14ac:dyDescent="0.2">
      <c r="A18" s="1" t="s">
        <v>49</v>
      </c>
      <c r="B18" s="1" t="s">
        <v>60</v>
      </c>
      <c r="C18" s="1" t="s">
        <v>61</v>
      </c>
      <c r="D18" s="2">
        <v>6950.5163831984</v>
      </c>
      <c r="E18" s="2">
        <v>31281.9597767593</v>
      </c>
      <c r="F18" s="2">
        <v>182872.93181362539</v>
      </c>
      <c r="G18" s="2">
        <v>269114.87041145534</v>
      </c>
      <c r="H18" s="2">
        <v>357395.82179679681</v>
      </c>
      <c r="I18" s="2">
        <v>765349.44559704454</v>
      </c>
      <c r="J18" s="2">
        <v>1337278.7058012653</v>
      </c>
      <c r="K18" s="2">
        <v>2595657.1771744578</v>
      </c>
      <c r="L18" s="2">
        <v>2677637.1517299917</v>
      </c>
      <c r="M18" s="2">
        <v>2860920.617934315</v>
      </c>
      <c r="N18" s="2">
        <v>3441489.3513401742</v>
      </c>
      <c r="O18" s="2">
        <v>3331515.2017278573</v>
      </c>
      <c r="P18" s="2">
        <v>3371459.4125298476</v>
      </c>
      <c r="Q18" s="2">
        <v>3784097.8169902978</v>
      </c>
      <c r="R18" s="2">
        <v>3995983.5256814789</v>
      </c>
      <c r="S18" s="2">
        <v>3953162.6268195338</v>
      </c>
      <c r="T18" s="2">
        <v>4101651.2517581428</v>
      </c>
      <c r="U18" s="2">
        <v>4384197.3570218859</v>
      </c>
      <c r="V18" s="2">
        <v>4532755.2629999993</v>
      </c>
      <c r="W18" s="2">
        <v>4682794.3283763425</v>
      </c>
      <c r="X18" s="2">
        <v>4810072.6972465776</v>
      </c>
      <c r="Y18" s="2">
        <v>5032591.6674693376</v>
      </c>
      <c r="Z18" s="2">
        <v>5168937.6933188885</v>
      </c>
      <c r="AA18" s="2">
        <v>5295620.8430309752</v>
      </c>
      <c r="AB18" s="2">
        <v>5155266.7434848882</v>
      </c>
      <c r="AC18" s="2">
        <v>5226039.348267382</v>
      </c>
      <c r="AD18" s="2">
        <v>5167809.383239706</v>
      </c>
      <c r="AE18" s="2">
        <v>5346890.9099032357</v>
      </c>
      <c r="AF18" s="2">
        <v>5309572.7966280207</v>
      </c>
      <c r="AG18" s="2">
        <v>4908507.9699443346</v>
      </c>
    </row>
    <row r="19" spans="1:33" x14ac:dyDescent="0.2">
      <c r="A19" s="1" t="s">
        <v>49</v>
      </c>
      <c r="B19" s="1" t="s">
        <v>62</v>
      </c>
      <c r="C19" s="1" t="s">
        <v>63</v>
      </c>
      <c r="D19" s="2">
        <v>6072.6829991617988</v>
      </c>
      <c r="E19" s="2">
        <v>31252.669552249601</v>
      </c>
      <c r="F19" s="2">
        <v>250983.34986544933</v>
      </c>
      <c r="G19" s="2">
        <v>379009.8310930981</v>
      </c>
      <c r="H19" s="2">
        <v>517440.44164400536</v>
      </c>
      <c r="I19" s="2">
        <v>1029511.5463537324</v>
      </c>
      <c r="J19" s="2">
        <v>1529594.0965508223</v>
      </c>
      <c r="K19" s="2">
        <v>2153107.1406469438</v>
      </c>
      <c r="L19" s="2">
        <v>2226198.8689307543</v>
      </c>
      <c r="M19" s="2">
        <v>2342319.5428729602</v>
      </c>
      <c r="N19" s="2">
        <v>2843453.6425301805</v>
      </c>
      <c r="O19" s="2">
        <v>2764998.4450893356</v>
      </c>
      <c r="P19" s="2">
        <v>2802455.0499326424</v>
      </c>
      <c r="Q19" s="2">
        <v>3122284.9977355031</v>
      </c>
      <c r="R19" s="2">
        <v>3338240.7372201951</v>
      </c>
      <c r="S19" s="2">
        <v>3404141.0296333982</v>
      </c>
      <c r="T19" s="2">
        <v>3502354.953874859</v>
      </c>
      <c r="U19" s="2">
        <v>3784918.1400924339</v>
      </c>
      <c r="V19" s="2">
        <v>3867760.2859999994</v>
      </c>
      <c r="W19" s="2">
        <v>4077732.2946342421</v>
      </c>
      <c r="X19" s="2">
        <v>4098460.6316984021</v>
      </c>
      <c r="Y19" s="2">
        <v>4378175.9230545834</v>
      </c>
      <c r="Z19" s="2">
        <v>4451370.2807807038</v>
      </c>
      <c r="AA19" s="2">
        <v>4515007.2567309579</v>
      </c>
      <c r="AB19" s="2">
        <v>4364173.9255760442</v>
      </c>
      <c r="AC19" s="2">
        <v>4474184.5911510848</v>
      </c>
      <c r="AD19" s="2">
        <v>4432011.5239429353</v>
      </c>
      <c r="AE19" s="2">
        <v>4642139.039351535</v>
      </c>
      <c r="AF19" s="2">
        <v>4640370.5683560017</v>
      </c>
      <c r="AG19" s="2">
        <v>4242879.7351674885</v>
      </c>
    </row>
    <row r="20" spans="1:33" x14ac:dyDescent="0.2">
      <c r="A20" s="1" t="s">
        <v>64</v>
      </c>
      <c r="B20" s="1" t="s">
        <v>65</v>
      </c>
      <c r="C20" s="1" t="s">
        <v>66</v>
      </c>
      <c r="D20" s="2">
        <v>8958.7105631199993</v>
      </c>
      <c r="E20" s="2">
        <v>16772.537491770403</v>
      </c>
      <c r="F20" s="2">
        <v>52782.247962232796</v>
      </c>
      <c r="G20" s="2">
        <v>60694.1291975434</v>
      </c>
      <c r="H20" s="2">
        <v>98123.823049887724</v>
      </c>
      <c r="I20" s="2">
        <v>199015.6337374335</v>
      </c>
      <c r="J20" s="2">
        <v>490483.36699944659</v>
      </c>
      <c r="K20" s="2">
        <v>1288197.2075958573</v>
      </c>
      <c r="L20" s="2">
        <v>1302174.502168827</v>
      </c>
      <c r="M20" s="2">
        <v>1407342.4453863893</v>
      </c>
      <c r="N20" s="2">
        <v>1727965.3852363701</v>
      </c>
      <c r="O20" s="2">
        <v>1707816.1698247786</v>
      </c>
      <c r="P20" s="2">
        <v>1676963.6581308425</v>
      </c>
      <c r="Q20" s="2">
        <v>1820407.6978248416</v>
      </c>
      <c r="R20" s="2">
        <v>1999326.9389080203</v>
      </c>
      <c r="S20" s="2">
        <v>2083609.7988588945</v>
      </c>
      <c r="T20" s="2">
        <v>2384666.7651672889</v>
      </c>
      <c r="U20" s="2">
        <v>2502245.9743439592</v>
      </c>
      <c r="V20" s="2">
        <v>2606067.9810000006</v>
      </c>
      <c r="W20" s="2">
        <v>2643119.1925171288</v>
      </c>
      <c r="X20" s="2">
        <v>2597147.0591930579</v>
      </c>
      <c r="Y20" s="2">
        <v>2734815.6871065148</v>
      </c>
      <c r="Z20" s="2">
        <v>2927969.0406287988</v>
      </c>
      <c r="AA20" s="2">
        <v>2915833.9421018786</v>
      </c>
      <c r="AB20" s="2">
        <v>2861490.7701774673</v>
      </c>
      <c r="AC20" s="2">
        <v>2979754.8169590002</v>
      </c>
      <c r="AD20" s="2">
        <v>2988285.2816086491</v>
      </c>
      <c r="AE20" s="2">
        <v>3042944.3515429627</v>
      </c>
      <c r="AF20" s="2">
        <v>3081430.6688857581</v>
      </c>
      <c r="AG20" s="2">
        <v>3008417.0188148771</v>
      </c>
    </row>
    <row r="21" spans="1:33" x14ac:dyDescent="0.2">
      <c r="A21" s="1" t="s">
        <v>64</v>
      </c>
      <c r="B21" s="1" t="s">
        <v>67</v>
      </c>
      <c r="C21" s="1" t="s">
        <v>68</v>
      </c>
      <c r="D21" s="2">
        <v>4040.4385895411001</v>
      </c>
      <c r="E21" s="2">
        <v>13505.9210195744</v>
      </c>
      <c r="F21" s="2">
        <v>34632.900891334895</v>
      </c>
      <c r="G21" s="2">
        <v>47497.808680023678</v>
      </c>
      <c r="H21" s="2">
        <v>80092.156026933299</v>
      </c>
      <c r="I21" s="2">
        <v>157111.83477190169</v>
      </c>
      <c r="J21" s="2">
        <v>332489.1901014935</v>
      </c>
      <c r="K21" s="2">
        <v>931795.58282680437</v>
      </c>
      <c r="L21" s="2">
        <v>1003256.3826921964</v>
      </c>
      <c r="M21" s="2">
        <v>1114104.5587210818</v>
      </c>
      <c r="N21" s="2">
        <v>1324067.4644270763</v>
      </c>
      <c r="O21" s="2">
        <v>1308582.4109590189</v>
      </c>
      <c r="P21" s="2">
        <v>1308563.0833096984</v>
      </c>
      <c r="Q21" s="2">
        <v>1381780.0263006696</v>
      </c>
      <c r="R21" s="2">
        <v>1514260.1765523232</v>
      </c>
      <c r="S21" s="2">
        <v>1571148.8279445954</v>
      </c>
      <c r="T21" s="2">
        <v>1811002.2124113319</v>
      </c>
      <c r="U21" s="2">
        <v>1904904.5025699483</v>
      </c>
      <c r="V21" s="2">
        <v>1996820.9439999999</v>
      </c>
      <c r="W21" s="2">
        <v>2027023.8876115244</v>
      </c>
      <c r="X21" s="2">
        <v>1992844.3039060545</v>
      </c>
      <c r="Y21" s="2">
        <v>2112628.2954795202</v>
      </c>
      <c r="Z21" s="2">
        <v>2289152.3234118535</v>
      </c>
      <c r="AA21" s="2">
        <v>2305087.8128036568</v>
      </c>
      <c r="AB21" s="2">
        <v>2246030.6090210956</v>
      </c>
      <c r="AC21" s="2">
        <v>2373360.3674265281</v>
      </c>
      <c r="AD21" s="2">
        <v>2395067.3372584176</v>
      </c>
      <c r="AE21" s="2">
        <v>2408101.3601642377</v>
      </c>
      <c r="AF21" s="2">
        <v>2429238.2105435831</v>
      </c>
      <c r="AG21" s="2">
        <v>2337904.6473140321</v>
      </c>
    </row>
    <row r="22" spans="1:33" x14ac:dyDescent="0.2">
      <c r="A22" s="1" t="s">
        <v>64</v>
      </c>
      <c r="B22" s="1" t="s">
        <v>69</v>
      </c>
      <c r="C22" s="1" t="s">
        <v>70</v>
      </c>
      <c r="D22" s="2">
        <v>20286.368751654605</v>
      </c>
      <c r="E22" s="2">
        <v>83071.668223433997</v>
      </c>
      <c r="F22" s="2">
        <v>967990.49381151539</v>
      </c>
      <c r="G22" s="2">
        <v>1230586.0333925057</v>
      </c>
      <c r="H22" s="2">
        <v>1958508.2562643143</v>
      </c>
      <c r="I22" s="2">
        <v>4039137.2975475406</v>
      </c>
      <c r="J22" s="2">
        <v>6010451.2531109247</v>
      </c>
      <c r="K22" s="2">
        <v>3225103.6850384846</v>
      </c>
      <c r="L22" s="2">
        <v>3587712.7286340017</v>
      </c>
      <c r="M22" s="2">
        <v>3828368.6873925384</v>
      </c>
      <c r="N22" s="2">
        <v>4598414.4799907962</v>
      </c>
      <c r="O22" s="2">
        <v>4500494.2110230746</v>
      </c>
      <c r="P22" s="2">
        <v>4467785.7814188395</v>
      </c>
      <c r="Q22" s="2">
        <v>4838716.267598575</v>
      </c>
      <c r="R22" s="2">
        <v>5361353.9757267796</v>
      </c>
      <c r="S22" s="2">
        <v>5394986.7878655018</v>
      </c>
      <c r="T22" s="2">
        <v>6091411.7694753557</v>
      </c>
      <c r="U22" s="2">
        <v>6510131.7124926774</v>
      </c>
      <c r="V22" s="2">
        <v>6722807.4000000013</v>
      </c>
      <c r="W22" s="2">
        <v>6802557.8084643455</v>
      </c>
      <c r="X22" s="2">
        <v>6683039.0320967436</v>
      </c>
      <c r="Y22" s="2">
        <v>7134992.6677933959</v>
      </c>
      <c r="Z22" s="2">
        <v>7623114.6887450535</v>
      </c>
      <c r="AA22" s="2">
        <v>7688499.1328743827</v>
      </c>
      <c r="AB22" s="2">
        <v>7400911.6368189221</v>
      </c>
      <c r="AC22" s="2">
        <v>7738466.7015538123</v>
      </c>
      <c r="AD22" s="2">
        <v>7810958.4524560701</v>
      </c>
      <c r="AE22" s="2">
        <v>7904600.5977628073</v>
      </c>
      <c r="AF22" s="2">
        <v>7619224.4035941698</v>
      </c>
      <c r="AG22" s="2">
        <v>7172897.6171422862</v>
      </c>
    </row>
    <row r="23" spans="1:33" x14ac:dyDescent="0.2">
      <c r="A23" s="1" t="s">
        <v>64</v>
      </c>
      <c r="B23" s="1" t="s">
        <v>71</v>
      </c>
      <c r="C23" s="1" t="s">
        <v>72</v>
      </c>
      <c r="D23" s="2">
        <v>4942.3222032784997</v>
      </c>
      <c r="E23" s="2">
        <v>12832.089819032</v>
      </c>
      <c r="F23" s="2">
        <v>79645.534018497696</v>
      </c>
      <c r="G23" s="2">
        <v>72630.286938239384</v>
      </c>
      <c r="H23" s="2">
        <v>92073.232706446492</v>
      </c>
      <c r="I23" s="2">
        <v>191709.66386004558</v>
      </c>
      <c r="J23" s="2">
        <v>384055.64595822629</v>
      </c>
      <c r="K23" s="2">
        <v>885948.77890476177</v>
      </c>
      <c r="L23" s="2">
        <v>919441.74118957308</v>
      </c>
      <c r="M23" s="2">
        <v>979341.78579292959</v>
      </c>
      <c r="N23" s="2">
        <v>1175124.2316516123</v>
      </c>
      <c r="O23" s="2">
        <v>1153865.2773333911</v>
      </c>
      <c r="P23" s="2">
        <v>1143415.1138916966</v>
      </c>
      <c r="Q23" s="2">
        <v>1225534.216416802</v>
      </c>
      <c r="R23" s="2">
        <v>1307007.3110442297</v>
      </c>
      <c r="S23" s="2">
        <v>1357269.3798611776</v>
      </c>
      <c r="T23" s="2">
        <v>1545259.9572053864</v>
      </c>
      <c r="U23" s="2">
        <v>1635539.0310285029</v>
      </c>
      <c r="V23" s="2">
        <v>1677517.2140000004</v>
      </c>
      <c r="W23" s="2">
        <v>1678077.3981331198</v>
      </c>
      <c r="X23" s="2">
        <v>1631167.1394521012</v>
      </c>
      <c r="Y23" s="2">
        <v>1704420.914519273</v>
      </c>
      <c r="Z23" s="2">
        <v>1848644.0672786883</v>
      </c>
      <c r="AA23" s="2">
        <v>1849154.693009475</v>
      </c>
      <c r="AB23" s="2">
        <v>1782763.8850809003</v>
      </c>
      <c r="AC23" s="2">
        <v>1867321.7323433133</v>
      </c>
      <c r="AD23" s="2">
        <v>1878724.5477890035</v>
      </c>
      <c r="AE23" s="2">
        <v>1907982.221724201</v>
      </c>
      <c r="AF23" s="2">
        <v>1897016.5307705863</v>
      </c>
      <c r="AG23" s="2">
        <v>1810888.5349639475</v>
      </c>
    </row>
    <row r="24" spans="1:33" x14ac:dyDescent="0.2">
      <c r="A24" s="1" t="s">
        <v>64</v>
      </c>
      <c r="B24" s="1" t="s">
        <v>73</v>
      </c>
      <c r="C24" s="1" t="s">
        <v>74</v>
      </c>
      <c r="D24" s="2">
        <v>2320.8471660163</v>
      </c>
      <c r="E24" s="2">
        <v>11250.051348192001</v>
      </c>
      <c r="F24" s="2">
        <v>25462.920776879895</v>
      </c>
      <c r="G24" s="2">
        <v>35150.686599006702</v>
      </c>
      <c r="H24" s="2">
        <v>65808.041203338711</v>
      </c>
      <c r="I24" s="2">
        <v>151222.75421962963</v>
      </c>
      <c r="J24" s="2">
        <v>313902.51035918284</v>
      </c>
      <c r="K24" s="2">
        <v>541724.65267628327</v>
      </c>
      <c r="L24" s="2">
        <v>550122.75417628977</v>
      </c>
      <c r="M24" s="2">
        <v>601554.6360776478</v>
      </c>
      <c r="N24" s="2">
        <v>727914.27830875653</v>
      </c>
      <c r="O24" s="2">
        <v>724244.53493961785</v>
      </c>
      <c r="P24" s="2">
        <v>718342.68964176578</v>
      </c>
      <c r="Q24" s="2">
        <v>740356.09377993806</v>
      </c>
      <c r="R24" s="2">
        <v>818456.45139313373</v>
      </c>
      <c r="S24" s="2">
        <v>832117.91347297525</v>
      </c>
      <c r="T24" s="2">
        <v>966011.2664906499</v>
      </c>
      <c r="U24" s="2">
        <v>1024400.7479998415</v>
      </c>
      <c r="V24" s="2">
        <v>1042241.69</v>
      </c>
      <c r="W24" s="2">
        <v>1036724.6508627415</v>
      </c>
      <c r="X24" s="2">
        <v>1015475.6456501242</v>
      </c>
      <c r="Y24" s="2">
        <v>1093783.630863297</v>
      </c>
      <c r="Z24" s="2">
        <v>1153099.00137894</v>
      </c>
      <c r="AA24" s="2">
        <v>1150971.1873001633</v>
      </c>
      <c r="AB24" s="2">
        <v>1120464.7016740146</v>
      </c>
      <c r="AC24" s="2">
        <v>1176641.0531425725</v>
      </c>
      <c r="AD24" s="2">
        <v>1174243.6150412073</v>
      </c>
      <c r="AE24" s="2">
        <v>1193528.5571434717</v>
      </c>
      <c r="AF24" s="2">
        <v>1214016.7209955866</v>
      </c>
      <c r="AG24" s="2">
        <v>1180482.8914957086</v>
      </c>
    </row>
    <row r="25" spans="1:33" x14ac:dyDescent="0.2">
      <c r="A25" s="1" t="s">
        <v>64</v>
      </c>
      <c r="B25" s="1" t="s">
        <v>75</v>
      </c>
      <c r="C25" s="1" t="s">
        <v>76</v>
      </c>
      <c r="D25" s="2">
        <v>2717.6759560605001</v>
      </c>
      <c r="E25" s="2">
        <v>15835.033212754801</v>
      </c>
      <c r="F25" s="2">
        <v>39567.953886461903</v>
      </c>
      <c r="G25" s="2">
        <v>42923.5414041529</v>
      </c>
      <c r="H25" s="2">
        <v>59534.019871402008</v>
      </c>
      <c r="I25" s="2">
        <v>110815.88613323151</v>
      </c>
      <c r="J25" s="2">
        <v>192518.20287304133</v>
      </c>
      <c r="K25" s="2">
        <v>381452.75136740127</v>
      </c>
      <c r="L25" s="2">
        <v>407569.23711079586</v>
      </c>
      <c r="M25" s="2">
        <v>418071.84693944326</v>
      </c>
      <c r="N25" s="2">
        <v>509561.52311533678</v>
      </c>
      <c r="O25" s="2">
        <v>498571.06284820283</v>
      </c>
      <c r="P25" s="2">
        <v>489886.33935189352</v>
      </c>
      <c r="Q25" s="2">
        <v>527090.81666419166</v>
      </c>
      <c r="R25" s="2">
        <v>574814.38180458674</v>
      </c>
      <c r="S25" s="2">
        <v>593928.38531539787</v>
      </c>
      <c r="T25" s="2">
        <v>671077.81108492776</v>
      </c>
      <c r="U25" s="2">
        <v>697776.95702096715</v>
      </c>
      <c r="V25" s="2">
        <v>720251.071</v>
      </c>
      <c r="W25" s="2">
        <v>725134.61808408599</v>
      </c>
      <c r="X25" s="2">
        <v>712389.42421776138</v>
      </c>
      <c r="Y25" s="2">
        <v>761803.2628211861</v>
      </c>
      <c r="Z25" s="2">
        <v>807637.31360977853</v>
      </c>
      <c r="AA25" s="2">
        <v>809564.45278099261</v>
      </c>
      <c r="AB25" s="2">
        <v>789084.68897531147</v>
      </c>
      <c r="AC25" s="2">
        <v>799072.2039178469</v>
      </c>
      <c r="AD25" s="2">
        <v>813549.07764512755</v>
      </c>
      <c r="AE25" s="2">
        <v>829706.50516742142</v>
      </c>
      <c r="AF25" s="2">
        <v>834295.09841973742</v>
      </c>
      <c r="AG25" s="2">
        <v>797760.45440740814</v>
      </c>
    </row>
    <row r="26" spans="1:33" x14ac:dyDescent="0.2">
      <c r="A26" s="1" t="s">
        <v>64</v>
      </c>
      <c r="B26" s="1" t="s">
        <v>77</v>
      </c>
      <c r="C26" s="1" t="s">
        <v>78</v>
      </c>
      <c r="D26" s="2">
        <v>2344.8973957157996</v>
      </c>
      <c r="E26" s="2">
        <v>12670.956271075302</v>
      </c>
      <c r="F26" s="2">
        <v>56385.619990419997</v>
      </c>
      <c r="G26" s="2">
        <v>65827.589252619815</v>
      </c>
      <c r="H26" s="2">
        <v>99663.625629113303</v>
      </c>
      <c r="I26" s="2">
        <v>210205.8675783794</v>
      </c>
      <c r="J26" s="2">
        <v>416375.55356189376</v>
      </c>
      <c r="K26" s="2">
        <v>814731.39168812206</v>
      </c>
      <c r="L26" s="2">
        <v>865657.97061749792</v>
      </c>
      <c r="M26" s="2">
        <v>928208.40062474785</v>
      </c>
      <c r="N26" s="2">
        <v>1127261.8368212932</v>
      </c>
      <c r="O26" s="2">
        <v>1092085.5380146885</v>
      </c>
      <c r="P26" s="2">
        <v>1091544.3049409953</v>
      </c>
      <c r="Q26" s="2">
        <v>1132678.2035583032</v>
      </c>
      <c r="R26" s="2">
        <v>1261648.9982684844</v>
      </c>
      <c r="S26" s="2">
        <v>1315062.1041991597</v>
      </c>
      <c r="T26" s="2">
        <v>1485590.8884782237</v>
      </c>
      <c r="U26" s="2">
        <v>1592093.6627438709</v>
      </c>
      <c r="V26" s="2">
        <v>1664597.3159999999</v>
      </c>
      <c r="W26" s="2">
        <v>1668296.9026678556</v>
      </c>
      <c r="X26" s="2">
        <v>1651593.4115591045</v>
      </c>
      <c r="Y26" s="2">
        <v>1730294.5618494458</v>
      </c>
      <c r="Z26" s="2">
        <v>1864486.815762342</v>
      </c>
      <c r="AA26" s="2">
        <v>1882367.9938963004</v>
      </c>
      <c r="AB26" s="2">
        <v>1830080.3257786487</v>
      </c>
      <c r="AC26" s="2">
        <v>1918806.0850006149</v>
      </c>
      <c r="AD26" s="2">
        <v>1939565.8672812334</v>
      </c>
      <c r="AE26" s="2">
        <v>1997633.4960322876</v>
      </c>
      <c r="AF26" s="2">
        <v>2015990.98738315</v>
      </c>
      <c r="AG26" s="2">
        <v>1897360.8935207096</v>
      </c>
    </row>
    <row r="27" spans="1:33" x14ac:dyDescent="0.2">
      <c r="A27" s="1" t="s">
        <v>79</v>
      </c>
      <c r="B27" s="1" t="s">
        <v>80</v>
      </c>
      <c r="C27" s="1" t="s">
        <v>81</v>
      </c>
      <c r="F27" s="2">
        <v>3093324.2692436799</v>
      </c>
      <c r="G27" s="2">
        <v>5911026.6154979803</v>
      </c>
      <c r="H27" s="2">
        <v>8396015.6020301394</v>
      </c>
      <c r="I27" s="2">
        <v>7425903.7267209496</v>
      </c>
      <c r="J27" s="2">
        <v>26093532.923304498</v>
      </c>
      <c r="K27" s="2">
        <v>54335106.870101906</v>
      </c>
      <c r="L27" s="2">
        <v>52774658.361434691</v>
      </c>
      <c r="M27" s="2">
        <v>55991966.205024034</v>
      </c>
      <c r="N27" s="2">
        <v>39501383.684217997</v>
      </c>
      <c r="O27" s="2">
        <v>38272465.177297197</v>
      </c>
      <c r="P27" s="2">
        <v>41628766.2614685</v>
      </c>
      <c r="Q27" s="2">
        <v>42707232.4401327</v>
      </c>
      <c r="R27" s="2">
        <v>45987493.032543302</v>
      </c>
      <c r="S27" s="2">
        <v>46950800.242903598</v>
      </c>
      <c r="T27" s="2">
        <v>49899594.842837803</v>
      </c>
      <c r="U27" s="2">
        <v>54329848.834055498</v>
      </c>
      <c r="V27" s="2">
        <v>53848708.424000002</v>
      </c>
      <c r="W27" s="2">
        <v>54904350.611258201</v>
      </c>
      <c r="X27" s="2">
        <v>51469502.334204704</v>
      </c>
      <c r="Y27" s="2">
        <v>53130466.570496999</v>
      </c>
      <c r="Z27" s="2">
        <v>54386112.505550496</v>
      </c>
      <c r="AA27" s="2">
        <v>57122773.681724697</v>
      </c>
      <c r="AB27" s="2">
        <v>58395975.438871503</v>
      </c>
      <c r="AC27" s="2">
        <v>59969569.494051628</v>
      </c>
      <c r="AD27" s="2">
        <v>59610286.936837129</v>
      </c>
      <c r="AE27" s="2">
        <v>60243184.672792219</v>
      </c>
      <c r="AF27" s="2">
        <v>58717031.85535156</v>
      </c>
      <c r="AG27" s="2">
        <v>55343625.898493201</v>
      </c>
    </row>
    <row r="28" spans="1:33" x14ac:dyDescent="0.2">
      <c r="A28" s="1" t="s">
        <v>82</v>
      </c>
      <c r="B28" s="1" t="s">
        <v>83</v>
      </c>
      <c r="C28" s="1" t="s">
        <v>84</v>
      </c>
      <c r="D28" s="2">
        <v>517.07993854259996</v>
      </c>
      <c r="E28" s="2">
        <v>5363.6648118114999</v>
      </c>
      <c r="F28" s="2">
        <v>69610.730957682099</v>
      </c>
      <c r="G28" s="2">
        <v>105112.28508066761</v>
      </c>
      <c r="H28" s="2">
        <v>118406.679836957</v>
      </c>
      <c r="I28" s="2">
        <v>153517.7616475187</v>
      </c>
      <c r="J28" s="2">
        <v>456779.67977907934</v>
      </c>
      <c r="K28" s="2">
        <v>767985.81780723098</v>
      </c>
      <c r="L28" s="2">
        <v>779798.07848997216</v>
      </c>
      <c r="M28" s="2">
        <v>774405.66931301204</v>
      </c>
      <c r="N28" s="2">
        <v>831912.21200496715</v>
      </c>
      <c r="O28" s="2">
        <v>882144.18965745415</v>
      </c>
      <c r="P28" s="2">
        <v>903752.68989454361</v>
      </c>
      <c r="Q28" s="2">
        <v>999532.05270882137</v>
      </c>
      <c r="R28" s="2">
        <v>1058438.9700655036</v>
      </c>
      <c r="S28" s="2">
        <v>1154449.5740318899</v>
      </c>
      <c r="T28" s="2">
        <v>1228090.0355315933</v>
      </c>
      <c r="U28" s="2">
        <v>1215964.3902411137</v>
      </c>
      <c r="V28" s="2">
        <v>1285454.101</v>
      </c>
      <c r="W28" s="2">
        <v>1272871.9777069301</v>
      </c>
      <c r="X28" s="2">
        <v>1286276.6508839976</v>
      </c>
      <c r="Y28" s="2">
        <v>1302777.1978652035</v>
      </c>
      <c r="Z28" s="2">
        <v>1278988.5502204506</v>
      </c>
      <c r="AA28" s="2">
        <v>1231137.6718989043</v>
      </c>
      <c r="AB28" s="2">
        <v>1178773.625834615</v>
      </c>
      <c r="AC28" s="2">
        <v>1160447.8608780224</v>
      </c>
      <c r="AD28" s="2">
        <v>1153266.1113417931</v>
      </c>
      <c r="AE28" s="2">
        <v>1194254.4920415725</v>
      </c>
      <c r="AF28" s="2">
        <v>1148332.2962393591</v>
      </c>
      <c r="AG28" s="2">
        <v>1116561.0790588723</v>
      </c>
    </row>
    <row r="29" spans="1:33" x14ac:dyDescent="0.2">
      <c r="A29" s="1" t="s">
        <v>82</v>
      </c>
      <c r="B29" s="1" t="s">
        <v>85</v>
      </c>
      <c r="C29" s="1" t="s">
        <v>86</v>
      </c>
      <c r="D29" s="2">
        <v>1755.6667680741998</v>
      </c>
      <c r="E29" s="2">
        <v>6506.7409192466002</v>
      </c>
      <c r="F29" s="2">
        <v>37062.260168123801</v>
      </c>
      <c r="G29" s="2">
        <v>67583.205603811803</v>
      </c>
      <c r="H29" s="2">
        <v>88269.130306438106</v>
      </c>
      <c r="I29" s="2">
        <v>146590.54063077789</v>
      </c>
      <c r="J29" s="2">
        <v>498815.38235294481</v>
      </c>
      <c r="K29" s="2">
        <v>961409.69537007413</v>
      </c>
      <c r="L29" s="2">
        <v>948777.3172056952</v>
      </c>
      <c r="M29" s="2">
        <v>974930.13899392879</v>
      </c>
      <c r="N29" s="2">
        <v>1062467.1103779483</v>
      </c>
      <c r="O29" s="2">
        <v>1145490.825300015</v>
      </c>
      <c r="P29" s="2">
        <v>1227749.823891528</v>
      </c>
      <c r="Q29" s="2">
        <v>1340157.0559799985</v>
      </c>
      <c r="R29" s="2">
        <v>1419257.9610241195</v>
      </c>
      <c r="S29" s="2">
        <v>1612366.2702603829</v>
      </c>
      <c r="T29" s="2">
        <v>1703941.7672545237</v>
      </c>
      <c r="U29" s="2">
        <v>1737748.9249243971</v>
      </c>
      <c r="V29" s="2">
        <v>1855730.7759999998</v>
      </c>
      <c r="W29" s="2">
        <v>1869339.1130024211</v>
      </c>
      <c r="X29" s="2">
        <v>1946094.9986369316</v>
      </c>
      <c r="Y29" s="2">
        <v>1979730.4637976708</v>
      </c>
      <c r="Z29" s="2">
        <v>1883966.4882719035</v>
      </c>
      <c r="AA29" s="2">
        <v>1847160.77789697</v>
      </c>
      <c r="AB29" s="2">
        <v>1748900.1613977582</v>
      </c>
      <c r="AC29" s="2">
        <v>1723669.6431452271</v>
      </c>
      <c r="AD29" s="2">
        <v>1799261.0235722652</v>
      </c>
      <c r="AE29" s="2">
        <v>1848904.4935037703</v>
      </c>
      <c r="AF29" s="2">
        <v>1758121.9675805499</v>
      </c>
      <c r="AG29" s="2">
        <v>1684020.2988036198</v>
      </c>
    </row>
    <row r="30" spans="1:33" x14ac:dyDescent="0.2">
      <c r="A30" s="1" t="s">
        <v>82</v>
      </c>
      <c r="B30" s="1" t="s">
        <v>87</v>
      </c>
      <c r="C30" s="1" t="s">
        <v>88</v>
      </c>
      <c r="D30" s="2">
        <v>8597.9571176251011</v>
      </c>
      <c r="E30" s="2">
        <v>67148.393900876006</v>
      </c>
      <c r="F30" s="2">
        <v>507339.51675312349</v>
      </c>
      <c r="G30" s="2">
        <v>856190.01953791105</v>
      </c>
      <c r="H30" s="2">
        <v>1040791.6766380296</v>
      </c>
      <c r="I30" s="2">
        <v>1418480.5194068262</v>
      </c>
      <c r="J30" s="2">
        <v>3910699.0272959652</v>
      </c>
      <c r="K30" s="2">
        <v>3501080.8945243945</v>
      </c>
      <c r="L30" s="2">
        <v>3570420.6538141863</v>
      </c>
      <c r="M30" s="2">
        <v>3580692.7870301027</v>
      </c>
      <c r="N30" s="2">
        <v>3806584.7744759503</v>
      </c>
      <c r="O30" s="2">
        <v>4083339.6507155616</v>
      </c>
      <c r="P30" s="2">
        <v>4267692.8687213492</v>
      </c>
      <c r="Q30" s="2">
        <v>4669357.4784884602</v>
      </c>
      <c r="R30" s="2">
        <v>4898402.6977726007</v>
      </c>
      <c r="S30" s="2">
        <v>5469410.994080347</v>
      </c>
      <c r="T30" s="2">
        <v>5633303.1659839805</v>
      </c>
      <c r="U30" s="2">
        <v>5803066.5867071785</v>
      </c>
      <c r="V30" s="2">
        <v>6216549.3219999988</v>
      </c>
      <c r="W30" s="2">
        <v>6179854.5991783449</v>
      </c>
      <c r="X30" s="2">
        <v>6377005.190042044</v>
      </c>
      <c r="Y30" s="2">
        <v>6528613.1325957971</v>
      </c>
      <c r="Z30" s="2">
        <v>6356243.8020702917</v>
      </c>
      <c r="AA30" s="2">
        <v>6010379.8494785018</v>
      </c>
      <c r="AB30" s="2">
        <v>5688511.2465017745</v>
      </c>
      <c r="AC30" s="2">
        <v>5568170.1767228488</v>
      </c>
      <c r="AD30" s="2">
        <v>5678034.3685343722</v>
      </c>
      <c r="AE30" s="2">
        <v>5814102.4979470167</v>
      </c>
      <c r="AF30" s="2">
        <v>5447713.2580828844</v>
      </c>
      <c r="AG30" s="2">
        <v>5246280.9567060322</v>
      </c>
    </row>
    <row r="31" spans="1:33" x14ac:dyDescent="0.2">
      <c r="A31" s="1" t="s">
        <v>82</v>
      </c>
      <c r="B31" s="1" t="s">
        <v>89</v>
      </c>
      <c r="C31" s="1" t="s">
        <v>90</v>
      </c>
      <c r="D31" s="2">
        <v>3102.4796312550002</v>
      </c>
      <c r="E31" s="2">
        <v>24180.456118822804</v>
      </c>
      <c r="F31" s="2">
        <v>76722.980537046693</v>
      </c>
      <c r="G31" s="2">
        <v>130444.04221334048</v>
      </c>
      <c r="H31" s="2">
        <v>164568.64280325663</v>
      </c>
      <c r="I31" s="2">
        <v>225147.94887397444</v>
      </c>
      <c r="J31" s="2">
        <v>636989.82395448547</v>
      </c>
      <c r="K31" s="2">
        <v>1008815.6386902254</v>
      </c>
      <c r="L31" s="2">
        <v>1044843.1453985453</v>
      </c>
      <c r="M31" s="2">
        <v>1047418.8149082898</v>
      </c>
      <c r="N31" s="2">
        <v>1118645.1218604012</v>
      </c>
      <c r="O31" s="2">
        <v>1196843.8160553514</v>
      </c>
      <c r="P31" s="2">
        <v>1259562.4173581474</v>
      </c>
      <c r="Q31" s="2">
        <v>1404029.2482919355</v>
      </c>
      <c r="R31" s="2">
        <v>1480498.0118555522</v>
      </c>
      <c r="S31" s="2">
        <v>1590204.4478633211</v>
      </c>
      <c r="T31" s="2">
        <v>1692301.7351735684</v>
      </c>
      <c r="U31" s="2">
        <v>1697092.5778780493</v>
      </c>
      <c r="V31" s="2">
        <v>1774415.5229999998</v>
      </c>
      <c r="W31" s="2">
        <v>1781839.7908098518</v>
      </c>
      <c r="X31" s="2">
        <v>1853267.3454972846</v>
      </c>
      <c r="Y31" s="2">
        <v>1870108.3096864414</v>
      </c>
      <c r="Z31" s="2">
        <v>1853398.4744431309</v>
      </c>
      <c r="AA31" s="2">
        <v>1798879.6257060864</v>
      </c>
      <c r="AB31" s="2">
        <v>1767768.0046199777</v>
      </c>
      <c r="AC31" s="2">
        <v>1727640.9924932574</v>
      </c>
      <c r="AD31" s="2">
        <v>1750252.4169310872</v>
      </c>
      <c r="AE31" s="2">
        <v>1791203.3446179726</v>
      </c>
      <c r="AF31" s="2">
        <v>1721886.0335377194</v>
      </c>
      <c r="AG31" s="2">
        <v>1648151.7722068951</v>
      </c>
    </row>
    <row r="32" spans="1:33" x14ac:dyDescent="0.2">
      <c r="A32" s="1" t="s">
        <v>91</v>
      </c>
      <c r="B32" s="1" t="s">
        <v>92</v>
      </c>
      <c r="C32" s="1" t="s">
        <v>93</v>
      </c>
      <c r="D32" s="2">
        <v>2849.9522194085998</v>
      </c>
      <c r="E32" s="2">
        <v>4061.0772985471999</v>
      </c>
      <c r="F32" s="2">
        <v>20669.980737427402</v>
      </c>
      <c r="G32" s="2">
        <v>40869.361474742305</v>
      </c>
      <c r="H32" s="2">
        <v>46801.872281427102</v>
      </c>
      <c r="I32" s="2">
        <v>25455.3455801407</v>
      </c>
      <c r="J32" s="2">
        <v>261733.91953499519</v>
      </c>
      <c r="K32" s="2">
        <v>315272.7671296646</v>
      </c>
      <c r="L32" s="2">
        <v>315600.68252081319</v>
      </c>
      <c r="M32" s="2">
        <v>304681.05183756148</v>
      </c>
      <c r="N32" s="2">
        <v>453309.18407897069</v>
      </c>
      <c r="O32" s="2">
        <v>448567.85361660639</v>
      </c>
      <c r="P32" s="2">
        <v>448161.71545275219</v>
      </c>
      <c r="Q32" s="2">
        <v>467630.63897620398</v>
      </c>
      <c r="R32" s="2">
        <v>488629.17582973978</v>
      </c>
      <c r="S32" s="2">
        <v>515508.23875446431</v>
      </c>
      <c r="T32" s="2">
        <v>541890.42958878877</v>
      </c>
      <c r="U32" s="2">
        <v>503935.9194218833</v>
      </c>
      <c r="V32" s="2">
        <v>541367.777</v>
      </c>
      <c r="W32" s="2">
        <v>557599.31940387597</v>
      </c>
      <c r="X32" s="2">
        <v>566111.83963215642</v>
      </c>
      <c r="Y32" s="2">
        <v>599900.55787803826</v>
      </c>
      <c r="Z32" s="2">
        <v>619714.75251956889</v>
      </c>
      <c r="AA32" s="2">
        <v>596565.44538106478</v>
      </c>
      <c r="AB32" s="2">
        <v>571160.85571111506</v>
      </c>
      <c r="AC32" s="2">
        <v>612360.65232805</v>
      </c>
      <c r="AD32" s="2">
        <v>607917.77400414995</v>
      </c>
      <c r="AE32" s="2">
        <v>636156.6413723476</v>
      </c>
      <c r="AF32" s="2">
        <v>601702.47113721247</v>
      </c>
      <c r="AG32" s="2">
        <v>578944.87725627143</v>
      </c>
    </row>
    <row r="33" spans="1:33" x14ac:dyDescent="0.2">
      <c r="A33" s="1" t="s">
        <v>91</v>
      </c>
      <c r="B33" s="1" t="s">
        <v>94</v>
      </c>
      <c r="C33" s="1" t="s">
        <v>95</v>
      </c>
      <c r="D33" s="2">
        <v>336.70321579510005</v>
      </c>
      <c r="E33" s="2">
        <v>1084.9087367958</v>
      </c>
      <c r="F33" s="2">
        <v>13950.371716141899</v>
      </c>
      <c r="G33" s="2">
        <v>32666.444438548104</v>
      </c>
      <c r="H33" s="2">
        <v>44357.537195935511</v>
      </c>
      <c r="I33" s="2">
        <v>25427.8846908452</v>
      </c>
      <c r="J33" s="2">
        <v>334233.86002536741</v>
      </c>
      <c r="K33" s="2">
        <v>419329.82591960439</v>
      </c>
      <c r="L33" s="2">
        <v>418833.91770490521</v>
      </c>
      <c r="M33" s="2">
        <v>416661.78867177217</v>
      </c>
      <c r="N33" s="2">
        <v>598694.94719451026</v>
      </c>
      <c r="O33" s="2">
        <v>558366.6554304132</v>
      </c>
      <c r="P33" s="2">
        <v>581825.6712588846</v>
      </c>
      <c r="Q33" s="2">
        <v>619068.75885317044</v>
      </c>
      <c r="R33" s="2">
        <v>632854.78012176929</v>
      </c>
      <c r="S33" s="2">
        <v>698768.42617986409</v>
      </c>
      <c r="T33" s="2">
        <v>732487.99565156526</v>
      </c>
      <c r="U33" s="2">
        <v>694294.19447350572</v>
      </c>
      <c r="V33" s="2">
        <v>748691.83600000001</v>
      </c>
      <c r="W33" s="2">
        <v>764261.62955260894</v>
      </c>
      <c r="X33" s="2">
        <v>771533.0094898988</v>
      </c>
      <c r="Y33" s="2">
        <v>818952.80980352673</v>
      </c>
      <c r="Z33" s="2">
        <v>845708.95774449292</v>
      </c>
      <c r="AA33" s="2">
        <v>827100.72559901024</v>
      </c>
      <c r="AB33" s="2">
        <v>782588.87802289869</v>
      </c>
      <c r="AC33" s="2">
        <v>843380.59142809862</v>
      </c>
      <c r="AD33" s="2">
        <v>834172.87657556031</v>
      </c>
      <c r="AE33" s="2">
        <v>880632.07438124053</v>
      </c>
      <c r="AF33" s="2">
        <v>838505.71965481364</v>
      </c>
      <c r="AG33" s="2">
        <v>808984.44814952312</v>
      </c>
    </row>
    <row r="34" spans="1:33" x14ac:dyDescent="0.2">
      <c r="A34" s="1" t="s">
        <v>91</v>
      </c>
      <c r="B34" s="1" t="s">
        <v>96</v>
      </c>
      <c r="C34" s="1" t="s">
        <v>97</v>
      </c>
      <c r="D34" s="2">
        <v>1166.4361404332999</v>
      </c>
      <c r="E34" s="2">
        <v>23794.687565133601</v>
      </c>
      <c r="F34" s="2">
        <v>621243.38090019999</v>
      </c>
      <c r="G34" s="2">
        <v>1212140.3571112363</v>
      </c>
      <c r="H34" s="2">
        <v>1281696.1806079478</v>
      </c>
      <c r="I34" s="2">
        <v>631416.6542581094</v>
      </c>
      <c r="J34" s="2">
        <v>5856144.8913460663</v>
      </c>
      <c r="K34" s="2">
        <v>3472477.6001841808</v>
      </c>
      <c r="L34" s="2">
        <v>3691745.1014794791</v>
      </c>
      <c r="M34" s="2">
        <v>3690585.552967954</v>
      </c>
      <c r="N34" s="2">
        <v>5063216.115416198</v>
      </c>
      <c r="O34" s="2">
        <v>5088570.4548878977</v>
      </c>
      <c r="P34" s="2">
        <v>5451953.6423814083</v>
      </c>
      <c r="Q34" s="2">
        <v>5717634.2729125647</v>
      </c>
      <c r="R34" s="2">
        <v>6066034.5205914425</v>
      </c>
      <c r="S34" s="2">
        <v>6505330.6894521127</v>
      </c>
      <c r="T34" s="2">
        <v>6792028.9957832517</v>
      </c>
      <c r="U34" s="2">
        <v>6733274.3795449045</v>
      </c>
      <c r="V34" s="2">
        <v>7196524.0160000008</v>
      </c>
      <c r="W34" s="2">
        <v>7613491.2982806731</v>
      </c>
      <c r="X34" s="2">
        <v>7873158.9068616759</v>
      </c>
      <c r="Y34" s="2">
        <v>8364679.2371082129</v>
      </c>
      <c r="Z34" s="2">
        <v>8502052.0785528719</v>
      </c>
      <c r="AA34" s="2">
        <v>8481185.2603920121</v>
      </c>
      <c r="AB34" s="2">
        <v>8107702.2089315923</v>
      </c>
      <c r="AC34" s="2">
        <v>8774433.259631969</v>
      </c>
      <c r="AD34" s="2">
        <v>8811932.99340632</v>
      </c>
      <c r="AE34" s="2">
        <v>9386184.2803040948</v>
      </c>
      <c r="AF34" s="2">
        <v>8926046.8261670787</v>
      </c>
      <c r="AG34" s="2">
        <v>8666644.5560705606</v>
      </c>
    </row>
    <row r="35" spans="1:33" x14ac:dyDescent="0.2">
      <c r="A35" s="1" t="s">
        <v>91</v>
      </c>
      <c r="B35" s="1" t="s">
        <v>98</v>
      </c>
      <c r="C35" s="1" t="s">
        <v>99</v>
      </c>
      <c r="D35" s="2">
        <v>709.48177613989992</v>
      </c>
      <c r="E35" s="2">
        <v>4852.7674578307997</v>
      </c>
      <c r="F35" s="2">
        <v>21713.087335066899</v>
      </c>
      <c r="G35" s="2">
        <v>60171.908323593794</v>
      </c>
      <c r="H35" s="2">
        <v>115971.58017296971</v>
      </c>
      <c r="I35" s="2">
        <v>80283.124044972195</v>
      </c>
      <c r="J35" s="2">
        <v>1384307.5910587877</v>
      </c>
      <c r="K35" s="2">
        <v>1115483.1831696583</v>
      </c>
      <c r="L35" s="2">
        <v>1178784.4868194449</v>
      </c>
      <c r="M35" s="2">
        <v>1184989.1890617167</v>
      </c>
      <c r="N35" s="2">
        <v>1749235.7065646192</v>
      </c>
      <c r="O35" s="2">
        <v>1766631.6861864652</v>
      </c>
      <c r="P35" s="2">
        <v>1915011.9598040245</v>
      </c>
      <c r="Q35" s="2">
        <v>2034159.9645638736</v>
      </c>
      <c r="R35" s="2">
        <v>2220238.608588492</v>
      </c>
      <c r="S35" s="2">
        <v>2268518.7563225962</v>
      </c>
      <c r="T35" s="2">
        <v>2427526.3652294422</v>
      </c>
      <c r="U35" s="2">
        <v>2413791.5390414745</v>
      </c>
      <c r="V35" s="2">
        <v>2553904.0110000004</v>
      </c>
      <c r="W35" s="2">
        <v>2686745.7076259442</v>
      </c>
      <c r="X35" s="2">
        <v>2756313.6729712761</v>
      </c>
      <c r="Y35" s="2">
        <v>2953385.3849463542</v>
      </c>
      <c r="Z35" s="2">
        <v>3036230.6273319866</v>
      </c>
      <c r="AA35" s="2">
        <v>3033363.8580530551</v>
      </c>
      <c r="AB35" s="2">
        <v>2961643.1542664319</v>
      </c>
      <c r="AC35" s="2">
        <v>3170476.2687456603</v>
      </c>
      <c r="AD35" s="2">
        <v>3242812.1703338288</v>
      </c>
      <c r="AE35" s="2">
        <v>3449713.4312831191</v>
      </c>
      <c r="AF35" s="2">
        <v>3272307.0636511738</v>
      </c>
      <c r="AG35" s="2">
        <v>3190457.6751727099</v>
      </c>
    </row>
    <row r="36" spans="1:33" x14ac:dyDescent="0.2">
      <c r="A36" s="1" t="s">
        <v>91</v>
      </c>
      <c r="B36" s="1" t="s">
        <v>100</v>
      </c>
      <c r="C36" s="1" t="s">
        <v>101</v>
      </c>
      <c r="D36" s="2">
        <v>3030.3289421559998</v>
      </c>
      <c r="E36" s="2">
        <v>24732.987013173602</v>
      </c>
      <c r="F36" s="2">
        <v>123345.54128269869</v>
      </c>
      <c r="G36" s="2">
        <v>220618.25772048536</v>
      </c>
      <c r="H36" s="2">
        <v>228411.40551935619</v>
      </c>
      <c r="I36" s="2">
        <v>119606.19884174722</v>
      </c>
      <c r="J36" s="2">
        <v>1300677.1985319383</v>
      </c>
      <c r="K36" s="2">
        <v>1667842.8830247794</v>
      </c>
      <c r="L36" s="2">
        <v>1727672.4152873224</v>
      </c>
      <c r="M36" s="2">
        <v>1666565.8051716459</v>
      </c>
      <c r="N36" s="2">
        <v>2458010.4963093707</v>
      </c>
      <c r="O36" s="2">
        <v>2499979.6418348225</v>
      </c>
      <c r="P36" s="2">
        <v>2600471.0641989643</v>
      </c>
      <c r="Q36" s="2">
        <v>2710510.5583456433</v>
      </c>
      <c r="R36" s="2">
        <v>2821142.8719988493</v>
      </c>
      <c r="S36" s="2">
        <v>3008592.7141551236</v>
      </c>
      <c r="T36" s="2">
        <v>3199986.5995528079</v>
      </c>
      <c r="U36" s="2">
        <v>3011397.2547545126</v>
      </c>
      <c r="V36" s="2">
        <v>3285565.2629999984</v>
      </c>
      <c r="W36" s="2">
        <v>3419139.3629989512</v>
      </c>
      <c r="X36" s="2">
        <v>3532572.1263729138</v>
      </c>
      <c r="Y36" s="2">
        <v>3773387.2587845433</v>
      </c>
      <c r="Z36" s="2">
        <v>3915809.1144458745</v>
      </c>
      <c r="AA36" s="2">
        <v>3890467.1555001154</v>
      </c>
      <c r="AB36" s="2">
        <v>3833029.6031640959</v>
      </c>
      <c r="AC36" s="2">
        <v>4153136.1816613623</v>
      </c>
      <c r="AD36" s="2">
        <v>4256589.7698341366</v>
      </c>
      <c r="AE36" s="2">
        <v>4501113.2624058016</v>
      </c>
      <c r="AF36" s="2">
        <v>4244261.3493602946</v>
      </c>
      <c r="AG36" s="2">
        <v>4156844.4307991476</v>
      </c>
    </row>
    <row r="37" spans="1:33" x14ac:dyDescent="0.2">
      <c r="A37" s="1" t="s">
        <v>102</v>
      </c>
      <c r="B37" s="1" t="s">
        <v>103</v>
      </c>
      <c r="C37" s="1" t="s">
        <v>104</v>
      </c>
      <c r="D37" s="2">
        <v>19925.615306160005</v>
      </c>
      <c r="E37" s="2">
        <v>57731.83415481617</v>
      </c>
      <c r="F37" s="2">
        <v>423789.13548970746</v>
      </c>
      <c r="G37" s="2">
        <v>652882.4465009562</v>
      </c>
      <c r="H37" s="2">
        <v>862043.80775385478</v>
      </c>
      <c r="I37" s="2">
        <v>1643315.2114884548</v>
      </c>
      <c r="J37" s="2">
        <v>2985009.5485647111</v>
      </c>
      <c r="K37" s="2">
        <v>1876238.3132177731</v>
      </c>
      <c r="L37" s="2">
        <v>1905157.7294496589</v>
      </c>
      <c r="M37" s="2">
        <v>2022323.9232820827</v>
      </c>
      <c r="N37" s="2">
        <v>2479585.7363351644</v>
      </c>
      <c r="O37" s="2">
        <v>2565535.155789176</v>
      </c>
      <c r="P37" s="2">
        <v>2687439.6964860116</v>
      </c>
      <c r="Q37" s="2">
        <v>2891198.1144346776</v>
      </c>
      <c r="R37" s="2">
        <v>3154738.7731631096</v>
      </c>
      <c r="S37" s="2">
        <v>3304661.5044408804</v>
      </c>
      <c r="T37" s="2">
        <v>3528168.4351890795</v>
      </c>
      <c r="U37" s="2">
        <v>4046238.347302963</v>
      </c>
      <c r="V37" s="2">
        <v>4237244.7920000004</v>
      </c>
      <c r="W37" s="2">
        <v>4331706.4188956227</v>
      </c>
      <c r="X37" s="2">
        <v>4478856.8336225087</v>
      </c>
      <c r="Y37" s="2">
        <v>4594823.0300322613</v>
      </c>
      <c r="Z37" s="2">
        <v>4876527.4840799188</v>
      </c>
      <c r="AA37" s="2">
        <v>5000725.373976334</v>
      </c>
      <c r="AB37" s="2">
        <v>5186860.3699519839</v>
      </c>
      <c r="AC37" s="2">
        <v>5321968.5462014358</v>
      </c>
      <c r="AD37" s="2">
        <v>5338326.1188965375</v>
      </c>
      <c r="AE37" s="2">
        <v>5363113.7568946145</v>
      </c>
      <c r="AF37" s="2">
        <v>5315885.8260596786</v>
      </c>
      <c r="AG37" s="2">
        <v>5132776.036580774</v>
      </c>
    </row>
    <row r="38" spans="1:33" x14ac:dyDescent="0.2">
      <c r="A38" s="1" t="s">
        <v>102</v>
      </c>
      <c r="B38" s="1" t="s">
        <v>105</v>
      </c>
      <c r="C38" s="1" t="s">
        <v>106</v>
      </c>
      <c r="D38" s="2">
        <v>697.45666128959999</v>
      </c>
      <c r="E38" s="2">
        <v>2340.8751811378997</v>
      </c>
      <c r="F38" s="2">
        <v>26697.9877847016</v>
      </c>
      <c r="G38" s="2">
        <v>46715.826414047398</v>
      </c>
      <c r="H38" s="2">
        <v>77479.290478558702</v>
      </c>
      <c r="I38" s="2">
        <v>171538.93526197958</v>
      </c>
      <c r="J38" s="2">
        <v>492113.31266741065</v>
      </c>
      <c r="K38" s="2">
        <v>1031187.1434483998</v>
      </c>
      <c r="L38" s="2">
        <v>1116578.1664885273</v>
      </c>
      <c r="M38" s="2">
        <v>1158583.9707030633</v>
      </c>
      <c r="N38" s="2">
        <v>1438024.8876018357</v>
      </c>
      <c r="O38" s="2">
        <v>1473988.4021026157</v>
      </c>
      <c r="P38" s="2">
        <v>1499051.0531183023</v>
      </c>
      <c r="Q38" s="2">
        <v>1589028.7188507835</v>
      </c>
      <c r="R38" s="2">
        <v>1740702.852592116</v>
      </c>
      <c r="S38" s="2">
        <v>1783947.8688355281</v>
      </c>
      <c r="T38" s="2">
        <v>1907884.0988617886</v>
      </c>
      <c r="U38" s="2">
        <v>2163018.5373375872</v>
      </c>
      <c r="V38" s="2">
        <v>2191041.145</v>
      </c>
      <c r="W38" s="2">
        <v>2335028.888568351</v>
      </c>
      <c r="X38" s="2">
        <v>2409476.5578112747</v>
      </c>
      <c r="Y38" s="2">
        <v>2532154.3850899325</v>
      </c>
      <c r="Z38" s="2">
        <v>2682982.2008305173</v>
      </c>
      <c r="AA38" s="2">
        <v>2703467.928340015</v>
      </c>
      <c r="AB38" s="2">
        <v>2841268.4743835567</v>
      </c>
      <c r="AC38" s="2">
        <v>2920777.5255086892</v>
      </c>
      <c r="AD38" s="2">
        <v>3068685.7721008337</v>
      </c>
      <c r="AE38" s="2">
        <v>3088428.2183666071</v>
      </c>
      <c r="AF38" s="2">
        <v>3172945.5847078483</v>
      </c>
      <c r="AG38" s="2">
        <v>3055959.4838855183</v>
      </c>
    </row>
    <row r="39" spans="1:33" x14ac:dyDescent="0.2">
      <c r="A39" s="1" t="s">
        <v>102</v>
      </c>
      <c r="B39" s="1" t="s">
        <v>107</v>
      </c>
      <c r="C39" s="1" t="s">
        <v>108</v>
      </c>
      <c r="D39" s="2">
        <v>1370.8630928800999</v>
      </c>
      <c r="E39" s="2">
        <v>4359.8800248694997</v>
      </c>
      <c r="F39" s="2">
        <v>51094.632930673688</v>
      </c>
      <c r="G39" s="2">
        <v>56217.957012843515</v>
      </c>
      <c r="H39" s="2">
        <v>69558.566174866108</v>
      </c>
      <c r="I39" s="2">
        <v>118683.11901447269</v>
      </c>
      <c r="J39" s="2">
        <v>286878.12951978628</v>
      </c>
      <c r="K39" s="2">
        <v>668096.00009969622</v>
      </c>
      <c r="L39" s="2">
        <v>718034.21855914465</v>
      </c>
      <c r="M39" s="2">
        <v>746659.22689206293</v>
      </c>
      <c r="N39" s="2">
        <v>942761.74985902035</v>
      </c>
      <c r="O39" s="2">
        <v>967415.13515361841</v>
      </c>
      <c r="P39" s="2">
        <v>979130.56577551505</v>
      </c>
      <c r="Q39" s="2">
        <v>1018192.70646985</v>
      </c>
      <c r="R39" s="2">
        <v>1119901.0245097466</v>
      </c>
      <c r="S39" s="2">
        <v>1112880.0034547958</v>
      </c>
      <c r="T39" s="2">
        <v>1189959.270532019</v>
      </c>
      <c r="U39" s="2">
        <v>1332535.0225220781</v>
      </c>
      <c r="V39" s="2">
        <v>1371587.125</v>
      </c>
      <c r="W39" s="2">
        <v>1442751.3088823857</v>
      </c>
      <c r="X39" s="2">
        <v>1477715.4397409945</v>
      </c>
      <c r="Y39" s="2">
        <v>1550417.3146843999</v>
      </c>
      <c r="Z39" s="2">
        <v>1689139.5522167119</v>
      </c>
      <c r="AA39" s="2">
        <v>1681890.2051281487</v>
      </c>
      <c r="AB39" s="2">
        <v>1733839.7120536799</v>
      </c>
      <c r="AC39" s="2">
        <v>1795101.3064415264</v>
      </c>
      <c r="AD39" s="2">
        <v>1893357.6185957976</v>
      </c>
      <c r="AE39" s="2">
        <v>1927471.7757570331</v>
      </c>
      <c r="AF39" s="2">
        <v>1951121.8790585794</v>
      </c>
      <c r="AG39" s="2">
        <v>1809608.0890090449</v>
      </c>
    </row>
    <row r="40" spans="1:33" x14ac:dyDescent="0.2">
      <c r="A40" s="1" t="s">
        <v>102</v>
      </c>
      <c r="B40" s="1" t="s">
        <v>109</v>
      </c>
      <c r="C40" s="1" t="s">
        <v>110</v>
      </c>
      <c r="D40" s="2">
        <v>5134.7240408753996</v>
      </c>
      <c r="E40" s="2">
        <v>17132.280231954399</v>
      </c>
      <c r="F40" s="2">
        <v>55647.378882945704</v>
      </c>
      <c r="G40" s="2">
        <v>89181.440147701913</v>
      </c>
      <c r="H40" s="2">
        <v>114276.26151567482</v>
      </c>
      <c r="I40" s="2">
        <v>228378.84570194033</v>
      </c>
      <c r="J40" s="2">
        <v>488001.51250118943</v>
      </c>
      <c r="K40" s="2">
        <v>941610.5322182586</v>
      </c>
      <c r="L40" s="2">
        <v>1008502.6988646832</v>
      </c>
      <c r="M40" s="2">
        <v>1058730.5693248296</v>
      </c>
      <c r="N40" s="2">
        <v>1344581.0923116824</v>
      </c>
      <c r="O40" s="2">
        <v>1378507.7973053758</v>
      </c>
      <c r="P40" s="2">
        <v>1397615.5719438677</v>
      </c>
      <c r="Q40" s="2">
        <v>1496885.1618989515</v>
      </c>
      <c r="R40" s="2">
        <v>1644414.7100367928</v>
      </c>
      <c r="S40" s="2">
        <v>1733556.2395774524</v>
      </c>
      <c r="T40" s="2">
        <v>1860897.9864263595</v>
      </c>
      <c r="U40" s="2">
        <v>2083078.288630446</v>
      </c>
      <c r="V40" s="2">
        <v>2146236.835</v>
      </c>
      <c r="W40" s="2">
        <v>2211415.3627116745</v>
      </c>
      <c r="X40" s="2">
        <v>2311947.5057519921</v>
      </c>
      <c r="Y40" s="2">
        <v>2358803.1577362008</v>
      </c>
      <c r="Z40" s="2">
        <v>2520188.9284089487</v>
      </c>
      <c r="AA40" s="2">
        <v>2524840.5418030885</v>
      </c>
      <c r="AB40" s="2">
        <v>2614622.7186073312</v>
      </c>
      <c r="AC40" s="2">
        <v>2593574.4424068737</v>
      </c>
      <c r="AD40" s="2">
        <v>2742515.5139353666</v>
      </c>
      <c r="AE40" s="2">
        <v>2776132.9355586856</v>
      </c>
      <c r="AF40" s="2">
        <v>2815368.906299029</v>
      </c>
      <c r="AG40" s="2">
        <v>2767965.0794056896</v>
      </c>
    </row>
    <row r="41" spans="1:33" x14ac:dyDescent="0.2">
      <c r="A41" s="1" t="s">
        <v>102</v>
      </c>
      <c r="B41" s="1" t="s">
        <v>111</v>
      </c>
      <c r="C41" s="1" t="s">
        <v>112</v>
      </c>
      <c r="D41" s="2">
        <v>661.38131674069996</v>
      </c>
      <c r="E41" s="2">
        <v>2940.7244463048996</v>
      </c>
      <c r="F41" s="2">
        <v>19796.641174564898</v>
      </c>
      <c r="G41" s="2">
        <v>22072.594535189306</v>
      </c>
      <c r="H41" s="2">
        <v>21731.088953946997</v>
      </c>
      <c r="I41" s="2">
        <v>39692.419967986003</v>
      </c>
      <c r="J41" s="2">
        <v>111457.93166240599</v>
      </c>
      <c r="K41" s="2">
        <v>231200.82389681935</v>
      </c>
      <c r="L41" s="2">
        <v>225675.1211047121</v>
      </c>
      <c r="M41" s="2">
        <v>241670.63741476487</v>
      </c>
      <c r="N41" s="2">
        <v>310690.45009554864</v>
      </c>
      <c r="O41" s="2">
        <v>321608.3050531809</v>
      </c>
      <c r="P41" s="2">
        <v>322782.53562547348</v>
      </c>
      <c r="Q41" s="2">
        <v>351665.66333569866</v>
      </c>
      <c r="R41" s="2">
        <v>383107.75869564532</v>
      </c>
      <c r="S41" s="2">
        <v>408428.35889366607</v>
      </c>
      <c r="T41" s="2">
        <v>443028.55022218131</v>
      </c>
      <c r="U41" s="2">
        <v>510926.80148294172</v>
      </c>
      <c r="V41" s="2">
        <v>511556.92599999998</v>
      </c>
      <c r="W41" s="2">
        <v>538723.63280088129</v>
      </c>
      <c r="X41" s="2">
        <v>566848.69796184031</v>
      </c>
      <c r="Y41" s="2">
        <v>597259.69051488454</v>
      </c>
      <c r="Z41" s="2">
        <v>652411.10683742247</v>
      </c>
      <c r="AA41" s="2">
        <v>630955.18829991098</v>
      </c>
      <c r="AB41" s="2">
        <v>665416.43081526854</v>
      </c>
      <c r="AC41" s="2">
        <v>705493.99584436475</v>
      </c>
      <c r="AD41" s="2">
        <v>711569.66822547512</v>
      </c>
      <c r="AE41" s="2">
        <v>715982.51044584706</v>
      </c>
      <c r="AF41" s="2">
        <v>727134.55051624146</v>
      </c>
      <c r="AG41" s="2">
        <v>699003.28482145292</v>
      </c>
    </row>
    <row r="42" spans="1:33" x14ac:dyDescent="0.2">
      <c r="A42" s="1" t="s">
        <v>113</v>
      </c>
      <c r="B42" s="1" t="s">
        <v>114</v>
      </c>
      <c r="C42" s="1" t="s">
        <v>115</v>
      </c>
      <c r="D42" s="2">
        <v>613.280857341</v>
      </c>
      <c r="E42" s="2">
        <v>3149.5002566641001</v>
      </c>
      <c r="F42" s="2">
        <v>31770.133656079099</v>
      </c>
      <c r="G42" s="2">
        <v>48180.621221966503</v>
      </c>
      <c r="H42" s="2">
        <v>73063.129459697404</v>
      </c>
      <c r="I42" s="2">
        <v>106278.22581015131</v>
      </c>
      <c r="J42" s="2">
        <v>322512.29061448714</v>
      </c>
      <c r="K42" s="2">
        <v>449744.96420869109</v>
      </c>
      <c r="L42" s="2">
        <v>470926.85746235336</v>
      </c>
      <c r="M42" s="2">
        <v>504389.94047904108</v>
      </c>
      <c r="N42" s="2">
        <v>653013.60148541769</v>
      </c>
      <c r="O42" s="2">
        <v>633923.60948683368</v>
      </c>
      <c r="P42" s="2">
        <v>639750.05357551994</v>
      </c>
      <c r="Q42" s="2">
        <v>680644.05035277328</v>
      </c>
      <c r="R42" s="2">
        <v>730247.7164293708</v>
      </c>
      <c r="S42" s="2">
        <v>780311.75291083963</v>
      </c>
      <c r="T42" s="2">
        <v>845989.0824248764</v>
      </c>
      <c r="U42" s="2">
        <v>837306.4100930834</v>
      </c>
      <c r="V42" s="2">
        <v>873694.049</v>
      </c>
      <c r="W42" s="2">
        <v>911588.0642219414</v>
      </c>
      <c r="X42" s="2">
        <v>950751.90825405682</v>
      </c>
      <c r="Y42" s="2">
        <v>999238.46528989146</v>
      </c>
      <c r="Z42" s="2">
        <v>1010552.1899087119</v>
      </c>
      <c r="AA42" s="2">
        <v>1033373.0418944623</v>
      </c>
      <c r="AB42" s="2">
        <v>1037149.6305021557</v>
      </c>
      <c r="AC42" s="2">
        <v>1073849.1921980123</v>
      </c>
      <c r="AD42" s="2">
        <v>1068549.1343394076</v>
      </c>
      <c r="AE42" s="2">
        <v>1069289.7437817608</v>
      </c>
      <c r="AF42" s="2">
        <v>1055863.8032056158</v>
      </c>
      <c r="AG42" s="2">
        <v>1029020.2291557397</v>
      </c>
    </row>
    <row r="43" spans="1:33" x14ac:dyDescent="0.2">
      <c r="A43" s="1" t="s">
        <v>113</v>
      </c>
      <c r="B43" s="1" t="s">
        <v>116</v>
      </c>
      <c r="C43" s="1" t="s">
        <v>117</v>
      </c>
      <c r="D43" s="2">
        <v>4677.7696765822002</v>
      </c>
      <c r="E43" s="2">
        <v>19951.717905007896</v>
      </c>
      <c r="F43" s="2">
        <v>134438.94773806192</v>
      </c>
      <c r="G43" s="2">
        <v>200837.8002638857</v>
      </c>
      <c r="H43" s="2">
        <v>307449.0723634825</v>
      </c>
      <c r="I43" s="2">
        <v>453867.11515601992</v>
      </c>
      <c r="J43" s="2">
        <v>1210990.7423973547</v>
      </c>
      <c r="K43" s="2">
        <v>1863557.7895808672</v>
      </c>
      <c r="L43" s="2">
        <v>1952613.864810253</v>
      </c>
      <c r="M43" s="2">
        <v>2074610.8028615401</v>
      </c>
      <c r="N43" s="2">
        <v>2613157.2064712634</v>
      </c>
      <c r="O43" s="2">
        <v>2503009.4203374279</v>
      </c>
      <c r="P43" s="2">
        <v>2560410.6279024449</v>
      </c>
      <c r="Q43" s="2">
        <v>2727935.4664259795</v>
      </c>
      <c r="R43" s="2">
        <v>2908508.8344047056</v>
      </c>
      <c r="S43" s="2">
        <v>3149580.5059531108</v>
      </c>
      <c r="T43" s="2">
        <v>3416191.9432171816</v>
      </c>
      <c r="U43" s="2">
        <v>3391930.4772561337</v>
      </c>
      <c r="V43" s="2">
        <v>3474936.1130000013</v>
      </c>
      <c r="W43" s="2">
        <v>3596726.6774753127</v>
      </c>
      <c r="X43" s="2">
        <v>3736709.2565337815</v>
      </c>
      <c r="Y43" s="2">
        <v>3956651.2733851178</v>
      </c>
      <c r="Z43" s="2">
        <v>4035663.577443846</v>
      </c>
      <c r="AA43" s="2">
        <v>4134435.6302654175</v>
      </c>
      <c r="AB43" s="2">
        <v>4120507.0123685696</v>
      </c>
      <c r="AC43" s="2">
        <v>4198130.5295135481</v>
      </c>
      <c r="AD43" s="2">
        <v>4142829.180708582</v>
      </c>
      <c r="AE43" s="2">
        <v>4113329.178232152</v>
      </c>
      <c r="AF43" s="2">
        <v>4047772.2001825124</v>
      </c>
      <c r="AG43" s="2">
        <v>3979977.0650004256</v>
      </c>
    </row>
    <row r="44" spans="1:33" x14ac:dyDescent="0.2">
      <c r="A44" s="1" t="s">
        <v>113</v>
      </c>
      <c r="B44" s="1" t="s">
        <v>118</v>
      </c>
      <c r="C44" s="1" t="s">
        <v>119</v>
      </c>
      <c r="D44" s="2">
        <v>4004.3632449919996</v>
      </c>
      <c r="E44" s="2">
        <v>17358.873507660901</v>
      </c>
      <c r="F44" s="2">
        <v>70826.12433482302</v>
      </c>
      <c r="G44" s="2">
        <v>99756.916806676818</v>
      </c>
      <c r="H44" s="2">
        <v>154003.95016406174</v>
      </c>
      <c r="I44" s="2">
        <v>187977.59241443899</v>
      </c>
      <c r="J44" s="2">
        <v>441643.30203000124</v>
      </c>
      <c r="K44" s="2">
        <v>871637.59571387072</v>
      </c>
      <c r="L44" s="2">
        <v>883096.77975366928</v>
      </c>
      <c r="M44" s="2">
        <v>940777.94370313</v>
      </c>
      <c r="N44" s="2">
        <v>1182628.4573793991</v>
      </c>
      <c r="O44" s="2">
        <v>1114371.9275096403</v>
      </c>
      <c r="P44" s="2">
        <v>1122790.5556115361</v>
      </c>
      <c r="Q44" s="2">
        <v>1195345.2253997263</v>
      </c>
      <c r="R44" s="2">
        <v>1256665.3039052654</v>
      </c>
      <c r="S44" s="2">
        <v>1358355.5369905499</v>
      </c>
      <c r="T44" s="2">
        <v>1472783.3054741055</v>
      </c>
      <c r="U44" s="2">
        <v>1473396.1028455708</v>
      </c>
      <c r="V44" s="2">
        <v>1527670.7619999994</v>
      </c>
      <c r="W44" s="2">
        <v>1546185.6193779155</v>
      </c>
      <c r="X44" s="2">
        <v>1595246.3322504291</v>
      </c>
      <c r="Y44" s="2">
        <v>1684906.024453873</v>
      </c>
      <c r="Z44" s="2">
        <v>1715972.1668613832</v>
      </c>
      <c r="AA44" s="2">
        <v>1760046.9431041044</v>
      </c>
      <c r="AB44" s="2">
        <v>1749999.2629475626</v>
      </c>
      <c r="AC44" s="2">
        <v>1799018.8069848379</v>
      </c>
      <c r="AD44" s="2">
        <v>1748489.1635214798</v>
      </c>
      <c r="AE44" s="2">
        <v>1727456.4840421102</v>
      </c>
      <c r="AF44" s="2">
        <v>1691385.2833002282</v>
      </c>
      <c r="AG44" s="2">
        <v>1654827.948415084</v>
      </c>
    </row>
    <row r="45" spans="1:33" x14ac:dyDescent="0.2">
      <c r="A45" s="1" t="s">
        <v>113</v>
      </c>
      <c r="B45" s="1" t="s">
        <v>120</v>
      </c>
      <c r="C45" s="1" t="s">
        <v>121</v>
      </c>
      <c r="D45" s="2">
        <v>565.18039794180004</v>
      </c>
      <c r="E45" s="2">
        <v>5756.9934924139006</v>
      </c>
      <c r="F45" s="2">
        <v>46318.116218535695</v>
      </c>
      <c r="G45" s="2">
        <v>71845.800489853311</v>
      </c>
      <c r="H45" s="2">
        <v>113187.8014618898</v>
      </c>
      <c r="I45" s="2">
        <v>150404.96079377481</v>
      </c>
      <c r="J45" s="2">
        <v>374870.34648845298</v>
      </c>
      <c r="K45" s="2">
        <v>496974.49114434677</v>
      </c>
      <c r="L45" s="2">
        <v>504289.7260996963</v>
      </c>
      <c r="M45" s="2">
        <v>526750.62780069024</v>
      </c>
      <c r="N45" s="2">
        <v>664461.23782873503</v>
      </c>
      <c r="O45" s="2">
        <v>620441.32809971005</v>
      </c>
      <c r="P45" s="2">
        <v>621934.96902974462</v>
      </c>
      <c r="Q45" s="2">
        <v>658484.22949356772</v>
      </c>
      <c r="R45" s="2">
        <v>691989.02107456606</v>
      </c>
      <c r="S45" s="2">
        <v>753448.52746197116</v>
      </c>
      <c r="T45" s="2">
        <v>817758.15867202182</v>
      </c>
      <c r="U45" s="2">
        <v>828698.04048066051</v>
      </c>
      <c r="V45" s="2">
        <v>842491.79000000015</v>
      </c>
      <c r="W45" s="2">
        <v>856983.00908928888</v>
      </c>
      <c r="X45" s="2">
        <v>879144.56360836793</v>
      </c>
      <c r="Y45" s="2">
        <v>924944.57172719692</v>
      </c>
      <c r="Z45" s="2">
        <v>934360.25162255729</v>
      </c>
      <c r="AA45" s="2">
        <v>964161.77587378793</v>
      </c>
      <c r="AB45" s="2">
        <v>959045.68346877303</v>
      </c>
      <c r="AC45" s="2">
        <v>972092.08498958824</v>
      </c>
      <c r="AD45" s="2">
        <v>949738.88259311637</v>
      </c>
      <c r="AE45" s="2">
        <v>938441.10213734396</v>
      </c>
      <c r="AF45" s="2">
        <v>916063.68467789376</v>
      </c>
      <c r="AG45" s="2">
        <v>883610.40539330442</v>
      </c>
    </row>
    <row r="46" spans="1:33" x14ac:dyDescent="0.2">
      <c r="A46" s="1" t="s">
        <v>113</v>
      </c>
      <c r="B46" s="1" t="s">
        <v>122</v>
      </c>
      <c r="C46" s="1" t="s">
        <v>123</v>
      </c>
      <c r="D46" s="2">
        <v>8297.3292463793005</v>
      </c>
      <c r="E46" s="2">
        <v>41324.373135115398</v>
      </c>
      <c r="F46" s="2">
        <v>343100.34514676384</v>
      </c>
      <c r="G46" s="2">
        <v>463399.98724039312</v>
      </c>
      <c r="H46" s="2">
        <v>660533.04310378316</v>
      </c>
      <c r="I46" s="2">
        <v>920703.20896994055</v>
      </c>
      <c r="J46" s="2">
        <v>2360077.3447813727</v>
      </c>
      <c r="K46" s="2">
        <v>2910620.0236286572</v>
      </c>
      <c r="L46" s="2">
        <v>2982905.4809283121</v>
      </c>
      <c r="M46" s="2">
        <v>3153061.3290836522</v>
      </c>
      <c r="N46" s="2">
        <v>3956262.7681299504</v>
      </c>
      <c r="O46" s="2">
        <v>3807277.9450387992</v>
      </c>
      <c r="P46" s="2">
        <v>3881958.4776463504</v>
      </c>
      <c r="Q46" s="2">
        <v>4084730.0799866575</v>
      </c>
      <c r="R46" s="2">
        <v>4301238.5377534926</v>
      </c>
      <c r="S46" s="2">
        <v>4684627.4267819244</v>
      </c>
      <c r="T46" s="2">
        <v>5002956.8634701418</v>
      </c>
      <c r="U46" s="2">
        <v>5002146.1501301806</v>
      </c>
      <c r="V46" s="2">
        <v>5137237.1620000005</v>
      </c>
      <c r="W46" s="2">
        <v>5335230.6530401027</v>
      </c>
      <c r="X46" s="2">
        <v>5511679.120209856</v>
      </c>
      <c r="Y46" s="2">
        <v>5854467.991004101</v>
      </c>
      <c r="Z46" s="2">
        <v>6004692.298479734</v>
      </c>
      <c r="AA46" s="2">
        <v>6167062.1540147625</v>
      </c>
      <c r="AB46" s="2">
        <v>6097785.1648280444</v>
      </c>
      <c r="AC46" s="2">
        <v>6351723.5222716043</v>
      </c>
      <c r="AD46" s="2">
        <v>6352745.5402955292</v>
      </c>
      <c r="AE46" s="2">
        <v>6310924.5884133289</v>
      </c>
      <c r="AF46" s="2">
        <v>6111378.7226002458</v>
      </c>
      <c r="AG46" s="2">
        <v>5872935.2966454802</v>
      </c>
    </row>
    <row r="47" spans="1:33" x14ac:dyDescent="0.2">
      <c r="A47" s="1" t="s">
        <v>113</v>
      </c>
      <c r="B47" s="1" t="s">
        <v>124</v>
      </c>
      <c r="C47" s="1" t="s">
        <v>125</v>
      </c>
      <c r="D47" s="2">
        <v>2260.7215917670001</v>
      </c>
      <c r="E47" s="2">
        <v>17842.285174962002</v>
      </c>
      <c r="F47" s="2">
        <v>80118.556042576398</v>
      </c>
      <c r="G47" s="2">
        <v>105875.5197982625</v>
      </c>
      <c r="H47" s="2">
        <v>144014.64952952889</v>
      </c>
      <c r="I47" s="2">
        <v>190751.91524576489</v>
      </c>
      <c r="J47" s="2">
        <v>423085.70955609321</v>
      </c>
      <c r="K47" s="2">
        <v>556436.34874008258</v>
      </c>
      <c r="L47" s="2">
        <v>563328.8426483419</v>
      </c>
      <c r="M47" s="2">
        <v>599379.05801081192</v>
      </c>
      <c r="N47" s="2">
        <v>742526.35730460472</v>
      </c>
      <c r="O47" s="2">
        <v>702400.00181077444</v>
      </c>
      <c r="P47" s="2">
        <v>706810.2227075902</v>
      </c>
      <c r="Q47" s="2">
        <v>766894.55487343483</v>
      </c>
      <c r="R47" s="2">
        <v>812307.03363013535</v>
      </c>
      <c r="S47" s="2">
        <v>862238.33957770269</v>
      </c>
      <c r="T47" s="2">
        <v>939560.75908295519</v>
      </c>
      <c r="U47" s="2">
        <v>935155.89355008851</v>
      </c>
      <c r="V47" s="2">
        <v>967269.7069999997</v>
      </c>
      <c r="W47" s="2">
        <v>990366.07015061739</v>
      </c>
      <c r="X47" s="2">
        <v>1024178.4925206098</v>
      </c>
      <c r="Y47" s="2">
        <v>1074664.2578010119</v>
      </c>
      <c r="Z47" s="2">
        <v>1087411.4013492083</v>
      </c>
      <c r="AA47" s="2">
        <v>1111019.4223161403</v>
      </c>
      <c r="AB47" s="2">
        <v>1110048.9215774112</v>
      </c>
      <c r="AC47" s="2">
        <v>1144556.9562217821</v>
      </c>
      <c r="AD47" s="2">
        <v>1130073.2680048689</v>
      </c>
      <c r="AE47" s="2">
        <v>1119560.7354752335</v>
      </c>
      <c r="AF47" s="2">
        <v>1093119.2785726935</v>
      </c>
      <c r="AG47" s="2">
        <v>1060051.658827727</v>
      </c>
    </row>
    <row r="48" spans="1:33" x14ac:dyDescent="0.2">
      <c r="A48" s="1" t="s">
        <v>113</v>
      </c>
      <c r="B48" s="1" t="s">
        <v>126</v>
      </c>
      <c r="C48" s="1" t="s">
        <v>127</v>
      </c>
      <c r="D48" s="2">
        <v>35979.143630676204</v>
      </c>
      <c r="E48" s="2">
        <v>297664.39635077491</v>
      </c>
      <c r="F48" s="2">
        <v>2140724.9646241991</v>
      </c>
      <c r="G48" s="2">
        <v>3020267.4888800355</v>
      </c>
      <c r="H48" s="2">
        <v>4188800.3502924107</v>
      </c>
      <c r="I48" s="2">
        <v>5711079.7134782244</v>
      </c>
      <c r="J48" s="2">
        <v>12144690.613770746</v>
      </c>
      <c r="K48" s="2">
        <v>7922700.0993406298</v>
      </c>
      <c r="L48" s="2">
        <v>8762776.9745494649</v>
      </c>
      <c r="M48" s="2">
        <v>9330464.0232006758</v>
      </c>
      <c r="N48" s="2">
        <v>11754981.105512941</v>
      </c>
      <c r="O48" s="2">
        <v>11325635.932429129</v>
      </c>
      <c r="P48" s="2">
        <v>11638641.961363111</v>
      </c>
      <c r="Q48" s="2">
        <v>12529703.420046452</v>
      </c>
      <c r="R48" s="2">
        <v>13061578.100631252</v>
      </c>
      <c r="S48" s="2">
        <v>13958905.663245322</v>
      </c>
      <c r="T48" s="2">
        <v>15079971.197364308</v>
      </c>
      <c r="U48" s="2">
        <v>15161739.153583139</v>
      </c>
      <c r="V48" s="2">
        <v>15428398.68</v>
      </c>
      <c r="W48" s="2">
        <v>15959557.857876576</v>
      </c>
      <c r="X48" s="2">
        <v>16564327.897674186</v>
      </c>
      <c r="Y48" s="2">
        <v>17632836.542047709</v>
      </c>
      <c r="Z48" s="2">
        <v>18050913.209054448</v>
      </c>
      <c r="AA48" s="2">
        <v>18294593.758088414</v>
      </c>
      <c r="AB48" s="2">
        <v>17815276.260077853</v>
      </c>
      <c r="AC48" s="2">
        <v>18357700.654791821</v>
      </c>
      <c r="AD48" s="2">
        <v>18201585.337759137</v>
      </c>
      <c r="AE48" s="2">
        <v>17956352.558325533</v>
      </c>
      <c r="AF48" s="2">
        <v>17476878.697930701</v>
      </c>
      <c r="AG48" s="2">
        <v>16612446.191326991</v>
      </c>
    </row>
    <row r="49" spans="1:33" x14ac:dyDescent="0.2">
      <c r="A49" s="1" t="s">
        <v>113</v>
      </c>
      <c r="B49" s="1" t="s">
        <v>128</v>
      </c>
      <c r="C49" s="1" t="s">
        <v>129</v>
      </c>
      <c r="D49" s="2">
        <v>2982.2284827569001</v>
      </c>
      <c r="E49" s="2">
        <v>22324.829726308002</v>
      </c>
      <c r="F49" s="2">
        <v>228139.01197705514</v>
      </c>
      <c r="G49" s="2">
        <v>316629.71490595693</v>
      </c>
      <c r="H49" s="2">
        <v>451870.80026211549</v>
      </c>
      <c r="I49" s="2">
        <v>639062.1646447219</v>
      </c>
      <c r="J49" s="2">
        <v>1583524.3540010788</v>
      </c>
      <c r="K49" s="2">
        <v>2176022.1985897808</v>
      </c>
      <c r="L49" s="2">
        <v>2312338.684984867</v>
      </c>
      <c r="M49" s="2">
        <v>2401606.6525505004</v>
      </c>
      <c r="N49" s="2">
        <v>2958156.7273248057</v>
      </c>
      <c r="O49" s="2">
        <v>2796434.8085555024</v>
      </c>
      <c r="P49" s="2">
        <v>2804858.5031891218</v>
      </c>
      <c r="Q49" s="2">
        <v>2993950.3501636311</v>
      </c>
      <c r="R49" s="2">
        <v>3156133.4461662965</v>
      </c>
      <c r="S49" s="2">
        <v>3409999.0192638431</v>
      </c>
      <c r="T49" s="2">
        <v>3654846.1180635169</v>
      </c>
      <c r="U49" s="2">
        <v>3683404.468231699</v>
      </c>
      <c r="V49" s="2">
        <v>3826484.3789999997</v>
      </c>
      <c r="W49" s="2">
        <v>3882495.6785851866</v>
      </c>
      <c r="X49" s="2">
        <v>3952571.4061498903</v>
      </c>
      <c r="Y49" s="2">
        <v>4168776.6653778027</v>
      </c>
      <c r="Z49" s="2">
        <v>4240877.694105627</v>
      </c>
      <c r="AA49" s="2">
        <v>4293740.6999964612</v>
      </c>
      <c r="AB49" s="2">
        <v>4225208.8262534486</v>
      </c>
      <c r="AC49" s="2">
        <v>4371770.8956760298</v>
      </c>
      <c r="AD49" s="2">
        <v>4313295.5544281136</v>
      </c>
      <c r="AE49" s="2">
        <v>4286788.2880400848</v>
      </c>
      <c r="AF49" s="2">
        <v>4217254.0585257625</v>
      </c>
      <c r="AG49" s="2">
        <v>4094321.3761663064</v>
      </c>
    </row>
    <row r="50" spans="1:33" x14ac:dyDescent="0.2">
      <c r="A50" s="1" t="s">
        <v>113</v>
      </c>
      <c r="B50" s="1" t="s">
        <v>130</v>
      </c>
      <c r="C50" s="1" t="s">
        <v>131</v>
      </c>
      <c r="D50" s="2">
        <v>3787.9111776952</v>
      </c>
      <c r="E50" s="2">
        <v>29663.897766255403</v>
      </c>
      <c r="F50" s="2">
        <v>95190.090130883298</v>
      </c>
      <c r="G50" s="2">
        <v>148314.83060403683</v>
      </c>
      <c r="H50" s="2">
        <v>240184.8664646869</v>
      </c>
      <c r="I50" s="2">
        <v>324058.68070665892</v>
      </c>
      <c r="J50" s="2">
        <v>767843.42132078612</v>
      </c>
      <c r="K50" s="2">
        <v>1153565.2821687071</v>
      </c>
      <c r="L50" s="2">
        <v>1241796.7171648096</v>
      </c>
      <c r="M50" s="2">
        <v>1320517.4817890332</v>
      </c>
      <c r="N50" s="2">
        <v>1646589.0544477028</v>
      </c>
      <c r="O50" s="2">
        <v>1555603.4628497905</v>
      </c>
      <c r="P50" s="2">
        <v>1587955.413554732</v>
      </c>
      <c r="Q50" s="2">
        <v>1716120.6256701173</v>
      </c>
      <c r="R50" s="2">
        <v>1796144.903478218</v>
      </c>
      <c r="S50" s="2">
        <v>1930691.9018210138</v>
      </c>
      <c r="T50" s="2">
        <v>2074411.2890837318</v>
      </c>
      <c r="U50" s="2">
        <v>2090727.4998541484</v>
      </c>
      <c r="V50" s="2">
        <v>2170257.6079999995</v>
      </c>
      <c r="W50" s="2">
        <v>2279183.3132512365</v>
      </c>
      <c r="X50" s="2">
        <v>2351115.8947241856</v>
      </c>
      <c r="Y50" s="2">
        <v>2483442.9282434266</v>
      </c>
      <c r="Z50" s="2">
        <v>2536150.1394989057</v>
      </c>
      <c r="AA50" s="2">
        <v>2578403.8875142075</v>
      </c>
      <c r="AB50" s="2">
        <v>2565413.0568724587</v>
      </c>
      <c r="AC50" s="2">
        <v>2686978.2537832549</v>
      </c>
      <c r="AD50" s="2">
        <v>2661407.6139052184</v>
      </c>
      <c r="AE50" s="2">
        <v>2634365.4913796</v>
      </c>
      <c r="AF50" s="2">
        <v>2544407.8571417467</v>
      </c>
      <c r="AG50" s="2">
        <v>2466741.0108039505</v>
      </c>
    </row>
    <row r="51" spans="1:33" x14ac:dyDescent="0.2">
      <c r="A51" s="1" t="s">
        <v>113</v>
      </c>
      <c r="B51" s="1" t="s">
        <v>132</v>
      </c>
      <c r="C51" s="1" t="s">
        <v>133</v>
      </c>
      <c r="D51" s="2">
        <v>20238.268292255107</v>
      </c>
      <c r="E51" s="2">
        <v>132088.57588065538</v>
      </c>
      <c r="F51" s="2">
        <v>551083.35282988288</v>
      </c>
      <c r="G51" s="2">
        <v>644783.10387253261</v>
      </c>
      <c r="H51" s="2">
        <v>790042.6070629165</v>
      </c>
      <c r="I51" s="2">
        <v>1057898.6325009603</v>
      </c>
      <c r="J51" s="2">
        <v>2455791.9541962282</v>
      </c>
      <c r="K51" s="2">
        <v>3361220.8457026714</v>
      </c>
      <c r="L51" s="2">
        <v>3428885.2471591029</v>
      </c>
      <c r="M51" s="2">
        <v>3616438.5984695712</v>
      </c>
      <c r="N51" s="2">
        <v>4458695.9492189102</v>
      </c>
      <c r="O51" s="2">
        <v>4221711.2158889137</v>
      </c>
      <c r="P51" s="2">
        <v>4299181.8907154687</v>
      </c>
      <c r="Q51" s="2">
        <v>4566813.84635993</v>
      </c>
      <c r="R51" s="2">
        <v>4829044.1971166125</v>
      </c>
      <c r="S51" s="2">
        <v>5004275.9792169752</v>
      </c>
      <c r="T51" s="2">
        <v>5466046.8110018931</v>
      </c>
      <c r="U51" s="2">
        <v>5465367.2335358504</v>
      </c>
      <c r="V51" s="2">
        <v>5621109.0360000012</v>
      </c>
      <c r="W51" s="2">
        <v>5808314.0697492128</v>
      </c>
      <c r="X51" s="2">
        <v>5983944.165604908</v>
      </c>
      <c r="Y51" s="2">
        <v>6289166.192346829</v>
      </c>
      <c r="Z51" s="2">
        <v>6353732.5686141085</v>
      </c>
      <c r="AA51" s="2">
        <v>6562732.4101331262</v>
      </c>
      <c r="AB51" s="2">
        <v>6526724.0871012518</v>
      </c>
      <c r="AC51" s="2">
        <v>6784735.8351369537</v>
      </c>
      <c r="AD51" s="2">
        <v>6751779.5664750524</v>
      </c>
      <c r="AE51" s="2">
        <v>6771569.6120963451</v>
      </c>
      <c r="AF51" s="2">
        <v>6623788.4769404251</v>
      </c>
      <c r="AG51" s="2">
        <v>6404901.0758465417</v>
      </c>
    </row>
    <row r="52" spans="1:33" x14ac:dyDescent="0.2">
      <c r="A52" s="1" t="s">
        <v>113</v>
      </c>
      <c r="B52" s="1" t="s">
        <v>134</v>
      </c>
      <c r="C52" s="1" t="s">
        <v>135</v>
      </c>
      <c r="D52" s="2">
        <v>11267.532614286101</v>
      </c>
      <c r="E52" s="2">
        <v>52252.4065838194</v>
      </c>
      <c r="F52" s="2">
        <v>191604.97765449106</v>
      </c>
      <c r="G52" s="2">
        <v>234193.35727539079</v>
      </c>
      <c r="H52" s="2">
        <v>285016.53339255753</v>
      </c>
      <c r="I52" s="2">
        <v>343999.42627019499</v>
      </c>
      <c r="J52" s="2">
        <v>722721.19393748266</v>
      </c>
      <c r="K52" s="2">
        <v>721962.59750069247</v>
      </c>
      <c r="L52" s="2">
        <v>774107.04446637526</v>
      </c>
      <c r="M52" s="2">
        <v>800151.7480080789</v>
      </c>
      <c r="N52" s="2">
        <v>994650.84395966318</v>
      </c>
      <c r="O52" s="2">
        <v>949034.36589872313</v>
      </c>
      <c r="P52" s="2">
        <v>958952.90941491222</v>
      </c>
      <c r="Q52" s="2">
        <v>1013311.1345227684</v>
      </c>
      <c r="R52" s="2">
        <v>1081039.385917278</v>
      </c>
      <c r="S52" s="2">
        <v>1139393.3978326411</v>
      </c>
      <c r="T52" s="2">
        <v>1234039.9473237426</v>
      </c>
      <c r="U52" s="2">
        <v>1239071.7694377534</v>
      </c>
      <c r="V52" s="2">
        <v>1256885.7069999999</v>
      </c>
      <c r="W52" s="2">
        <v>1308264.800134453</v>
      </c>
      <c r="X52" s="2">
        <v>1341107.2014051951</v>
      </c>
      <c r="Y52" s="2">
        <v>1411777.1525511048</v>
      </c>
      <c r="Z52" s="2">
        <v>1444253.0421049292</v>
      </c>
      <c r="AA52" s="2">
        <v>1485909.0240743198</v>
      </c>
      <c r="AB52" s="2">
        <v>1456833.7507855624</v>
      </c>
      <c r="AC52" s="2">
        <v>1497895.0671594031</v>
      </c>
      <c r="AD52" s="2">
        <v>1485793.1000822475</v>
      </c>
      <c r="AE52" s="2">
        <v>1463197.6394526255</v>
      </c>
      <c r="AF52" s="2">
        <v>1417958.7594706472</v>
      </c>
      <c r="AG52" s="2">
        <v>1368075.5594217232</v>
      </c>
    </row>
    <row r="53" spans="1:33" x14ac:dyDescent="0.2">
      <c r="A53" s="1" t="s">
        <v>113</v>
      </c>
      <c r="B53" s="1" t="s">
        <v>136</v>
      </c>
      <c r="C53" s="1" t="s">
        <v>137</v>
      </c>
      <c r="D53" s="2">
        <v>24603.384982741907</v>
      </c>
      <c r="E53" s="2">
        <v>145755.94211073834</v>
      </c>
      <c r="F53" s="2">
        <v>611747.73400644935</v>
      </c>
      <c r="G53" s="2">
        <v>757893.80897517432</v>
      </c>
      <c r="H53" s="2">
        <v>945707.58460568241</v>
      </c>
      <c r="I53" s="2">
        <v>1199822.2080671922</v>
      </c>
      <c r="J53" s="2">
        <v>2708581.251422626</v>
      </c>
      <c r="K53" s="2">
        <v>2916782.6770600178</v>
      </c>
      <c r="L53" s="2">
        <v>2991585.3801035327</v>
      </c>
      <c r="M53" s="2">
        <v>3151459.3693949385</v>
      </c>
      <c r="N53" s="2">
        <v>3960449.9104307112</v>
      </c>
      <c r="O53" s="2">
        <v>3773649.5436646217</v>
      </c>
      <c r="P53" s="2">
        <v>3799156.1966265915</v>
      </c>
      <c r="Q53" s="2">
        <v>4027524.4011517582</v>
      </c>
      <c r="R53" s="2">
        <v>4246945.4057119619</v>
      </c>
      <c r="S53" s="2">
        <v>4494494.4523131195</v>
      </c>
      <c r="T53" s="2">
        <v>4816379.5656566769</v>
      </c>
      <c r="U53" s="2">
        <v>4769818.5626058253</v>
      </c>
      <c r="V53" s="2">
        <v>4920995.6779999994</v>
      </c>
      <c r="W53" s="2">
        <v>5066445.1795252245</v>
      </c>
      <c r="X53" s="2">
        <v>5221271.871692257</v>
      </c>
      <c r="Y53" s="2">
        <v>5528768.9463966368</v>
      </c>
      <c r="Z53" s="2">
        <v>5618771.1285942271</v>
      </c>
      <c r="AA53" s="2">
        <v>5720209.033208603</v>
      </c>
      <c r="AB53" s="2">
        <v>5691890.8104695594</v>
      </c>
      <c r="AC53" s="2">
        <v>5882848.5173816001</v>
      </c>
      <c r="AD53" s="2">
        <v>5806012.2496819897</v>
      </c>
      <c r="AE53" s="2">
        <v>5717747.5632138224</v>
      </c>
      <c r="AF53" s="2">
        <v>5548990.3348559299</v>
      </c>
      <c r="AG53" s="2">
        <v>5352680.7255887743</v>
      </c>
    </row>
    <row r="54" spans="1:33" x14ac:dyDescent="0.2">
      <c r="A54" s="1" t="s">
        <v>138</v>
      </c>
      <c r="B54" s="1" t="s">
        <v>139</v>
      </c>
      <c r="C54" s="1" t="s">
        <v>140</v>
      </c>
      <c r="D54" s="2">
        <v>5651.8039794176002</v>
      </c>
      <c r="E54" s="2">
        <v>32844.233181044998</v>
      </c>
      <c r="F54" s="2">
        <v>160622.4314768847</v>
      </c>
      <c r="G54" s="2">
        <v>170680.45478240779</v>
      </c>
      <c r="H54" s="2">
        <v>223227.6452094673</v>
      </c>
      <c r="I54" s="2">
        <v>81348.115693981192</v>
      </c>
      <c r="J54" s="2">
        <v>573597.9893519649</v>
      </c>
      <c r="K54" s="2">
        <v>347318.56497273571</v>
      </c>
      <c r="L54" s="2">
        <v>364327.7628061538</v>
      </c>
      <c r="M54" s="2">
        <v>424561.03520974657</v>
      </c>
      <c r="N54" s="2">
        <v>508864.03334939457</v>
      </c>
      <c r="O54" s="2">
        <v>544635.75251361262</v>
      </c>
      <c r="P54" s="2">
        <v>579743.97681450017</v>
      </c>
      <c r="Q54" s="2">
        <v>593793.42678041896</v>
      </c>
      <c r="R54" s="2">
        <v>693346.19704474974</v>
      </c>
      <c r="S54" s="2">
        <v>723654.19732669322</v>
      </c>
      <c r="T54" s="2">
        <v>787448.03257300111</v>
      </c>
      <c r="U54" s="2">
        <v>816182.4417935235</v>
      </c>
      <c r="V54" s="2">
        <v>840212.8899999999</v>
      </c>
      <c r="W54" s="2">
        <v>863701.50297932932</v>
      </c>
      <c r="X54" s="2">
        <v>889817.40469094785</v>
      </c>
      <c r="Y54" s="2">
        <v>931836.00042404176</v>
      </c>
      <c r="Z54" s="2">
        <v>919927.50086549111</v>
      </c>
      <c r="AA54" s="2">
        <v>913895.17330210237</v>
      </c>
      <c r="AB54" s="2">
        <v>936416.55784598424</v>
      </c>
      <c r="AC54" s="2">
        <v>976636.18980599404</v>
      </c>
      <c r="AD54" s="2">
        <v>1002539.860234166</v>
      </c>
      <c r="AE54" s="2">
        <v>1040826.5780944662</v>
      </c>
      <c r="AF54" s="2">
        <v>1004441.3473050307</v>
      </c>
      <c r="AG54" s="2">
        <v>936898.37379306625</v>
      </c>
    </row>
    <row r="55" spans="1:33" x14ac:dyDescent="0.2">
      <c r="A55" s="1" t="s">
        <v>138</v>
      </c>
      <c r="B55" s="1" t="s">
        <v>141</v>
      </c>
      <c r="C55" s="1" t="s">
        <v>142</v>
      </c>
      <c r="D55" s="2">
        <v>817.70780978790003</v>
      </c>
      <c r="E55" s="2">
        <v>31558.569069269601</v>
      </c>
      <c r="F55" s="2">
        <v>219310.07405638468</v>
      </c>
      <c r="G55" s="2">
        <v>373611.34628533584</v>
      </c>
      <c r="H55" s="2">
        <v>780789.34009651758</v>
      </c>
      <c r="I55" s="2">
        <v>363326.02889630455</v>
      </c>
      <c r="J55" s="2">
        <v>3176880.2764419126</v>
      </c>
      <c r="K55" s="2">
        <v>1553787.3064433024</v>
      </c>
      <c r="L55" s="2">
        <v>1597191.7462814066</v>
      </c>
      <c r="M55" s="2">
        <v>1501572.3007740288</v>
      </c>
      <c r="N55" s="2">
        <v>2027525.1696734088</v>
      </c>
      <c r="O55" s="2">
        <v>2096242.3402053742</v>
      </c>
      <c r="P55" s="2">
        <v>2258894.697036643</v>
      </c>
      <c r="Q55" s="2">
        <v>2355815.1773528466</v>
      </c>
      <c r="R55" s="2">
        <v>2655905.1086460697</v>
      </c>
      <c r="S55" s="2">
        <v>2798091.7216700227</v>
      </c>
      <c r="T55" s="2">
        <v>2995688.5644522454</v>
      </c>
      <c r="U55" s="2">
        <v>3105903.0340166334</v>
      </c>
      <c r="V55" s="2">
        <v>3273570.7009999994</v>
      </c>
      <c r="W55" s="2">
        <v>3456754.2259374321</v>
      </c>
      <c r="X55" s="2">
        <v>3507500.8097808808</v>
      </c>
      <c r="Y55" s="2">
        <v>3803372.0575956563</v>
      </c>
      <c r="Z55" s="2">
        <v>3809180.1817315593</v>
      </c>
      <c r="AA55" s="2">
        <v>3799555.286870691</v>
      </c>
      <c r="AB55" s="2">
        <v>3940183.1339940885</v>
      </c>
      <c r="AC55" s="2">
        <v>4122581.2684109476</v>
      </c>
      <c r="AD55" s="2">
        <v>4277867.1027416941</v>
      </c>
      <c r="AE55" s="2">
        <v>4483023.8862104854</v>
      </c>
      <c r="AF55" s="2">
        <v>4245842.3772109393</v>
      </c>
      <c r="AG55" s="2">
        <v>4029962.5237549059</v>
      </c>
    </row>
    <row r="56" spans="1:33" x14ac:dyDescent="0.2">
      <c r="A56" s="1" t="s">
        <v>138</v>
      </c>
      <c r="B56" s="1" t="s">
        <v>143</v>
      </c>
      <c r="C56" s="1" t="s">
        <v>144</v>
      </c>
      <c r="D56" s="2">
        <v>1142.3859107333001</v>
      </c>
      <c r="E56" s="2">
        <v>4170.9335719215997</v>
      </c>
      <c r="F56" s="2">
        <v>44550.962362396996</v>
      </c>
      <c r="G56" s="2">
        <v>65845.487144079292</v>
      </c>
      <c r="H56" s="2">
        <v>106028.03740867809</v>
      </c>
      <c r="I56" s="2">
        <v>63137.067642219692</v>
      </c>
      <c r="J56" s="2">
        <v>594513.73392751254</v>
      </c>
      <c r="K56" s="2">
        <v>627224.61502146279</v>
      </c>
      <c r="L56" s="2">
        <v>649899.83184743964</v>
      </c>
      <c r="M56" s="2">
        <v>658828.86671923776</v>
      </c>
      <c r="N56" s="2">
        <v>798385.4451635764</v>
      </c>
      <c r="O56" s="2">
        <v>824674.87482399924</v>
      </c>
      <c r="P56" s="2">
        <v>888770.64366843959</v>
      </c>
      <c r="Q56" s="2">
        <v>936863.4514742496</v>
      </c>
      <c r="R56" s="2">
        <v>1060008.9916104751</v>
      </c>
      <c r="S56" s="2">
        <v>1131879.5175068513</v>
      </c>
      <c r="T56" s="2">
        <v>1208856.6354289257</v>
      </c>
      <c r="U56" s="2">
        <v>1241888.0873356969</v>
      </c>
      <c r="V56" s="2">
        <v>1293513.3629999997</v>
      </c>
      <c r="W56" s="2">
        <v>1349389.0079805187</v>
      </c>
      <c r="X56" s="2">
        <v>1400730.5310529086</v>
      </c>
      <c r="Y56" s="2">
        <v>1478951.737671003</v>
      </c>
      <c r="Z56" s="2">
        <v>1452612.0274888591</v>
      </c>
      <c r="AA56" s="2">
        <v>1482000.7381874458</v>
      </c>
      <c r="AB56" s="2">
        <v>1530182.5296445992</v>
      </c>
      <c r="AC56" s="2">
        <v>1639038.2915921689</v>
      </c>
      <c r="AD56" s="2">
        <v>1694996.0020444442</v>
      </c>
      <c r="AE56" s="2">
        <v>1768837.5825794307</v>
      </c>
      <c r="AF56" s="2">
        <v>1738834.5887710748</v>
      </c>
      <c r="AG56" s="2">
        <v>1632028.8010567534</v>
      </c>
    </row>
    <row r="57" spans="1:33" x14ac:dyDescent="0.2">
      <c r="A57" s="1" t="s">
        <v>138</v>
      </c>
      <c r="B57" s="1" t="s">
        <v>145</v>
      </c>
      <c r="C57" s="1" t="s">
        <v>146</v>
      </c>
      <c r="D57" s="2">
        <v>1683.5160789755</v>
      </c>
      <c r="E57" s="2">
        <v>24352.870210251098</v>
      </c>
      <c r="F57" s="2">
        <v>132255.83451787298</v>
      </c>
      <c r="G57" s="2">
        <v>185050.85001755078</v>
      </c>
      <c r="H57" s="2">
        <v>345366.56060967315</v>
      </c>
      <c r="I57" s="2">
        <v>160293.66613631297</v>
      </c>
      <c r="J57" s="2">
        <v>1314502.6165868526</v>
      </c>
      <c r="K57" s="2">
        <v>1312006.2674871504</v>
      </c>
      <c r="L57" s="2">
        <v>1346070.6372695204</v>
      </c>
      <c r="M57" s="2">
        <v>1348172.1452694836</v>
      </c>
      <c r="N57" s="2">
        <v>1677659.2372150098</v>
      </c>
      <c r="O57" s="2">
        <v>1775091.9032563369</v>
      </c>
      <c r="P57" s="2">
        <v>1914690.91492979</v>
      </c>
      <c r="Q57" s="2">
        <v>1995198.7190502726</v>
      </c>
      <c r="R57" s="2">
        <v>2235692.8314311309</v>
      </c>
      <c r="S57" s="2">
        <v>2418200.4818046372</v>
      </c>
      <c r="T57" s="2">
        <v>2605730.7494724491</v>
      </c>
      <c r="U57" s="2">
        <v>2678870.2553704637</v>
      </c>
      <c r="V57" s="2">
        <v>2779039.4010000001</v>
      </c>
      <c r="W57" s="2">
        <v>2891811.4266774594</v>
      </c>
      <c r="X57" s="2">
        <v>2974313.6023335787</v>
      </c>
      <c r="Y57" s="2">
        <v>3162939.2397916424</v>
      </c>
      <c r="Z57" s="2">
        <v>3112046.3508709115</v>
      </c>
      <c r="AA57" s="2">
        <v>3125383.3796536322</v>
      </c>
      <c r="AB57" s="2">
        <v>3260631.1883999566</v>
      </c>
      <c r="AC57" s="2">
        <v>3464812.6115035526</v>
      </c>
      <c r="AD57" s="2">
        <v>3490506.2324953107</v>
      </c>
      <c r="AE57" s="2">
        <v>3674918.439214489</v>
      </c>
      <c r="AF57" s="2">
        <v>3576861.788357236</v>
      </c>
      <c r="AG57" s="2">
        <v>3298101.2301142267</v>
      </c>
    </row>
    <row r="58" spans="1:33" x14ac:dyDescent="0.2">
      <c r="A58" s="1" t="s">
        <v>147</v>
      </c>
      <c r="B58" s="1" t="s">
        <v>148</v>
      </c>
      <c r="C58" s="1" t="s">
        <v>149</v>
      </c>
      <c r="D58" s="2">
        <v>745.55712068900004</v>
      </c>
      <c r="E58" s="2">
        <v>926.87412709360001</v>
      </c>
      <c r="F58" s="2">
        <v>3119.9052215398001</v>
      </c>
      <c r="G58" s="2">
        <v>16896.871975060199</v>
      </c>
      <c r="H58" s="2">
        <v>41742.680382694598</v>
      </c>
      <c r="I58" s="2">
        <v>70770.538624382985</v>
      </c>
      <c r="J58" s="2">
        <v>542139.09738934773</v>
      </c>
      <c r="K58" s="2">
        <v>1273125.5267474798</v>
      </c>
      <c r="L58" s="2">
        <v>1335261.9617816252</v>
      </c>
      <c r="M58" s="2">
        <v>1364237.6316268849</v>
      </c>
      <c r="N58" s="2">
        <v>1724907.7481917264</v>
      </c>
      <c r="O58" s="2">
        <v>1772717.568646996</v>
      </c>
      <c r="P58" s="2">
        <v>1827346.714241538</v>
      </c>
      <c r="Q58" s="2">
        <v>1980333.7886236378</v>
      </c>
      <c r="R58" s="2">
        <v>2168477.8949955776</v>
      </c>
      <c r="S58" s="2">
        <v>2420127.9320330368</v>
      </c>
      <c r="T58" s="2">
        <v>2666050.6914470121</v>
      </c>
      <c r="U58" s="2">
        <v>2790521.0951884631</v>
      </c>
      <c r="V58" s="2">
        <v>2884281.0960000004</v>
      </c>
      <c r="W58" s="2">
        <v>2994097.3156744079</v>
      </c>
      <c r="X58" s="2">
        <v>3091548.7373348693</v>
      </c>
      <c r="Y58" s="2">
        <v>3350605.752528572</v>
      </c>
      <c r="Z58" s="2">
        <v>3514881.9143992378</v>
      </c>
      <c r="AA58" s="2">
        <v>3685857.1361255627</v>
      </c>
      <c r="AB58" s="2">
        <v>3929601.7339699664</v>
      </c>
      <c r="AC58" s="2">
        <v>4033749.7100898037</v>
      </c>
      <c r="AD58" s="2">
        <v>4120117.7037956696</v>
      </c>
      <c r="AE58" s="2">
        <v>4106217.0389595847</v>
      </c>
      <c r="AF58" s="2">
        <v>4174024.3454093062</v>
      </c>
      <c r="AG58" s="2">
        <v>3950682.492844509</v>
      </c>
    </row>
    <row r="59" spans="1:33" x14ac:dyDescent="0.2">
      <c r="A59" s="1" t="s">
        <v>147</v>
      </c>
      <c r="B59" s="1" t="s">
        <v>150</v>
      </c>
      <c r="C59" s="1" t="s">
        <v>151</v>
      </c>
      <c r="D59" s="2">
        <v>192.4018375972</v>
      </c>
      <c r="E59" s="2">
        <v>134.54624425540001</v>
      </c>
      <c r="F59" s="2">
        <v>6698.7804302798004</v>
      </c>
      <c r="G59" s="2">
        <v>91117.396347293892</v>
      </c>
      <c r="H59" s="2">
        <v>44602.185963322801</v>
      </c>
      <c r="I59" s="2">
        <v>46423.4757570109</v>
      </c>
      <c r="J59" s="2">
        <v>320839.85292901291</v>
      </c>
      <c r="K59" s="2">
        <v>428532.08597571618</v>
      </c>
      <c r="L59" s="2">
        <v>411323.37815849192</v>
      </c>
      <c r="M59" s="2">
        <v>427852.56175765343</v>
      </c>
      <c r="N59" s="2">
        <v>531116.48335485277</v>
      </c>
      <c r="O59" s="2">
        <v>543903.81327453943</v>
      </c>
      <c r="P59" s="2">
        <v>560456.75240469398</v>
      </c>
      <c r="Q59" s="2">
        <v>621678.25005056418</v>
      </c>
      <c r="R59" s="2">
        <v>684516.69252189458</v>
      </c>
      <c r="S59" s="2">
        <v>727199.45045586361</v>
      </c>
      <c r="T59" s="2">
        <v>787747.92159912572</v>
      </c>
      <c r="U59" s="2">
        <v>794531.74532669538</v>
      </c>
      <c r="V59" s="2">
        <v>830776.89100000006</v>
      </c>
      <c r="W59" s="2">
        <v>869629.51299909479</v>
      </c>
      <c r="X59" s="2">
        <v>893272.73693797912</v>
      </c>
      <c r="Y59" s="2">
        <v>961941.10043745558</v>
      </c>
      <c r="Z59" s="2">
        <v>996278.1156626041</v>
      </c>
      <c r="AA59" s="2">
        <v>1041390.2345989352</v>
      </c>
      <c r="AB59" s="2">
        <v>1109260.7646663121</v>
      </c>
      <c r="AC59" s="2">
        <v>1130562.3861771817</v>
      </c>
      <c r="AD59" s="2">
        <v>1166757.2545003856</v>
      </c>
      <c r="AE59" s="2">
        <v>1163833.2124844007</v>
      </c>
      <c r="AF59" s="2">
        <v>1187584.6372228707</v>
      </c>
      <c r="AG59" s="2">
        <v>1114784.4725025899</v>
      </c>
    </row>
    <row r="60" spans="1:33" x14ac:dyDescent="0.2">
      <c r="A60" s="1" t="s">
        <v>147</v>
      </c>
      <c r="B60" s="1" t="s">
        <v>152</v>
      </c>
      <c r="C60" s="1" t="s">
        <v>153</v>
      </c>
      <c r="D60" s="2">
        <v>12.0251148497</v>
      </c>
      <c r="E60" s="2">
        <v>298.99165390119998</v>
      </c>
      <c r="F60" s="2">
        <v>4246.5718689235</v>
      </c>
      <c r="G60" s="2">
        <v>19989.8413868561</v>
      </c>
      <c r="H60" s="2">
        <v>22437.591860928103</v>
      </c>
      <c r="I60" s="2">
        <v>37363.876396789601</v>
      </c>
      <c r="J60" s="2">
        <v>310845.06547847908</v>
      </c>
      <c r="K60" s="2">
        <v>517984.72893567145</v>
      </c>
      <c r="L60" s="2">
        <v>507278.59125131974</v>
      </c>
      <c r="M60" s="2">
        <v>502070.4363464223</v>
      </c>
      <c r="N60" s="2">
        <v>616870.64722714014</v>
      </c>
      <c r="O60" s="2">
        <v>627414.52659956121</v>
      </c>
      <c r="P60" s="2">
        <v>630546.42875566066</v>
      </c>
      <c r="Q60" s="2">
        <v>685111.75081185962</v>
      </c>
      <c r="R60" s="2">
        <v>751334.27949718153</v>
      </c>
      <c r="S60" s="2">
        <v>819407.32296320098</v>
      </c>
      <c r="T60" s="2">
        <v>899888.09528455767</v>
      </c>
      <c r="U60" s="2">
        <v>924766.83757743821</v>
      </c>
      <c r="V60" s="2">
        <v>946880.36800000002</v>
      </c>
      <c r="W60" s="2">
        <v>983617.65711249993</v>
      </c>
      <c r="X60" s="2">
        <v>1012621.5605089109</v>
      </c>
      <c r="Y60" s="2">
        <v>1077168.2133822103</v>
      </c>
      <c r="Z60" s="2">
        <v>1107525.7304780146</v>
      </c>
      <c r="AA60" s="2">
        <v>1151238.7099919345</v>
      </c>
      <c r="AB60" s="2">
        <v>1214870.4856125868</v>
      </c>
      <c r="AC60" s="2">
        <v>1226245.5929805906</v>
      </c>
      <c r="AD60" s="2">
        <v>1256076.4927269828</v>
      </c>
      <c r="AE60" s="2">
        <v>1239942.3173543892</v>
      </c>
      <c r="AF60" s="2">
        <v>1237768.0232324973</v>
      </c>
      <c r="AG60" s="2">
        <v>1163510.4455237498</v>
      </c>
    </row>
    <row r="61" spans="1:33" x14ac:dyDescent="0.2">
      <c r="A61" s="1" t="s">
        <v>147</v>
      </c>
      <c r="B61" s="1" t="s">
        <v>154</v>
      </c>
      <c r="C61" s="1" t="s">
        <v>155</v>
      </c>
      <c r="D61" s="2">
        <v>7684.0483890382993</v>
      </c>
      <c r="E61" s="2">
        <v>34294.342702465496</v>
      </c>
      <c r="F61" s="2">
        <v>226412.58623086737</v>
      </c>
      <c r="G61" s="2">
        <v>274817.52617705095</v>
      </c>
      <c r="H61" s="2">
        <v>894356.10254739912</v>
      </c>
      <c r="I61" s="2">
        <v>510591.7415668788</v>
      </c>
      <c r="J61" s="2">
        <v>3037812.5896606441</v>
      </c>
      <c r="K61" s="2">
        <v>1729602.9216293471</v>
      </c>
      <c r="L61" s="2">
        <v>1811712.8018920317</v>
      </c>
      <c r="M61" s="2">
        <v>1718959.064886682</v>
      </c>
      <c r="N61" s="2">
        <v>2063596.4313251777</v>
      </c>
      <c r="O61" s="2">
        <v>2098387.4069072451</v>
      </c>
      <c r="P61" s="2">
        <v>2164662.8859411865</v>
      </c>
      <c r="Q61" s="2">
        <v>2306589.7707790029</v>
      </c>
      <c r="R61" s="2">
        <v>2452974.2308597974</v>
      </c>
      <c r="S61" s="2">
        <v>2565138.2824739814</v>
      </c>
      <c r="T61" s="2">
        <v>2783148.4394469634</v>
      </c>
      <c r="U61" s="2">
        <v>2869231.5142323538</v>
      </c>
      <c r="V61" s="2">
        <v>3016061.432</v>
      </c>
      <c r="W61" s="2">
        <v>3095125.8157299878</v>
      </c>
      <c r="X61" s="2">
        <v>3211244.3522290788</v>
      </c>
      <c r="Y61" s="2">
        <v>3428569.0129565997</v>
      </c>
      <c r="Z61" s="2">
        <v>3551268.7962830369</v>
      </c>
      <c r="AA61" s="2">
        <v>3706427.6370450472</v>
      </c>
      <c r="AB61" s="2">
        <v>3904394.9325344982</v>
      </c>
      <c r="AC61" s="2">
        <v>3952903.6847412004</v>
      </c>
      <c r="AD61" s="2">
        <v>4019149.0467456565</v>
      </c>
      <c r="AE61" s="2">
        <v>3947324.3859885405</v>
      </c>
      <c r="AF61" s="2">
        <v>3925101.6424131021</v>
      </c>
      <c r="AG61" s="2">
        <v>3770211.2974547292</v>
      </c>
    </row>
    <row r="62" spans="1:33" x14ac:dyDescent="0.2">
      <c r="A62" s="1" t="s">
        <v>147</v>
      </c>
      <c r="B62" s="1" t="s">
        <v>156</v>
      </c>
      <c r="C62" s="1" t="s">
        <v>157</v>
      </c>
      <c r="E62" s="2">
        <v>2018.1936638328</v>
      </c>
      <c r="F62" s="2">
        <v>23743.208795498398</v>
      </c>
      <c r="G62" s="2">
        <v>81442.006422421997</v>
      </c>
      <c r="H62" s="2">
        <v>135318.44879908141</v>
      </c>
      <c r="I62" s="2">
        <v>95995.000143852783</v>
      </c>
      <c r="J62" s="2">
        <v>459738.83002503996</v>
      </c>
      <c r="K62" s="2">
        <v>670384.64508774469</v>
      </c>
      <c r="L62" s="2">
        <v>683939.93579104159</v>
      </c>
      <c r="M62" s="2">
        <v>688928.1874329875</v>
      </c>
      <c r="N62" s="2">
        <v>856949.56775039854</v>
      </c>
      <c r="O62" s="2">
        <v>860602.97206402873</v>
      </c>
      <c r="P62" s="2">
        <v>891778.43605013855</v>
      </c>
      <c r="Q62" s="2">
        <v>1008120.2690659444</v>
      </c>
      <c r="R62" s="2">
        <v>1095849.6645091269</v>
      </c>
      <c r="S62" s="2">
        <v>1144311.2886028783</v>
      </c>
      <c r="T62" s="2">
        <v>1260341.0378785993</v>
      </c>
      <c r="U62" s="2">
        <v>1288196.0637783466</v>
      </c>
      <c r="V62" s="2">
        <v>1376874.068</v>
      </c>
      <c r="W62" s="2">
        <v>1416863.6118346315</v>
      </c>
      <c r="X62" s="2">
        <v>1465030.2661364365</v>
      </c>
      <c r="Y62" s="2">
        <v>1583491.9008873142</v>
      </c>
      <c r="Z62" s="2">
        <v>1646475.8149301414</v>
      </c>
      <c r="AA62" s="2">
        <v>1704187.4454791653</v>
      </c>
      <c r="AB62" s="2">
        <v>1815547.2894244913</v>
      </c>
      <c r="AC62" s="2">
        <v>1841209.3454822188</v>
      </c>
      <c r="AD62" s="2">
        <v>1892882.1082110077</v>
      </c>
      <c r="AE62" s="2">
        <v>1904878.4567264398</v>
      </c>
      <c r="AF62" s="2">
        <v>1975425.6967025746</v>
      </c>
      <c r="AG62" s="2">
        <v>1849200.2954586262</v>
      </c>
    </row>
    <row r="63" spans="1:33" x14ac:dyDescent="0.2">
      <c r="A63" s="1" t="s">
        <v>158</v>
      </c>
      <c r="B63" s="1" t="s">
        <v>159</v>
      </c>
      <c r="C63" s="1" t="s">
        <v>160</v>
      </c>
      <c r="D63" s="2">
        <v>3126.5298609547003</v>
      </c>
      <c r="E63" s="2">
        <v>9698.9813105537996</v>
      </c>
      <c r="F63" s="2">
        <v>34828.303224825104</v>
      </c>
      <c r="G63" s="2">
        <v>71536.095673208096</v>
      </c>
      <c r="H63" s="2">
        <v>105279.56260453782</v>
      </c>
      <c r="I63" s="2">
        <v>72628.547070094704</v>
      </c>
      <c r="J63" s="2">
        <v>467145.38680068776</v>
      </c>
      <c r="K63" s="2">
        <v>675848.78499671048</v>
      </c>
      <c r="L63" s="2">
        <v>716740.69912418944</v>
      </c>
      <c r="M63" s="2">
        <v>796284.51719704026</v>
      </c>
      <c r="N63" s="2">
        <v>984654.87556251325</v>
      </c>
      <c r="O63" s="2">
        <v>1010011.2754069036</v>
      </c>
      <c r="P63" s="2">
        <v>1020089.6443082012</v>
      </c>
      <c r="Q63" s="2">
        <v>1054979.170769999</v>
      </c>
      <c r="R63" s="2">
        <v>1083650.597441484</v>
      </c>
      <c r="S63" s="2">
        <v>1189811.2910001043</v>
      </c>
      <c r="T63" s="2">
        <v>1231542.043391506</v>
      </c>
      <c r="U63" s="2">
        <v>1320845.2941611465</v>
      </c>
      <c r="V63" s="2">
        <v>1379892.6180000002</v>
      </c>
      <c r="W63" s="2">
        <v>1499443.7517420058</v>
      </c>
      <c r="X63" s="2">
        <v>1600996.9169615456</v>
      </c>
      <c r="Y63" s="2">
        <v>1613166.8076518339</v>
      </c>
      <c r="Z63" s="2">
        <v>1627082.4192970952</v>
      </c>
      <c r="AA63" s="2">
        <v>1691485.070067619</v>
      </c>
      <c r="AB63" s="2">
        <v>1744583.69393984</v>
      </c>
      <c r="AC63" s="2">
        <v>1856065.4964023239</v>
      </c>
      <c r="AD63" s="2">
        <v>1814302.8459167227</v>
      </c>
      <c r="AE63" s="2">
        <v>1838776.2408155631</v>
      </c>
      <c r="AF63" s="2">
        <v>1904056.2208665782</v>
      </c>
      <c r="AG63" s="2">
        <v>1874377.453607168</v>
      </c>
    </row>
    <row r="64" spans="1:33" x14ac:dyDescent="0.2">
      <c r="A64" s="1" t="s">
        <v>158</v>
      </c>
      <c r="B64" s="1" t="s">
        <v>161</v>
      </c>
      <c r="C64" s="1" t="s">
        <v>162</v>
      </c>
      <c r="D64" s="2">
        <v>6349.2606407071999</v>
      </c>
      <c r="E64" s="2">
        <v>7867.6026643010991</v>
      </c>
      <c r="F64" s="2">
        <v>17060.487629908199</v>
      </c>
      <c r="G64" s="2">
        <v>20148.505440736004</v>
      </c>
      <c r="H64" s="2">
        <v>20683.771969846701</v>
      </c>
      <c r="I64" s="2">
        <v>24837.810578999903</v>
      </c>
      <c r="J64" s="2">
        <v>176633.0451913868</v>
      </c>
      <c r="K64" s="2">
        <v>405049.63479625987</v>
      </c>
      <c r="L64" s="2">
        <v>423260.77915681869</v>
      </c>
      <c r="M64" s="2">
        <v>468093.45539657667</v>
      </c>
      <c r="N64" s="2">
        <v>580477.56863905827</v>
      </c>
      <c r="O64" s="2">
        <v>576836.08202514763</v>
      </c>
      <c r="P64" s="2">
        <v>595268.4597356671</v>
      </c>
      <c r="Q64" s="2">
        <v>634412.58774966584</v>
      </c>
      <c r="R64" s="2">
        <v>647663.74253192451</v>
      </c>
      <c r="S64" s="2">
        <v>745307.1572704108</v>
      </c>
      <c r="T64" s="2">
        <v>782123.64888465148</v>
      </c>
      <c r="U64" s="2">
        <v>867730.13544356672</v>
      </c>
      <c r="V64" s="2">
        <v>923298.96799999999</v>
      </c>
      <c r="W64" s="2">
        <v>1009887.9080612151</v>
      </c>
      <c r="X64" s="2">
        <v>1064287.3610672338</v>
      </c>
      <c r="Y64" s="2">
        <v>1179200.9945234021</v>
      </c>
      <c r="Z64" s="2">
        <v>1173272.8635221494</v>
      </c>
      <c r="AA64" s="2">
        <v>1176761.2229744659</v>
      </c>
      <c r="AB64" s="2">
        <v>1164877.8029403433</v>
      </c>
      <c r="AC64" s="2">
        <v>1287445.9833802693</v>
      </c>
      <c r="AD64" s="2">
        <v>1325701.2854476054</v>
      </c>
      <c r="AE64" s="2">
        <v>1355489.0154888418</v>
      </c>
      <c r="AF64" s="2">
        <v>1381252.6332332492</v>
      </c>
      <c r="AG64" s="2">
        <v>1321327.4189490564</v>
      </c>
    </row>
    <row r="65" spans="1:33" x14ac:dyDescent="0.2">
      <c r="A65" s="1" t="s">
        <v>158</v>
      </c>
      <c r="B65" s="1" t="s">
        <v>163</v>
      </c>
      <c r="C65" s="1" t="s">
        <v>164</v>
      </c>
      <c r="D65" s="2">
        <v>32960.839803370298</v>
      </c>
      <c r="E65" s="2">
        <v>113618.73121350961</v>
      </c>
      <c r="F65" s="2">
        <v>752138.62925124273</v>
      </c>
      <c r="G65" s="2">
        <v>1184467.6688869584</v>
      </c>
      <c r="H65" s="2">
        <v>1465171.1478139977</v>
      </c>
      <c r="I65" s="2">
        <v>1105216.7029391292</v>
      </c>
      <c r="J65" s="2">
        <v>5587478.7302871924</v>
      </c>
      <c r="K65" s="2">
        <v>2224953.905235297</v>
      </c>
      <c r="L65" s="2">
        <v>2237050.4359880453</v>
      </c>
      <c r="M65" s="2">
        <v>2483440.0933157001</v>
      </c>
      <c r="N65" s="2">
        <v>3067255.1707002218</v>
      </c>
      <c r="O65" s="2">
        <v>3160314.8896180908</v>
      </c>
      <c r="P65" s="2">
        <v>3273129.1159872962</v>
      </c>
      <c r="Q65" s="2">
        <v>3387194.6356686563</v>
      </c>
      <c r="R65" s="2">
        <v>3497171.29862531</v>
      </c>
      <c r="S65" s="2">
        <v>3807566.3536330559</v>
      </c>
      <c r="T65" s="2">
        <v>3940181.1536158142</v>
      </c>
      <c r="U65" s="2">
        <v>4130068.40470705</v>
      </c>
      <c r="V65" s="2">
        <v>4167645.2380000004</v>
      </c>
      <c r="W65" s="2">
        <v>4433754.7060231864</v>
      </c>
      <c r="X65" s="2">
        <v>4581545.9851187663</v>
      </c>
      <c r="Y65" s="2">
        <v>4903232.984745915</v>
      </c>
      <c r="Z65" s="2">
        <v>4997822.506899897</v>
      </c>
      <c r="AA65" s="2">
        <v>5223517.6967145121</v>
      </c>
      <c r="AB65" s="2">
        <v>5259527.536076271</v>
      </c>
      <c r="AC65" s="2">
        <v>5365317.4459185135</v>
      </c>
      <c r="AD65" s="2">
        <v>5406223.3800468054</v>
      </c>
      <c r="AE65" s="2">
        <v>5487122.7657878092</v>
      </c>
      <c r="AF65" s="2">
        <v>5460223.7478209427</v>
      </c>
      <c r="AG65" s="2">
        <v>5061620.4688013038</v>
      </c>
    </row>
    <row r="66" spans="1:33" x14ac:dyDescent="0.2">
      <c r="A66" s="1" t="s">
        <v>158</v>
      </c>
      <c r="B66" s="1" t="s">
        <v>165</v>
      </c>
      <c r="C66" s="1" t="s">
        <v>166</v>
      </c>
      <c r="D66" s="2">
        <v>10642.226642094802</v>
      </c>
      <c r="E66" s="2">
        <v>25463.488697495995</v>
      </c>
      <c r="F66" s="2">
        <v>40587.645189396404</v>
      </c>
      <c r="G66" s="2">
        <v>76173.218394276802</v>
      </c>
      <c r="H66" s="2">
        <v>111363.17538678701</v>
      </c>
      <c r="I66" s="2">
        <v>84394.512685742913</v>
      </c>
      <c r="J66" s="2">
        <v>672573.92547866132</v>
      </c>
      <c r="K66" s="2">
        <v>1498640.4982521166</v>
      </c>
      <c r="L66" s="2">
        <v>1564948.5733504123</v>
      </c>
      <c r="M66" s="2">
        <v>1751338.2579178349</v>
      </c>
      <c r="N66" s="2">
        <v>2194403.1102296985</v>
      </c>
      <c r="O66" s="2">
        <v>2168714.4104702435</v>
      </c>
      <c r="P66" s="2">
        <v>2209691.0579338195</v>
      </c>
      <c r="Q66" s="2">
        <v>2328220.9264614549</v>
      </c>
      <c r="R66" s="2">
        <v>2401635.2423582217</v>
      </c>
      <c r="S66" s="2">
        <v>2644822.8380048042</v>
      </c>
      <c r="T66" s="2">
        <v>2808457.3973052287</v>
      </c>
      <c r="U66" s="2">
        <v>3063563.9816966834</v>
      </c>
      <c r="V66" s="2">
        <v>3209099.0339999986</v>
      </c>
      <c r="W66" s="2">
        <v>3503642.8421570738</v>
      </c>
      <c r="X66" s="2">
        <v>3598062.2553426786</v>
      </c>
      <c r="Y66" s="2">
        <v>3843250.9797234065</v>
      </c>
      <c r="Z66" s="2">
        <v>3909608.507155742</v>
      </c>
      <c r="AA66" s="2">
        <v>4002045.3336322457</v>
      </c>
      <c r="AB66" s="2">
        <v>4029533.1278177989</v>
      </c>
      <c r="AC66" s="2">
        <v>4341938.6578616714</v>
      </c>
      <c r="AD66" s="2">
        <v>4353803.5345352963</v>
      </c>
      <c r="AE66" s="2">
        <v>4463039.3254863024</v>
      </c>
      <c r="AF66" s="2">
        <v>4574714.1123835137</v>
      </c>
      <c r="AG66" s="2">
        <v>4354524.2751290267</v>
      </c>
    </row>
    <row r="67" spans="1:33" x14ac:dyDescent="0.2">
      <c r="A67" s="1" t="s">
        <v>158</v>
      </c>
      <c r="B67" s="1" t="s">
        <v>167</v>
      </c>
      <c r="C67" s="1" t="s">
        <v>168</v>
      </c>
      <c r="D67" s="2">
        <v>793.65758008839998</v>
      </c>
      <c r="E67" s="2">
        <v>908.36380854139998</v>
      </c>
      <c r="F67" s="2">
        <v>4286.1117210729999</v>
      </c>
      <c r="G67" s="2">
        <v>12019.208836427599</v>
      </c>
      <c r="H67" s="2">
        <v>67034.967890635002</v>
      </c>
      <c r="I67" s="2">
        <v>34523.720713068404</v>
      </c>
      <c r="J67" s="2">
        <v>295315.89445784054</v>
      </c>
      <c r="K67" s="2">
        <v>510510.87264657544</v>
      </c>
      <c r="L67" s="2">
        <v>501729.77664203703</v>
      </c>
      <c r="M67" s="2">
        <v>540392.31577490538</v>
      </c>
      <c r="N67" s="2">
        <v>675662.04020195024</v>
      </c>
      <c r="O67" s="2">
        <v>671055.38946661085</v>
      </c>
      <c r="P67" s="2">
        <v>658537.4967593234</v>
      </c>
      <c r="Q67" s="2">
        <v>696897.99951692624</v>
      </c>
      <c r="R67" s="2">
        <v>708044.3927290584</v>
      </c>
      <c r="S67" s="2">
        <v>814269.01077348762</v>
      </c>
      <c r="T67" s="2">
        <v>868501.78783664899</v>
      </c>
      <c r="U67" s="2">
        <v>936625.24337851687</v>
      </c>
      <c r="V67" s="2">
        <v>951675.41599999997</v>
      </c>
      <c r="W67" s="2">
        <v>1032520.1095123525</v>
      </c>
      <c r="X67" s="2">
        <v>1059710.4087087691</v>
      </c>
      <c r="Y67" s="2">
        <v>1124279.7505568324</v>
      </c>
      <c r="Z67" s="2">
        <v>1154464.5737839618</v>
      </c>
      <c r="AA67" s="2">
        <v>1180549.7942518345</v>
      </c>
      <c r="AB67" s="2">
        <v>1154948.6855361774</v>
      </c>
      <c r="AC67" s="2">
        <v>1276020.2460880619</v>
      </c>
      <c r="AD67" s="2">
        <v>1277953.4840508259</v>
      </c>
      <c r="AE67" s="2">
        <v>1343704.9345152616</v>
      </c>
      <c r="AF67" s="2">
        <v>1401331.5813938475</v>
      </c>
      <c r="AG67" s="2">
        <v>1322922.297129228</v>
      </c>
    </row>
    <row r="68" spans="1:33" x14ac:dyDescent="0.2">
      <c r="A68" s="1" t="s">
        <v>158</v>
      </c>
      <c r="B68" s="1" t="s">
        <v>169</v>
      </c>
      <c r="C68" s="1" t="s">
        <v>170</v>
      </c>
      <c r="D68" s="2">
        <v>300.62787124580001</v>
      </c>
      <c r="E68" s="2">
        <v>952.31689605149995</v>
      </c>
      <c r="F68" s="2">
        <v>7877.3004158957001</v>
      </c>
      <c r="G68" s="2">
        <v>25069.750894143504</v>
      </c>
      <c r="H68" s="2">
        <v>72008.879096954013</v>
      </c>
      <c r="I68" s="2">
        <v>93789.676320745712</v>
      </c>
      <c r="J68" s="2">
        <v>908109.35870273993</v>
      </c>
      <c r="K68" s="2">
        <v>1413438.5365564222</v>
      </c>
      <c r="L68" s="2">
        <v>1508338.4741002156</v>
      </c>
      <c r="M68" s="2">
        <v>1714628.767603124</v>
      </c>
      <c r="N68" s="2">
        <v>2070339.5201039216</v>
      </c>
      <c r="O68" s="2">
        <v>2091893.1834989933</v>
      </c>
      <c r="P68" s="2">
        <v>2190736.0711512966</v>
      </c>
      <c r="Q68" s="2">
        <v>2309905.4535322795</v>
      </c>
      <c r="R68" s="2">
        <v>2288160.7656864156</v>
      </c>
      <c r="S68" s="2">
        <v>2620141.0573550039</v>
      </c>
      <c r="T68" s="2">
        <v>2775571.8308912767</v>
      </c>
      <c r="U68" s="2">
        <v>3051343.3042479204</v>
      </c>
      <c r="V68" s="2">
        <v>3199319.9990000003</v>
      </c>
      <c r="W68" s="2">
        <v>3575544.6001144368</v>
      </c>
      <c r="X68" s="2">
        <v>3825006.5591336172</v>
      </c>
      <c r="Y68" s="2">
        <v>4052811.9819151997</v>
      </c>
      <c r="Z68" s="2">
        <v>4263240.2751339609</v>
      </c>
      <c r="AA68" s="2">
        <v>4380024.3649541819</v>
      </c>
      <c r="AB68" s="2">
        <v>4480749.2092612078</v>
      </c>
      <c r="AC68" s="2">
        <v>4791765.8719187826</v>
      </c>
      <c r="AD68" s="2">
        <v>4765242.4085978186</v>
      </c>
      <c r="AE68" s="2">
        <v>4837286.8589130156</v>
      </c>
      <c r="AF68" s="2">
        <v>5083811.9405585909</v>
      </c>
      <c r="AG68" s="2">
        <v>4892018.1534593925</v>
      </c>
    </row>
    <row r="69" spans="1:33" x14ac:dyDescent="0.2">
      <c r="A69" s="1" t="s">
        <v>171</v>
      </c>
      <c r="B69" s="1" t="s">
        <v>172</v>
      </c>
      <c r="C69" s="1" t="s">
        <v>173</v>
      </c>
      <c r="D69" s="2">
        <v>3727.7856034457</v>
      </c>
      <c r="E69" s="2">
        <v>22574.622963335398</v>
      </c>
      <c r="F69" s="2">
        <v>78362.55265967219</v>
      </c>
      <c r="G69" s="2">
        <v>116896.65773876742</v>
      </c>
      <c r="H69" s="2">
        <v>182705.5877144793</v>
      </c>
      <c r="I69" s="2">
        <v>308941.53056682064</v>
      </c>
      <c r="J69" s="2">
        <v>557008.50420873135</v>
      </c>
      <c r="K69" s="2">
        <v>1251917.4165248973</v>
      </c>
      <c r="L69" s="2">
        <v>1253533.2050222803</v>
      </c>
      <c r="M69" s="2">
        <v>1340884.0630398339</v>
      </c>
      <c r="N69" s="2">
        <v>1573604.5809090915</v>
      </c>
      <c r="O69" s="2">
        <v>1567796.5995114557</v>
      </c>
      <c r="P69" s="2">
        <v>1603397.3995655726</v>
      </c>
      <c r="Q69" s="2">
        <v>1745711.7991191417</v>
      </c>
      <c r="R69" s="2">
        <v>1905197.2723593782</v>
      </c>
      <c r="S69" s="2">
        <v>1999467.6917709459</v>
      </c>
      <c r="T69" s="2">
        <v>2203445.1476345854</v>
      </c>
      <c r="U69" s="2">
        <v>2315356.9132594392</v>
      </c>
      <c r="V69" s="2">
        <v>2398039.3989999997</v>
      </c>
      <c r="W69" s="2">
        <v>2374024.6843359605</v>
      </c>
      <c r="X69" s="2">
        <v>2406830.2222913071</v>
      </c>
      <c r="Y69" s="2">
        <v>2556586.8062754916</v>
      </c>
      <c r="Z69" s="2">
        <v>2612885.0658223759</v>
      </c>
      <c r="AA69" s="2">
        <v>2564104.07191082</v>
      </c>
      <c r="AB69" s="2">
        <v>2510039.4850684637</v>
      </c>
      <c r="AC69" s="2">
        <v>2603050.6082009552</v>
      </c>
      <c r="AD69" s="2">
        <v>2555006.8948732987</v>
      </c>
      <c r="AE69" s="2">
        <v>2523731.2149278838</v>
      </c>
      <c r="AF69" s="2">
        <v>2453528.8353650598</v>
      </c>
      <c r="AG69" s="2">
        <v>2356511.2045435058</v>
      </c>
    </row>
    <row r="70" spans="1:33" x14ac:dyDescent="0.2">
      <c r="A70" s="1" t="s">
        <v>171</v>
      </c>
      <c r="B70" s="1" t="s">
        <v>174</v>
      </c>
      <c r="C70" s="1" t="s">
        <v>175</v>
      </c>
      <c r="D70" s="2">
        <v>1803.7672274736001</v>
      </c>
      <c r="E70" s="2">
        <v>6930.2922827858001</v>
      </c>
      <c r="F70" s="2">
        <v>28016.345896060804</v>
      </c>
      <c r="G70" s="2">
        <v>35675.157410441403</v>
      </c>
      <c r="H70" s="2">
        <v>49028.014084495895</v>
      </c>
      <c r="I70" s="2">
        <v>80984.9626340502</v>
      </c>
      <c r="J70" s="2">
        <v>183502.5696178693</v>
      </c>
      <c r="K70" s="2">
        <v>453452.0922882905</v>
      </c>
      <c r="L70" s="2">
        <v>454865.09344890888</v>
      </c>
      <c r="M70" s="2">
        <v>496292.53486498859</v>
      </c>
      <c r="N70" s="2">
        <v>574578.4837205857</v>
      </c>
      <c r="O70" s="2">
        <v>571947.82461894851</v>
      </c>
      <c r="P70" s="2">
        <v>587484.21600835677</v>
      </c>
      <c r="Q70" s="2">
        <v>644187.39297375223</v>
      </c>
      <c r="R70" s="2">
        <v>685514.87016838603</v>
      </c>
      <c r="S70" s="2">
        <v>730690.56963156338</v>
      </c>
      <c r="T70" s="2">
        <v>794184.8143264628</v>
      </c>
      <c r="U70" s="2">
        <v>835150.94328463112</v>
      </c>
      <c r="V70" s="2">
        <v>861862.54200000002</v>
      </c>
      <c r="W70" s="2">
        <v>855896.91484092269</v>
      </c>
      <c r="X70" s="2">
        <v>877351.57471463829</v>
      </c>
      <c r="Y70" s="2">
        <v>925280.96400887484</v>
      </c>
      <c r="Z70" s="2">
        <v>944463.72480636917</v>
      </c>
      <c r="AA70" s="2">
        <v>943780.46098779922</v>
      </c>
      <c r="AB70" s="2">
        <v>925402.12088673445</v>
      </c>
      <c r="AC70" s="2">
        <v>955793.64278854185</v>
      </c>
      <c r="AD70" s="2">
        <v>936753.11561934277</v>
      </c>
      <c r="AE70" s="2">
        <v>936983.05178086471</v>
      </c>
      <c r="AF70" s="2">
        <v>911496.32952191134</v>
      </c>
      <c r="AG70" s="2">
        <v>876692.45343897073</v>
      </c>
    </row>
    <row r="71" spans="1:33" x14ac:dyDescent="0.2">
      <c r="A71" s="1" t="s">
        <v>171</v>
      </c>
      <c r="B71" s="1" t="s">
        <v>176</v>
      </c>
      <c r="C71" s="1" t="s">
        <v>177</v>
      </c>
      <c r="D71" s="2">
        <v>6541.662478304801</v>
      </c>
      <c r="E71" s="2">
        <v>31083.969183970697</v>
      </c>
      <c r="F71" s="2">
        <v>133971.5439517888</v>
      </c>
      <c r="G71" s="2">
        <v>199043.61901105518</v>
      </c>
      <c r="H71" s="2">
        <v>300892.52886207408</v>
      </c>
      <c r="I71" s="2">
        <v>566580.50139402261</v>
      </c>
      <c r="J71" s="2">
        <v>1117532.2517488913</v>
      </c>
      <c r="K71" s="2">
        <v>1783676.9274823852</v>
      </c>
      <c r="L71" s="2">
        <v>1817579.9170952563</v>
      </c>
      <c r="M71" s="2">
        <v>1876925.2226810686</v>
      </c>
      <c r="N71" s="2">
        <v>2198174.5805532895</v>
      </c>
      <c r="O71" s="2">
        <v>2195838.8774902178</v>
      </c>
      <c r="P71" s="2">
        <v>2240919.4740657797</v>
      </c>
      <c r="Q71" s="2">
        <v>2433242.5012977072</v>
      </c>
      <c r="R71" s="2">
        <v>2669756.1938962694</v>
      </c>
      <c r="S71" s="2">
        <v>2788333.704134027</v>
      </c>
      <c r="T71" s="2">
        <v>3026707.899632324</v>
      </c>
      <c r="U71" s="2">
        <v>3170335.6953932275</v>
      </c>
      <c r="V71" s="2">
        <v>3295552.3500000006</v>
      </c>
      <c r="W71" s="2">
        <v>3274363.7471165024</v>
      </c>
      <c r="X71" s="2">
        <v>3362738.1178559195</v>
      </c>
      <c r="Y71" s="2">
        <v>3546348.9275177922</v>
      </c>
      <c r="Z71" s="2">
        <v>3621367.3033765578</v>
      </c>
      <c r="AA71" s="2">
        <v>3585044.4576775506</v>
      </c>
      <c r="AB71" s="2">
        <v>3494510.5685857497</v>
      </c>
      <c r="AC71" s="2">
        <v>3585236.2844841913</v>
      </c>
      <c r="AD71" s="2">
        <v>3527674.5134344492</v>
      </c>
      <c r="AE71" s="2">
        <v>3501216.6019483679</v>
      </c>
      <c r="AF71" s="2">
        <v>3372104.4334505182</v>
      </c>
      <c r="AG71" s="2">
        <v>3204138.1501238733</v>
      </c>
    </row>
    <row r="72" spans="1:33" x14ac:dyDescent="0.2">
      <c r="A72" s="1" t="s">
        <v>171</v>
      </c>
      <c r="B72" s="1" t="s">
        <v>178</v>
      </c>
      <c r="C72" s="1" t="s">
        <v>179</v>
      </c>
      <c r="D72" s="2">
        <v>13311.802138756499</v>
      </c>
      <c r="E72" s="2">
        <v>62840.498378507</v>
      </c>
      <c r="F72" s="2">
        <v>391542.0028184136</v>
      </c>
      <c r="G72" s="2">
        <v>626857.4830248853</v>
      </c>
      <c r="H72" s="2">
        <v>994762.47096331941</v>
      </c>
      <c r="I72" s="2">
        <v>1834218.2628104019</v>
      </c>
      <c r="J72" s="2">
        <v>3350004.5271001291</v>
      </c>
      <c r="K72" s="2">
        <v>1859864.9655324428</v>
      </c>
      <c r="L72" s="2">
        <v>1855173.2489456972</v>
      </c>
      <c r="M72" s="2">
        <v>2057902.8639206432</v>
      </c>
      <c r="N72" s="2">
        <v>2437284.3267658572</v>
      </c>
      <c r="O72" s="2">
        <v>2503435.4964163667</v>
      </c>
      <c r="P72" s="2">
        <v>2625119.7084928993</v>
      </c>
      <c r="Q72" s="2">
        <v>2818939.0582541339</v>
      </c>
      <c r="R72" s="2">
        <v>3087971.8665924184</v>
      </c>
      <c r="S72" s="2">
        <v>3192520.5726583507</v>
      </c>
      <c r="T72" s="2">
        <v>3490339.3626849661</v>
      </c>
      <c r="U72" s="2">
        <v>3607128.7462091069</v>
      </c>
      <c r="V72" s="2">
        <v>3823827.5670000003</v>
      </c>
      <c r="W72" s="2">
        <v>3872580.6697395169</v>
      </c>
      <c r="X72" s="2">
        <v>4044791.3899796209</v>
      </c>
      <c r="Y72" s="2">
        <v>4333247.9893397875</v>
      </c>
      <c r="Z72" s="2">
        <v>4423216.0816081483</v>
      </c>
      <c r="AA72" s="2">
        <v>4344300.0384059185</v>
      </c>
      <c r="AB72" s="2">
        <v>4205037.0363158025</v>
      </c>
      <c r="AC72" s="2">
        <v>4336767.3368539372</v>
      </c>
      <c r="AD72" s="2">
        <v>4239884.8323507607</v>
      </c>
      <c r="AE72" s="2">
        <v>4259904.5364383645</v>
      </c>
      <c r="AF72" s="2">
        <v>4144144.1855430957</v>
      </c>
      <c r="AG72" s="2">
        <v>3951990.0218751188</v>
      </c>
    </row>
    <row r="73" spans="1:33" x14ac:dyDescent="0.2">
      <c r="A73" s="1" t="s">
        <v>180</v>
      </c>
      <c r="B73" s="1" t="s">
        <v>181</v>
      </c>
      <c r="C73" s="1" t="s">
        <v>182</v>
      </c>
      <c r="D73" s="2">
        <v>1815.7923423237003</v>
      </c>
      <c r="E73" s="2">
        <v>17481.786023560704</v>
      </c>
      <c r="F73" s="2">
        <v>104479.71364780869</v>
      </c>
      <c r="G73" s="2">
        <v>141101.91334547568</v>
      </c>
      <c r="H73" s="2">
        <v>195745.78026075737</v>
      </c>
      <c r="I73" s="2">
        <v>294010.92094572767</v>
      </c>
      <c r="J73" s="2">
        <v>645069.00130059349</v>
      </c>
      <c r="K73" s="2">
        <v>1327878.9740813451</v>
      </c>
      <c r="L73" s="2">
        <v>1370308.8888805322</v>
      </c>
      <c r="M73" s="2">
        <v>1444429.4808881539</v>
      </c>
      <c r="N73" s="2">
        <v>1586718.1423279208</v>
      </c>
      <c r="O73" s="2">
        <v>1522892.4311609212</v>
      </c>
      <c r="P73" s="2">
        <v>1525669.8166591087</v>
      </c>
      <c r="Q73" s="2">
        <v>1659949.394687626</v>
      </c>
      <c r="R73" s="2">
        <v>1773373.6278435078</v>
      </c>
      <c r="S73" s="2">
        <v>1886752.9838738102</v>
      </c>
      <c r="T73" s="2">
        <v>2032082.6466839102</v>
      </c>
      <c r="U73" s="2">
        <v>2196297.9133204627</v>
      </c>
      <c r="V73" s="2">
        <v>2282167.5609999998</v>
      </c>
      <c r="W73" s="2">
        <v>2310924.7920645354</v>
      </c>
      <c r="X73" s="2">
        <v>2355144.8805798409</v>
      </c>
      <c r="Y73" s="2">
        <v>2456017.0067706155</v>
      </c>
      <c r="Z73" s="2">
        <v>2570554.5291439109</v>
      </c>
      <c r="AA73" s="2">
        <v>2467117.2327394467</v>
      </c>
      <c r="AB73" s="2">
        <v>2468050.6731503988</v>
      </c>
      <c r="AC73" s="2">
        <v>2618617.1961924122</v>
      </c>
      <c r="AD73" s="2">
        <v>2618992.3218235765</v>
      </c>
      <c r="AE73" s="2">
        <v>2658160.0865805801</v>
      </c>
      <c r="AF73" s="2">
        <v>2501500.5766076469</v>
      </c>
      <c r="AG73" s="2">
        <v>2417579.1145432834</v>
      </c>
    </row>
    <row r="74" spans="1:33" x14ac:dyDescent="0.2">
      <c r="A74" s="1" t="s">
        <v>180</v>
      </c>
      <c r="B74" s="1" t="s">
        <v>183</v>
      </c>
      <c r="C74" s="1" t="s">
        <v>184</v>
      </c>
      <c r="D74" s="2">
        <v>1058.2101067845999</v>
      </c>
      <c r="E74" s="2">
        <v>5285.5316201889</v>
      </c>
      <c r="F74" s="2">
        <v>55491.513440245704</v>
      </c>
      <c r="G74" s="2">
        <v>78999.806516248194</v>
      </c>
      <c r="H74" s="2">
        <v>115603.09595840999</v>
      </c>
      <c r="I74" s="2">
        <v>187745.13016197682</v>
      </c>
      <c r="J74" s="2">
        <v>417900.53779278311</v>
      </c>
      <c r="K74" s="2">
        <v>712767.48946016841</v>
      </c>
      <c r="L74" s="2">
        <v>745520.94218917948</v>
      </c>
      <c r="M74" s="2">
        <v>800420.82717454294</v>
      </c>
      <c r="N74" s="2">
        <v>892588.04641469102</v>
      </c>
      <c r="O74" s="2">
        <v>880886.03770238126</v>
      </c>
      <c r="P74" s="2">
        <v>902808.70642308844</v>
      </c>
      <c r="Q74" s="2">
        <v>971109.11810999922</v>
      </c>
      <c r="R74" s="2">
        <v>1043271.8701710622</v>
      </c>
      <c r="S74" s="2">
        <v>1120320.0243667637</v>
      </c>
      <c r="T74" s="2">
        <v>1192831.0767084593</v>
      </c>
      <c r="U74" s="2">
        <v>1299147.754475225</v>
      </c>
      <c r="V74" s="2">
        <v>1365078.3169999998</v>
      </c>
      <c r="W74" s="2">
        <v>1398706.5664030698</v>
      </c>
      <c r="X74" s="2">
        <v>1425899.3507122602</v>
      </c>
      <c r="Y74" s="2">
        <v>1457712.8661006424</v>
      </c>
      <c r="Z74" s="2">
        <v>1531388.8049729685</v>
      </c>
      <c r="AA74" s="2">
        <v>1482196.6024642657</v>
      </c>
      <c r="AB74" s="2">
        <v>1503610.3375866746</v>
      </c>
      <c r="AC74" s="2">
        <v>1624012.6393208462</v>
      </c>
      <c r="AD74" s="2">
        <v>1624138.5130676862</v>
      </c>
      <c r="AE74" s="2">
        <v>1672537.711019621</v>
      </c>
      <c r="AF74" s="2">
        <v>1583279.07387859</v>
      </c>
      <c r="AG74" s="2">
        <v>1579556.140218714</v>
      </c>
    </row>
    <row r="75" spans="1:33" x14ac:dyDescent="0.2">
      <c r="A75" s="1" t="s">
        <v>180</v>
      </c>
      <c r="B75" s="1" t="s">
        <v>185</v>
      </c>
      <c r="C75" s="1" t="s">
        <v>186</v>
      </c>
      <c r="D75" s="2">
        <v>6782.1647753012994</v>
      </c>
      <c r="E75" s="2">
        <v>38711.760675288191</v>
      </c>
      <c r="F75" s="2">
        <v>221043.93122539078</v>
      </c>
      <c r="G75" s="2">
        <v>266400.45186673675</v>
      </c>
      <c r="H75" s="2">
        <v>316719.83524048328</v>
      </c>
      <c r="I75" s="2">
        <v>553856.14168144588</v>
      </c>
      <c r="J75" s="2">
        <v>1346074.8083574057</v>
      </c>
      <c r="K75" s="2">
        <v>2960953.5253293533</v>
      </c>
      <c r="L75" s="2">
        <v>3039770.6721438663</v>
      </c>
      <c r="M75" s="2">
        <v>3217431.7405338464</v>
      </c>
      <c r="N75" s="2">
        <v>3535660.1679445207</v>
      </c>
      <c r="O75" s="2">
        <v>3387776.9524403922</v>
      </c>
      <c r="P75" s="2">
        <v>3497823.4062746707</v>
      </c>
      <c r="Q75" s="2">
        <v>3753304.1715603261</v>
      </c>
      <c r="R75" s="2">
        <v>4015922.5817352268</v>
      </c>
      <c r="S75" s="2">
        <v>4179756.0093117426</v>
      </c>
      <c r="T75" s="2">
        <v>4486462.1246524025</v>
      </c>
      <c r="U75" s="2">
        <v>4840088.2117494717</v>
      </c>
      <c r="V75" s="2">
        <v>5112695.9949999992</v>
      </c>
      <c r="W75" s="2">
        <v>5143901.8619666956</v>
      </c>
      <c r="X75" s="2">
        <v>5289293.5028281724</v>
      </c>
      <c r="Y75" s="2">
        <v>5432219.6573854918</v>
      </c>
      <c r="Z75" s="2">
        <v>5701222.3817206379</v>
      </c>
      <c r="AA75" s="2">
        <v>5522927.1240232103</v>
      </c>
      <c r="AB75" s="2">
        <v>5545939.0676953783</v>
      </c>
      <c r="AC75" s="2">
        <v>5878461.6755517041</v>
      </c>
      <c r="AD75" s="2">
        <v>5892788.2100746715</v>
      </c>
      <c r="AE75" s="2">
        <v>5957701.0735757267</v>
      </c>
      <c r="AF75" s="2">
        <v>5638642.9518512776</v>
      </c>
      <c r="AG75" s="2">
        <v>5447927.9859870374</v>
      </c>
    </row>
    <row r="76" spans="1:33" x14ac:dyDescent="0.2">
      <c r="A76" s="1" t="s">
        <v>180</v>
      </c>
      <c r="B76" s="1" t="s">
        <v>187</v>
      </c>
      <c r="C76" s="1" t="s">
        <v>188</v>
      </c>
      <c r="D76" s="2">
        <v>7010.6419574477986</v>
      </c>
      <c r="E76" s="2">
        <v>27774.663389191304</v>
      </c>
      <c r="F76" s="2">
        <v>142879.65652395191</v>
      </c>
      <c r="G76" s="2">
        <v>180241.96446371588</v>
      </c>
      <c r="H76" s="2">
        <v>203519.48758748989</v>
      </c>
      <c r="I76" s="2">
        <v>379162.91046175669</v>
      </c>
      <c r="J76" s="2">
        <v>889288.00998911459</v>
      </c>
      <c r="K76" s="2">
        <v>1901086.7993744705</v>
      </c>
      <c r="L76" s="2">
        <v>1916930.3365234626</v>
      </c>
      <c r="M76" s="2">
        <v>2041553.697201699</v>
      </c>
      <c r="N76" s="2">
        <v>2203416.9157542214</v>
      </c>
      <c r="O76" s="2">
        <v>2103105.934228899</v>
      </c>
      <c r="P76" s="2">
        <v>2144984.1871510157</v>
      </c>
      <c r="Q76" s="2">
        <v>2321585.603841465</v>
      </c>
      <c r="R76" s="2">
        <v>2453477.4837747719</v>
      </c>
      <c r="S76" s="2">
        <v>2527320.3742176453</v>
      </c>
      <c r="T76" s="2">
        <v>2676572.587664647</v>
      </c>
      <c r="U76" s="2">
        <v>2896499.1229425487</v>
      </c>
      <c r="V76" s="2">
        <v>3096490.5769999996</v>
      </c>
      <c r="W76" s="2">
        <v>3119875.1015643636</v>
      </c>
      <c r="X76" s="2">
        <v>3155596.336121473</v>
      </c>
      <c r="Y76" s="2">
        <v>3254627.560688159</v>
      </c>
      <c r="Z76" s="2">
        <v>3453434.6203200556</v>
      </c>
      <c r="AA76" s="2">
        <v>3294851.8860253398</v>
      </c>
      <c r="AB76" s="2">
        <v>3315589.4600140695</v>
      </c>
      <c r="AC76" s="2">
        <v>3493612.5432547168</v>
      </c>
      <c r="AD76" s="2">
        <v>3497607.2656553541</v>
      </c>
      <c r="AE76" s="2">
        <v>3529844.9571558177</v>
      </c>
      <c r="AF76" s="2">
        <v>3377294.4898293852</v>
      </c>
      <c r="AG76" s="2">
        <v>3289158.9487813259</v>
      </c>
    </row>
    <row r="77" spans="1:33" x14ac:dyDescent="0.2">
      <c r="A77" s="1" t="s">
        <v>180</v>
      </c>
      <c r="B77" s="1" t="s">
        <v>189</v>
      </c>
      <c r="C77" s="1" t="s">
        <v>190</v>
      </c>
      <c r="D77" s="2">
        <v>41053.7420973025</v>
      </c>
      <c r="E77" s="2">
        <v>179883.77142836151</v>
      </c>
      <c r="F77" s="2">
        <v>2326822.7272494137</v>
      </c>
      <c r="G77" s="2">
        <v>2866079.1891869605</v>
      </c>
      <c r="H77" s="2">
        <v>3431767.0150612397</v>
      </c>
      <c r="I77" s="2">
        <v>5211759.040894107</v>
      </c>
      <c r="J77" s="2">
        <v>9285440.5720894597</v>
      </c>
      <c r="K77" s="2">
        <v>5407522.1695688218</v>
      </c>
      <c r="L77" s="2">
        <v>5384108.7253494747</v>
      </c>
      <c r="M77" s="2">
        <v>5702555.1430537067</v>
      </c>
      <c r="N77" s="2">
        <v>6127368.8379352493</v>
      </c>
      <c r="O77" s="2">
        <v>5927646.6092660017</v>
      </c>
      <c r="P77" s="2">
        <v>6062349.5135086812</v>
      </c>
      <c r="Q77" s="2">
        <v>6553845.166706386</v>
      </c>
      <c r="R77" s="2">
        <v>7013064.2202647747</v>
      </c>
      <c r="S77" s="2">
        <v>7398428.6466687974</v>
      </c>
      <c r="T77" s="2">
        <v>7743931.7565532308</v>
      </c>
      <c r="U77" s="2">
        <v>8187076.662306306</v>
      </c>
      <c r="V77" s="2">
        <v>8527341.3589999992</v>
      </c>
      <c r="W77" s="2">
        <v>8544723.6530755721</v>
      </c>
      <c r="X77" s="2">
        <v>8715838.5232326072</v>
      </c>
      <c r="Y77" s="2">
        <v>8849627.9662608188</v>
      </c>
      <c r="Z77" s="2">
        <v>9429671.1736190971</v>
      </c>
      <c r="AA77" s="2">
        <v>9173783.7645149715</v>
      </c>
      <c r="AB77" s="2">
        <v>9148931.2781515419</v>
      </c>
      <c r="AC77" s="2">
        <v>9672522.4008999225</v>
      </c>
      <c r="AD77" s="2">
        <v>9748888.7279827259</v>
      </c>
      <c r="AE77" s="2">
        <v>9876589.8254636582</v>
      </c>
      <c r="AF77" s="2">
        <v>9211591.7490494605</v>
      </c>
      <c r="AG77" s="2">
        <v>8732618.6352142543</v>
      </c>
    </row>
    <row r="78" spans="1:33" x14ac:dyDescent="0.2">
      <c r="A78" s="1" t="s">
        <v>191</v>
      </c>
      <c r="B78" s="1" t="s">
        <v>192</v>
      </c>
      <c r="C78" s="1" t="s">
        <v>193</v>
      </c>
      <c r="D78" s="2">
        <v>3294.8814688521998</v>
      </c>
      <c r="E78" s="2">
        <v>13774.8668447569</v>
      </c>
      <c r="F78" s="2">
        <v>38781.515010446405</v>
      </c>
      <c r="G78" s="2">
        <v>68474.455660966501</v>
      </c>
      <c r="H78" s="2">
        <v>89227.676653395305</v>
      </c>
      <c r="I78" s="2">
        <v>174020.44043779731</v>
      </c>
      <c r="J78" s="2">
        <v>373496.93554224342</v>
      </c>
      <c r="K78" s="2">
        <v>593254.92498531332</v>
      </c>
      <c r="L78" s="2">
        <v>573977.23911375529</v>
      </c>
      <c r="M78" s="2">
        <v>645143.37515978434</v>
      </c>
      <c r="N78" s="2">
        <v>838089.35511529667</v>
      </c>
      <c r="O78" s="2">
        <v>826035.72436174774</v>
      </c>
      <c r="P78" s="2">
        <v>840289.03835570952</v>
      </c>
      <c r="Q78" s="2">
        <v>900321.39179099689</v>
      </c>
      <c r="R78" s="2">
        <v>976148.22178060107</v>
      </c>
      <c r="S78" s="2">
        <v>1141453.3446806869</v>
      </c>
      <c r="T78" s="2">
        <v>1153394.4533039974</v>
      </c>
      <c r="U78" s="2">
        <v>1242795.4497272309</v>
      </c>
      <c r="V78" s="2">
        <v>1281621.8969999996</v>
      </c>
      <c r="W78" s="2">
        <v>1345809.2476452242</v>
      </c>
      <c r="X78" s="2">
        <v>1359161.1939413764</v>
      </c>
      <c r="Y78" s="2">
        <v>1509756.2784133924</v>
      </c>
      <c r="Z78" s="2">
        <v>1533450.3485095976</v>
      </c>
      <c r="AA78" s="2">
        <v>1558769.4137814099</v>
      </c>
      <c r="AB78" s="2">
        <v>1564172.7070148974</v>
      </c>
      <c r="AC78" s="2">
        <v>1604657.0536155226</v>
      </c>
      <c r="AD78" s="2">
        <v>1699742.9074374277</v>
      </c>
      <c r="AE78" s="2">
        <v>1772984.1766568171</v>
      </c>
      <c r="AF78" s="2">
        <v>1723071.2767128011</v>
      </c>
      <c r="AG78" s="2">
        <v>1611711.0342615452</v>
      </c>
    </row>
    <row r="79" spans="1:33" x14ac:dyDescent="0.2">
      <c r="A79" s="1" t="s">
        <v>191</v>
      </c>
      <c r="B79" s="1" t="s">
        <v>194</v>
      </c>
      <c r="C79" s="1" t="s">
        <v>195</v>
      </c>
      <c r="D79" s="2">
        <v>4641.6943320328</v>
      </c>
      <c r="E79" s="2">
        <v>35712.075000715107</v>
      </c>
      <c r="F79" s="2">
        <v>271775.41584723315</v>
      </c>
      <c r="G79" s="2">
        <v>528121.94278092077</v>
      </c>
      <c r="H79" s="2">
        <v>698899.18633025687</v>
      </c>
      <c r="I79" s="2">
        <v>1436970.2913536537</v>
      </c>
      <c r="J79" s="2">
        <v>2813580.1922544874</v>
      </c>
      <c r="K79" s="2">
        <v>1571765.0896254629</v>
      </c>
      <c r="L79" s="2">
        <v>1482208.4785337185</v>
      </c>
      <c r="M79" s="2">
        <v>1448770.2075967679</v>
      </c>
      <c r="N79" s="2">
        <v>1988327.9713164668</v>
      </c>
      <c r="O79" s="2">
        <v>1982760.7120950141</v>
      </c>
      <c r="P79" s="2">
        <v>2024691.4869570159</v>
      </c>
      <c r="Q79" s="2">
        <v>2103189.984534963</v>
      </c>
      <c r="R79" s="2">
        <v>2288433.7541634561</v>
      </c>
      <c r="S79" s="2">
        <v>2631899.4707197971</v>
      </c>
      <c r="T79" s="2">
        <v>2697203.7509696297</v>
      </c>
      <c r="U79" s="2">
        <v>2906065.9602870294</v>
      </c>
      <c r="V79" s="2">
        <v>3045826.4130000006</v>
      </c>
      <c r="W79" s="2">
        <v>3180037.9098737109</v>
      </c>
      <c r="X79" s="2">
        <v>3244073.2722768732</v>
      </c>
      <c r="Y79" s="2">
        <v>3544693.9452739959</v>
      </c>
      <c r="Z79" s="2">
        <v>3648142.0138049587</v>
      </c>
      <c r="AA79" s="2">
        <v>3740129.3748279517</v>
      </c>
      <c r="AB79" s="2">
        <v>3758309.0568535575</v>
      </c>
      <c r="AC79" s="2">
        <v>3845043.9169706954</v>
      </c>
      <c r="AD79" s="2">
        <v>4101696.946820383</v>
      </c>
      <c r="AE79" s="2">
        <v>4236449.8720526714</v>
      </c>
      <c r="AF79" s="2">
        <v>4164047.9330206462</v>
      </c>
      <c r="AG79" s="2">
        <v>3798977.6724057426</v>
      </c>
    </row>
    <row r="80" spans="1:33" x14ac:dyDescent="0.2">
      <c r="A80" s="1" t="s">
        <v>191</v>
      </c>
      <c r="B80" s="1" t="s">
        <v>196</v>
      </c>
      <c r="C80" s="1" t="s">
        <v>197</v>
      </c>
      <c r="D80" s="2">
        <v>1382.8882077300998</v>
      </c>
      <c r="E80" s="2">
        <v>6960.7039907016006</v>
      </c>
      <c r="F80" s="2">
        <v>31432.733425766193</v>
      </c>
      <c r="G80" s="2">
        <v>47954.774510056006</v>
      </c>
      <c r="H80" s="2">
        <v>52328.205649184798</v>
      </c>
      <c r="I80" s="2">
        <v>126733.39714736069</v>
      </c>
      <c r="J80" s="2">
        <v>345466.40967078513</v>
      </c>
      <c r="K80" s="2">
        <v>488489.81665219594</v>
      </c>
      <c r="L80" s="2">
        <v>475568.17676124885</v>
      </c>
      <c r="M80" s="2">
        <v>507241.34528955346</v>
      </c>
      <c r="N80" s="2">
        <v>679359.92957171879</v>
      </c>
      <c r="O80" s="2">
        <v>685320.79736806918</v>
      </c>
      <c r="P80" s="2">
        <v>702760.55237523338</v>
      </c>
      <c r="Q80" s="2">
        <v>747081.15412396705</v>
      </c>
      <c r="R80" s="2">
        <v>811752.75947744609</v>
      </c>
      <c r="S80" s="2">
        <v>960476.98459776165</v>
      </c>
      <c r="T80" s="2">
        <v>978088.71202470071</v>
      </c>
      <c r="U80" s="2">
        <v>1065607.1743478391</v>
      </c>
      <c r="V80" s="2">
        <v>1081161.4040000003</v>
      </c>
      <c r="W80" s="2">
        <v>1135161.7352227394</v>
      </c>
      <c r="X80" s="2">
        <v>1153458.3588190302</v>
      </c>
      <c r="Y80" s="2">
        <v>1289070.6652854949</v>
      </c>
      <c r="Z80" s="2">
        <v>1326794.1066681833</v>
      </c>
      <c r="AA80" s="2">
        <v>1356675.863885866</v>
      </c>
      <c r="AB80" s="2">
        <v>1345275.9378776692</v>
      </c>
      <c r="AC80" s="2">
        <v>1386402.9527433028</v>
      </c>
      <c r="AD80" s="2">
        <v>1464498.1990570254</v>
      </c>
      <c r="AE80" s="2">
        <v>1529061.0609891256</v>
      </c>
      <c r="AF80" s="2">
        <v>1527502.4588339247</v>
      </c>
      <c r="AG80" s="2">
        <v>1399151.4959843492</v>
      </c>
    </row>
    <row r="81" spans="1:33" x14ac:dyDescent="0.2">
      <c r="A81" s="1" t="s">
        <v>191</v>
      </c>
      <c r="B81" s="1" t="s">
        <v>198</v>
      </c>
      <c r="C81" s="1" t="s">
        <v>199</v>
      </c>
      <c r="D81" s="2">
        <v>1058.2101067847</v>
      </c>
      <c r="E81" s="2">
        <v>4498.8128950431001</v>
      </c>
      <c r="F81" s="2">
        <v>28661.685861782309</v>
      </c>
      <c r="G81" s="2">
        <v>57078.144470461011</v>
      </c>
      <c r="H81" s="2">
        <v>84034.087952916292</v>
      </c>
      <c r="I81" s="2">
        <v>154311.70109161342</v>
      </c>
      <c r="J81" s="2">
        <v>308936.57634908042</v>
      </c>
      <c r="K81" s="2">
        <v>493212.53094524198</v>
      </c>
      <c r="L81" s="2">
        <v>496011.65320618963</v>
      </c>
      <c r="M81" s="2">
        <v>555237.55940066813</v>
      </c>
      <c r="N81" s="2">
        <v>703068.61451221444</v>
      </c>
      <c r="O81" s="2">
        <v>695979.17663593625</v>
      </c>
      <c r="P81" s="2">
        <v>697635.03486710263</v>
      </c>
      <c r="Q81" s="2">
        <v>761862.38390583673</v>
      </c>
      <c r="R81" s="2">
        <v>822831.33291414927</v>
      </c>
      <c r="S81" s="2">
        <v>963230.85124498431</v>
      </c>
      <c r="T81" s="2">
        <v>986387.38897958619</v>
      </c>
      <c r="U81" s="2">
        <v>1046428.8856236199</v>
      </c>
      <c r="V81" s="2">
        <v>1068861.3899999999</v>
      </c>
      <c r="W81" s="2">
        <v>1118067.1408223673</v>
      </c>
      <c r="X81" s="2">
        <v>1147910.2860706337</v>
      </c>
      <c r="Y81" s="2">
        <v>1252550.982489561</v>
      </c>
      <c r="Z81" s="2">
        <v>1286329.458576597</v>
      </c>
      <c r="AA81" s="2">
        <v>1309657.1554834084</v>
      </c>
      <c r="AB81" s="2">
        <v>1321457.1714053578</v>
      </c>
      <c r="AC81" s="2">
        <v>1347929.2056080082</v>
      </c>
      <c r="AD81" s="2">
        <v>1430730.5200938378</v>
      </c>
      <c r="AE81" s="2">
        <v>1496286.6735734052</v>
      </c>
      <c r="AF81" s="2">
        <v>1488478.6175364377</v>
      </c>
      <c r="AG81" s="2">
        <v>1367651.5843471363</v>
      </c>
    </row>
    <row r="82" spans="1:33" x14ac:dyDescent="0.2">
      <c r="A82" s="1" t="s">
        <v>200</v>
      </c>
      <c r="B82" s="1" t="s">
        <v>201</v>
      </c>
      <c r="C82" s="1" t="s">
        <v>202</v>
      </c>
      <c r="F82" s="2">
        <v>137857.18560352735</v>
      </c>
      <c r="G82" s="2">
        <v>192640.87395327882</v>
      </c>
      <c r="H82" s="2">
        <v>237933.37325330998</v>
      </c>
      <c r="I82" s="2">
        <v>222745.18014013016</v>
      </c>
      <c r="J82" s="2">
        <v>822177.96464193531</v>
      </c>
      <c r="K82" s="2">
        <v>900145.52984624996</v>
      </c>
      <c r="L82" s="2">
        <v>917224.92428708472</v>
      </c>
      <c r="M82" s="2">
        <v>932111.09148098005</v>
      </c>
      <c r="N82" s="2">
        <v>1194420.8177937276</v>
      </c>
      <c r="O82" s="2">
        <v>1202706.4283497187</v>
      </c>
      <c r="P82" s="2">
        <v>1194394.1758242499</v>
      </c>
      <c r="Q82" s="2">
        <v>1264694.3058017604</v>
      </c>
      <c r="R82" s="2">
        <v>1292891.6611492611</v>
      </c>
      <c r="S82" s="2">
        <v>1389693.9966662002</v>
      </c>
      <c r="T82" s="2">
        <v>1461046.6551413368</v>
      </c>
      <c r="U82" s="2">
        <v>1484058.1416783144</v>
      </c>
      <c r="V82" s="2">
        <v>1536756.7079999996</v>
      </c>
      <c r="W82" s="2">
        <v>1607450.2976207216</v>
      </c>
      <c r="X82" s="2">
        <v>1690637.8500253079</v>
      </c>
      <c r="Y82" s="2">
        <v>1827148.8867848485</v>
      </c>
      <c r="Z82" s="2">
        <v>1901104.5325700773</v>
      </c>
      <c r="AA82" s="2">
        <v>1902888.0863543793</v>
      </c>
      <c r="AB82" s="2">
        <v>1971692.1764617693</v>
      </c>
      <c r="AC82" s="2">
        <v>2062907.3221835166</v>
      </c>
      <c r="AD82" s="2">
        <v>1985184.4128170591</v>
      </c>
      <c r="AE82" s="2">
        <v>1982183.2190756528</v>
      </c>
      <c r="AF82" s="2">
        <v>1932841.9041766343</v>
      </c>
      <c r="AG82" s="2">
        <v>1805631.4011495218</v>
      </c>
    </row>
    <row r="83" spans="1:33" x14ac:dyDescent="0.2">
      <c r="A83" s="1" t="s">
        <v>200</v>
      </c>
      <c r="B83" s="1" t="s">
        <v>203</v>
      </c>
      <c r="C83" s="1" t="s">
        <v>204</v>
      </c>
      <c r="F83" s="2">
        <v>52384.970141376696</v>
      </c>
      <c r="G83" s="2">
        <v>83343.092754962301</v>
      </c>
      <c r="H83" s="2">
        <v>116802.08511896963</v>
      </c>
      <c r="I83" s="2">
        <v>99583.948872182504</v>
      </c>
      <c r="J83" s="2">
        <v>352586.57938782882</v>
      </c>
      <c r="K83" s="2">
        <v>463908.33907743724</v>
      </c>
      <c r="L83" s="2">
        <v>453639.29754458001</v>
      </c>
      <c r="M83" s="2">
        <v>465538.2462576754</v>
      </c>
      <c r="N83" s="2">
        <v>598903.51838471508</v>
      </c>
      <c r="O83" s="2">
        <v>600835.15968582546</v>
      </c>
      <c r="P83" s="2">
        <v>599814.78356626723</v>
      </c>
      <c r="Q83" s="2">
        <v>637853.07420711813</v>
      </c>
      <c r="R83" s="2">
        <v>646301.01488849998</v>
      </c>
      <c r="S83" s="2">
        <v>695873.14753649663</v>
      </c>
      <c r="T83" s="2">
        <v>721527.87500139803</v>
      </c>
      <c r="U83" s="2">
        <v>721954.11785419961</v>
      </c>
      <c r="V83" s="2">
        <v>750938.92599999998</v>
      </c>
      <c r="W83" s="2">
        <v>776511.66874550655</v>
      </c>
      <c r="X83" s="2">
        <v>810258.25269582181</v>
      </c>
      <c r="Y83" s="2">
        <v>879631.49118533777</v>
      </c>
      <c r="Z83" s="2">
        <v>921424.33905635239</v>
      </c>
      <c r="AA83" s="2">
        <v>923175.56690946349</v>
      </c>
      <c r="AB83" s="2">
        <v>944306.02313596581</v>
      </c>
      <c r="AC83" s="2">
        <v>977300.73300968611</v>
      </c>
      <c r="AD83" s="2">
        <v>939086.16164520604</v>
      </c>
      <c r="AE83" s="2">
        <v>930705.85001493501</v>
      </c>
      <c r="AF83" s="2">
        <v>903144.21744175698</v>
      </c>
      <c r="AG83" s="2">
        <v>836163.59718508879</v>
      </c>
    </row>
    <row r="84" spans="1:33" x14ac:dyDescent="0.2">
      <c r="A84" s="1" t="s">
        <v>200</v>
      </c>
      <c r="B84" s="1" t="s">
        <v>205</v>
      </c>
      <c r="C84" s="1" t="s">
        <v>206</v>
      </c>
      <c r="D84" s="2">
        <v>120.2511484983</v>
      </c>
      <c r="E84" s="2">
        <v>3908.3359918209999</v>
      </c>
      <c r="F84" s="2">
        <v>370672.3741403165</v>
      </c>
      <c r="G84" s="2">
        <v>524410.15511720534</v>
      </c>
      <c r="H84" s="2">
        <v>646444.82817284646</v>
      </c>
      <c r="I84" s="2">
        <v>647254.80586768116</v>
      </c>
      <c r="J84" s="2">
        <v>2615712.9788920688</v>
      </c>
      <c r="K84" s="2">
        <v>2573273.7523903046</v>
      </c>
      <c r="L84" s="2">
        <v>2711544.0660633626</v>
      </c>
      <c r="M84" s="2">
        <v>2752323.1865885113</v>
      </c>
      <c r="N84" s="2">
        <v>3517929.4301696094</v>
      </c>
      <c r="O84" s="2">
        <v>3557350.4346673191</v>
      </c>
      <c r="P84" s="2">
        <v>3556989.5521437987</v>
      </c>
      <c r="Q84" s="2">
        <v>3780178.30260453</v>
      </c>
      <c r="R84" s="2">
        <v>3874912.5346054188</v>
      </c>
      <c r="S84" s="2">
        <v>4047896.2227045177</v>
      </c>
      <c r="T84" s="2">
        <v>4219253.6151328143</v>
      </c>
      <c r="U84" s="2">
        <v>4247076.379870927</v>
      </c>
      <c r="V84" s="2">
        <v>4468337.477</v>
      </c>
      <c r="W84" s="2">
        <v>4686525.1338800099</v>
      </c>
      <c r="X84" s="2">
        <v>5043029.6294649271</v>
      </c>
      <c r="Y84" s="2">
        <v>5490209.4105905211</v>
      </c>
      <c r="Z84" s="2">
        <v>5733960.0903969062</v>
      </c>
      <c r="AA84" s="2">
        <v>5773000.6255401559</v>
      </c>
      <c r="AB84" s="2">
        <v>6015094.349820693</v>
      </c>
      <c r="AC84" s="2">
        <v>6233433.608177959</v>
      </c>
      <c r="AD84" s="2">
        <v>6112266.7040589126</v>
      </c>
      <c r="AE84" s="2">
        <v>6093199.1821565051</v>
      </c>
      <c r="AF84" s="2">
        <v>6007338.5410788786</v>
      </c>
      <c r="AG84" s="2">
        <v>5522932.9025588259</v>
      </c>
    </row>
    <row r="85" spans="1:33" x14ac:dyDescent="0.2">
      <c r="A85" s="1" t="s">
        <v>200</v>
      </c>
      <c r="B85" s="1" t="s">
        <v>207</v>
      </c>
      <c r="C85" s="1" t="s">
        <v>208</v>
      </c>
      <c r="D85" s="2">
        <v>1322.7626334807999</v>
      </c>
      <c r="E85" s="2">
        <v>16218.862467932</v>
      </c>
      <c r="F85" s="2">
        <v>160430.75812678543</v>
      </c>
      <c r="G85" s="2">
        <v>196103.99966810734</v>
      </c>
      <c r="H85" s="2">
        <v>212208.63364276686</v>
      </c>
      <c r="I85" s="2">
        <v>187810.02564050152</v>
      </c>
      <c r="J85" s="2">
        <v>585500.2633021588</v>
      </c>
      <c r="K85" s="2">
        <v>777831.75926623167</v>
      </c>
      <c r="L85" s="2">
        <v>787654.00804257754</v>
      </c>
      <c r="M85" s="2">
        <v>792346.36629561521</v>
      </c>
      <c r="N85" s="2">
        <v>979090.38907000842</v>
      </c>
      <c r="O85" s="2">
        <v>969688.80694982444</v>
      </c>
      <c r="P85" s="2">
        <v>969591.09964203706</v>
      </c>
      <c r="Q85" s="2">
        <v>1036820.7453308222</v>
      </c>
      <c r="R85" s="2">
        <v>1065635.8502150669</v>
      </c>
      <c r="S85" s="2">
        <v>1116676.9919344401</v>
      </c>
      <c r="T85" s="2">
        <v>1172824.2465633955</v>
      </c>
      <c r="U85" s="2">
        <v>1162898.3383294826</v>
      </c>
      <c r="V85" s="2">
        <v>1200924.6629999997</v>
      </c>
      <c r="W85" s="2">
        <v>1247850.6453162292</v>
      </c>
      <c r="X85" s="2">
        <v>1310019.855841931</v>
      </c>
      <c r="Y85" s="2">
        <v>1407615.5782271784</v>
      </c>
      <c r="Z85" s="2">
        <v>1459395.3078041712</v>
      </c>
      <c r="AA85" s="2">
        <v>1458529.4478472003</v>
      </c>
      <c r="AB85" s="2">
        <v>1508030.864338394</v>
      </c>
      <c r="AC85" s="2">
        <v>1567315.3552157991</v>
      </c>
      <c r="AD85" s="2">
        <v>1494105.1621533071</v>
      </c>
      <c r="AE85" s="2">
        <v>1479884.5903339656</v>
      </c>
      <c r="AF85" s="2">
        <v>1461531.485972591</v>
      </c>
      <c r="AG85" s="2">
        <v>1361413.7292554737</v>
      </c>
    </row>
    <row r="86" spans="1:33" x14ac:dyDescent="0.2">
      <c r="A86" s="1" t="s">
        <v>200</v>
      </c>
      <c r="B86" s="1" t="s">
        <v>209</v>
      </c>
      <c r="C86" s="1" t="s">
        <v>210</v>
      </c>
      <c r="D86" s="2">
        <v>2922.1029085075002</v>
      </c>
      <c r="E86" s="2">
        <v>46504.806913915905</v>
      </c>
      <c r="F86" s="2">
        <v>172230.49205359229</v>
      </c>
      <c r="G86" s="2">
        <v>232236.36630290339</v>
      </c>
      <c r="H86" s="2">
        <v>265609.30005438189</v>
      </c>
      <c r="I86" s="2">
        <v>234128.22386490169</v>
      </c>
      <c r="J86" s="2">
        <v>807218.15165983944</v>
      </c>
      <c r="K86" s="2">
        <v>882105.7625289968</v>
      </c>
      <c r="L86" s="2">
        <v>909368.99473447958</v>
      </c>
      <c r="M86" s="2">
        <v>930717.72029339918</v>
      </c>
      <c r="N86" s="2">
        <v>1189588.0031931088</v>
      </c>
      <c r="O86" s="2">
        <v>1192992.7699328139</v>
      </c>
      <c r="P86" s="2">
        <v>1254063.9554022413</v>
      </c>
      <c r="Q86" s="2">
        <v>1338225.2539020097</v>
      </c>
      <c r="R86" s="2">
        <v>1366300.382930079</v>
      </c>
      <c r="S86" s="2">
        <v>1465767.2880710764</v>
      </c>
      <c r="T86" s="2">
        <v>1486780.6150930668</v>
      </c>
      <c r="U86" s="2">
        <v>1477117.3826423348</v>
      </c>
      <c r="V86" s="2">
        <v>1527536.6839999999</v>
      </c>
      <c r="W86" s="2">
        <v>1599726.263520373</v>
      </c>
      <c r="X86" s="2">
        <v>1694670.4305705056</v>
      </c>
      <c r="Y86" s="2">
        <v>1826578.7729311539</v>
      </c>
      <c r="Z86" s="2">
        <v>1893583.7836547592</v>
      </c>
      <c r="AA86" s="2">
        <v>1913716.0424952507</v>
      </c>
      <c r="AB86" s="2">
        <v>1971954.0248456805</v>
      </c>
      <c r="AC86" s="2">
        <v>2050746.0591723057</v>
      </c>
      <c r="AD86" s="2">
        <v>1988486.0477301655</v>
      </c>
      <c r="AE86" s="2">
        <v>1962044.7062136363</v>
      </c>
      <c r="AF86" s="2">
        <v>1927313.5838283878</v>
      </c>
      <c r="AG86" s="2">
        <v>1822940.5439262553</v>
      </c>
    </row>
    <row r="87" spans="1:33" x14ac:dyDescent="0.2">
      <c r="A87" s="1" t="s">
        <v>200</v>
      </c>
      <c r="B87" s="1" t="s">
        <v>211</v>
      </c>
      <c r="C87" s="1" t="s">
        <v>212</v>
      </c>
      <c r="D87" s="2">
        <v>853.78315433770001</v>
      </c>
      <c r="E87" s="2">
        <v>6265.0479569268</v>
      </c>
      <c r="F87" s="2">
        <v>157034.77750489488</v>
      </c>
      <c r="G87" s="2">
        <v>260389.91615874282</v>
      </c>
      <c r="H87" s="2">
        <v>375889.95338343713</v>
      </c>
      <c r="I87" s="2">
        <v>358403.04668614984</v>
      </c>
      <c r="J87" s="2">
        <v>1614203.1955572192</v>
      </c>
      <c r="K87" s="2">
        <v>1770967.7957831288</v>
      </c>
      <c r="L87" s="2">
        <v>1752341.8400433187</v>
      </c>
      <c r="M87" s="2">
        <v>1769775.3955331389</v>
      </c>
      <c r="N87" s="2">
        <v>2287276.1629933245</v>
      </c>
      <c r="O87" s="2">
        <v>2285748.1567436098</v>
      </c>
      <c r="P87" s="2">
        <v>2335575.4816934434</v>
      </c>
      <c r="Q87" s="2">
        <v>2484899.9144042148</v>
      </c>
      <c r="R87" s="2">
        <v>2552586.5472254236</v>
      </c>
      <c r="S87" s="2">
        <v>2696290.0952870422</v>
      </c>
      <c r="T87" s="2">
        <v>2774892.4605012909</v>
      </c>
      <c r="U87" s="2">
        <v>2772255.995525978</v>
      </c>
      <c r="V87" s="2">
        <v>2821904.4239999996</v>
      </c>
      <c r="W87" s="2">
        <v>2927959.7556004394</v>
      </c>
      <c r="X87" s="2">
        <v>3124737.2700218931</v>
      </c>
      <c r="Y87" s="2">
        <v>3322869.9246890196</v>
      </c>
      <c r="Z87" s="2">
        <v>3516881.1777999764</v>
      </c>
      <c r="AA87" s="2">
        <v>3498967.5617765929</v>
      </c>
      <c r="AB87" s="2">
        <v>3726194.4284823225</v>
      </c>
      <c r="AC87" s="2">
        <v>3903881.6910633245</v>
      </c>
      <c r="AD87" s="2">
        <v>3743263.42616774</v>
      </c>
      <c r="AE87" s="2">
        <v>3774971.0346012446</v>
      </c>
      <c r="AF87" s="2">
        <v>3711430.6888998342</v>
      </c>
      <c r="AG87" s="2">
        <v>3466135.2334412173</v>
      </c>
    </row>
    <row r="88" spans="1:33" x14ac:dyDescent="0.2">
      <c r="A88" s="1" t="s">
        <v>200</v>
      </c>
      <c r="B88" s="1" t="s">
        <v>213</v>
      </c>
      <c r="C88" s="1" t="s">
        <v>214</v>
      </c>
      <c r="F88" s="2">
        <v>55737.275586875396</v>
      </c>
      <c r="G88" s="2">
        <v>88215.79614215091</v>
      </c>
      <c r="H88" s="2">
        <v>121369.70461309083</v>
      </c>
      <c r="I88" s="2">
        <v>122230.1767137701</v>
      </c>
      <c r="J88" s="2">
        <v>502427.79536914726</v>
      </c>
      <c r="K88" s="2">
        <v>706051.74682336359</v>
      </c>
      <c r="L88" s="2">
        <v>687788.88978161418</v>
      </c>
      <c r="M88" s="2">
        <v>682105.25756086863</v>
      </c>
      <c r="N88" s="2">
        <v>868907.17755200702</v>
      </c>
      <c r="O88" s="2">
        <v>864972.21171263559</v>
      </c>
      <c r="P88" s="2">
        <v>874692.70856612409</v>
      </c>
      <c r="Q88" s="2">
        <v>925582.93797673297</v>
      </c>
      <c r="R88" s="2">
        <v>947073.4758494962</v>
      </c>
      <c r="S88" s="2">
        <v>1010220.0936243782</v>
      </c>
      <c r="T88" s="2">
        <v>1057080.5456690206</v>
      </c>
      <c r="U88" s="2">
        <v>1056702.9868360325</v>
      </c>
      <c r="V88" s="2">
        <v>1111889.905</v>
      </c>
      <c r="W88" s="2">
        <v>1167440.6840936469</v>
      </c>
      <c r="X88" s="2">
        <v>1228966.7182015963</v>
      </c>
      <c r="Y88" s="2">
        <v>1327683.8952935399</v>
      </c>
      <c r="Z88" s="2">
        <v>1399887.6135419109</v>
      </c>
      <c r="AA88" s="2">
        <v>1408666.0553602418</v>
      </c>
      <c r="AB88" s="2">
        <v>1463935.1720848156</v>
      </c>
      <c r="AC88" s="2">
        <v>1528172.1695309279</v>
      </c>
      <c r="AD88" s="2">
        <v>1478183.762717773</v>
      </c>
      <c r="AE88" s="2">
        <v>1483065.8932697603</v>
      </c>
      <c r="AF88" s="2">
        <v>1440673.6335704871</v>
      </c>
      <c r="AG88" s="2">
        <v>1362393.4669340756</v>
      </c>
    </row>
    <row r="89" spans="1:33" x14ac:dyDescent="0.2">
      <c r="A89" s="1" t="s">
        <v>200</v>
      </c>
      <c r="B89" s="1" t="s">
        <v>215</v>
      </c>
      <c r="C89" s="1" t="s">
        <v>216</v>
      </c>
      <c r="D89" s="2">
        <v>1034.1598770848</v>
      </c>
      <c r="E89" s="2">
        <v>6221.1340693779994</v>
      </c>
      <c r="F89" s="2">
        <v>69423.839975789393</v>
      </c>
      <c r="G89" s="2">
        <v>97495.039003162092</v>
      </c>
      <c r="H89" s="2">
        <v>117422.16044647869</v>
      </c>
      <c r="I89" s="2">
        <v>112892.12361341022</v>
      </c>
      <c r="J89" s="2">
        <v>478258.919756388</v>
      </c>
      <c r="K89" s="2">
        <v>775755.2907406165</v>
      </c>
      <c r="L89" s="2">
        <v>751439.97876588372</v>
      </c>
      <c r="M89" s="2">
        <v>763669.61915960466</v>
      </c>
      <c r="N89" s="2">
        <v>959660.53956042789</v>
      </c>
      <c r="O89" s="2">
        <v>992121.37515424914</v>
      </c>
      <c r="P89" s="2">
        <v>1000731.3908080843</v>
      </c>
      <c r="Q89" s="2">
        <v>1062963.6533076856</v>
      </c>
      <c r="R89" s="2">
        <v>1089870.578439787</v>
      </c>
      <c r="S89" s="2">
        <v>1123859.2832848167</v>
      </c>
      <c r="T89" s="2">
        <v>1163558.2863923286</v>
      </c>
      <c r="U89" s="2">
        <v>1158184.5361143209</v>
      </c>
      <c r="V89" s="2">
        <v>1170721.3090000004</v>
      </c>
      <c r="W89" s="2">
        <v>1217655.4282902114</v>
      </c>
      <c r="X89" s="2">
        <v>1273506.9178313303</v>
      </c>
      <c r="Y89" s="2">
        <v>1383435.9570326582</v>
      </c>
      <c r="Z89" s="2">
        <v>1437823.5185973593</v>
      </c>
      <c r="AA89" s="2">
        <v>1440982.8792326113</v>
      </c>
      <c r="AB89" s="2">
        <v>1495795.0476583762</v>
      </c>
      <c r="AC89" s="2">
        <v>1554825.4921121544</v>
      </c>
      <c r="AD89" s="2">
        <v>1510273.6864439889</v>
      </c>
      <c r="AE89" s="2">
        <v>1467571.2286529467</v>
      </c>
      <c r="AF89" s="2">
        <v>1441514.2802213801</v>
      </c>
      <c r="AG89" s="2">
        <v>1347808.3025011173</v>
      </c>
    </row>
    <row r="90" spans="1:33" x14ac:dyDescent="0.2">
      <c r="A90" s="1" t="s">
        <v>200</v>
      </c>
      <c r="B90" s="1" t="s">
        <v>217</v>
      </c>
      <c r="C90" s="1" t="s">
        <v>218</v>
      </c>
      <c r="D90" s="2">
        <v>1731.6165383749999</v>
      </c>
      <c r="E90" s="2">
        <v>14711.152328764398</v>
      </c>
      <c r="F90" s="2">
        <v>58555.633672073105</v>
      </c>
      <c r="G90" s="2">
        <v>78565.383833785512</v>
      </c>
      <c r="H90" s="2">
        <v>92277.535395614206</v>
      </c>
      <c r="I90" s="2">
        <v>83643.331350945999</v>
      </c>
      <c r="J90" s="2">
        <v>311771.8709271854</v>
      </c>
      <c r="K90" s="2">
        <v>527315.72527236096</v>
      </c>
      <c r="L90" s="2">
        <v>531428.80227251817</v>
      </c>
      <c r="M90" s="2">
        <v>538642.25825038448</v>
      </c>
      <c r="N90" s="2">
        <v>677495.08591434301</v>
      </c>
      <c r="O90" s="2">
        <v>678562.71330508497</v>
      </c>
      <c r="P90" s="2">
        <v>681316.37179914233</v>
      </c>
      <c r="Q90" s="2">
        <v>741060.00974386837</v>
      </c>
      <c r="R90" s="2">
        <v>766035.67739631492</v>
      </c>
      <c r="S90" s="2">
        <v>792062.84184579365</v>
      </c>
      <c r="T90" s="2">
        <v>854174.60738647461</v>
      </c>
      <c r="U90" s="2">
        <v>864362.02623946196</v>
      </c>
      <c r="V90" s="2">
        <v>891237.77799999993</v>
      </c>
      <c r="W90" s="2">
        <v>928027.3666863105</v>
      </c>
      <c r="X90" s="2">
        <v>963970.6413794253</v>
      </c>
      <c r="Y90" s="2">
        <v>1050824.4601554736</v>
      </c>
      <c r="Z90" s="2">
        <v>1093019.1497243776</v>
      </c>
      <c r="AA90" s="2">
        <v>1099109.0476096696</v>
      </c>
      <c r="AB90" s="2">
        <v>1134102.7311675861</v>
      </c>
      <c r="AC90" s="2">
        <v>1175608.7470793787</v>
      </c>
      <c r="AD90" s="2">
        <v>1129340.0918943316</v>
      </c>
      <c r="AE90" s="2">
        <v>1118238.0955757531</v>
      </c>
      <c r="AF90" s="2">
        <v>1071042.93708276</v>
      </c>
      <c r="AG90" s="2">
        <v>998818.36069737002</v>
      </c>
    </row>
    <row r="91" spans="1:33" x14ac:dyDescent="0.2">
      <c r="A91" s="1" t="s">
        <v>200</v>
      </c>
      <c r="B91" s="1" t="s">
        <v>219</v>
      </c>
      <c r="C91" s="1" t="s">
        <v>220</v>
      </c>
      <c r="D91" s="2">
        <v>16366.181310611602</v>
      </c>
      <c r="E91" s="2">
        <v>165321.14865777947</v>
      </c>
      <c r="F91" s="2">
        <v>1679820.8091463277</v>
      </c>
      <c r="G91" s="2">
        <v>2205907.5810016305</v>
      </c>
      <c r="H91" s="2">
        <v>2466652.6425633794</v>
      </c>
      <c r="I91" s="2">
        <v>2176137.7462547515</v>
      </c>
      <c r="J91" s="2">
        <v>7454357.2139222333</v>
      </c>
      <c r="K91" s="2">
        <v>4564645.2125380952</v>
      </c>
      <c r="L91" s="2">
        <v>4618367.7943664193</v>
      </c>
      <c r="M91" s="2">
        <v>4668488.0781030571</v>
      </c>
      <c r="N91" s="2">
        <v>5982475.9410671908</v>
      </c>
      <c r="O91" s="2">
        <v>6127568.3194882106</v>
      </c>
      <c r="P91" s="2">
        <v>6274151.6684809905</v>
      </c>
      <c r="Q91" s="2">
        <v>6794415.1177264573</v>
      </c>
      <c r="R91" s="2">
        <v>7145454.1839492191</v>
      </c>
      <c r="S91" s="2">
        <v>7474088.4704020135</v>
      </c>
      <c r="T91" s="2">
        <v>7718962.7770991772</v>
      </c>
      <c r="U91" s="2">
        <v>8139364.6339907432</v>
      </c>
      <c r="V91" s="2">
        <v>8252311.8330000015</v>
      </c>
      <c r="W91" s="2">
        <v>8726497.6080049761</v>
      </c>
      <c r="X91" s="2">
        <v>9337944.1585141383</v>
      </c>
      <c r="Y91" s="2">
        <v>10114504.087163281</v>
      </c>
      <c r="Z91" s="2">
        <v>10594812.998662814</v>
      </c>
      <c r="AA91" s="2">
        <v>10626531.856843445</v>
      </c>
      <c r="AB91" s="2">
        <v>10887847.523411622</v>
      </c>
      <c r="AC91" s="2">
        <v>11085288.015062621</v>
      </c>
      <c r="AD91" s="2">
        <v>10652197.418003911</v>
      </c>
      <c r="AE91" s="2">
        <v>10630538.393958708</v>
      </c>
      <c r="AF91" s="2">
        <v>10097386.349453295</v>
      </c>
      <c r="AG91" s="2">
        <v>9417293.5748172216</v>
      </c>
    </row>
    <row r="92" spans="1:33" x14ac:dyDescent="0.2">
      <c r="A92" s="1" t="s">
        <v>221</v>
      </c>
      <c r="B92" s="1" t="s">
        <v>222</v>
      </c>
      <c r="C92" s="1" t="s">
        <v>223</v>
      </c>
      <c r="D92" s="2">
        <v>4737.8952508312996</v>
      </c>
      <c r="E92" s="2">
        <v>17965.3685020337</v>
      </c>
      <c r="F92" s="2">
        <v>61107.493920867506</v>
      </c>
      <c r="G92" s="2">
        <v>97784.185882555088</v>
      </c>
      <c r="H92" s="2">
        <v>142559.6584977076</v>
      </c>
      <c r="I92" s="2">
        <v>194109.76754365879</v>
      </c>
      <c r="J92" s="2">
        <v>534135.67506128433</v>
      </c>
      <c r="K92" s="2">
        <v>1037516.6772434714</v>
      </c>
      <c r="L92" s="2">
        <v>1013245.6034595174</v>
      </c>
      <c r="M92" s="2">
        <v>1091783.503214648</v>
      </c>
      <c r="N92" s="2">
        <v>1262479.1764166316</v>
      </c>
      <c r="O92" s="2">
        <v>1179156.4836041513</v>
      </c>
      <c r="P92" s="2">
        <v>1183133.1227205892</v>
      </c>
      <c r="Q92" s="2">
        <v>1193416.7460887453</v>
      </c>
      <c r="R92" s="2">
        <v>1229878.1289072337</v>
      </c>
      <c r="S92" s="2">
        <v>1288850.422666366</v>
      </c>
      <c r="T92" s="2">
        <v>1371104.1870955641</v>
      </c>
      <c r="U92" s="2">
        <v>1407395.5066359369</v>
      </c>
      <c r="V92" s="2">
        <v>1403856.132</v>
      </c>
      <c r="W92" s="2">
        <v>1433178.092698914</v>
      </c>
      <c r="X92" s="2">
        <v>1422837.3371988849</v>
      </c>
      <c r="Y92" s="2">
        <v>1501728.4248048237</v>
      </c>
      <c r="Z92" s="2">
        <v>1500943.6363092507</v>
      </c>
      <c r="AA92" s="2">
        <v>1488823.1617522193</v>
      </c>
      <c r="AB92" s="2">
        <v>1470757.2004732999</v>
      </c>
      <c r="AC92" s="2">
        <v>1466724.56416413</v>
      </c>
      <c r="AD92" s="2">
        <v>1467361.2166324381</v>
      </c>
      <c r="AE92" s="2">
        <v>1486365.188719952</v>
      </c>
      <c r="AF92" s="2">
        <v>1426242.7965866046</v>
      </c>
      <c r="AG92" s="2">
        <v>1399970.5796930473</v>
      </c>
    </row>
    <row r="93" spans="1:33" x14ac:dyDescent="0.2">
      <c r="A93" s="1" t="s">
        <v>221</v>
      </c>
      <c r="B93" s="1" t="s">
        <v>224</v>
      </c>
      <c r="C93" s="1" t="s">
        <v>225</v>
      </c>
      <c r="D93" s="2">
        <v>10882.728939091799</v>
      </c>
      <c r="E93" s="2">
        <v>33924.823813538998</v>
      </c>
      <c r="F93" s="2">
        <v>195947.19908106464</v>
      </c>
      <c r="G93" s="2">
        <v>267216.58554663212</v>
      </c>
      <c r="H93" s="2">
        <v>326286.57042393333</v>
      </c>
      <c r="I93" s="2">
        <v>452250.91867962573</v>
      </c>
      <c r="J93" s="2">
        <v>1075316.687057975</v>
      </c>
      <c r="K93" s="2">
        <v>2451257.9824597705</v>
      </c>
      <c r="L93" s="2">
        <v>2450307.3190269861</v>
      </c>
      <c r="M93" s="2">
        <v>2605816.8810464693</v>
      </c>
      <c r="N93" s="2">
        <v>3128137.6670556329</v>
      </c>
      <c r="O93" s="2">
        <v>3175764.3235863065</v>
      </c>
      <c r="P93" s="2">
        <v>3429623.875767868</v>
      </c>
      <c r="Q93" s="2">
        <v>3631188.1112117423</v>
      </c>
      <c r="R93" s="2">
        <v>3757851.1758740121</v>
      </c>
      <c r="S93" s="2">
        <v>4030546.6810768656</v>
      </c>
      <c r="T93" s="2">
        <v>4399091.4085358661</v>
      </c>
      <c r="U93" s="2">
        <v>4371603.6989523005</v>
      </c>
      <c r="V93" s="2">
        <v>4529003.6609999994</v>
      </c>
      <c r="W93" s="2">
        <v>4646457.7067550896</v>
      </c>
      <c r="X93" s="2">
        <v>4854481.5508717448</v>
      </c>
      <c r="Y93" s="2">
        <v>5350652.4373820378</v>
      </c>
      <c r="Z93" s="2">
        <v>5281963.9512703968</v>
      </c>
      <c r="AA93" s="2">
        <v>5164929.3480313644</v>
      </c>
      <c r="AB93" s="2">
        <v>5076583.5270015448</v>
      </c>
      <c r="AC93" s="2">
        <v>4921816.242579422</v>
      </c>
      <c r="AD93" s="2">
        <v>4871290.0084646782</v>
      </c>
      <c r="AE93" s="2">
        <v>4961317.7807017416</v>
      </c>
      <c r="AF93" s="2">
        <v>4596457.4670330752</v>
      </c>
      <c r="AG93" s="2">
        <v>4477012.9767740918</v>
      </c>
    </row>
    <row r="94" spans="1:33" x14ac:dyDescent="0.2">
      <c r="A94" s="1" t="s">
        <v>221</v>
      </c>
      <c r="B94" s="1" t="s">
        <v>226</v>
      </c>
      <c r="C94" s="1" t="s">
        <v>227</v>
      </c>
      <c r="D94" s="2">
        <v>12301.692491371101</v>
      </c>
      <c r="E94" s="2">
        <v>26369.705519285002</v>
      </c>
      <c r="F94" s="2">
        <v>136518.0924895092</v>
      </c>
      <c r="G94" s="2">
        <v>201942.56164592152</v>
      </c>
      <c r="H94" s="2">
        <v>269480.53621327342</v>
      </c>
      <c r="I94" s="2">
        <v>368637.11740933987</v>
      </c>
      <c r="J94" s="2">
        <v>761606.40402238036</v>
      </c>
      <c r="K94" s="2">
        <v>1600456.5921579255</v>
      </c>
      <c r="L94" s="2">
        <v>1607639.2296059635</v>
      </c>
      <c r="M94" s="2">
        <v>1684441.8397188976</v>
      </c>
      <c r="N94" s="2">
        <v>1929540.0282800058</v>
      </c>
      <c r="O94" s="2">
        <v>1788382.1453590156</v>
      </c>
      <c r="P94" s="2">
        <v>1807596.0004468632</v>
      </c>
      <c r="Q94" s="2">
        <v>1822342.6112210271</v>
      </c>
      <c r="R94" s="2">
        <v>1874542.4334663779</v>
      </c>
      <c r="S94" s="2">
        <v>2004741.3609935488</v>
      </c>
      <c r="T94" s="2">
        <v>2070032.1979209336</v>
      </c>
      <c r="U94" s="2">
        <v>2091345.108463611</v>
      </c>
      <c r="V94" s="2">
        <v>2137455.8050000002</v>
      </c>
      <c r="W94" s="2">
        <v>2172796.0932556125</v>
      </c>
      <c r="X94" s="2">
        <v>2171856.8120691199</v>
      </c>
      <c r="Y94" s="2">
        <v>2301067.1448787935</v>
      </c>
      <c r="Z94" s="2">
        <v>2319878.3328726524</v>
      </c>
      <c r="AA94" s="2">
        <v>2290619.6050685761</v>
      </c>
      <c r="AB94" s="2">
        <v>2243583.8091871873</v>
      </c>
      <c r="AC94" s="2">
        <v>2233899.3062229967</v>
      </c>
      <c r="AD94" s="2">
        <v>2245282.7372576152</v>
      </c>
      <c r="AE94" s="2">
        <v>2266635.6397005389</v>
      </c>
      <c r="AF94" s="2">
        <v>2156527.7931203176</v>
      </c>
      <c r="AG94" s="2">
        <v>2163549.060298481</v>
      </c>
    </row>
    <row r="95" spans="1:33" x14ac:dyDescent="0.2">
      <c r="A95" s="1" t="s">
        <v>221</v>
      </c>
      <c r="B95" s="1" t="s">
        <v>228</v>
      </c>
      <c r="C95" s="1" t="s">
        <v>229</v>
      </c>
      <c r="D95" s="2">
        <v>3836.0116370941005</v>
      </c>
      <c r="E95" s="2">
        <v>7101.2255285135998</v>
      </c>
      <c r="F95" s="2">
        <v>103182.91225467369</v>
      </c>
      <c r="G95" s="2">
        <v>154249.3804836311</v>
      </c>
      <c r="H95" s="2">
        <v>210865.20199450082</v>
      </c>
      <c r="I95" s="2">
        <v>287232.53198115097</v>
      </c>
      <c r="J95" s="2">
        <v>817076.73060052842</v>
      </c>
      <c r="K95" s="2">
        <v>1621273.7255283834</v>
      </c>
      <c r="L95" s="2">
        <v>1653564.8131744121</v>
      </c>
      <c r="M95" s="2">
        <v>1873481.4265273325</v>
      </c>
      <c r="N95" s="2">
        <v>2322471.6456367872</v>
      </c>
      <c r="O95" s="2">
        <v>2242834.8671862301</v>
      </c>
      <c r="P95" s="2">
        <v>2315745.948850133</v>
      </c>
      <c r="Q95" s="2">
        <v>2461947.3705194811</v>
      </c>
      <c r="R95" s="2">
        <v>2659944.7006270275</v>
      </c>
      <c r="S95" s="2">
        <v>2882206.2498178994</v>
      </c>
      <c r="T95" s="2">
        <v>3188531.8012257316</v>
      </c>
      <c r="U95" s="2">
        <v>3229330.9122572271</v>
      </c>
      <c r="V95" s="2">
        <v>3335241.5419999994</v>
      </c>
      <c r="W95" s="2">
        <v>3500582.7959248424</v>
      </c>
      <c r="X95" s="2">
        <v>3604507.4276397401</v>
      </c>
      <c r="Y95" s="2">
        <v>3955820.1389781157</v>
      </c>
      <c r="Z95" s="2">
        <v>3993432.4276964371</v>
      </c>
      <c r="AA95" s="2">
        <v>3941092.9361899206</v>
      </c>
      <c r="AB95" s="2">
        <v>3914444.0957119577</v>
      </c>
      <c r="AC95" s="2">
        <v>3895817.8325566454</v>
      </c>
      <c r="AD95" s="2">
        <v>3898837.30654296</v>
      </c>
      <c r="AE95" s="2">
        <v>4072650.416090054</v>
      </c>
      <c r="AF95" s="2">
        <v>3934158.7789286575</v>
      </c>
      <c r="AG95" s="2">
        <v>4024174.47173031</v>
      </c>
    </row>
    <row r="96" spans="1:33" x14ac:dyDescent="0.2">
      <c r="A96" s="1" t="s">
        <v>221</v>
      </c>
      <c r="B96" s="1" t="s">
        <v>230</v>
      </c>
      <c r="C96" s="1" t="s">
        <v>231</v>
      </c>
      <c r="D96" s="2">
        <v>14297.861556442102</v>
      </c>
      <c r="E96" s="2">
        <v>40513.589767830199</v>
      </c>
      <c r="F96" s="2">
        <v>351995.93241524824</v>
      </c>
      <c r="G96" s="2">
        <v>489887.5710567956</v>
      </c>
      <c r="H96" s="2">
        <v>689617.27640558803</v>
      </c>
      <c r="I96" s="2">
        <v>781910.27153261483</v>
      </c>
      <c r="J96" s="2">
        <v>1554989.45925037</v>
      </c>
      <c r="K96" s="2">
        <v>3506711.9147970728</v>
      </c>
      <c r="L96" s="2">
        <v>3431429.3944596145</v>
      </c>
      <c r="M96" s="2">
        <v>3556801.0601101243</v>
      </c>
      <c r="N96" s="2">
        <v>4184413.9941485007</v>
      </c>
      <c r="O96" s="2">
        <v>3935470.8253651997</v>
      </c>
      <c r="P96" s="2">
        <v>3970231.2348761051</v>
      </c>
      <c r="Q96" s="2">
        <v>4080369.6315421266</v>
      </c>
      <c r="R96" s="2">
        <v>4220820.6648252476</v>
      </c>
      <c r="S96" s="2">
        <v>4525186.1674917256</v>
      </c>
      <c r="T96" s="2">
        <v>4780577.1424022317</v>
      </c>
      <c r="U96" s="2">
        <v>4898574.6510140942</v>
      </c>
      <c r="V96" s="2">
        <v>4883702.7639999995</v>
      </c>
      <c r="W96" s="2">
        <v>5037188.1440054262</v>
      </c>
      <c r="X96" s="2">
        <v>5013078.5821149116</v>
      </c>
      <c r="Y96" s="2">
        <v>5283983.5341872992</v>
      </c>
      <c r="Z96" s="2">
        <v>5339830.2138857255</v>
      </c>
      <c r="AA96" s="2">
        <v>5252607.5554204937</v>
      </c>
      <c r="AB96" s="2">
        <v>5222153.5633962061</v>
      </c>
      <c r="AC96" s="2">
        <v>5134531.2595844036</v>
      </c>
      <c r="AD96" s="2">
        <v>5142244.8440180551</v>
      </c>
      <c r="AE96" s="2">
        <v>5234108.6078203749</v>
      </c>
      <c r="AF96" s="2">
        <v>4931754.106772271</v>
      </c>
      <c r="AG96" s="2">
        <v>4828201.2316777483</v>
      </c>
    </row>
    <row r="97" spans="1:33" x14ac:dyDescent="0.2">
      <c r="A97" s="1" t="s">
        <v>221</v>
      </c>
      <c r="B97" s="1" t="s">
        <v>232</v>
      </c>
      <c r="C97" s="1" t="s">
        <v>233</v>
      </c>
      <c r="D97" s="2">
        <v>733351.62911657745</v>
      </c>
      <c r="E97" s="2">
        <v>1765514.1279980631</v>
      </c>
      <c r="F97" s="2">
        <v>16650737.552099446</v>
      </c>
      <c r="G97" s="2">
        <v>20359809.59809947</v>
      </c>
      <c r="H97" s="2">
        <v>22244183.585371524</v>
      </c>
      <c r="I97" s="2">
        <v>25468400.337065168</v>
      </c>
      <c r="J97" s="2">
        <v>38620961.538718507</v>
      </c>
      <c r="K97" s="2">
        <v>39532964.033175804</v>
      </c>
      <c r="L97" s="2">
        <v>39133933.814531744</v>
      </c>
      <c r="M97" s="2">
        <v>41521712.557176277</v>
      </c>
      <c r="N97" s="2">
        <v>46856149.436975807</v>
      </c>
      <c r="O97" s="2">
        <v>44180035.29832121</v>
      </c>
      <c r="P97" s="2">
        <v>44758032.589089721</v>
      </c>
      <c r="Q97" s="2">
        <v>45824792.506336123</v>
      </c>
      <c r="R97" s="2">
        <v>46993723.60806714</v>
      </c>
      <c r="S97" s="2">
        <v>48965801.668255761</v>
      </c>
      <c r="T97" s="2">
        <v>51131393.424506642</v>
      </c>
      <c r="U97" s="2">
        <v>52280245.891170777</v>
      </c>
      <c r="V97" s="2">
        <v>52732300.233999997</v>
      </c>
      <c r="W97" s="2">
        <v>54688874.20945213</v>
      </c>
      <c r="X97" s="2">
        <v>53881659.934293307</v>
      </c>
      <c r="Y97" s="2">
        <v>57159764.06563814</v>
      </c>
      <c r="Z97" s="2">
        <v>57470227.61153394</v>
      </c>
      <c r="AA97" s="2">
        <v>57661670.867258579</v>
      </c>
      <c r="AB97" s="2">
        <v>57297522.161746696</v>
      </c>
      <c r="AC97" s="2">
        <v>56930052.294546239</v>
      </c>
      <c r="AD97" s="2">
        <v>56009743.97055725</v>
      </c>
      <c r="AE97" s="2">
        <v>57222082.983140633</v>
      </c>
      <c r="AF97" s="2">
        <v>54561066.900831692</v>
      </c>
      <c r="AG97" s="2">
        <v>52085912.885663286</v>
      </c>
    </row>
    <row r="98" spans="1:33" x14ac:dyDescent="0.2">
      <c r="A98" s="1" t="s">
        <v>234</v>
      </c>
      <c r="B98" s="1" t="s">
        <v>235</v>
      </c>
      <c r="C98" s="1" t="s">
        <v>236</v>
      </c>
      <c r="D98" s="2">
        <v>2861.9773342586004</v>
      </c>
      <c r="E98" s="2">
        <v>13330.197547710797</v>
      </c>
      <c r="F98" s="2">
        <v>61423.150920181084</v>
      </c>
      <c r="G98" s="2">
        <v>94156.91960811257</v>
      </c>
      <c r="H98" s="2">
        <v>110920.94466865784</v>
      </c>
      <c r="I98" s="2">
        <v>228112.61608633053</v>
      </c>
      <c r="J98" s="2">
        <v>529308.92587101343</v>
      </c>
      <c r="K98" s="2">
        <v>1267144.0577110068</v>
      </c>
      <c r="L98" s="2">
        <v>1215429.6892411234</v>
      </c>
      <c r="M98" s="2">
        <v>1355785.6255609028</v>
      </c>
      <c r="N98" s="2">
        <v>1685062.2824821824</v>
      </c>
      <c r="O98" s="2">
        <v>1608775.900567035</v>
      </c>
      <c r="P98" s="2">
        <v>1654316.9898563926</v>
      </c>
      <c r="Q98" s="2">
        <v>1807235.5201240466</v>
      </c>
      <c r="R98" s="2">
        <v>1934272.3092784528</v>
      </c>
      <c r="S98" s="2">
        <v>2168437.3925896278</v>
      </c>
      <c r="T98" s="2">
        <v>2222074.1434952742</v>
      </c>
      <c r="U98" s="2">
        <v>2317300.2270375392</v>
      </c>
      <c r="V98" s="2">
        <v>2362670.5739999991</v>
      </c>
      <c r="W98" s="2">
        <v>2466372.7346115098</v>
      </c>
      <c r="X98" s="2">
        <v>2459900.8536941409</v>
      </c>
      <c r="Y98" s="2">
        <v>2654695.2820844129</v>
      </c>
      <c r="Z98" s="2">
        <v>2628873.2996176067</v>
      </c>
      <c r="AA98" s="2">
        <v>2621081.8961749231</v>
      </c>
      <c r="AB98" s="2">
        <v>2566136.2281100494</v>
      </c>
      <c r="AC98" s="2">
        <v>2678292.6863493659</v>
      </c>
      <c r="AD98" s="2">
        <v>2613991.2643283773</v>
      </c>
      <c r="AE98" s="2">
        <v>2748923.2998695821</v>
      </c>
      <c r="AF98" s="2">
        <v>2684891.8915888388</v>
      </c>
      <c r="AG98" s="2">
        <v>2564566.5916649001</v>
      </c>
    </row>
    <row r="99" spans="1:33" x14ac:dyDescent="0.2">
      <c r="A99" s="1" t="s">
        <v>234</v>
      </c>
      <c r="B99" s="1" t="s">
        <v>237</v>
      </c>
      <c r="C99" s="1" t="s">
        <v>238</v>
      </c>
      <c r="D99" s="2">
        <v>3054.3791718554003</v>
      </c>
      <c r="E99" s="2">
        <v>10943.5682924429</v>
      </c>
      <c r="F99" s="2">
        <v>70302.830378556027</v>
      </c>
      <c r="G99" s="2">
        <v>79941.205198121083</v>
      </c>
      <c r="H99" s="2">
        <v>77826.673204637278</v>
      </c>
      <c r="I99" s="2">
        <v>167009.93219662449</v>
      </c>
      <c r="J99" s="2">
        <v>366056.97102499101</v>
      </c>
      <c r="K99" s="2">
        <v>629270.09147953102</v>
      </c>
      <c r="L99" s="2">
        <v>606875.07284080039</v>
      </c>
      <c r="M99" s="2">
        <v>663315.60537864687</v>
      </c>
      <c r="N99" s="2">
        <v>813614.41341086221</v>
      </c>
      <c r="O99" s="2">
        <v>785000.09915363812</v>
      </c>
      <c r="P99" s="2">
        <v>793061.84967595653</v>
      </c>
      <c r="Q99" s="2">
        <v>866674.19576928194</v>
      </c>
      <c r="R99" s="2">
        <v>918964.14582221222</v>
      </c>
      <c r="S99" s="2">
        <v>1036758.0065532661</v>
      </c>
      <c r="T99" s="2">
        <v>1063817.0039615291</v>
      </c>
      <c r="U99" s="2">
        <v>1110279.2507878053</v>
      </c>
      <c r="V99" s="2">
        <v>1122892.486</v>
      </c>
      <c r="W99" s="2">
        <v>1173580.4980108775</v>
      </c>
      <c r="X99" s="2">
        <v>1191234.9811586482</v>
      </c>
      <c r="Y99" s="2">
        <v>1272133.2528434829</v>
      </c>
      <c r="Z99" s="2">
        <v>1290544.8692919018</v>
      </c>
      <c r="AA99" s="2">
        <v>1303052.7431650423</v>
      </c>
      <c r="AB99" s="2">
        <v>1266065.9313696006</v>
      </c>
      <c r="AC99" s="2">
        <v>1297791.684986918</v>
      </c>
      <c r="AD99" s="2">
        <v>1272599.8929944905</v>
      </c>
      <c r="AE99" s="2">
        <v>1335313.9811342745</v>
      </c>
      <c r="AF99" s="2">
        <v>1300845.0185461245</v>
      </c>
      <c r="AG99" s="2">
        <v>1232689.0819130135</v>
      </c>
    </row>
    <row r="100" spans="1:33" x14ac:dyDescent="0.2">
      <c r="A100" s="1" t="s">
        <v>234</v>
      </c>
      <c r="B100" s="1" t="s">
        <v>239</v>
      </c>
      <c r="C100" s="1" t="s">
        <v>240</v>
      </c>
      <c r="D100" s="2">
        <v>625.3059721907</v>
      </c>
      <c r="E100" s="2">
        <v>3492.6281784394005</v>
      </c>
      <c r="F100" s="2">
        <v>18544.708235501799</v>
      </c>
      <c r="G100" s="2">
        <v>32244.797877732304</v>
      </c>
      <c r="H100" s="2">
        <v>45889.496206858908</v>
      </c>
      <c r="I100" s="2">
        <v>102453.8670872394</v>
      </c>
      <c r="J100" s="2">
        <v>263715.06579090934</v>
      </c>
      <c r="K100" s="2">
        <v>661983.41077744984</v>
      </c>
      <c r="L100" s="2">
        <v>623702.11275031767</v>
      </c>
      <c r="M100" s="2">
        <v>691992.35251465754</v>
      </c>
      <c r="N100" s="2">
        <v>845783.81948644458</v>
      </c>
      <c r="O100" s="2">
        <v>814868.88083001308</v>
      </c>
      <c r="P100" s="2">
        <v>845776.54399253277</v>
      </c>
      <c r="Q100" s="2">
        <v>928456.93437377957</v>
      </c>
      <c r="R100" s="2">
        <v>993858.15372087818</v>
      </c>
      <c r="S100" s="2">
        <v>1119329.5126216412</v>
      </c>
      <c r="T100" s="2">
        <v>1136929.7207116582</v>
      </c>
      <c r="U100" s="2">
        <v>1196532.9731385165</v>
      </c>
      <c r="V100" s="2">
        <v>1216223.1259999997</v>
      </c>
      <c r="W100" s="2">
        <v>1259254.8509534721</v>
      </c>
      <c r="X100" s="2">
        <v>1273388.1493914684</v>
      </c>
      <c r="Y100" s="2">
        <v>1383901.9069031626</v>
      </c>
      <c r="Z100" s="2">
        <v>1379837.6698886126</v>
      </c>
      <c r="AA100" s="2">
        <v>1383422.6295814074</v>
      </c>
      <c r="AB100" s="2">
        <v>1358331.7708730113</v>
      </c>
      <c r="AC100" s="2">
        <v>1425832.5161623615</v>
      </c>
      <c r="AD100" s="2">
        <v>1386795.5858342052</v>
      </c>
      <c r="AE100" s="2">
        <v>1460710.8067444258</v>
      </c>
      <c r="AF100" s="2">
        <v>1422374.6610241148</v>
      </c>
      <c r="AG100" s="2">
        <v>1361913.1325105408</v>
      </c>
    </row>
    <row r="101" spans="1:33" x14ac:dyDescent="0.2">
      <c r="A101" s="1" t="s">
        <v>234</v>
      </c>
      <c r="B101" s="1" t="s">
        <v>241</v>
      </c>
      <c r="C101" s="1" t="s">
        <v>242</v>
      </c>
      <c r="D101" s="2">
        <v>9427.6900422625986</v>
      </c>
      <c r="E101" s="2">
        <v>49056.873289663003</v>
      </c>
      <c r="F101" s="2">
        <v>522061.24447216123</v>
      </c>
      <c r="G101" s="2">
        <v>861644.66557686415</v>
      </c>
      <c r="H101" s="2">
        <v>1093606.8434383473</v>
      </c>
      <c r="I101" s="2">
        <v>1979445.1674455532</v>
      </c>
      <c r="J101" s="2">
        <v>3238111.2437178642</v>
      </c>
      <c r="K101" s="2">
        <v>2217589.7131852116</v>
      </c>
      <c r="L101" s="2">
        <v>2247436.9681350389</v>
      </c>
      <c r="M101" s="2">
        <v>2466823.9333153041</v>
      </c>
      <c r="N101" s="2">
        <v>2927578.455232847</v>
      </c>
      <c r="O101" s="2">
        <v>2844259.5638806252</v>
      </c>
      <c r="P101" s="2">
        <v>2946240.3683145321</v>
      </c>
      <c r="Q101" s="2">
        <v>3217318.2932324861</v>
      </c>
      <c r="R101" s="2">
        <v>3483131.7340012225</v>
      </c>
      <c r="S101" s="2">
        <v>3841715.5882571079</v>
      </c>
      <c r="T101" s="2">
        <v>3959752.7414521547</v>
      </c>
      <c r="U101" s="2">
        <v>4213573.1964330589</v>
      </c>
      <c r="V101" s="2">
        <v>4362478.0060000001</v>
      </c>
      <c r="W101" s="2">
        <v>4563658.4087187899</v>
      </c>
      <c r="X101" s="2">
        <v>4541736.3396244254</v>
      </c>
      <c r="Y101" s="2">
        <v>4830073.1707724286</v>
      </c>
      <c r="Z101" s="2">
        <v>4885172.0550207114</v>
      </c>
      <c r="AA101" s="2">
        <v>4891438.999836213</v>
      </c>
      <c r="AB101" s="2">
        <v>4833903.143884128</v>
      </c>
      <c r="AC101" s="2">
        <v>5006892.4586896487</v>
      </c>
      <c r="AD101" s="2">
        <v>4962284.659512559</v>
      </c>
      <c r="AE101" s="2">
        <v>5103910.6106124884</v>
      </c>
      <c r="AF101" s="2">
        <v>5033457.5755691221</v>
      </c>
      <c r="AG101" s="2">
        <v>4730506.1401476422</v>
      </c>
    </row>
    <row r="102" spans="1:33" x14ac:dyDescent="0.2">
      <c r="A102" s="1" t="s">
        <v>243</v>
      </c>
      <c r="B102" s="1" t="s">
        <v>244</v>
      </c>
      <c r="C102" s="1" t="s">
        <v>245</v>
      </c>
      <c r="D102" s="2">
        <v>2465.1485442143003</v>
      </c>
      <c r="E102" s="2">
        <v>5481.7109747210998</v>
      </c>
      <c r="F102" s="2">
        <v>100583.4270409141</v>
      </c>
      <c r="G102" s="2">
        <v>157042.17558280707</v>
      </c>
      <c r="H102" s="2">
        <v>373424.74643423816</v>
      </c>
      <c r="I102" s="2">
        <v>603601.3532663834</v>
      </c>
      <c r="J102" s="2">
        <v>1853540.1482637022</v>
      </c>
      <c r="K102" s="2">
        <v>1368175.8139073709</v>
      </c>
      <c r="L102" s="2">
        <v>1338478.8294863559</v>
      </c>
      <c r="M102" s="2">
        <v>1392042.4788281519</v>
      </c>
      <c r="N102" s="2">
        <v>1488567.7401487604</v>
      </c>
      <c r="O102" s="2">
        <v>1422118.2984803184</v>
      </c>
      <c r="P102" s="2">
        <v>1538923.6403107727</v>
      </c>
      <c r="Q102" s="2">
        <v>1639681.1042579534</v>
      </c>
      <c r="R102" s="2">
        <v>1784974.9934984271</v>
      </c>
      <c r="S102" s="2">
        <v>1835892.373410752</v>
      </c>
      <c r="T102" s="2">
        <v>1957995.9855163298</v>
      </c>
      <c r="U102" s="2">
        <v>2131736.6347587691</v>
      </c>
      <c r="V102" s="2">
        <v>2298001.548</v>
      </c>
      <c r="W102" s="2">
        <v>2399350.4446122516</v>
      </c>
      <c r="X102" s="2">
        <v>2477593.1193696824</v>
      </c>
      <c r="Y102" s="2">
        <v>2592343.1820598813</v>
      </c>
      <c r="Z102" s="2">
        <v>2594212.9828527733</v>
      </c>
      <c r="AA102" s="2">
        <v>2572606.5022912868</v>
      </c>
      <c r="AB102" s="2">
        <v>2597824.6055529448</v>
      </c>
      <c r="AC102" s="2">
        <v>2742910.0281757619</v>
      </c>
      <c r="AD102" s="2">
        <v>2829154.4430102622</v>
      </c>
      <c r="AE102" s="2">
        <v>2813641.0702781975</v>
      </c>
      <c r="AF102" s="2">
        <v>2715451.2179583134</v>
      </c>
      <c r="AG102" s="2">
        <v>2667227.6097463425</v>
      </c>
    </row>
    <row r="103" spans="1:33" x14ac:dyDescent="0.2">
      <c r="A103" s="1" t="s">
        <v>243</v>
      </c>
      <c r="B103" s="1" t="s">
        <v>246</v>
      </c>
      <c r="C103" s="1" t="s">
        <v>247</v>
      </c>
      <c r="H103" s="2">
        <v>97134.761530834308</v>
      </c>
      <c r="I103" s="2">
        <v>531732.86689633597</v>
      </c>
      <c r="J103" s="2">
        <v>1823705.3827679066</v>
      </c>
      <c r="K103" s="2">
        <v>2685159.884243527</v>
      </c>
      <c r="L103" s="2">
        <v>2565789.4834502842</v>
      </c>
      <c r="M103" s="2">
        <v>2672022.8713066508</v>
      </c>
      <c r="N103" s="2">
        <v>2760597.8543139752</v>
      </c>
      <c r="O103" s="2">
        <v>2648394.2449928848</v>
      </c>
      <c r="P103" s="2">
        <v>2735209.3713110713</v>
      </c>
      <c r="Q103" s="2">
        <v>2965787.3782111239</v>
      </c>
      <c r="R103" s="2">
        <v>3161387.085757378</v>
      </c>
      <c r="S103" s="2">
        <v>3141422.845328426</v>
      </c>
      <c r="T103" s="2">
        <v>3348668.65731746</v>
      </c>
      <c r="U103" s="2">
        <v>3520746.9932435541</v>
      </c>
      <c r="V103" s="2">
        <v>3572441.4359999993</v>
      </c>
      <c r="W103" s="2">
        <v>3606269.0356137198</v>
      </c>
      <c r="X103" s="2">
        <v>3673578.6944378619</v>
      </c>
      <c r="Y103" s="2">
        <v>3792710.3359955461</v>
      </c>
      <c r="Z103" s="2">
        <v>3703524.1593547584</v>
      </c>
      <c r="AA103" s="2">
        <v>3639631.3864797233</v>
      </c>
      <c r="AB103" s="2">
        <v>3678031.2581888898</v>
      </c>
      <c r="AC103" s="2">
        <v>3841319.782589783</v>
      </c>
      <c r="AD103" s="2">
        <v>3836454.6775276223</v>
      </c>
      <c r="AE103" s="2">
        <v>3797065.9757257896</v>
      </c>
      <c r="AF103" s="2">
        <v>3617282.4857030059</v>
      </c>
      <c r="AG103" s="2">
        <v>3540994.5082409545</v>
      </c>
    </row>
    <row r="104" spans="1:33" x14ac:dyDescent="0.2">
      <c r="A104" s="1" t="s">
        <v>248</v>
      </c>
      <c r="B104" s="1" t="s">
        <v>249</v>
      </c>
      <c r="C104" s="1" t="s">
        <v>250</v>
      </c>
      <c r="D104" s="2">
        <v>324.6781009453</v>
      </c>
      <c r="E104" s="2">
        <v>861.21643742510003</v>
      </c>
      <c r="F104" s="2">
        <v>67785.628456480903</v>
      </c>
      <c r="G104" s="2">
        <v>86083.9736161498</v>
      </c>
      <c r="H104" s="2">
        <v>158021.326757437</v>
      </c>
      <c r="I104" s="2">
        <v>111916.10814253292</v>
      </c>
      <c r="J104" s="2">
        <v>1502151.06202393</v>
      </c>
      <c r="K104" s="2">
        <v>1351368.5772763893</v>
      </c>
      <c r="L104" s="2">
        <v>1413663.2357362176</v>
      </c>
      <c r="M104" s="2">
        <v>1495552.4366312788</v>
      </c>
      <c r="N104" s="2">
        <v>1603282.2329168243</v>
      </c>
      <c r="O104" s="2">
        <v>1598452.9618826129</v>
      </c>
      <c r="P104" s="2">
        <v>1620714.6808949923</v>
      </c>
      <c r="Q104" s="2">
        <v>1752882.7647265948</v>
      </c>
      <c r="R104" s="2">
        <v>1893816.7894747145</v>
      </c>
      <c r="S104" s="2">
        <v>2033625.222859079</v>
      </c>
      <c r="T104" s="2">
        <v>2138837.5445749876</v>
      </c>
      <c r="U104" s="2">
        <v>2307364.5812023012</v>
      </c>
      <c r="V104" s="2">
        <v>2416033.4380000001</v>
      </c>
      <c r="W104" s="2">
        <v>2494656.0674839499</v>
      </c>
      <c r="X104" s="2">
        <v>2429351.5885959882</v>
      </c>
      <c r="Y104" s="2">
        <v>2549746.1520608864</v>
      </c>
      <c r="Z104" s="2">
        <v>2464630.1799788717</v>
      </c>
      <c r="AA104" s="2">
        <v>2537730.6932596019</v>
      </c>
      <c r="AB104" s="2">
        <v>2569067.7380021117</v>
      </c>
      <c r="AC104" s="2">
        <v>2739337.0375990057</v>
      </c>
      <c r="AD104" s="2">
        <v>2707864.7442575688</v>
      </c>
      <c r="AE104" s="2">
        <v>2860261.5983238681</v>
      </c>
      <c r="AF104" s="2">
        <v>2842263.7942857021</v>
      </c>
      <c r="AG104" s="2">
        <v>2808313.2809031671</v>
      </c>
    </row>
    <row r="105" spans="1:33" x14ac:dyDescent="0.2">
      <c r="A105" s="1" t="s">
        <v>248</v>
      </c>
      <c r="B105" s="1" t="s">
        <v>251</v>
      </c>
      <c r="C105" s="1" t="s">
        <v>252</v>
      </c>
      <c r="D105" s="2">
        <v>204.42695244699999</v>
      </c>
      <c r="E105" s="2">
        <v>259.7319414456</v>
      </c>
      <c r="F105" s="2">
        <v>698.41517437920004</v>
      </c>
      <c r="G105" s="2">
        <v>13385.543397966399</v>
      </c>
      <c r="H105" s="2">
        <v>5153.7772618136996</v>
      </c>
      <c r="I105" s="2">
        <v>7131.5561910672996</v>
      </c>
      <c r="J105" s="2">
        <v>84485.337569815209</v>
      </c>
      <c r="K105" s="2">
        <v>278284.92651552608</v>
      </c>
      <c r="L105" s="2">
        <v>335705.54131262429</v>
      </c>
      <c r="M105" s="2">
        <v>350739.47877313383</v>
      </c>
      <c r="N105" s="2">
        <v>371109.12351707171</v>
      </c>
      <c r="O105" s="2">
        <v>366053.97255618119</v>
      </c>
      <c r="P105" s="2">
        <v>377825.65481995326</v>
      </c>
      <c r="Q105" s="2">
        <v>413848.53357084858</v>
      </c>
      <c r="R105" s="2">
        <v>445172.31181259989</v>
      </c>
      <c r="S105" s="2">
        <v>479469.5290519913</v>
      </c>
      <c r="T105" s="2">
        <v>508682.98811219679</v>
      </c>
      <c r="U105" s="2">
        <v>548611.48817757796</v>
      </c>
      <c r="V105" s="2">
        <v>560999.48400000005</v>
      </c>
      <c r="W105" s="2">
        <v>579324.0570670655</v>
      </c>
      <c r="X105" s="2">
        <v>570555.25735638302</v>
      </c>
      <c r="Y105" s="2">
        <v>604720.25849958858</v>
      </c>
      <c r="Z105" s="2">
        <v>572828.36197236634</v>
      </c>
      <c r="AA105" s="2">
        <v>591927.77229225647</v>
      </c>
      <c r="AB105" s="2">
        <v>603122.16422827425</v>
      </c>
      <c r="AC105" s="2">
        <v>645693.06244914606</v>
      </c>
      <c r="AD105" s="2">
        <v>603002.21468158602</v>
      </c>
      <c r="AE105" s="2">
        <v>619409.00862645963</v>
      </c>
      <c r="AF105" s="2">
        <v>607959.03528849268</v>
      </c>
      <c r="AG105" s="2">
        <v>589151.10889375</v>
      </c>
    </row>
    <row r="106" spans="1:33" x14ac:dyDescent="0.2">
      <c r="A106" s="1" t="s">
        <v>253</v>
      </c>
      <c r="B106" s="1" t="s">
        <v>254</v>
      </c>
      <c r="C106" s="1" t="s">
        <v>255</v>
      </c>
      <c r="D106" s="2">
        <v>8898.5849888701996</v>
      </c>
      <c r="E106" s="2">
        <v>105437.53347797382</v>
      </c>
      <c r="F106" s="2">
        <v>598307.07106767222</v>
      </c>
      <c r="G106" s="2">
        <v>827697.442294067</v>
      </c>
      <c r="H106" s="2">
        <v>1037184.6017438663</v>
      </c>
      <c r="I106" s="2">
        <v>1028608.397215431</v>
      </c>
      <c r="J106" s="2">
        <v>3143677.4607403209</v>
      </c>
      <c r="K106" s="2">
        <v>3705406.827848014</v>
      </c>
      <c r="L106" s="2">
        <v>3736429.0869864537</v>
      </c>
      <c r="M106" s="2">
        <v>3801396.1083107977</v>
      </c>
      <c r="N106" s="2">
        <v>3524902.828929598</v>
      </c>
      <c r="O106" s="2">
        <v>3737779.8253280339</v>
      </c>
      <c r="P106" s="2">
        <v>3739582.6209476795</v>
      </c>
      <c r="Q106" s="2">
        <v>3875641.4907925096</v>
      </c>
      <c r="R106" s="2">
        <v>4021476.5155216041</v>
      </c>
      <c r="S106" s="2">
        <v>4338170.8080438329</v>
      </c>
      <c r="T106" s="2">
        <v>4454673.7587315841</v>
      </c>
      <c r="U106" s="2">
        <v>4434984.0641240822</v>
      </c>
      <c r="V106" s="2">
        <v>5278579.9740000023</v>
      </c>
      <c r="W106" s="2">
        <v>5319470.9735148083</v>
      </c>
      <c r="X106" s="2">
        <v>5422666.9311038852</v>
      </c>
      <c r="Y106" s="2">
        <v>5958406.018917839</v>
      </c>
      <c r="Z106" s="2">
        <v>6173546.6754671969</v>
      </c>
      <c r="AA106" s="2">
        <v>6225353.3400722221</v>
      </c>
      <c r="AB106" s="2">
        <v>6014213.510025979</v>
      </c>
      <c r="AC106" s="2">
        <v>6112394.3454524633</v>
      </c>
      <c r="AD106" s="2">
        <v>6241862.6088434421</v>
      </c>
      <c r="AE106" s="2">
        <v>6542219.6956949364</v>
      </c>
      <c r="AF106" s="2">
        <v>6280630.4981187694</v>
      </c>
      <c r="AG106" s="2">
        <v>6047101.341929866</v>
      </c>
    </row>
    <row r="107" spans="1:33" x14ac:dyDescent="0.2">
      <c r="A107" s="1" t="s">
        <v>253</v>
      </c>
      <c r="B107" s="1" t="s">
        <v>256</v>
      </c>
      <c r="C107" s="1" t="s">
        <v>257</v>
      </c>
      <c r="D107" s="2">
        <v>7419.4958623418988</v>
      </c>
      <c r="E107" s="2">
        <v>46714.684971490897</v>
      </c>
      <c r="F107" s="2">
        <v>212645.21179590822</v>
      </c>
      <c r="G107" s="2">
        <v>402655.66955329973</v>
      </c>
      <c r="H107" s="2">
        <v>413138.5943809505</v>
      </c>
      <c r="I107" s="2">
        <v>465740.338951946</v>
      </c>
      <c r="J107" s="2">
        <v>1209165.5764610642</v>
      </c>
      <c r="K107" s="2">
        <v>1793525.2529465819</v>
      </c>
      <c r="L107" s="2">
        <v>1871250.8151162879</v>
      </c>
      <c r="M107" s="2">
        <v>1952294.5057961005</v>
      </c>
      <c r="N107" s="2">
        <v>1864202.6869462584</v>
      </c>
      <c r="O107" s="2">
        <v>2027236.4299137692</v>
      </c>
      <c r="P107" s="2">
        <v>2030153.8270569958</v>
      </c>
      <c r="Q107" s="2">
        <v>2035510.8851165613</v>
      </c>
      <c r="R107" s="2">
        <v>2125506.3881333144</v>
      </c>
      <c r="S107" s="2">
        <v>2302534.6070926357</v>
      </c>
      <c r="T107" s="2">
        <v>2384469.9391779182</v>
      </c>
      <c r="U107" s="2">
        <v>2427767.8483854369</v>
      </c>
      <c r="V107" s="2">
        <v>2906172.5690000001</v>
      </c>
      <c r="W107" s="2">
        <v>2951771.5006311475</v>
      </c>
      <c r="X107" s="2">
        <v>3022506.0869339439</v>
      </c>
      <c r="Y107" s="2">
        <v>3298105.6284338706</v>
      </c>
      <c r="Z107" s="2">
        <v>3434606.6293537146</v>
      </c>
      <c r="AA107" s="2">
        <v>3459516.9091837513</v>
      </c>
      <c r="AB107" s="2">
        <v>3340364.1450057453</v>
      </c>
      <c r="AC107" s="2">
        <v>3399181.9330792609</v>
      </c>
      <c r="AD107" s="2">
        <v>3591493.6288708332</v>
      </c>
      <c r="AE107" s="2">
        <v>3708137.2651011059</v>
      </c>
      <c r="AF107" s="2">
        <v>3452885.6688713739</v>
      </c>
      <c r="AG107" s="2">
        <v>3371374.9865560667</v>
      </c>
    </row>
    <row r="108" spans="1:33" x14ac:dyDescent="0.2">
      <c r="A108" s="1" t="s">
        <v>253</v>
      </c>
      <c r="B108" s="1" t="s">
        <v>258</v>
      </c>
      <c r="C108" s="1" t="s">
        <v>259</v>
      </c>
      <c r="D108" s="2">
        <v>6349.2606407071999</v>
      </c>
      <c r="E108" s="2">
        <v>77130.484559511984</v>
      </c>
      <c r="F108" s="2">
        <v>387244.2686551956</v>
      </c>
      <c r="G108" s="2">
        <v>480916.2439381447</v>
      </c>
      <c r="H108" s="2">
        <v>577768.62542661896</v>
      </c>
      <c r="I108" s="2">
        <v>526558.13007034315</v>
      </c>
      <c r="J108" s="2">
        <v>1602391.5282674225</v>
      </c>
      <c r="K108" s="2">
        <v>956071.90773649048</v>
      </c>
      <c r="L108" s="2">
        <v>976767.45241338306</v>
      </c>
      <c r="M108" s="2">
        <v>974412.83951111452</v>
      </c>
      <c r="N108" s="2">
        <v>951046.24677541456</v>
      </c>
      <c r="O108" s="2">
        <v>1001066.813159033</v>
      </c>
      <c r="P108" s="2">
        <v>984309.69661710749</v>
      </c>
      <c r="Q108" s="2">
        <v>1020639.2986550899</v>
      </c>
      <c r="R108" s="2">
        <v>1083010.1571708228</v>
      </c>
      <c r="S108" s="2">
        <v>1120309.0674652371</v>
      </c>
      <c r="T108" s="2">
        <v>1154285.213570901</v>
      </c>
      <c r="U108" s="2">
        <v>1189784.1819599941</v>
      </c>
      <c r="V108" s="2">
        <v>1397468.0439999995</v>
      </c>
      <c r="W108" s="2">
        <v>1399571.217596198</v>
      </c>
      <c r="X108" s="2">
        <v>1436491.4656559222</v>
      </c>
      <c r="Y108" s="2">
        <v>1567293.0629648501</v>
      </c>
      <c r="Z108" s="2">
        <v>1613705.9987181951</v>
      </c>
      <c r="AA108" s="2">
        <v>1604344.460580176</v>
      </c>
      <c r="AB108" s="2">
        <v>1547929.5094046167</v>
      </c>
      <c r="AC108" s="2">
        <v>1577016.7069205253</v>
      </c>
      <c r="AD108" s="2">
        <v>1627373.3891336676</v>
      </c>
      <c r="AE108" s="2">
        <v>1708203.4769071892</v>
      </c>
      <c r="AF108" s="2">
        <v>1648091.7169227805</v>
      </c>
      <c r="AG108" s="2">
        <v>1529698.745437945</v>
      </c>
    </row>
    <row r="109" spans="1:33" x14ac:dyDescent="0.2">
      <c r="A109" s="1" t="s">
        <v>253</v>
      </c>
      <c r="B109" s="1" t="s">
        <v>260</v>
      </c>
      <c r="C109" s="1" t="s">
        <v>261</v>
      </c>
      <c r="D109" s="2">
        <v>7251.1442544444999</v>
      </c>
      <c r="E109" s="2">
        <v>41794.266742519001</v>
      </c>
      <c r="F109" s="2">
        <v>221166.16801638919</v>
      </c>
      <c r="G109" s="2">
        <v>320904.21645814436</v>
      </c>
      <c r="H109" s="2">
        <v>350913.3519286571</v>
      </c>
      <c r="I109" s="2">
        <v>349871.84291804279</v>
      </c>
      <c r="J109" s="2">
        <v>1033473.1468133092</v>
      </c>
      <c r="K109" s="2">
        <v>1364721.3903785348</v>
      </c>
      <c r="L109" s="2">
        <v>1401870.3116032262</v>
      </c>
      <c r="M109" s="2">
        <v>1443691.0775941366</v>
      </c>
      <c r="N109" s="2">
        <v>1325111.7698841395</v>
      </c>
      <c r="O109" s="2">
        <v>1411368.0914951975</v>
      </c>
      <c r="P109" s="2">
        <v>1419862.6590890165</v>
      </c>
      <c r="Q109" s="2">
        <v>1483190.2554107669</v>
      </c>
      <c r="R109" s="2">
        <v>1548313.9691221414</v>
      </c>
      <c r="S109" s="2">
        <v>1656513.7186613875</v>
      </c>
      <c r="T109" s="2">
        <v>1712060.6615870406</v>
      </c>
      <c r="U109" s="2">
        <v>1710550.0620318751</v>
      </c>
      <c r="V109" s="2">
        <v>2020864.0610000002</v>
      </c>
      <c r="W109" s="2">
        <v>2036530.6719862672</v>
      </c>
      <c r="X109" s="2">
        <v>2067395.8840250883</v>
      </c>
      <c r="Y109" s="2">
        <v>2278214.579242365</v>
      </c>
      <c r="Z109" s="2">
        <v>2380025.0972954822</v>
      </c>
      <c r="AA109" s="2">
        <v>2383110.4647111758</v>
      </c>
      <c r="AB109" s="2">
        <v>2308960.2442789967</v>
      </c>
      <c r="AC109" s="2">
        <v>2336860.6685187737</v>
      </c>
      <c r="AD109" s="2">
        <v>2428772.3566019367</v>
      </c>
      <c r="AE109" s="2">
        <v>2545005.2652736939</v>
      </c>
      <c r="AF109" s="2">
        <v>2453669.2069966584</v>
      </c>
      <c r="AG109" s="2">
        <v>2385043.0722390646</v>
      </c>
    </row>
    <row r="110" spans="1:33" x14ac:dyDescent="0.2">
      <c r="A110" s="1" t="s">
        <v>253</v>
      </c>
      <c r="B110" s="1" t="s">
        <v>262</v>
      </c>
      <c r="C110" s="1" t="s">
        <v>263</v>
      </c>
      <c r="D110" s="2">
        <v>47908.057561702197</v>
      </c>
      <c r="E110" s="2">
        <v>286746.15875447274</v>
      </c>
      <c r="F110" s="2">
        <v>2679093.5735059613</v>
      </c>
      <c r="G110" s="2">
        <v>3731350.7484219936</v>
      </c>
      <c r="H110" s="2">
        <v>4776692.0102883046</v>
      </c>
      <c r="I110" s="2">
        <v>4351104.1684170747</v>
      </c>
      <c r="J110" s="2">
        <v>12263855.589002339</v>
      </c>
      <c r="K110" s="2">
        <v>8533558.5186923519</v>
      </c>
      <c r="L110" s="2">
        <v>8992233.3261141237</v>
      </c>
      <c r="M110" s="2">
        <v>9289726.6889290512</v>
      </c>
      <c r="N110" s="2">
        <v>8760779.6046918724</v>
      </c>
      <c r="O110" s="2">
        <v>9452105.1025832389</v>
      </c>
      <c r="P110" s="2">
        <v>9335227.5366239976</v>
      </c>
      <c r="Q110" s="2">
        <v>9727318.5251132473</v>
      </c>
      <c r="R110" s="2">
        <v>10083211.403272502</v>
      </c>
      <c r="S110" s="2">
        <v>10780472.83844389</v>
      </c>
      <c r="T110" s="2">
        <v>10967396.02233091</v>
      </c>
      <c r="U110" s="2">
        <v>11042034.587748719</v>
      </c>
      <c r="V110" s="2">
        <v>12943619.171</v>
      </c>
      <c r="W110" s="2">
        <v>13059217.091211651</v>
      </c>
      <c r="X110" s="2">
        <v>13219593.144791417</v>
      </c>
      <c r="Y110" s="2">
        <v>14446503.713357257</v>
      </c>
      <c r="Z110" s="2">
        <v>14922600.633987969</v>
      </c>
      <c r="AA110" s="2">
        <v>14827063.77506745</v>
      </c>
      <c r="AB110" s="2">
        <v>14242551.46375999</v>
      </c>
      <c r="AC110" s="2">
        <v>14416471.146146422</v>
      </c>
      <c r="AD110" s="2">
        <v>14816905.932452034</v>
      </c>
      <c r="AE110" s="2">
        <v>15318633.27019147</v>
      </c>
      <c r="AF110" s="2">
        <v>14324193.066908415</v>
      </c>
      <c r="AG110" s="2">
        <v>14025460.348324684</v>
      </c>
    </row>
    <row r="111" spans="1:33" x14ac:dyDescent="0.2">
      <c r="A111" s="1" t="s">
        <v>253</v>
      </c>
      <c r="B111" s="1" t="s">
        <v>264</v>
      </c>
      <c r="C111" s="1" t="s">
        <v>265</v>
      </c>
      <c r="D111" s="2">
        <v>22318.613161275498</v>
      </c>
      <c r="E111" s="2">
        <v>139016.45907033351</v>
      </c>
      <c r="F111" s="2">
        <v>591253.31712055078</v>
      </c>
      <c r="G111" s="2">
        <v>704396.51357183</v>
      </c>
      <c r="H111" s="2">
        <v>758271.13066219585</v>
      </c>
      <c r="I111" s="2">
        <v>698677.91851981264</v>
      </c>
      <c r="J111" s="2">
        <v>1860113.0751791254</v>
      </c>
      <c r="K111" s="2">
        <v>1315343.8747613879</v>
      </c>
      <c r="L111" s="2">
        <v>1335885.0182633833</v>
      </c>
      <c r="M111" s="2">
        <v>1351252.9974312442</v>
      </c>
      <c r="N111" s="2">
        <v>1281304.7851822209</v>
      </c>
      <c r="O111" s="2">
        <v>1370055.6194068049</v>
      </c>
      <c r="P111" s="2">
        <v>1355887.2176421504</v>
      </c>
      <c r="Q111" s="2">
        <v>1401825.2166598218</v>
      </c>
      <c r="R111" s="2">
        <v>1453601.9844553026</v>
      </c>
      <c r="S111" s="2">
        <v>1489133.4444315629</v>
      </c>
      <c r="T111" s="2">
        <v>1520476.1603099471</v>
      </c>
      <c r="U111" s="2">
        <v>1528720.5727781043</v>
      </c>
      <c r="V111" s="2">
        <v>1843099.398</v>
      </c>
      <c r="W111" s="2">
        <v>1825668.3746452969</v>
      </c>
      <c r="X111" s="2">
        <v>1891854.0883855326</v>
      </c>
      <c r="Y111" s="2">
        <v>2061045.2807964832</v>
      </c>
      <c r="Z111" s="2">
        <v>2137011.2705439487</v>
      </c>
      <c r="AA111" s="2">
        <v>2141115.9087327714</v>
      </c>
      <c r="AB111" s="2">
        <v>2057854.9439662741</v>
      </c>
      <c r="AC111" s="2">
        <v>2066517.639772635</v>
      </c>
      <c r="AD111" s="2">
        <v>2079449.0761662496</v>
      </c>
      <c r="AE111" s="2">
        <v>2206635.3223913452</v>
      </c>
      <c r="AF111" s="2">
        <v>2098655.1024338775</v>
      </c>
      <c r="AG111" s="2">
        <v>2038651.5961920151</v>
      </c>
    </row>
    <row r="112" spans="1:33" x14ac:dyDescent="0.2">
      <c r="A112" s="1" t="s">
        <v>253</v>
      </c>
      <c r="B112" s="1" t="s">
        <v>266</v>
      </c>
      <c r="C112" s="1" t="s">
        <v>267</v>
      </c>
      <c r="D112" s="2">
        <v>27705.864613997001</v>
      </c>
      <c r="E112" s="2">
        <v>104427.0904488098</v>
      </c>
      <c r="F112" s="2">
        <v>366189.87134007225</v>
      </c>
      <c r="G112" s="2">
        <v>419172.59153711097</v>
      </c>
      <c r="H112" s="2">
        <v>565581.7579311959</v>
      </c>
      <c r="I112" s="2">
        <v>493821.50119619264</v>
      </c>
      <c r="J112" s="2">
        <v>1613080.39446605</v>
      </c>
      <c r="K112" s="2">
        <v>1561022.7622128096</v>
      </c>
      <c r="L112" s="2">
        <v>1595157.7829116085</v>
      </c>
      <c r="M112" s="2">
        <v>1689343.6694955647</v>
      </c>
      <c r="N112" s="2">
        <v>1589202.4683897328</v>
      </c>
      <c r="O112" s="2">
        <v>1702433.8913551809</v>
      </c>
      <c r="P112" s="2">
        <v>1703918.6122275961</v>
      </c>
      <c r="Q112" s="2">
        <v>1727704.3481300012</v>
      </c>
      <c r="R112" s="2">
        <v>1779515.9595105969</v>
      </c>
      <c r="S112" s="2">
        <v>1921016.3894877094</v>
      </c>
      <c r="T112" s="2">
        <v>1932405.6876049687</v>
      </c>
      <c r="U112" s="2">
        <v>1977619.05787643</v>
      </c>
      <c r="V112" s="2">
        <v>2323040.892</v>
      </c>
      <c r="W112" s="2">
        <v>2369332.433545135</v>
      </c>
      <c r="X112" s="2">
        <v>2405435.9206456901</v>
      </c>
      <c r="Y112" s="2">
        <v>2638806.4969124584</v>
      </c>
      <c r="Z112" s="2">
        <v>2760061.283052437</v>
      </c>
      <c r="AA112" s="2">
        <v>2775244.4682334214</v>
      </c>
      <c r="AB112" s="2">
        <v>2670056.6768000703</v>
      </c>
      <c r="AC112" s="2">
        <v>2648748.6620239019</v>
      </c>
      <c r="AD112" s="2">
        <v>2773303.6401426322</v>
      </c>
      <c r="AE112" s="2">
        <v>2887810.041090027</v>
      </c>
      <c r="AF112" s="2">
        <v>2771711.2180200648</v>
      </c>
      <c r="AG112" s="2">
        <v>2698415.2960958807</v>
      </c>
    </row>
    <row r="113" spans="1:33" x14ac:dyDescent="0.2">
      <c r="A113" s="1" t="s">
        <v>268</v>
      </c>
      <c r="B113" s="1" t="s">
        <v>269</v>
      </c>
      <c r="C113" s="1" t="s">
        <v>270</v>
      </c>
      <c r="D113" s="2">
        <v>673.40643159030003</v>
      </c>
      <c r="E113" s="2">
        <v>7654.5090703189999</v>
      </c>
      <c r="F113" s="2">
        <v>183656.77296983314</v>
      </c>
      <c r="G113" s="2">
        <v>270606.25493565545</v>
      </c>
      <c r="H113" s="2">
        <v>383949.53757046867</v>
      </c>
      <c r="I113" s="2">
        <v>414617.90270062228</v>
      </c>
      <c r="J113" s="2">
        <v>1381983.8301191316</v>
      </c>
      <c r="K113" s="2">
        <v>1964904.2344630857</v>
      </c>
      <c r="L113" s="2">
        <v>1961124.4551589089</v>
      </c>
      <c r="M113" s="2">
        <v>1964175.7068207376</v>
      </c>
      <c r="N113" s="2">
        <v>2442674.382399701</v>
      </c>
      <c r="O113" s="2">
        <v>2476340.9181960816</v>
      </c>
      <c r="P113" s="2">
        <v>2444168.0477289376</v>
      </c>
      <c r="Q113" s="2">
        <v>2633796.1980722854</v>
      </c>
      <c r="R113" s="2">
        <v>2761339.1566424873</v>
      </c>
      <c r="S113" s="2">
        <v>2941407.3494073483</v>
      </c>
      <c r="T113" s="2">
        <v>3154582.059914567</v>
      </c>
      <c r="U113" s="2">
        <v>3170487.6832289048</v>
      </c>
      <c r="V113" s="2">
        <v>3223664.3679999993</v>
      </c>
      <c r="W113" s="2">
        <v>3311593.424103566</v>
      </c>
      <c r="X113" s="2">
        <v>3358897.3635605867</v>
      </c>
      <c r="Y113" s="2">
        <v>3611637.26791004</v>
      </c>
      <c r="Z113" s="2">
        <v>3639278.5546729239</v>
      </c>
      <c r="AA113" s="2">
        <v>3622289.6331002517</v>
      </c>
      <c r="AB113" s="2">
        <v>3678489.7269484731</v>
      </c>
      <c r="AC113" s="2">
        <v>3798415.13551164</v>
      </c>
      <c r="AD113" s="2">
        <v>3791097.3113410757</v>
      </c>
      <c r="AE113" s="2">
        <v>3857026.4003277337</v>
      </c>
      <c r="AF113" s="2">
        <v>3586434.500376822</v>
      </c>
      <c r="AG113" s="2">
        <v>3600515.4497476309</v>
      </c>
    </row>
    <row r="114" spans="1:33" x14ac:dyDescent="0.2">
      <c r="A114" s="1" t="s">
        <v>268</v>
      </c>
      <c r="B114" s="1" t="s">
        <v>271</v>
      </c>
      <c r="C114" s="1" t="s">
        <v>272</v>
      </c>
      <c r="D114" s="2">
        <v>4834.0961696299</v>
      </c>
      <c r="E114" s="2">
        <v>32081.6135413757</v>
      </c>
      <c r="F114" s="2">
        <v>199305.87232324859</v>
      </c>
      <c r="G114" s="2">
        <v>260309.85331905849</v>
      </c>
      <c r="H114" s="2">
        <v>320818.79231487866</v>
      </c>
      <c r="I114" s="2">
        <v>345181.72879710922</v>
      </c>
      <c r="J114" s="2">
        <v>1154391.6570423073</v>
      </c>
      <c r="K114" s="2">
        <v>1746846.4312111754</v>
      </c>
      <c r="L114" s="2">
        <v>1753012.302996516</v>
      </c>
      <c r="M114" s="2">
        <v>1834965.5597927938</v>
      </c>
      <c r="N114" s="2">
        <v>2354148.6015092176</v>
      </c>
      <c r="O114" s="2">
        <v>2412931.0021150201</v>
      </c>
      <c r="P114" s="2">
        <v>2447294.9441073812</v>
      </c>
      <c r="Q114" s="2">
        <v>2606630.7049527592</v>
      </c>
      <c r="R114" s="2">
        <v>2728271.5222994313</v>
      </c>
      <c r="S114" s="2">
        <v>2936051.0699314582</v>
      </c>
      <c r="T114" s="2">
        <v>3145965.2928555864</v>
      </c>
      <c r="U114" s="2">
        <v>3204626.2773041571</v>
      </c>
      <c r="V114" s="2">
        <v>3298909.3210000005</v>
      </c>
      <c r="W114" s="2">
        <v>3427266.5522650504</v>
      </c>
      <c r="X114" s="2">
        <v>3531059.9603052381</v>
      </c>
      <c r="Y114" s="2">
        <v>3793736.6994085279</v>
      </c>
      <c r="Z114" s="2">
        <v>3866672.5946027404</v>
      </c>
      <c r="AA114" s="2">
        <v>3875138.8719086512</v>
      </c>
      <c r="AB114" s="2">
        <v>3894023.3855041284</v>
      </c>
      <c r="AC114" s="2">
        <v>4064161.4344731253</v>
      </c>
      <c r="AD114" s="2">
        <v>4095857.8901125803</v>
      </c>
      <c r="AE114" s="2">
        <v>4143523.4626663886</v>
      </c>
      <c r="AF114" s="2">
        <v>3831028.9021610827</v>
      </c>
      <c r="AG114" s="2">
        <v>3830776.8718815357</v>
      </c>
    </row>
    <row r="115" spans="1:33" x14ac:dyDescent="0.2">
      <c r="A115" s="1" t="s">
        <v>268</v>
      </c>
      <c r="B115" s="1" t="s">
        <v>273</v>
      </c>
      <c r="C115" s="1" t="s">
        <v>274</v>
      </c>
      <c r="D115" s="2">
        <v>1274.6621740813002</v>
      </c>
      <c r="E115" s="2">
        <v>13552.725428519001</v>
      </c>
      <c r="F115" s="2">
        <v>85238.268666033997</v>
      </c>
      <c r="G115" s="2">
        <v>125173.6934236557</v>
      </c>
      <c r="H115" s="2">
        <v>163678.88778291282</v>
      </c>
      <c r="I115" s="2">
        <v>188455.19725872565</v>
      </c>
      <c r="J115" s="2">
        <v>616044.57672350074</v>
      </c>
      <c r="K115" s="2">
        <v>603661.10766534635</v>
      </c>
      <c r="L115" s="2">
        <v>623419.93137270957</v>
      </c>
      <c r="M115" s="2">
        <v>628285.25249807083</v>
      </c>
      <c r="N115" s="2">
        <v>844037.56745982112</v>
      </c>
      <c r="O115" s="2">
        <v>843798.65632731933</v>
      </c>
      <c r="P115" s="2">
        <v>829587.70326111885</v>
      </c>
      <c r="Q115" s="2">
        <v>891988.91917298618</v>
      </c>
      <c r="R115" s="2">
        <v>936103.89357316354</v>
      </c>
      <c r="S115" s="2">
        <v>993824.56689393241</v>
      </c>
      <c r="T115" s="2">
        <v>1072801.0551140024</v>
      </c>
      <c r="U115" s="2">
        <v>1086667.0839706413</v>
      </c>
      <c r="V115" s="2">
        <v>1077589.6450000003</v>
      </c>
      <c r="W115" s="2">
        <v>1108864.7824868166</v>
      </c>
      <c r="X115" s="2">
        <v>1133353.0053364348</v>
      </c>
      <c r="Y115" s="2">
        <v>1206024.7552355917</v>
      </c>
      <c r="Z115" s="2">
        <v>1193350.4805147566</v>
      </c>
      <c r="AA115" s="2">
        <v>1182168.5378890058</v>
      </c>
      <c r="AB115" s="2">
        <v>1219623.9193807854</v>
      </c>
      <c r="AC115" s="2">
        <v>1214364.5885212133</v>
      </c>
      <c r="AD115" s="2">
        <v>1217520.3304923379</v>
      </c>
      <c r="AE115" s="2">
        <v>1219934.1581273265</v>
      </c>
      <c r="AF115" s="2">
        <v>1158277.5735668743</v>
      </c>
      <c r="AG115" s="2">
        <v>1157046.4973038686</v>
      </c>
    </row>
    <row r="116" spans="1:33" x14ac:dyDescent="0.2">
      <c r="A116" s="1" t="s">
        <v>268</v>
      </c>
      <c r="B116" s="1" t="s">
        <v>275</v>
      </c>
      <c r="C116" s="1" t="s">
        <v>276</v>
      </c>
      <c r="D116" s="2">
        <v>4052.4637043907001</v>
      </c>
      <c r="E116" s="2">
        <v>29520.353336201708</v>
      </c>
      <c r="F116" s="2">
        <v>197968.44859941187</v>
      </c>
      <c r="G116" s="2">
        <v>280450.22098993877</v>
      </c>
      <c r="H116" s="2">
        <v>384606.46893512941</v>
      </c>
      <c r="I116" s="2">
        <v>409172.52868846979</v>
      </c>
      <c r="J116" s="2">
        <v>1412864.1241142186</v>
      </c>
      <c r="K116" s="2">
        <v>2020384.8033816961</v>
      </c>
      <c r="L116" s="2">
        <v>2033999.4890144281</v>
      </c>
      <c r="M116" s="2">
        <v>2135026.3763302197</v>
      </c>
      <c r="N116" s="2">
        <v>2784009.8654536507</v>
      </c>
      <c r="O116" s="2">
        <v>2855279.2979040649</v>
      </c>
      <c r="P116" s="2">
        <v>2845048.5145709799</v>
      </c>
      <c r="Q116" s="2">
        <v>3095162.9623808437</v>
      </c>
      <c r="R116" s="2">
        <v>3272668.8414494866</v>
      </c>
      <c r="S116" s="2">
        <v>3518295.7859989265</v>
      </c>
      <c r="T116" s="2">
        <v>3868954.6377410046</v>
      </c>
      <c r="U116" s="2">
        <v>4003018.641596647</v>
      </c>
      <c r="V116" s="2">
        <v>4185153.7430000002</v>
      </c>
      <c r="W116" s="2">
        <v>4342198.8872403316</v>
      </c>
      <c r="X116" s="2">
        <v>4467416.9689235063</v>
      </c>
      <c r="Y116" s="2">
        <v>4893372.7182441903</v>
      </c>
      <c r="Z116" s="2">
        <v>4985446.2340287454</v>
      </c>
      <c r="AA116" s="2">
        <v>5031920.431276449</v>
      </c>
      <c r="AB116" s="2">
        <v>5166126.329186826</v>
      </c>
      <c r="AC116" s="2">
        <v>5427091.2037048033</v>
      </c>
      <c r="AD116" s="2">
        <v>5515868.3448074581</v>
      </c>
      <c r="AE116" s="2">
        <v>5685449.078939504</v>
      </c>
      <c r="AF116" s="2">
        <v>5420199.3628636366</v>
      </c>
      <c r="AG116" s="2">
        <v>5458227.3193099443</v>
      </c>
    </row>
    <row r="117" spans="1:33" x14ac:dyDescent="0.2">
      <c r="A117" s="1" t="s">
        <v>268</v>
      </c>
      <c r="B117" s="1" t="s">
        <v>277</v>
      </c>
      <c r="C117" s="1" t="s">
        <v>278</v>
      </c>
      <c r="D117" s="2">
        <v>11363.733533084902</v>
      </c>
      <c r="E117" s="2">
        <v>56816.069237052907</v>
      </c>
      <c r="F117" s="2">
        <v>495885.19290004415</v>
      </c>
      <c r="G117" s="2">
        <v>781404.17361032264</v>
      </c>
      <c r="H117" s="2">
        <v>1127545.5716377748</v>
      </c>
      <c r="I117" s="2">
        <v>1126844.2605126447</v>
      </c>
      <c r="J117" s="2">
        <v>3431570.2294152463</v>
      </c>
      <c r="K117" s="2">
        <v>1214784.1515938095</v>
      </c>
      <c r="L117" s="2">
        <v>1282157.6839668304</v>
      </c>
      <c r="M117" s="2">
        <v>1339680.5073882865</v>
      </c>
      <c r="N117" s="2">
        <v>1806364.2976459928</v>
      </c>
      <c r="O117" s="2">
        <v>1863086.4760302277</v>
      </c>
      <c r="P117" s="2">
        <v>1868667.8303531581</v>
      </c>
      <c r="Q117" s="2">
        <v>2066352.8573877234</v>
      </c>
      <c r="R117" s="2">
        <v>2206305.0969545832</v>
      </c>
      <c r="S117" s="2">
        <v>2352418.6661459929</v>
      </c>
      <c r="T117" s="2">
        <v>2567171.8780850852</v>
      </c>
      <c r="U117" s="2">
        <v>2653002.1631849399</v>
      </c>
      <c r="V117" s="2">
        <v>2720695.0179999997</v>
      </c>
      <c r="W117" s="2">
        <v>2799398.8860881329</v>
      </c>
      <c r="X117" s="2">
        <v>2852905.5630389852</v>
      </c>
      <c r="Y117" s="2">
        <v>3113382.5917187445</v>
      </c>
      <c r="Z117" s="2">
        <v>3171699.4293825477</v>
      </c>
      <c r="AA117" s="2">
        <v>3214057.2453659056</v>
      </c>
      <c r="AB117" s="2">
        <v>3293556.6034321422</v>
      </c>
      <c r="AC117" s="2">
        <v>3343493.7021444598</v>
      </c>
      <c r="AD117" s="2">
        <v>3394340.1132108849</v>
      </c>
      <c r="AE117" s="2">
        <v>3468919.2414122806</v>
      </c>
      <c r="AF117" s="2">
        <v>3261694.7572171115</v>
      </c>
      <c r="AG117" s="2">
        <v>3265891.2474409188</v>
      </c>
    </row>
    <row r="118" spans="1:33" x14ac:dyDescent="0.2">
      <c r="A118" s="1" t="s">
        <v>268</v>
      </c>
      <c r="B118" s="1" t="s">
        <v>279</v>
      </c>
      <c r="C118" s="1" t="s">
        <v>280</v>
      </c>
      <c r="D118" s="2">
        <v>3547.4088806981999</v>
      </c>
      <c r="E118" s="2">
        <v>15045.574233820402</v>
      </c>
      <c r="F118" s="2">
        <v>115636.71823140122</v>
      </c>
      <c r="G118" s="2">
        <v>169847.69552811852</v>
      </c>
      <c r="H118" s="2">
        <v>233188.27266061486</v>
      </c>
      <c r="I118" s="2">
        <v>260206.37199020517</v>
      </c>
      <c r="J118" s="2">
        <v>968025.2795324683</v>
      </c>
      <c r="K118" s="2">
        <v>1235272.292247236</v>
      </c>
      <c r="L118" s="2">
        <v>1243017.9981670973</v>
      </c>
      <c r="M118" s="2">
        <v>1307067.6952358619</v>
      </c>
      <c r="N118" s="2">
        <v>1693253.8590326437</v>
      </c>
      <c r="O118" s="2">
        <v>1706172.2325587708</v>
      </c>
      <c r="P118" s="2">
        <v>1693957.5688793687</v>
      </c>
      <c r="Q118" s="2">
        <v>1844365.3384534081</v>
      </c>
      <c r="R118" s="2">
        <v>1933949.4635155674</v>
      </c>
      <c r="S118" s="2">
        <v>2060606.2137993886</v>
      </c>
      <c r="T118" s="2">
        <v>2220484.2980097048</v>
      </c>
      <c r="U118" s="2">
        <v>2260217.3853520388</v>
      </c>
      <c r="V118" s="2">
        <v>2323588.548</v>
      </c>
      <c r="W118" s="2">
        <v>2398229.8355135485</v>
      </c>
      <c r="X118" s="2">
        <v>2435016.4908926957</v>
      </c>
      <c r="Y118" s="2">
        <v>2584728.7257541488</v>
      </c>
      <c r="Z118" s="2">
        <v>2612826.8908774341</v>
      </c>
      <c r="AA118" s="2">
        <v>2586243.0636808695</v>
      </c>
      <c r="AB118" s="2">
        <v>2630178.5470814751</v>
      </c>
      <c r="AC118" s="2">
        <v>2697904.0538771036</v>
      </c>
      <c r="AD118" s="2">
        <v>2702087.7615655162</v>
      </c>
      <c r="AE118" s="2">
        <v>2734482.1398456013</v>
      </c>
      <c r="AF118" s="2">
        <v>2602941.2443799241</v>
      </c>
      <c r="AG118" s="2">
        <v>2640215.4213673049</v>
      </c>
    </row>
    <row r="119" spans="1:33" x14ac:dyDescent="0.2">
      <c r="A119" s="1" t="s">
        <v>281</v>
      </c>
      <c r="B119" s="1" t="s">
        <v>282</v>
      </c>
      <c r="C119" s="1" t="s">
        <v>283</v>
      </c>
      <c r="D119" s="2">
        <v>553.15528309180002</v>
      </c>
      <c r="E119" s="2">
        <v>3637.8060658447002</v>
      </c>
      <c r="F119" s="2">
        <v>11995.407542061999</v>
      </c>
      <c r="G119" s="2">
        <v>15997.8094647951</v>
      </c>
      <c r="H119" s="2">
        <v>23313.550669988599</v>
      </c>
      <c r="I119" s="2">
        <v>46694.639409418094</v>
      </c>
      <c r="J119" s="2">
        <v>110117.47228958612</v>
      </c>
      <c r="K119" s="2">
        <v>327254.77724417689</v>
      </c>
      <c r="L119" s="2">
        <v>354302.42282249854</v>
      </c>
      <c r="M119" s="2">
        <v>372249.12501015322</v>
      </c>
      <c r="N119" s="2">
        <v>495273.25578887778</v>
      </c>
      <c r="O119" s="2">
        <v>468333.60490917967</v>
      </c>
      <c r="P119" s="2">
        <v>465729.6677817977</v>
      </c>
      <c r="Q119" s="2">
        <v>509407.57279879274</v>
      </c>
      <c r="R119" s="2">
        <v>593120.66664389742</v>
      </c>
      <c r="S119" s="2">
        <v>625085.20368740754</v>
      </c>
      <c r="T119" s="2">
        <v>660326.45306408696</v>
      </c>
      <c r="U119" s="2">
        <v>674936.82834252459</v>
      </c>
      <c r="V119" s="2">
        <v>715218.41499999992</v>
      </c>
      <c r="W119" s="2">
        <v>731102.47260248917</v>
      </c>
      <c r="X119" s="2">
        <v>707624.52595834155</v>
      </c>
      <c r="Y119" s="2">
        <v>747757.69350523618</v>
      </c>
      <c r="Z119" s="2">
        <v>760791.37302492885</v>
      </c>
      <c r="AA119" s="2">
        <v>745091.83176095178</v>
      </c>
      <c r="AB119" s="2">
        <v>706907.32606684021</v>
      </c>
      <c r="AC119" s="2">
        <v>721584.99776359543</v>
      </c>
      <c r="AD119" s="2">
        <v>705426.68308207567</v>
      </c>
      <c r="AE119" s="2">
        <v>748372.01751698682</v>
      </c>
      <c r="AF119" s="2">
        <v>714639.89216520765</v>
      </c>
      <c r="AG119" s="2">
        <v>698315.47125793074</v>
      </c>
    </row>
    <row r="120" spans="1:33" x14ac:dyDescent="0.2">
      <c r="A120" s="1" t="s">
        <v>281</v>
      </c>
      <c r="B120" s="1" t="s">
        <v>284</v>
      </c>
      <c r="C120" s="1" t="s">
        <v>285</v>
      </c>
      <c r="D120" s="2">
        <v>1178.4612552828999</v>
      </c>
      <c r="E120" s="2">
        <v>6850.2235191508007</v>
      </c>
      <c r="F120" s="2">
        <v>30655.683149625402</v>
      </c>
      <c r="G120" s="2">
        <v>36333.134708650294</v>
      </c>
      <c r="H120" s="2">
        <v>46723.361104303905</v>
      </c>
      <c r="I120" s="2">
        <v>98857.988972288906</v>
      </c>
      <c r="J120" s="2">
        <v>224687.9612147341</v>
      </c>
      <c r="K120" s="2">
        <v>677062.24364141549</v>
      </c>
      <c r="L120" s="2">
        <v>668241.62139195623</v>
      </c>
      <c r="M120" s="2">
        <v>719375.85094363266</v>
      </c>
      <c r="N120" s="2">
        <v>900658.60915852303</v>
      </c>
      <c r="O120" s="2">
        <v>873576.40954125009</v>
      </c>
      <c r="P120" s="2">
        <v>882316.30236741295</v>
      </c>
      <c r="Q120" s="2">
        <v>960923.07515826158</v>
      </c>
      <c r="R120" s="2">
        <v>1102368.9805201553</v>
      </c>
      <c r="S120" s="2">
        <v>1126651.8249972952</v>
      </c>
      <c r="T120" s="2">
        <v>1232966.0523085634</v>
      </c>
      <c r="U120" s="2">
        <v>1254735.5525137465</v>
      </c>
      <c r="V120" s="2">
        <v>1319489.6430000002</v>
      </c>
      <c r="W120" s="2">
        <v>1312207.1205731949</v>
      </c>
      <c r="X120" s="2">
        <v>1283357.9058049279</v>
      </c>
      <c r="Y120" s="2">
        <v>1352142.5342889831</v>
      </c>
      <c r="Z120" s="2">
        <v>1374753.9969028605</v>
      </c>
      <c r="AA120" s="2">
        <v>1335806.132677563</v>
      </c>
      <c r="AB120" s="2">
        <v>1278387.0035641112</v>
      </c>
      <c r="AC120" s="2">
        <v>1321297.3001650216</v>
      </c>
      <c r="AD120" s="2">
        <v>1286061.1703530531</v>
      </c>
      <c r="AE120" s="2">
        <v>1354366.4009947204</v>
      </c>
      <c r="AF120" s="2">
        <v>1306683.6340800112</v>
      </c>
      <c r="AG120" s="2">
        <v>1262683.8801165726</v>
      </c>
    </row>
    <row r="121" spans="1:33" x14ac:dyDescent="0.2">
      <c r="A121" s="1" t="s">
        <v>281</v>
      </c>
      <c r="B121" s="1" t="s">
        <v>286</v>
      </c>
      <c r="C121" s="1" t="s">
        <v>287</v>
      </c>
      <c r="D121" s="2">
        <v>13889.0076515479</v>
      </c>
      <c r="E121" s="2">
        <v>58908.98855012891</v>
      </c>
      <c r="F121" s="2">
        <v>320205.6321762068</v>
      </c>
      <c r="G121" s="2">
        <v>462258.16431984224</v>
      </c>
      <c r="H121" s="2">
        <v>671662.53625376674</v>
      </c>
      <c r="I121" s="2">
        <v>1356830.5855925053</v>
      </c>
      <c r="J121" s="2">
        <v>2428920.9841570379</v>
      </c>
      <c r="K121" s="2">
        <v>2029470.2471832098</v>
      </c>
      <c r="L121" s="2">
        <v>2066734.7862679709</v>
      </c>
      <c r="M121" s="2">
        <v>2317628.9219936356</v>
      </c>
      <c r="N121" s="2">
        <v>2823670.6416772748</v>
      </c>
      <c r="O121" s="2">
        <v>2768260.8516998342</v>
      </c>
      <c r="P121" s="2">
        <v>2785632.5429922943</v>
      </c>
      <c r="Q121" s="2">
        <v>3023158.7480455181</v>
      </c>
      <c r="R121" s="2">
        <v>3480780.4622991076</v>
      </c>
      <c r="S121" s="2">
        <v>3608739.8530257926</v>
      </c>
      <c r="T121" s="2">
        <v>3890857.2806711951</v>
      </c>
      <c r="U121" s="2">
        <v>3966930.7953970549</v>
      </c>
      <c r="V121" s="2">
        <v>4276874.2350000003</v>
      </c>
      <c r="W121" s="2">
        <v>4232880.0652593439</v>
      </c>
      <c r="X121" s="2">
        <v>4237361.2727467827</v>
      </c>
      <c r="Y121" s="2">
        <v>4428918.6082025142</v>
      </c>
      <c r="Z121" s="2">
        <v>4549552.9878240768</v>
      </c>
      <c r="AA121" s="2">
        <v>4488015.5747939218</v>
      </c>
      <c r="AB121" s="2">
        <v>4272540.1692682402</v>
      </c>
      <c r="AC121" s="2">
        <v>4390385.4483982306</v>
      </c>
      <c r="AD121" s="2">
        <v>4353698.7114332328</v>
      </c>
      <c r="AE121" s="2">
        <v>4543787.7836485635</v>
      </c>
      <c r="AF121" s="2">
        <v>4331026.3213627422</v>
      </c>
      <c r="AG121" s="2">
        <v>4225917.824029658</v>
      </c>
    </row>
    <row r="122" spans="1:33" x14ac:dyDescent="0.2">
      <c r="A122" s="1" t="s">
        <v>288</v>
      </c>
      <c r="B122" s="1" t="s">
        <v>289</v>
      </c>
      <c r="C122" s="1" t="s">
        <v>290</v>
      </c>
      <c r="D122" s="2">
        <v>3294.8814688520997</v>
      </c>
      <c r="E122" s="2">
        <v>38884.660696903804</v>
      </c>
      <c r="F122" s="2">
        <v>455516.47932327015</v>
      </c>
      <c r="G122" s="2">
        <v>651821.91432895965</v>
      </c>
      <c r="H122" s="2">
        <v>770211.74332584185</v>
      </c>
      <c r="I122" s="2">
        <v>1079740.5729591437</v>
      </c>
      <c r="J122" s="2">
        <v>2624347.6955999024</v>
      </c>
      <c r="K122" s="2">
        <v>2305428.3846275546</v>
      </c>
      <c r="L122" s="2">
        <v>2451350.2613986265</v>
      </c>
      <c r="M122" s="2">
        <v>2541304.6294155023</v>
      </c>
      <c r="N122" s="2">
        <v>3013940.9253051076</v>
      </c>
      <c r="O122" s="2">
        <v>2976243.4846095783</v>
      </c>
      <c r="P122" s="2">
        <v>2965263.4836216536</v>
      </c>
      <c r="Q122" s="2">
        <v>3110166.411915733</v>
      </c>
      <c r="R122" s="2">
        <v>3286405.094225273</v>
      </c>
      <c r="S122" s="2">
        <v>3636826.1038464042</v>
      </c>
      <c r="T122" s="2">
        <v>3906417.7141777864</v>
      </c>
      <c r="U122" s="2">
        <v>4136520.35121718</v>
      </c>
      <c r="V122" s="2">
        <v>3909511.186999999</v>
      </c>
      <c r="W122" s="2">
        <v>3933038.8086965908</v>
      </c>
      <c r="X122" s="2">
        <v>4041969.1772392034</v>
      </c>
      <c r="Y122" s="2">
        <v>4384134.7185004577</v>
      </c>
      <c r="Z122" s="2">
        <v>4303300.3808165714</v>
      </c>
      <c r="AA122" s="2">
        <v>4341003.3137828633</v>
      </c>
      <c r="AB122" s="2">
        <v>4110023.3563444619</v>
      </c>
      <c r="AC122" s="2">
        <v>4178434.7172693186</v>
      </c>
      <c r="AD122" s="2">
        <v>4143586.9521838496</v>
      </c>
      <c r="AE122" s="2">
        <v>4158825.4061763533</v>
      </c>
      <c r="AF122" s="2">
        <v>4172262.312033704</v>
      </c>
      <c r="AG122" s="2">
        <v>3910703.8202573</v>
      </c>
    </row>
    <row r="123" spans="1:33" x14ac:dyDescent="0.2">
      <c r="A123" s="1" t="s">
        <v>288</v>
      </c>
      <c r="B123" s="1" t="s">
        <v>291</v>
      </c>
      <c r="C123" s="1" t="s">
        <v>292</v>
      </c>
      <c r="D123" s="2">
        <v>22847.718214668203</v>
      </c>
      <c r="E123" s="2">
        <v>83012.526113012398</v>
      </c>
      <c r="F123" s="2">
        <v>594923.98160756147</v>
      </c>
      <c r="G123" s="2">
        <v>878483.86367258383</v>
      </c>
      <c r="H123" s="2">
        <v>1064065.9127976953</v>
      </c>
      <c r="I123" s="2">
        <v>1462220.6562715049</v>
      </c>
      <c r="J123" s="2">
        <v>3475531.6286111027</v>
      </c>
      <c r="K123" s="2">
        <v>3675466.1065929094</v>
      </c>
      <c r="L123" s="2">
        <v>3914072.4227202502</v>
      </c>
      <c r="M123" s="2">
        <v>3911217.9541582647</v>
      </c>
      <c r="N123" s="2">
        <v>4579233.6149635529</v>
      </c>
      <c r="O123" s="2">
        <v>4486063.9534867555</v>
      </c>
      <c r="P123" s="2">
        <v>4513265.7122719055</v>
      </c>
      <c r="Q123" s="2">
        <v>4756457.1197139816</v>
      </c>
      <c r="R123" s="2">
        <v>4972101.7339391122</v>
      </c>
      <c r="S123" s="2">
        <v>5496429.7019740436</v>
      </c>
      <c r="T123" s="2">
        <v>5828118.2986780638</v>
      </c>
      <c r="U123" s="2">
        <v>6251489.9780846545</v>
      </c>
      <c r="V123" s="2">
        <v>6015320.8280000016</v>
      </c>
      <c r="W123" s="2">
        <v>6043229.7216125168</v>
      </c>
      <c r="X123" s="2">
        <v>6125740.7810889091</v>
      </c>
      <c r="Y123" s="2">
        <v>6750796.0225306628</v>
      </c>
      <c r="Z123" s="2">
        <v>6629377.4037482115</v>
      </c>
      <c r="AA123" s="2">
        <v>6587357.6951588662</v>
      </c>
      <c r="AB123" s="2">
        <v>6292916.3288811035</v>
      </c>
      <c r="AC123" s="2">
        <v>6349543.869516952</v>
      </c>
      <c r="AD123" s="2">
        <v>6348956.0973152667</v>
      </c>
      <c r="AE123" s="2">
        <v>6319390.8322558822</v>
      </c>
      <c r="AF123" s="2">
        <v>6276157.075859122</v>
      </c>
      <c r="AG123" s="2">
        <v>5894290.5553210303</v>
      </c>
    </row>
    <row r="124" spans="1:33" x14ac:dyDescent="0.2">
      <c r="A124" s="1" t="s">
        <v>288</v>
      </c>
      <c r="B124" s="1" t="s">
        <v>293</v>
      </c>
      <c r="C124" s="1" t="s">
        <v>294</v>
      </c>
      <c r="D124" s="2">
        <v>2392.9978551150998</v>
      </c>
      <c r="E124" s="2">
        <v>16491.196965993702</v>
      </c>
      <c r="F124" s="2">
        <v>195974.11224106629</v>
      </c>
      <c r="G124" s="2">
        <v>322850.83237190591</v>
      </c>
      <c r="H124" s="2">
        <v>431452.12990478508</v>
      </c>
      <c r="I124" s="2">
        <v>571810.94659370976</v>
      </c>
      <c r="J124" s="2">
        <v>1420478.1117358466</v>
      </c>
      <c r="K124" s="2">
        <v>1097884.456813643</v>
      </c>
      <c r="L124" s="2">
        <v>1167415.9634783755</v>
      </c>
      <c r="M124" s="2">
        <v>1212476.9817412589</v>
      </c>
      <c r="N124" s="2">
        <v>1448094.8093029817</v>
      </c>
      <c r="O124" s="2">
        <v>1403969.7893430851</v>
      </c>
      <c r="P124" s="2">
        <v>1385432.8049758482</v>
      </c>
      <c r="Q124" s="2">
        <v>1477797.4433949536</v>
      </c>
      <c r="R124" s="2">
        <v>1523282.7556340736</v>
      </c>
      <c r="S124" s="2">
        <v>1664346.0022169396</v>
      </c>
      <c r="T124" s="2">
        <v>1762719.1530366004</v>
      </c>
      <c r="U124" s="2">
        <v>1810811.3294060938</v>
      </c>
      <c r="V124" s="2">
        <v>1752257.8239999998</v>
      </c>
      <c r="W124" s="2">
        <v>1785598.7419895115</v>
      </c>
      <c r="X124" s="2">
        <v>1818869.4182999702</v>
      </c>
      <c r="Y124" s="2">
        <v>1956601.4540096873</v>
      </c>
      <c r="Z124" s="2">
        <v>1935989.1284938937</v>
      </c>
      <c r="AA124" s="2">
        <v>1938888.700703053</v>
      </c>
      <c r="AB124" s="2">
        <v>1824696.3294335408</v>
      </c>
      <c r="AC124" s="2">
        <v>1823442.9114343429</v>
      </c>
      <c r="AD124" s="2">
        <v>1804607.5873815347</v>
      </c>
      <c r="AE124" s="2">
        <v>1808145.9459471742</v>
      </c>
      <c r="AF124" s="2">
        <v>1860761.5990633292</v>
      </c>
      <c r="AG124" s="2">
        <v>1743952.4385523291</v>
      </c>
    </row>
    <row r="125" spans="1:33" x14ac:dyDescent="0.2">
      <c r="A125" s="1" t="s">
        <v>288</v>
      </c>
      <c r="B125" s="1" t="s">
        <v>295</v>
      </c>
      <c r="C125" s="1" t="s">
        <v>296</v>
      </c>
      <c r="D125" s="2">
        <v>15801.000912669704</v>
      </c>
      <c r="E125" s="2">
        <v>71486.263224701994</v>
      </c>
      <c r="F125" s="2">
        <v>494188.75735527283</v>
      </c>
      <c r="G125" s="2">
        <v>742409.32519294834</v>
      </c>
      <c r="H125" s="2">
        <v>907061.60305595468</v>
      </c>
      <c r="I125" s="2">
        <v>1198131.6990773145</v>
      </c>
      <c r="J125" s="2">
        <v>2617616.9278317611</v>
      </c>
      <c r="K125" s="2">
        <v>2150742.2074926281</v>
      </c>
      <c r="L125" s="2">
        <v>2231470.0170644708</v>
      </c>
      <c r="M125" s="2">
        <v>2319328.9182778834</v>
      </c>
      <c r="N125" s="2">
        <v>2690580.4303419008</v>
      </c>
      <c r="O125" s="2">
        <v>2626850.1983704553</v>
      </c>
      <c r="P125" s="2">
        <v>2613246.1121599316</v>
      </c>
      <c r="Q125" s="2">
        <v>2749244.1137672965</v>
      </c>
      <c r="R125" s="2">
        <v>2883377.6436474724</v>
      </c>
      <c r="S125" s="2">
        <v>3203038.4159397348</v>
      </c>
      <c r="T125" s="2">
        <v>3422086.109190349</v>
      </c>
      <c r="U125" s="2">
        <v>3718837.3192863008</v>
      </c>
      <c r="V125" s="2">
        <v>3510522.8039999995</v>
      </c>
      <c r="W125" s="2">
        <v>3576356.982349081</v>
      </c>
      <c r="X125" s="2">
        <v>3647893.4231746499</v>
      </c>
      <c r="Y125" s="2">
        <v>3924837.5024949093</v>
      </c>
      <c r="Z125" s="2">
        <v>3846956.2248237906</v>
      </c>
      <c r="AA125" s="2">
        <v>3894805.6168164965</v>
      </c>
      <c r="AB125" s="2">
        <v>3679032.9773376184</v>
      </c>
      <c r="AC125" s="2">
        <v>3716471.9407668863</v>
      </c>
      <c r="AD125" s="2">
        <v>3671378.7879115227</v>
      </c>
      <c r="AE125" s="2">
        <v>3655964.9083184898</v>
      </c>
      <c r="AF125" s="2">
        <v>3674695.0107399947</v>
      </c>
      <c r="AG125" s="2">
        <v>3468315.9659000202</v>
      </c>
    </row>
    <row r="126" spans="1:33" x14ac:dyDescent="0.2">
      <c r="A126" s="1" t="s">
        <v>288</v>
      </c>
      <c r="B126" s="1" t="s">
        <v>297</v>
      </c>
      <c r="C126" s="1" t="s">
        <v>298</v>
      </c>
      <c r="D126" s="2">
        <v>8826.4342997714011</v>
      </c>
      <c r="E126" s="2">
        <v>31561.749077900902</v>
      </c>
      <c r="F126" s="2">
        <v>212258.54479031608</v>
      </c>
      <c r="G126" s="2">
        <v>334331.90479792387</v>
      </c>
      <c r="H126" s="2">
        <v>427281.51695027505</v>
      </c>
      <c r="I126" s="2">
        <v>546996.29247649969</v>
      </c>
      <c r="J126" s="2">
        <v>1157356.9926754339</v>
      </c>
      <c r="K126" s="2">
        <v>1170684.8234803493</v>
      </c>
      <c r="L126" s="2">
        <v>1254291.7085652901</v>
      </c>
      <c r="M126" s="2">
        <v>1298054.5861018281</v>
      </c>
      <c r="N126" s="2">
        <v>1609060.5661935944</v>
      </c>
      <c r="O126" s="2">
        <v>1537253.6264211722</v>
      </c>
      <c r="P126" s="2">
        <v>1513244.5426172358</v>
      </c>
      <c r="Q126" s="2">
        <v>1624601.4669839696</v>
      </c>
      <c r="R126" s="2">
        <v>1705311.7614941585</v>
      </c>
      <c r="S126" s="2">
        <v>1904096.6274812366</v>
      </c>
      <c r="T126" s="2">
        <v>2032327.9987972695</v>
      </c>
      <c r="U126" s="2">
        <v>2097916.9462485681</v>
      </c>
      <c r="V126" s="2">
        <v>2021939.0150000006</v>
      </c>
      <c r="W126" s="2">
        <v>2023918.2047078863</v>
      </c>
      <c r="X126" s="2">
        <v>2048053.0973596792</v>
      </c>
      <c r="Y126" s="2">
        <v>2255891.2633174742</v>
      </c>
      <c r="Z126" s="2">
        <v>2230854.3510969416</v>
      </c>
      <c r="AA126" s="2">
        <v>2239601.0506779905</v>
      </c>
      <c r="AB126" s="2">
        <v>2117730.5634172512</v>
      </c>
      <c r="AC126" s="2">
        <v>2158113.2327632792</v>
      </c>
      <c r="AD126" s="2">
        <v>2147392.6000263672</v>
      </c>
      <c r="AE126" s="2">
        <v>2147301.3818539372</v>
      </c>
      <c r="AF126" s="2">
        <v>2266962.2718600607</v>
      </c>
      <c r="AG126" s="2">
        <v>2121756.9014179269</v>
      </c>
    </row>
    <row r="127" spans="1:33" x14ac:dyDescent="0.2">
      <c r="A127" s="1" t="s">
        <v>288</v>
      </c>
      <c r="B127" s="1" t="s">
        <v>299</v>
      </c>
      <c r="C127" s="1" t="s">
        <v>300</v>
      </c>
      <c r="D127" s="2">
        <v>9584.0165353105986</v>
      </c>
      <c r="E127" s="2">
        <v>44318.261118203103</v>
      </c>
      <c r="F127" s="2">
        <v>312630.77157995349</v>
      </c>
      <c r="G127" s="2">
        <v>482661.39126133732</v>
      </c>
      <c r="H127" s="2">
        <v>603908.99618525209</v>
      </c>
      <c r="I127" s="2">
        <v>798099.88443014701</v>
      </c>
      <c r="J127" s="2">
        <v>1810665.738374969</v>
      </c>
      <c r="K127" s="2">
        <v>2023622.2824377073</v>
      </c>
      <c r="L127" s="2">
        <v>2128121.6518783146</v>
      </c>
      <c r="M127" s="2">
        <v>2222883.853008192</v>
      </c>
      <c r="N127" s="2">
        <v>2635878.4434463512</v>
      </c>
      <c r="O127" s="2">
        <v>2586635.9706611829</v>
      </c>
      <c r="P127" s="2">
        <v>2624947.4053084617</v>
      </c>
      <c r="Q127" s="2">
        <v>2789076.4967309507</v>
      </c>
      <c r="R127" s="2">
        <v>2954700.8304058276</v>
      </c>
      <c r="S127" s="2">
        <v>3191059.8963071913</v>
      </c>
      <c r="T127" s="2">
        <v>3367240.2854002882</v>
      </c>
      <c r="U127" s="2">
        <v>3545675.5592542253</v>
      </c>
      <c r="V127" s="2">
        <v>3401294.8409999991</v>
      </c>
      <c r="W127" s="2">
        <v>3473998.1917399694</v>
      </c>
      <c r="X127" s="2">
        <v>3564491.6575325201</v>
      </c>
      <c r="Y127" s="2">
        <v>3910739.2390009034</v>
      </c>
      <c r="Z127" s="2">
        <v>3871319.1145458641</v>
      </c>
      <c r="AA127" s="2">
        <v>3928555.35867375</v>
      </c>
      <c r="AB127" s="2">
        <v>3717936.1519385683</v>
      </c>
      <c r="AC127" s="2">
        <v>3776867.6586869555</v>
      </c>
      <c r="AD127" s="2">
        <v>3752049.2418118217</v>
      </c>
      <c r="AE127" s="2">
        <v>3738434.3715836024</v>
      </c>
      <c r="AF127" s="2">
        <v>3759370.2396554756</v>
      </c>
      <c r="AG127" s="2">
        <v>3545651.6554164006</v>
      </c>
    </row>
    <row r="128" spans="1:33" x14ac:dyDescent="0.2">
      <c r="A128" s="1" t="s">
        <v>288</v>
      </c>
      <c r="B128" s="1" t="s">
        <v>301</v>
      </c>
      <c r="C128" s="1" t="s">
        <v>302</v>
      </c>
      <c r="D128" s="2">
        <v>24218.581307547604</v>
      </c>
      <c r="E128" s="2">
        <v>101436.97174642287</v>
      </c>
      <c r="F128" s="2">
        <v>1043840.3954215591</v>
      </c>
      <c r="G128" s="2">
        <v>1572557.1875553806</v>
      </c>
      <c r="H128" s="2">
        <v>1928727.4875973989</v>
      </c>
      <c r="I128" s="2">
        <v>2627534.5038722549</v>
      </c>
      <c r="J128" s="2">
        <v>5771671.8312301161</v>
      </c>
      <c r="K128" s="2">
        <v>5931095.0066836439</v>
      </c>
      <c r="L128" s="2">
        <v>6320989.2756752186</v>
      </c>
      <c r="M128" s="2">
        <v>6630638.3905777717</v>
      </c>
      <c r="N128" s="2">
        <v>7804307.5433676662</v>
      </c>
      <c r="O128" s="2">
        <v>7702162.9158497388</v>
      </c>
      <c r="P128" s="2">
        <v>7671332.3518232796</v>
      </c>
      <c r="Q128" s="2">
        <v>8369329.0330292042</v>
      </c>
      <c r="R128" s="2">
        <v>8697439.2007066403</v>
      </c>
      <c r="S128" s="2">
        <v>9537366.3114365209</v>
      </c>
      <c r="T128" s="2">
        <v>10132953.760546923</v>
      </c>
      <c r="U128" s="2">
        <v>10638430.996357003</v>
      </c>
      <c r="V128" s="2">
        <v>10104787.153999999</v>
      </c>
      <c r="W128" s="2">
        <v>10197659.826196291</v>
      </c>
      <c r="X128" s="2">
        <v>10307531.617337668</v>
      </c>
      <c r="Y128" s="2">
        <v>11153247.858657697</v>
      </c>
      <c r="Z128" s="2">
        <v>11012732.462623928</v>
      </c>
      <c r="AA128" s="2">
        <v>11110763.933963258</v>
      </c>
      <c r="AB128" s="2">
        <v>10415561.131316414</v>
      </c>
      <c r="AC128" s="2">
        <v>10507545.41306833</v>
      </c>
      <c r="AD128" s="2">
        <v>10419825.682465602</v>
      </c>
      <c r="AE128" s="2">
        <v>10452589.388043404</v>
      </c>
      <c r="AF128" s="2">
        <v>10585165.104151011</v>
      </c>
      <c r="AG128" s="2">
        <v>9935832.1760887895</v>
      </c>
    </row>
    <row r="129" spans="1:33" x14ac:dyDescent="0.2">
      <c r="A129" s="1" t="s">
        <v>288</v>
      </c>
      <c r="B129" s="1" t="s">
        <v>303</v>
      </c>
      <c r="C129" s="1" t="s">
        <v>304</v>
      </c>
      <c r="E129" s="2">
        <v>12390.366459352501</v>
      </c>
      <c r="F129" s="2">
        <v>309033.23850844969</v>
      </c>
      <c r="G129" s="2">
        <v>473956.37393904815</v>
      </c>
      <c r="H129" s="2">
        <v>590091.44278634572</v>
      </c>
      <c r="I129" s="2">
        <v>803180.24427958054</v>
      </c>
      <c r="J129" s="2">
        <v>1885774.7053869113</v>
      </c>
      <c r="K129" s="2">
        <v>1345618.3567439171</v>
      </c>
      <c r="L129" s="2">
        <v>1398856.6144903733</v>
      </c>
      <c r="M129" s="2">
        <v>1405100.1189991902</v>
      </c>
      <c r="N129" s="2">
        <v>1689643.0825059372</v>
      </c>
      <c r="O129" s="2">
        <v>1636255.994349764</v>
      </c>
      <c r="P129" s="2">
        <v>1607555.3829248422</v>
      </c>
      <c r="Q129" s="2">
        <v>1707727.6398550323</v>
      </c>
      <c r="R129" s="2">
        <v>1763633.0750162008</v>
      </c>
      <c r="S129" s="2">
        <v>1969729.854797231</v>
      </c>
      <c r="T129" s="2">
        <v>2089166.6864569094</v>
      </c>
      <c r="U129" s="2">
        <v>2226755.0157114188</v>
      </c>
      <c r="V129" s="2">
        <v>2082422.004</v>
      </c>
      <c r="W129" s="2">
        <v>2093608.8851845164</v>
      </c>
      <c r="X129" s="2">
        <v>2128172.2451958084</v>
      </c>
      <c r="Y129" s="2">
        <v>2286862.2463799808</v>
      </c>
      <c r="Z129" s="2">
        <v>2266454.0860376516</v>
      </c>
      <c r="AA129" s="2">
        <v>2277558.3443721286</v>
      </c>
      <c r="AB129" s="2">
        <v>2135205.3562355703</v>
      </c>
      <c r="AC129" s="2">
        <v>2160538.2647303436</v>
      </c>
      <c r="AD129" s="2">
        <v>2137296.7884084256</v>
      </c>
      <c r="AE129" s="2">
        <v>2140878.6559869181</v>
      </c>
      <c r="AF129" s="2">
        <v>2202394.4876018171</v>
      </c>
      <c r="AG129" s="2">
        <v>2049513.5972087781</v>
      </c>
    </row>
    <row r="130" spans="1:33" x14ac:dyDescent="0.2">
      <c r="A130" s="1" t="s">
        <v>288</v>
      </c>
      <c r="B130" s="1" t="s">
        <v>305</v>
      </c>
      <c r="C130" s="1" t="s">
        <v>306</v>
      </c>
      <c r="D130" s="2">
        <v>384.80367519449999</v>
      </c>
      <c r="E130" s="2">
        <v>16945.217486371799</v>
      </c>
      <c r="F130" s="2">
        <v>151482.10578824149</v>
      </c>
      <c r="G130" s="2">
        <v>223023.7084641878</v>
      </c>
      <c r="H130" s="2">
        <v>265371.22036944242</v>
      </c>
      <c r="I130" s="2">
        <v>376132.25857612328</v>
      </c>
      <c r="J130" s="2">
        <v>883258.60057929438</v>
      </c>
      <c r="K130" s="2">
        <v>670723.17382556025</v>
      </c>
      <c r="L130" s="2">
        <v>716295.98127307952</v>
      </c>
      <c r="M130" s="2">
        <v>731086.00939733954</v>
      </c>
      <c r="N130" s="2">
        <v>869658.82907033607</v>
      </c>
      <c r="O130" s="2">
        <v>845129.52714922186</v>
      </c>
      <c r="P130" s="2">
        <v>847374.10821227531</v>
      </c>
      <c r="Q130" s="2">
        <v>904562.73126493744</v>
      </c>
      <c r="R130" s="2">
        <v>946074.13155679731</v>
      </c>
      <c r="S130" s="2">
        <v>1032009.8205568943</v>
      </c>
      <c r="T130" s="2">
        <v>1126418.3509373087</v>
      </c>
      <c r="U130" s="2">
        <v>1212454.0675652798</v>
      </c>
      <c r="V130" s="2">
        <v>1134366.5390000001</v>
      </c>
      <c r="W130" s="2">
        <v>1131687.716660534</v>
      </c>
      <c r="X130" s="2">
        <v>1169486.4217896091</v>
      </c>
      <c r="Y130" s="2">
        <v>1218045.2841464961</v>
      </c>
      <c r="Z130" s="2">
        <v>1194389.6308560788</v>
      </c>
      <c r="AA130" s="2">
        <v>1186407.1732521313</v>
      </c>
      <c r="AB130" s="2">
        <v>1110794.9382554514</v>
      </c>
      <c r="AC130" s="2">
        <v>1105589.3910704837</v>
      </c>
      <c r="AD130" s="2">
        <v>1099203.1572485007</v>
      </c>
      <c r="AE130" s="2">
        <v>1095828.5077461496</v>
      </c>
      <c r="AF130" s="2">
        <v>1107911.5988935886</v>
      </c>
      <c r="AG130" s="2">
        <v>1030443.571713864</v>
      </c>
    </row>
    <row r="131" spans="1:33" x14ac:dyDescent="0.2">
      <c r="A131" s="1" t="s">
        <v>288</v>
      </c>
      <c r="B131" s="1" t="s">
        <v>307</v>
      </c>
      <c r="C131" s="1" t="s">
        <v>308</v>
      </c>
      <c r="D131" s="2">
        <v>3583.4842252481999</v>
      </c>
      <c r="E131" s="2">
        <v>21075.339639488997</v>
      </c>
      <c r="F131" s="2">
        <v>171009.26108956605</v>
      </c>
      <c r="G131" s="2">
        <v>228188.30014654589</v>
      </c>
      <c r="H131" s="2">
        <v>256753.13627455442</v>
      </c>
      <c r="I131" s="2">
        <v>375344.37199148396</v>
      </c>
      <c r="J131" s="2">
        <v>934835.89770691073</v>
      </c>
      <c r="K131" s="2">
        <v>857302.57247102086</v>
      </c>
      <c r="L131" s="2">
        <v>910287.77729997085</v>
      </c>
      <c r="M131" s="2">
        <v>929303.49025570555</v>
      </c>
      <c r="N131" s="2">
        <v>1115465.521136234</v>
      </c>
      <c r="O131" s="2">
        <v>1062778.4642934643</v>
      </c>
      <c r="P131" s="2">
        <v>1074860.1458678534</v>
      </c>
      <c r="Q131" s="2">
        <v>1114347.7393400581</v>
      </c>
      <c r="R131" s="2">
        <v>1208080.2565266574</v>
      </c>
      <c r="S131" s="2">
        <v>1324264.8180680373</v>
      </c>
      <c r="T131" s="2">
        <v>1397110.2626456222</v>
      </c>
      <c r="U131" s="2">
        <v>1479748.9634352562</v>
      </c>
      <c r="V131" s="2">
        <v>1395275.3229999999</v>
      </c>
      <c r="W131" s="2">
        <v>1411090.5493603994</v>
      </c>
      <c r="X131" s="2">
        <v>1436790.1832450791</v>
      </c>
      <c r="Y131" s="2">
        <v>1529962.2168036881</v>
      </c>
      <c r="Z131" s="2">
        <v>1500989.1600368039</v>
      </c>
      <c r="AA131" s="2">
        <v>1508860.1411181786</v>
      </c>
      <c r="AB131" s="2">
        <v>1421231.8983885683</v>
      </c>
      <c r="AC131" s="2">
        <v>1448362.121754932</v>
      </c>
      <c r="AD131" s="2">
        <v>1429011.7725823144</v>
      </c>
      <c r="AE131" s="2">
        <v>1444583.4775027973</v>
      </c>
      <c r="AF131" s="2">
        <v>1499569.5595714792</v>
      </c>
      <c r="AG131" s="2">
        <v>1411300.6504732983</v>
      </c>
    </row>
    <row r="132" spans="1:33" x14ac:dyDescent="0.2">
      <c r="A132" s="1" t="s">
        <v>288</v>
      </c>
      <c r="B132" s="1" t="s">
        <v>309</v>
      </c>
      <c r="C132" s="1" t="s">
        <v>310</v>
      </c>
      <c r="D132" s="2">
        <v>5423.3267972709991</v>
      </c>
      <c r="E132" s="2">
        <v>32572.310881322705</v>
      </c>
      <c r="F132" s="2">
        <v>135428.8576957536</v>
      </c>
      <c r="G132" s="2">
        <v>238617.03501977763</v>
      </c>
      <c r="H132" s="2">
        <v>349732.72090681718</v>
      </c>
      <c r="I132" s="2">
        <v>434576.64664567972</v>
      </c>
      <c r="J132" s="2">
        <v>982062.8765003396</v>
      </c>
      <c r="K132" s="2">
        <v>1096761.5903663819</v>
      </c>
      <c r="L132" s="2">
        <v>1203481.0009876923</v>
      </c>
      <c r="M132" s="2">
        <v>1254588.9142353612</v>
      </c>
      <c r="N132" s="2">
        <v>1516852.6847205814</v>
      </c>
      <c r="O132" s="2">
        <v>1505746.1176210844</v>
      </c>
      <c r="P132" s="2">
        <v>1517967.426988987</v>
      </c>
      <c r="Q132" s="2">
        <v>1632086.7188822499</v>
      </c>
      <c r="R132" s="2">
        <v>1710514.4970510034</v>
      </c>
      <c r="S132" s="2">
        <v>1878187.8042244627</v>
      </c>
      <c r="T132" s="2">
        <v>2006678.8682255286</v>
      </c>
      <c r="U132" s="2">
        <v>2110899.8549450976</v>
      </c>
      <c r="V132" s="2">
        <v>1999840.6570000001</v>
      </c>
      <c r="W132" s="2">
        <v>2009546.5297432113</v>
      </c>
      <c r="X132" s="2">
        <v>2057929.9238214451</v>
      </c>
      <c r="Y132" s="2">
        <v>2201218.9592656703</v>
      </c>
      <c r="Z132" s="2">
        <v>2183455.0757706859</v>
      </c>
      <c r="AA132" s="2">
        <v>2208291.5353647061</v>
      </c>
      <c r="AB132" s="2">
        <v>2084206.8829374029</v>
      </c>
      <c r="AC132" s="2">
        <v>2103744.9094623313</v>
      </c>
      <c r="AD132" s="2">
        <v>2090193.1513260168</v>
      </c>
      <c r="AE132" s="2">
        <v>2087328.5961314365</v>
      </c>
      <c r="AF132" s="2">
        <v>2123389.0060919831</v>
      </c>
      <c r="AG132" s="2">
        <v>2021664.9591091131</v>
      </c>
    </row>
    <row r="133" spans="1:33" x14ac:dyDescent="0.2">
      <c r="A133" s="1" t="s">
        <v>288</v>
      </c>
      <c r="B133" s="1" t="s">
        <v>311</v>
      </c>
      <c r="C133" s="1" t="s">
        <v>312</v>
      </c>
      <c r="D133" s="2">
        <v>14658.615001936698</v>
      </c>
      <c r="E133" s="2">
        <v>65920.850394260706</v>
      </c>
      <c r="F133" s="2">
        <v>580959.4784298559</v>
      </c>
      <c r="G133" s="2">
        <v>891193.27674878563</v>
      </c>
      <c r="H133" s="2">
        <v>1107430.2917797347</v>
      </c>
      <c r="I133" s="2">
        <v>1480971.0596030166</v>
      </c>
      <c r="J133" s="2">
        <v>3412929.0831383853</v>
      </c>
      <c r="K133" s="2">
        <v>3621468.3889061389</v>
      </c>
      <c r="L133" s="2">
        <v>4022111.7711277599</v>
      </c>
      <c r="M133" s="2">
        <v>4149108.9679324683</v>
      </c>
      <c r="N133" s="2">
        <v>4940091.6741189472</v>
      </c>
      <c r="O133" s="2">
        <v>4862216.9118643682</v>
      </c>
      <c r="P133" s="2">
        <v>4860268.8910811618</v>
      </c>
      <c r="Q133" s="2">
        <v>5225362.0772367157</v>
      </c>
      <c r="R133" s="2">
        <v>5434926.9076765757</v>
      </c>
      <c r="S133" s="2">
        <v>6007116.8749465626</v>
      </c>
      <c r="T133" s="2">
        <v>6258902.423049069</v>
      </c>
      <c r="U133" s="2">
        <v>6685992.509981839</v>
      </c>
      <c r="V133" s="2">
        <v>6547828.4309999999</v>
      </c>
      <c r="W133" s="2">
        <v>6638624.4546765806</v>
      </c>
      <c r="X133" s="2">
        <v>6807716.6514986968</v>
      </c>
      <c r="Y133" s="2">
        <v>7438196.1234676782</v>
      </c>
      <c r="Z133" s="2">
        <v>7431847.4076535683</v>
      </c>
      <c r="AA133" s="2">
        <v>7575470.2219363786</v>
      </c>
      <c r="AB133" s="2">
        <v>7234334.6336599039</v>
      </c>
      <c r="AC133" s="2">
        <v>7303010.999174335</v>
      </c>
      <c r="AD133" s="2">
        <v>7312757.6724950001</v>
      </c>
      <c r="AE133" s="2">
        <v>7315716.8144800141</v>
      </c>
      <c r="AF133" s="2">
        <v>7322908.8604075015</v>
      </c>
      <c r="AG133" s="2">
        <v>6891515.8955888338</v>
      </c>
    </row>
    <row r="134" spans="1:33" x14ac:dyDescent="0.2">
      <c r="A134" s="1" t="s">
        <v>288</v>
      </c>
      <c r="B134" s="1" t="s">
        <v>313</v>
      </c>
      <c r="C134" s="1" t="s">
        <v>314</v>
      </c>
      <c r="D134" s="2">
        <v>26142.599683519806</v>
      </c>
      <c r="E134" s="2">
        <v>96530.620961691195</v>
      </c>
      <c r="F134" s="2">
        <v>1115266.8750067726</v>
      </c>
      <c r="G134" s="2">
        <v>1411764.835882894</v>
      </c>
      <c r="H134" s="2">
        <v>1520319.4226225433</v>
      </c>
      <c r="I134" s="2">
        <v>2073877.7273921517</v>
      </c>
      <c r="J134" s="2">
        <v>4766053.4727251828</v>
      </c>
      <c r="K134" s="2">
        <v>3149075.3753365516</v>
      </c>
      <c r="L134" s="2">
        <v>3879686.9287704569</v>
      </c>
      <c r="M134" s="2">
        <v>3906896.0004147505</v>
      </c>
      <c r="N134" s="2">
        <v>4735473.632625333</v>
      </c>
      <c r="O134" s="2">
        <v>4656124.8662551204</v>
      </c>
      <c r="P134" s="2">
        <v>4592883.5151978955</v>
      </c>
      <c r="Q134" s="2">
        <v>4903950.9339110712</v>
      </c>
      <c r="R134" s="2">
        <v>5132225.7730687112</v>
      </c>
      <c r="S134" s="2">
        <v>5439205.5605441686</v>
      </c>
      <c r="T134" s="2">
        <v>5751864.6608934468</v>
      </c>
      <c r="U134" s="2">
        <v>6123065.7756834961</v>
      </c>
      <c r="V134" s="2">
        <v>5866193.7420000006</v>
      </c>
      <c r="W134" s="2">
        <v>5867213.0977859814</v>
      </c>
      <c r="X134" s="2">
        <v>5961741.6644272171</v>
      </c>
      <c r="Y134" s="2">
        <v>6415377.5548804505</v>
      </c>
      <c r="Z134" s="2">
        <v>6328973.565218321</v>
      </c>
      <c r="AA134" s="2">
        <v>6390360.0893117646</v>
      </c>
      <c r="AB134" s="2">
        <v>6027256.2994496999</v>
      </c>
      <c r="AC134" s="2">
        <v>6039913.2423823774</v>
      </c>
      <c r="AD134" s="2">
        <v>6021382.7321523149</v>
      </c>
      <c r="AE134" s="2">
        <v>5992065.5505902236</v>
      </c>
      <c r="AF134" s="2">
        <v>5989319.2563699018</v>
      </c>
      <c r="AG134" s="2">
        <v>5675782.4020179873</v>
      </c>
    </row>
    <row r="135" spans="1:33" x14ac:dyDescent="0.2">
      <c r="A135" s="1" t="s">
        <v>288</v>
      </c>
      <c r="B135" s="1" t="s">
        <v>315</v>
      </c>
      <c r="C135" s="1" t="s">
        <v>316</v>
      </c>
      <c r="D135" s="2">
        <v>1563.2649304773001</v>
      </c>
      <c r="E135" s="2">
        <v>6575.9746338641999</v>
      </c>
      <c r="F135" s="2">
        <v>75956.425930532903</v>
      </c>
      <c r="G135" s="2">
        <v>137254.33303402789</v>
      </c>
      <c r="H135" s="2">
        <v>205597.3950928119</v>
      </c>
      <c r="I135" s="2">
        <v>274803.39549528359</v>
      </c>
      <c r="J135" s="2">
        <v>667002.42967684183</v>
      </c>
      <c r="K135" s="2">
        <v>685663.73438816448</v>
      </c>
      <c r="L135" s="2">
        <v>734610.68140534568</v>
      </c>
      <c r="M135" s="2">
        <v>781145.16378467705</v>
      </c>
      <c r="N135" s="2">
        <v>963277.85501213255</v>
      </c>
      <c r="O135" s="2">
        <v>956178.80474169389</v>
      </c>
      <c r="P135" s="2">
        <v>959042.59515406541</v>
      </c>
      <c r="Q135" s="2">
        <v>1029877.7934614473</v>
      </c>
      <c r="R135" s="2">
        <v>1088109.3063993885</v>
      </c>
      <c r="S135" s="2">
        <v>1142401.4767456991</v>
      </c>
      <c r="T135" s="2">
        <v>1215943.4089137609</v>
      </c>
      <c r="U135" s="2">
        <v>1260052.8845678875</v>
      </c>
      <c r="V135" s="2">
        <v>1194596.669</v>
      </c>
      <c r="W135" s="2">
        <v>1193088.9060940552</v>
      </c>
      <c r="X135" s="2">
        <v>1216462.9323063667</v>
      </c>
      <c r="Y135" s="2">
        <v>1317952.7806430201</v>
      </c>
      <c r="Z135" s="2">
        <v>1327382.9031776525</v>
      </c>
      <c r="AA135" s="2">
        <v>1330437.5327835921</v>
      </c>
      <c r="AB135" s="2">
        <v>1261145.577186462</v>
      </c>
      <c r="AC135" s="2">
        <v>1263836.9540203756</v>
      </c>
      <c r="AD135" s="2">
        <v>1271388.2784795531</v>
      </c>
      <c r="AE135" s="2">
        <v>1282980.3679153153</v>
      </c>
      <c r="AF135" s="2">
        <v>1330854.4680730177</v>
      </c>
      <c r="AG135" s="2">
        <v>1247733.1206940904</v>
      </c>
    </row>
    <row r="136" spans="1:33" x14ac:dyDescent="0.2">
      <c r="A136" s="1" t="s">
        <v>288</v>
      </c>
      <c r="B136" s="1" t="s">
        <v>317</v>
      </c>
      <c r="C136" s="1" t="s">
        <v>318</v>
      </c>
      <c r="D136" s="2">
        <v>117617.64834613851</v>
      </c>
      <c r="E136" s="2">
        <v>756676.45759152423</v>
      </c>
      <c r="F136" s="2">
        <v>10885936.638485607</v>
      </c>
      <c r="G136" s="2">
        <v>14928340.82354017</v>
      </c>
      <c r="H136" s="2">
        <v>16496984.311217545</v>
      </c>
      <c r="I136" s="2">
        <v>21154885.424109511</v>
      </c>
      <c r="J136" s="2">
        <v>39924963.091445409</v>
      </c>
      <c r="K136" s="2">
        <v>32514204.799953271</v>
      </c>
      <c r="L136" s="2">
        <v>33903155.677421369</v>
      </c>
      <c r="M136" s="2">
        <v>35700818.899773762</v>
      </c>
      <c r="N136" s="2">
        <v>40488344.702985711</v>
      </c>
      <c r="O136" s="2">
        <v>40589198.253413402</v>
      </c>
      <c r="P136" s="2">
        <v>40755978.04549776</v>
      </c>
      <c r="Q136" s="2">
        <v>42766606.664598845</v>
      </c>
      <c r="R136" s="2">
        <v>44632383.893321976</v>
      </c>
      <c r="S136" s="2">
        <v>48631413.475988582</v>
      </c>
      <c r="T136" s="2">
        <v>50939293.502164602</v>
      </c>
      <c r="U136" s="2">
        <v>54664468.978513069</v>
      </c>
      <c r="V136" s="2">
        <v>51716071.235000014</v>
      </c>
      <c r="W136" s="2">
        <v>52233431.409173712</v>
      </c>
      <c r="X136" s="2">
        <v>52448034.048574641</v>
      </c>
      <c r="Y136" s="2">
        <v>56395320.537695721</v>
      </c>
      <c r="Z136" s="2">
        <v>55271110.648788303</v>
      </c>
      <c r="AA136" s="2">
        <v>55980505.84816996</v>
      </c>
      <c r="AB136" s="2">
        <v>52302788.489880249</v>
      </c>
      <c r="AC136" s="2">
        <v>51996334.242287435</v>
      </c>
      <c r="AD136" s="2">
        <v>51493978.202459946</v>
      </c>
      <c r="AE136" s="2">
        <v>51196703.088914052</v>
      </c>
      <c r="AF136" s="2">
        <v>49932370.924978949</v>
      </c>
      <c r="AG136" s="2">
        <v>47086943.327946246</v>
      </c>
    </row>
    <row r="137" spans="1:33" x14ac:dyDescent="0.2">
      <c r="A137" s="1" t="s">
        <v>319</v>
      </c>
      <c r="B137" s="1" t="s">
        <v>320</v>
      </c>
      <c r="C137" s="1" t="s">
        <v>321</v>
      </c>
      <c r="D137" s="2">
        <v>180.37672274729999</v>
      </c>
      <c r="E137" s="2">
        <v>1891.2598249550001</v>
      </c>
      <c r="F137" s="2">
        <v>37047.818468060897</v>
      </c>
      <c r="G137" s="2">
        <v>75184.947313316501</v>
      </c>
      <c r="H137" s="2">
        <v>115384.05866950881</v>
      </c>
      <c r="I137" s="2">
        <v>129290.84500352382</v>
      </c>
      <c r="J137" s="2">
        <v>1039154.3462267605</v>
      </c>
      <c r="K137" s="2">
        <v>1141559.4320022359</v>
      </c>
      <c r="L137" s="2">
        <v>1185155.0136003215</v>
      </c>
      <c r="M137" s="2">
        <v>1288540.8645650707</v>
      </c>
      <c r="N137" s="2">
        <v>1568081.2600080436</v>
      </c>
      <c r="O137" s="2">
        <v>1625359.8001433013</v>
      </c>
      <c r="P137" s="2">
        <v>1718643.9730684825</v>
      </c>
      <c r="Q137" s="2">
        <v>1819812.3485979966</v>
      </c>
      <c r="R137" s="2">
        <v>2067852.2520959175</v>
      </c>
      <c r="S137" s="2">
        <v>2249973.6328366431</v>
      </c>
      <c r="T137" s="2">
        <v>2391243.4558564904</v>
      </c>
      <c r="U137" s="2">
        <v>2557294.8397400794</v>
      </c>
      <c r="V137" s="2">
        <v>2744145.5490000001</v>
      </c>
      <c r="W137" s="2">
        <v>3021394.1650834819</v>
      </c>
      <c r="X137" s="2">
        <v>3059433.4739184692</v>
      </c>
      <c r="Y137" s="2">
        <v>3376543.8087159218</v>
      </c>
      <c r="Z137" s="2">
        <v>3284013.8088641693</v>
      </c>
      <c r="AA137" s="2">
        <v>3299147.2014184925</v>
      </c>
      <c r="AB137" s="2">
        <v>3449524.4141993239</v>
      </c>
      <c r="AC137" s="2">
        <v>3355642.7267909613</v>
      </c>
      <c r="AD137" s="2">
        <v>3513913.9924716656</v>
      </c>
      <c r="AE137" s="2">
        <v>3691411.5452507474</v>
      </c>
      <c r="AF137" s="2">
        <v>3604674.3690783111</v>
      </c>
      <c r="AG137" s="2">
        <v>3499553.0430201199</v>
      </c>
    </row>
    <row r="138" spans="1:33" x14ac:dyDescent="0.2">
      <c r="A138" s="1" t="s">
        <v>319</v>
      </c>
      <c r="B138" s="1" t="s">
        <v>322</v>
      </c>
      <c r="C138" s="1" t="s">
        <v>323</v>
      </c>
      <c r="D138" s="2">
        <v>1010.1096473854</v>
      </c>
      <c r="E138" s="2">
        <v>4882.0893155820995</v>
      </c>
      <c r="F138" s="2">
        <v>15194.8803585724</v>
      </c>
      <c r="G138" s="2">
        <v>29095.620977093102</v>
      </c>
      <c r="H138" s="2">
        <v>41131.990415023109</v>
      </c>
      <c r="I138" s="2">
        <v>29495.940246025402</v>
      </c>
      <c r="J138" s="2">
        <v>836753.34236294718</v>
      </c>
      <c r="K138" s="2">
        <v>624032.43206417433</v>
      </c>
      <c r="L138" s="2">
        <v>678050.24607760832</v>
      </c>
      <c r="M138" s="2">
        <v>766498.07923499227</v>
      </c>
      <c r="N138" s="2">
        <v>936883.57924191619</v>
      </c>
      <c r="O138" s="2">
        <v>982327.68635411258</v>
      </c>
      <c r="P138" s="2">
        <v>1039771.9436940741</v>
      </c>
      <c r="Q138" s="2">
        <v>1126908.1913194705</v>
      </c>
      <c r="R138" s="2">
        <v>1288842.889575616</v>
      </c>
      <c r="S138" s="2">
        <v>1417397.7583436919</v>
      </c>
      <c r="T138" s="2">
        <v>1502699.7819214419</v>
      </c>
      <c r="U138" s="2">
        <v>1586435.9757356574</v>
      </c>
      <c r="V138" s="2">
        <v>1745435.5909999998</v>
      </c>
      <c r="W138" s="2">
        <v>1876305.4572332958</v>
      </c>
      <c r="X138" s="2">
        <v>1942372.4961998556</v>
      </c>
      <c r="Y138" s="2">
        <v>2181742.8219157052</v>
      </c>
      <c r="Z138" s="2">
        <v>2163432.1231024088</v>
      </c>
      <c r="AA138" s="2">
        <v>2175100.956141239</v>
      </c>
      <c r="AB138" s="2">
        <v>2281490.9588711546</v>
      </c>
      <c r="AC138" s="2">
        <v>2231625.4180600876</v>
      </c>
      <c r="AD138" s="2">
        <v>2344513.3218666748</v>
      </c>
      <c r="AE138" s="2">
        <v>2460971.5583891436</v>
      </c>
      <c r="AF138" s="2">
        <v>2415512.3979951013</v>
      </c>
      <c r="AG138" s="2">
        <v>2362066.8780740392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260C-33DC-4370-AFA0-06A3B1739186}">
  <sheetPr>
    <tabColor theme="6"/>
  </sheetPr>
  <dimension ref="A1:AI138"/>
  <sheetViews>
    <sheetView zoomScaleNormal="100" workbookViewId="0">
      <selection activeCell="K2" sqref="K2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35" width="10" style="2" customWidth="1"/>
    <col min="36" max="256" width="10.28515625" style="1"/>
    <col min="257" max="257" width="4" style="1" customWidth="1"/>
    <col min="258" max="258" width="10" style="1" customWidth="1"/>
    <col min="259" max="259" width="30" style="1" customWidth="1"/>
    <col min="260" max="291" width="10" style="1" customWidth="1"/>
    <col min="292" max="512" width="10.28515625" style="1"/>
    <col min="513" max="513" width="4" style="1" customWidth="1"/>
    <col min="514" max="514" width="10" style="1" customWidth="1"/>
    <col min="515" max="515" width="30" style="1" customWidth="1"/>
    <col min="516" max="547" width="10" style="1" customWidth="1"/>
    <col min="548" max="768" width="10.28515625" style="1"/>
    <col min="769" max="769" width="4" style="1" customWidth="1"/>
    <col min="770" max="770" width="10" style="1" customWidth="1"/>
    <col min="771" max="771" width="30" style="1" customWidth="1"/>
    <col min="772" max="803" width="10" style="1" customWidth="1"/>
    <col min="804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59" width="10" style="1" customWidth="1"/>
    <col min="1060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315" width="10" style="1" customWidth="1"/>
    <col min="1316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571" width="10" style="1" customWidth="1"/>
    <col min="1572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27" width="10" style="1" customWidth="1"/>
    <col min="1828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083" width="10" style="1" customWidth="1"/>
    <col min="2084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39" width="10" style="1" customWidth="1"/>
    <col min="2340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595" width="10" style="1" customWidth="1"/>
    <col min="2596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51" width="10" style="1" customWidth="1"/>
    <col min="2852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107" width="10" style="1" customWidth="1"/>
    <col min="3108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63" width="10" style="1" customWidth="1"/>
    <col min="3364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619" width="10" style="1" customWidth="1"/>
    <col min="3620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875" width="10" style="1" customWidth="1"/>
    <col min="3876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31" width="10" style="1" customWidth="1"/>
    <col min="4132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387" width="10" style="1" customWidth="1"/>
    <col min="4388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43" width="10" style="1" customWidth="1"/>
    <col min="4644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899" width="10" style="1" customWidth="1"/>
    <col min="4900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55" width="10" style="1" customWidth="1"/>
    <col min="5156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411" width="10" style="1" customWidth="1"/>
    <col min="5412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67" width="10" style="1" customWidth="1"/>
    <col min="5668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23" width="10" style="1" customWidth="1"/>
    <col min="5924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179" width="10" style="1" customWidth="1"/>
    <col min="6180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35" width="10" style="1" customWidth="1"/>
    <col min="6436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691" width="10" style="1" customWidth="1"/>
    <col min="6692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47" width="10" style="1" customWidth="1"/>
    <col min="6948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203" width="10" style="1" customWidth="1"/>
    <col min="7204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59" width="10" style="1" customWidth="1"/>
    <col min="7460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715" width="10" style="1" customWidth="1"/>
    <col min="7716" max="7936" width="10.28515625" style="1"/>
    <col min="7937" max="7937" width="4" style="1" customWidth="1"/>
    <col min="7938" max="7938" width="10" style="1" customWidth="1"/>
    <col min="7939" max="7939" width="30" style="1" customWidth="1"/>
    <col min="7940" max="7971" width="10" style="1" customWidth="1"/>
    <col min="7972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27" width="10" style="1" customWidth="1"/>
    <col min="8228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483" width="10" style="1" customWidth="1"/>
    <col min="8484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39" width="10" style="1" customWidth="1"/>
    <col min="8740" max="8960" width="10.28515625" style="1"/>
    <col min="8961" max="8961" width="4" style="1" customWidth="1"/>
    <col min="8962" max="8962" width="10" style="1" customWidth="1"/>
    <col min="8963" max="8963" width="30" style="1" customWidth="1"/>
    <col min="8964" max="8995" width="10" style="1" customWidth="1"/>
    <col min="8996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51" width="10" style="1" customWidth="1"/>
    <col min="9252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507" width="10" style="1" customWidth="1"/>
    <col min="9508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63" width="10" style="1" customWidth="1"/>
    <col min="9764" max="9984" width="10.28515625" style="1"/>
    <col min="9985" max="9985" width="4" style="1" customWidth="1"/>
    <col min="9986" max="9986" width="10" style="1" customWidth="1"/>
    <col min="9987" max="9987" width="30" style="1" customWidth="1"/>
    <col min="9988" max="10019" width="10" style="1" customWidth="1"/>
    <col min="10020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275" width="10" style="1" customWidth="1"/>
    <col min="10276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31" width="10" style="1" customWidth="1"/>
    <col min="10532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787" width="10" style="1" customWidth="1"/>
    <col min="10788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43" width="10" style="1" customWidth="1"/>
    <col min="11044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299" width="10" style="1" customWidth="1"/>
    <col min="11300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55" width="10" style="1" customWidth="1"/>
    <col min="11556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811" width="10" style="1" customWidth="1"/>
    <col min="11812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67" width="10" style="1" customWidth="1"/>
    <col min="12068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23" width="10" style="1" customWidth="1"/>
    <col min="12324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579" width="10" style="1" customWidth="1"/>
    <col min="12580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35" width="10" style="1" customWidth="1"/>
    <col min="12836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091" width="10" style="1" customWidth="1"/>
    <col min="13092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47" width="10" style="1" customWidth="1"/>
    <col min="13348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603" width="10" style="1" customWidth="1"/>
    <col min="13604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59" width="10" style="1" customWidth="1"/>
    <col min="13860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115" width="10" style="1" customWidth="1"/>
    <col min="14116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371" width="10" style="1" customWidth="1"/>
    <col min="14372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27" width="10" style="1" customWidth="1"/>
    <col min="14628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883" width="10" style="1" customWidth="1"/>
    <col min="14884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39" width="10" style="1" customWidth="1"/>
    <col min="15140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395" width="10" style="1" customWidth="1"/>
    <col min="15396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51" width="10" style="1" customWidth="1"/>
    <col min="15652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907" width="10" style="1" customWidth="1"/>
    <col min="15908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63" width="10" style="1" customWidth="1"/>
    <col min="16164" max="16384" width="10.28515625" style="1"/>
  </cols>
  <sheetData>
    <row r="1" spans="1:35" ht="12.75" customHeight="1" x14ac:dyDescent="0.2">
      <c r="A1" s="1" t="s">
        <v>0</v>
      </c>
      <c r="B1" s="1" t="s">
        <v>1</v>
      </c>
      <c r="C1" s="1" t="s">
        <v>2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1996</v>
      </c>
      <c r="M1" s="6">
        <v>1999</v>
      </c>
      <c r="N1" s="6">
        <v>2000</v>
      </c>
      <c r="O1" s="6">
        <v>2001</v>
      </c>
      <c r="P1" s="6">
        <v>2002</v>
      </c>
      <c r="Q1" s="6">
        <v>2003</v>
      </c>
      <c r="R1" s="6">
        <v>2004</v>
      </c>
      <c r="S1" s="6">
        <v>2005</v>
      </c>
      <c r="T1" s="6">
        <v>2006</v>
      </c>
      <c r="U1" s="6">
        <v>2007</v>
      </c>
      <c r="V1" s="6">
        <v>2008</v>
      </c>
      <c r="W1" s="6">
        <v>2009</v>
      </c>
      <c r="X1" s="6">
        <v>2010</v>
      </c>
      <c r="Y1" s="6">
        <v>2011</v>
      </c>
      <c r="Z1" s="6">
        <v>2012</v>
      </c>
      <c r="AA1" s="6">
        <v>2013</v>
      </c>
      <c r="AB1" s="6">
        <v>2014</v>
      </c>
      <c r="AC1" s="6">
        <v>2015</v>
      </c>
      <c r="AD1" s="6">
        <v>2016</v>
      </c>
      <c r="AE1" s="6">
        <v>2017</v>
      </c>
      <c r="AF1" s="6">
        <v>2018</v>
      </c>
      <c r="AG1" s="6">
        <v>2019</v>
      </c>
      <c r="AH1" s="6">
        <v>2020</v>
      </c>
      <c r="AI1" s="6">
        <v>2021</v>
      </c>
    </row>
    <row r="2" spans="1:35" x14ac:dyDescent="0.2">
      <c r="A2" s="1" t="s">
        <v>23</v>
      </c>
      <c r="B2" s="1" t="s">
        <v>24</v>
      </c>
      <c r="C2" s="1" t="s">
        <v>25</v>
      </c>
      <c r="D2" s="2">
        <v>12784.016323498701</v>
      </c>
      <c r="E2" s="2">
        <v>17178.279611228001</v>
      </c>
      <c r="F2" s="2">
        <v>15484.711940068501</v>
      </c>
      <c r="G2" s="2">
        <v>55728.754930393799</v>
      </c>
      <c r="H2" s="2">
        <v>92168.270085833588</v>
      </c>
      <c r="I2" s="2">
        <v>104821.7971343542</v>
      </c>
      <c r="J2" s="2">
        <v>135931.27126288309</v>
      </c>
      <c r="K2" s="5">
        <v>186815.0166904236</v>
      </c>
      <c r="L2" s="2">
        <v>295533.25760945282</v>
      </c>
      <c r="M2" s="2">
        <v>241635.61463920309</v>
      </c>
      <c r="N2" s="2">
        <v>279352.79147880658</v>
      </c>
      <c r="O2" s="2">
        <v>270873.0275736351</v>
      </c>
      <c r="P2" s="2">
        <v>238354.18501741788</v>
      </c>
      <c r="Q2" s="2">
        <v>224363.93804271944</v>
      </c>
      <c r="R2" s="2">
        <v>223736.5704660803</v>
      </c>
      <c r="S2" s="2">
        <v>249150.45596856831</v>
      </c>
      <c r="T2" s="2">
        <v>243612.24197456293</v>
      </c>
      <c r="U2" s="2">
        <v>325662.76113002183</v>
      </c>
      <c r="V2" s="2">
        <v>373087.62641102029</v>
      </c>
      <c r="W2" s="2">
        <v>370837.6660541009</v>
      </c>
      <c r="X2" s="2">
        <v>375475.66100000008</v>
      </c>
      <c r="Y2" s="2">
        <v>357541.17651162617</v>
      </c>
      <c r="Z2" s="2">
        <v>364392.14203752624</v>
      </c>
      <c r="AA2" s="2">
        <v>397578.27986866992</v>
      </c>
      <c r="AB2" s="2">
        <v>459604.86158305721</v>
      </c>
      <c r="AC2" s="2">
        <v>409666.12661235873</v>
      </c>
      <c r="AD2" s="2">
        <v>441078.99135998305</v>
      </c>
      <c r="AE2" s="2">
        <v>454324.20116938616</v>
      </c>
      <c r="AF2" s="2">
        <v>494683.05720069061</v>
      </c>
      <c r="AG2" s="2">
        <v>512354.40031390637</v>
      </c>
      <c r="AH2" s="2">
        <v>520242.06921309349</v>
      </c>
      <c r="AI2" s="2">
        <v>620012.4447021886</v>
      </c>
    </row>
    <row r="3" spans="1:35" x14ac:dyDescent="0.2">
      <c r="A3" s="1" t="s">
        <v>23</v>
      </c>
      <c r="B3" s="1" t="s">
        <v>26</v>
      </c>
      <c r="C3" s="1" t="s">
        <v>27</v>
      </c>
      <c r="D3" s="2">
        <v>29151.900586129203</v>
      </c>
      <c r="E3" s="2">
        <v>41012.853438835999</v>
      </c>
      <c r="F3" s="2">
        <v>109985.63037912</v>
      </c>
      <c r="G3" s="2">
        <v>129593.29025465321</v>
      </c>
      <c r="H3" s="2">
        <v>377125.27703798108</v>
      </c>
      <c r="I3" s="2">
        <v>409531.31066765566</v>
      </c>
      <c r="J3" s="2">
        <v>911213.35977538477</v>
      </c>
      <c r="K3" s="2">
        <v>1351420.0879150068</v>
      </c>
      <c r="L3" s="2">
        <v>2518268.3511767206</v>
      </c>
      <c r="M3" s="2">
        <v>1398023.5589598368</v>
      </c>
      <c r="N3" s="2">
        <v>1599033.8263144311</v>
      </c>
      <c r="O3" s="2">
        <v>1536719.4632152405</v>
      </c>
      <c r="P3" s="2">
        <v>1796405.3704921936</v>
      </c>
      <c r="Q3" s="2">
        <v>1846312.0357722805</v>
      </c>
      <c r="R3" s="2">
        <v>1926467.4419844549</v>
      </c>
      <c r="S3" s="2">
        <v>2049429.9661804263</v>
      </c>
      <c r="T3" s="2">
        <v>2004088.8169145719</v>
      </c>
      <c r="U3" s="2">
        <v>2210343.8312499351</v>
      </c>
      <c r="V3" s="2">
        <v>2547107.2252224786</v>
      </c>
      <c r="W3" s="2">
        <v>2661645.1740539619</v>
      </c>
      <c r="X3" s="2">
        <v>2551336.9960000003</v>
      </c>
      <c r="Y3" s="2">
        <v>2740592.9621048132</v>
      </c>
      <c r="Z3" s="2">
        <v>2827566.6597416061</v>
      </c>
      <c r="AA3" s="2">
        <v>2979708.4829463284</v>
      </c>
      <c r="AB3" s="2">
        <v>3424326.0450278949</v>
      </c>
      <c r="AC3" s="2">
        <v>3231696.6345676002</v>
      </c>
      <c r="AD3" s="2">
        <v>2786398.7780159586</v>
      </c>
      <c r="AE3" s="2">
        <v>2776781.5382622844</v>
      </c>
      <c r="AF3" s="2">
        <v>2937106.4268319667</v>
      </c>
      <c r="AG3" s="2">
        <v>2984021.1373294806</v>
      </c>
      <c r="AH3" s="2">
        <v>2957673.5502537056</v>
      </c>
      <c r="AI3" s="2">
        <v>3005826.1295156842</v>
      </c>
    </row>
    <row r="4" spans="1:35" x14ac:dyDescent="0.2">
      <c r="A4" s="1" t="s">
        <v>28</v>
      </c>
      <c r="B4" s="1" t="s">
        <v>29</v>
      </c>
      <c r="C4" s="1" t="s">
        <v>30</v>
      </c>
      <c r="D4" s="2">
        <v>10759.3052056502</v>
      </c>
      <c r="E4" s="2">
        <v>20818.5343223809</v>
      </c>
      <c r="F4" s="2">
        <v>39904.090482699903</v>
      </c>
      <c r="G4" s="2">
        <v>58574.171703845197</v>
      </c>
      <c r="H4" s="2">
        <v>206532.96678786492</v>
      </c>
      <c r="I4" s="2">
        <v>231389.30200957216</v>
      </c>
      <c r="J4" s="2">
        <v>267253.36504452367</v>
      </c>
      <c r="K4" s="2">
        <v>334116.65619141597</v>
      </c>
      <c r="L4" s="2">
        <v>412685.30778503563</v>
      </c>
      <c r="M4" s="2">
        <v>337162.70283827034</v>
      </c>
      <c r="N4" s="2">
        <v>356670.48894338449</v>
      </c>
      <c r="O4" s="2">
        <v>350305.61469077342</v>
      </c>
      <c r="P4" s="2">
        <v>347489.75512475078</v>
      </c>
      <c r="Q4" s="2">
        <v>327561.57781975728</v>
      </c>
      <c r="R4" s="2">
        <v>354950.26063576748</v>
      </c>
      <c r="S4" s="2">
        <v>390729.5852266915</v>
      </c>
      <c r="T4" s="2">
        <v>414151.18507785018</v>
      </c>
      <c r="U4" s="2">
        <v>469870.32267180277</v>
      </c>
      <c r="V4" s="2">
        <v>445871.89416189177</v>
      </c>
      <c r="W4" s="2">
        <v>437382.45417810872</v>
      </c>
      <c r="X4" s="2">
        <v>482132.27500000014</v>
      </c>
      <c r="Y4" s="2">
        <v>543108.43498738424</v>
      </c>
      <c r="Z4" s="2">
        <v>656374.69503966288</v>
      </c>
      <c r="AA4" s="2">
        <v>672458.78151025996</v>
      </c>
      <c r="AB4" s="2">
        <v>730620.66053517046</v>
      </c>
      <c r="AC4" s="2">
        <v>817210.28495674534</v>
      </c>
      <c r="AD4" s="2">
        <v>717392.8827057305</v>
      </c>
      <c r="AE4" s="2">
        <v>706451.64788283396</v>
      </c>
      <c r="AF4" s="2">
        <v>724628.05008559569</v>
      </c>
      <c r="AG4" s="2">
        <v>753983.4043802463</v>
      </c>
      <c r="AH4" s="2">
        <v>705756.37319399894</v>
      </c>
      <c r="AI4" s="2">
        <v>721568.99901782256</v>
      </c>
    </row>
    <row r="5" spans="1:35" x14ac:dyDescent="0.2">
      <c r="A5" s="1" t="s">
        <v>28</v>
      </c>
      <c r="B5" s="1" t="s">
        <v>31</v>
      </c>
      <c r="C5" s="1" t="s">
        <v>32</v>
      </c>
      <c r="D5" s="2">
        <v>8206.5374030363</v>
      </c>
      <c r="E5" s="2">
        <v>24223.614603530099</v>
      </c>
      <c r="F5" s="2">
        <v>77939.762013033396</v>
      </c>
      <c r="G5" s="2">
        <v>156803.1814325079</v>
      </c>
      <c r="H5" s="2">
        <v>282035.30535428476</v>
      </c>
      <c r="I5" s="2">
        <v>438593.27624992677</v>
      </c>
      <c r="J5" s="2">
        <v>683763.80802979332</v>
      </c>
      <c r="K5" s="2">
        <v>690511.52538985957</v>
      </c>
      <c r="L5" s="2">
        <v>912435.16295728355</v>
      </c>
      <c r="M5" s="2">
        <v>770119.50245754712</v>
      </c>
      <c r="N5" s="2">
        <v>782807.26070078323</v>
      </c>
      <c r="O5" s="2">
        <v>748949.52863452281</v>
      </c>
      <c r="P5" s="2">
        <v>757835.87857275025</v>
      </c>
      <c r="Q5" s="2">
        <v>750558.23621484637</v>
      </c>
      <c r="R5" s="2">
        <v>829686.30086093943</v>
      </c>
      <c r="S5" s="2">
        <v>888374.18307374348</v>
      </c>
      <c r="T5" s="2">
        <v>944862.84024938103</v>
      </c>
      <c r="U5" s="2">
        <v>1103695.8556929394</v>
      </c>
      <c r="V5" s="2">
        <v>1072070.058959821</v>
      </c>
      <c r="W5" s="2">
        <v>1224321.2046977966</v>
      </c>
      <c r="X5" s="2">
        <v>1300179.7089999998</v>
      </c>
      <c r="Y5" s="2">
        <v>1456009.6218883274</v>
      </c>
      <c r="Z5" s="2">
        <v>1715230.3202726885</v>
      </c>
      <c r="AA5" s="2">
        <v>1774743.11100535</v>
      </c>
      <c r="AB5" s="2">
        <v>2025248.8057691306</v>
      </c>
      <c r="AC5" s="2">
        <v>2249325.4596849121</v>
      </c>
      <c r="AD5" s="2">
        <v>2020744.6993502416</v>
      </c>
      <c r="AE5" s="2">
        <v>1950773.9174566709</v>
      </c>
      <c r="AF5" s="2">
        <v>1976041.9643843849</v>
      </c>
      <c r="AG5" s="2">
        <v>2113012.1953010038</v>
      </c>
      <c r="AH5" s="2">
        <v>1955023.2605338171</v>
      </c>
      <c r="AI5" s="2">
        <v>1987623.8768094839</v>
      </c>
    </row>
    <row r="6" spans="1:35" x14ac:dyDescent="0.2">
      <c r="A6" s="1" t="s">
        <v>28</v>
      </c>
      <c r="B6" s="1" t="s">
        <v>33</v>
      </c>
      <c r="C6" s="1" t="s">
        <v>34</v>
      </c>
      <c r="D6" s="2">
        <v>136450.50599551442</v>
      </c>
      <c r="E6" s="2">
        <v>350218.21033172362</v>
      </c>
      <c r="F6" s="2">
        <v>571135.63618968346</v>
      </c>
      <c r="G6" s="2">
        <v>823583.24460294156</v>
      </c>
      <c r="H6" s="2">
        <v>1927020.3872017309</v>
      </c>
      <c r="I6" s="2">
        <v>3006222.7767399247</v>
      </c>
      <c r="J6" s="2">
        <v>5272207.3814185224</v>
      </c>
      <c r="K6" s="2">
        <v>5678386.8654482514</v>
      </c>
      <c r="L6" s="2">
        <v>8916542.4350236226</v>
      </c>
      <c r="M6" s="2">
        <v>4955283.5359252375</v>
      </c>
      <c r="N6" s="2">
        <v>5269509.2242753329</v>
      </c>
      <c r="O6" s="2">
        <v>5053959.6282001417</v>
      </c>
      <c r="P6" s="2">
        <v>5602095.9327264735</v>
      </c>
      <c r="Q6" s="2">
        <v>5682142.7661305992</v>
      </c>
      <c r="R6" s="2">
        <v>6096431.2842828864</v>
      </c>
      <c r="S6" s="2">
        <v>6234300.2130369693</v>
      </c>
      <c r="T6" s="2">
        <v>6670766.1608819021</v>
      </c>
      <c r="U6" s="2">
        <v>7427616.5046473099</v>
      </c>
      <c r="V6" s="2">
        <v>7249897.6610598546</v>
      </c>
      <c r="W6" s="2">
        <v>7690315.4090093728</v>
      </c>
      <c r="X6" s="2">
        <v>8309335.0640000021</v>
      </c>
      <c r="Y6" s="2">
        <v>8662151.6166361179</v>
      </c>
      <c r="Z6" s="2">
        <v>9552492.9934801571</v>
      </c>
      <c r="AA6" s="2">
        <v>9432090.5189942643</v>
      </c>
      <c r="AB6" s="2">
        <v>9945723.7068529129</v>
      </c>
      <c r="AC6" s="2">
        <v>10874188.508411225</v>
      </c>
      <c r="AD6" s="2">
        <v>10305280.548671667</v>
      </c>
      <c r="AE6" s="2">
        <v>10139654.662655385</v>
      </c>
      <c r="AF6" s="2">
        <v>10082525.436155668</v>
      </c>
      <c r="AG6" s="2">
        <v>10465671.948544467</v>
      </c>
      <c r="AH6" s="2">
        <v>9335999.0099752359</v>
      </c>
      <c r="AI6" s="2">
        <v>9760091.520631168</v>
      </c>
    </row>
    <row r="7" spans="1:35" x14ac:dyDescent="0.2">
      <c r="A7" s="1" t="s">
        <v>35</v>
      </c>
      <c r="B7" s="1" t="s">
        <v>36</v>
      </c>
      <c r="C7" s="1" t="s">
        <v>37</v>
      </c>
      <c r="D7" s="2">
        <v>3373.3587151556003</v>
      </c>
      <c r="E7" s="2">
        <v>5034.1586458192996</v>
      </c>
      <c r="G7" s="2">
        <v>149.59400929770001</v>
      </c>
      <c r="H7" s="2">
        <v>46145.675319235401</v>
      </c>
      <c r="I7" s="2">
        <v>52566.423855059395</v>
      </c>
      <c r="J7" s="2">
        <v>68451.978813141992</v>
      </c>
      <c r="K7" s="2">
        <v>91367.836084759911</v>
      </c>
      <c r="L7" s="2">
        <v>168293.545792538</v>
      </c>
      <c r="M7" s="2">
        <v>92785.482223800835</v>
      </c>
      <c r="N7" s="2">
        <v>60131.722842743424</v>
      </c>
      <c r="O7" s="2">
        <v>47015.84815578111</v>
      </c>
      <c r="P7" s="2">
        <v>60375.469402836497</v>
      </c>
      <c r="Q7" s="2">
        <v>58586.7296722225</v>
      </c>
      <c r="R7" s="2">
        <v>64803.603181336599</v>
      </c>
      <c r="S7" s="2">
        <v>64822.939519578198</v>
      </c>
      <c r="T7" s="2">
        <v>62966.873129506901</v>
      </c>
      <c r="U7" s="2">
        <v>67595.839110904999</v>
      </c>
      <c r="V7" s="2">
        <v>78654.40918540649</v>
      </c>
      <c r="W7" s="2">
        <v>87643.012386111805</v>
      </c>
      <c r="X7" s="2">
        <v>93361.068999999989</v>
      </c>
      <c r="Y7" s="2">
        <v>88492.182215922308</v>
      </c>
      <c r="Z7" s="2">
        <v>79295.680837266103</v>
      </c>
      <c r="AA7" s="2">
        <v>86089.452900570104</v>
      </c>
      <c r="AB7" s="2">
        <v>108486.1417546103</v>
      </c>
      <c r="AC7" s="2">
        <v>102785.6810166795</v>
      </c>
      <c r="AD7" s="2">
        <v>109960.8911179853</v>
      </c>
      <c r="AE7" s="2">
        <v>123706.00239555893</v>
      </c>
      <c r="AF7" s="2">
        <v>121850.70731011682</v>
      </c>
      <c r="AG7" s="2">
        <v>123185.30876887892</v>
      </c>
      <c r="AH7" s="2">
        <v>120522.23855046046</v>
      </c>
      <c r="AI7" s="2">
        <v>117669.58287552881</v>
      </c>
    </row>
    <row r="8" spans="1:35" x14ac:dyDescent="0.2">
      <c r="A8" s="1" t="s">
        <v>35</v>
      </c>
      <c r="B8" s="1" t="s">
        <v>38</v>
      </c>
      <c r="C8" s="1" t="s">
        <v>39</v>
      </c>
      <c r="D8" s="2">
        <v>14741.924645539799</v>
      </c>
      <c r="E8" s="2">
        <v>21264.130861450198</v>
      </c>
      <c r="F8" s="2">
        <v>3487.5477342496001</v>
      </c>
      <c r="G8" s="2">
        <v>13513.325506564701</v>
      </c>
      <c r="H8" s="2">
        <v>129341.5060775709</v>
      </c>
      <c r="I8" s="2">
        <v>136062.9647908074</v>
      </c>
      <c r="J8" s="2">
        <v>239240.70078990437</v>
      </c>
      <c r="K8" s="2">
        <v>769076.00349743979</v>
      </c>
      <c r="L8" s="2">
        <v>368230.99765219359</v>
      </c>
      <c r="M8" s="2">
        <v>346763.09176209476</v>
      </c>
      <c r="N8" s="2">
        <v>199594.78946067509</v>
      </c>
      <c r="O8" s="2">
        <v>163858.78295144372</v>
      </c>
      <c r="P8" s="2">
        <v>178934.80067679158</v>
      </c>
      <c r="Q8" s="2">
        <v>189532.83801128151</v>
      </c>
      <c r="R8" s="2">
        <v>188603.61736926591</v>
      </c>
      <c r="S8" s="2">
        <v>192573.16271976603</v>
      </c>
      <c r="T8" s="2">
        <v>210282.1405250231</v>
      </c>
      <c r="U8" s="2">
        <v>205789.96528182717</v>
      </c>
      <c r="V8" s="2">
        <v>210250.16457823178</v>
      </c>
      <c r="W8" s="2">
        <v>234494.4897422996</v>
      </c>
      <c r="X8" s="2">
        <v>256662.99899999998</v>
      </c>
      <c r="Y8" s="2">
        <v>261077.48190514729</v>
      </c>
      <c r="Z8" s="2">
        <v>245440.49445693233</v>
      </c>
      <c r="AA8" s="2">
        <v>277173.89292615087</v>
      </c>
      <c r="AB8" s="2">
        <v>337079.17112088803</v>
      </c>
      <c r="AC8" s="2">
        <v>321583.78606236237</v>
      </c>
      <c r="AD8" s="2">
        <v>350425.17325699131</v>
      </c>
      <c r="AE8" s="2">
        <v>389012.94406399602</v>
      </c>
      <c r="AF8" s="2">
        <v>408078.67875720153</v>
      </c>
      <c r="AG8" s="2">
        <v>408324.89532285009</v>
      </c>
      <c r="AH8" s="2">
        <v>407932.62653698976</v>
      </c>
      <c r="AI8" s="2">
        <v>409693.13143976359</v>
      </c>
    </row>
    <row r="9" spans="1:35" x14ac:dyDescent="0.2">
      <c r="A9" s="1" t="s">
        <v>35</v>
      </c>
      <c r="B9" s="1" t="s">
        <v>40</v>
      </c>
      <c r="C9" s="1" t="s">
        <v>41</v>
      </c>
      <c r="D9" s="2">
        <v>101703.34640252701</v>
      </c>
      <c r="E9" s="2">
        <v>351780.66445481416</v>
      </c>
      <c r="F9" s="2">
        <v>545998.84811501065</v>
      </c>
      <c r="G9" s="2">
        <v>989701.49934656639</v>
      </c>
      <c r="H9" s="2">
        <v>2446011.1300853142</v>
      </c>
      <c r="I9" s="2">
        <v>3768896.899150461</v>
      </c>
      <c r="J9" s="2">
        <v>6781799.2498764172</v>
      </c>
      <c r="K9" s="2">
        <v>7538856.8776192516</v>
      </c>
      <c r="L9" s="2">
        <v>10601999.741489785</v>
      </c>
      <c r="M9" s="2">
        <v>11197739.157212103</v>
      </c>
      <c r="N9" s="2">
        <v>12684919.784669301</v>
      </c>
      <c r="O9" s="2">
        <v>10647064.212938398</v>
      </c>
      <c r="P9" s="2">
        <v>10948211.498969473</v>
      </c>
      <c r="Q9" s="2">
        <v>11330268.208500866</v>
      </c>
      <c r="R9" s="2">
        <v>13044397.945487676</v>
      </c>
      <c r="S9" s="2">
        <v>13875852.318204511</v>
      </c>
      <c r="T9" s="2">
        <v>14825280.166739386</v>
      </c>
      <c r="U9" s="2">
        <v>16342756.18282501</v>
      </c>
      <c r="V9" s="2">
        <v>16111460.019799437</v>
      </c>
      <c r="W9" s="2">
        <v>16987014.9445609</v>
      </c>
      <c r="X9" s="2">
        <v>17290242.178000007</v>
      </c>
      <c r="Y9" s="2">
        <v>17671961.433296874</v>
      </c>
      <c r="Z9" s="2">
        <v>17877261.665478177</v>
      </c>
      <c r="AA9" s="2">
        <v>19727703.157986157</v>
      </c>
      <c r="AB9" s="2">
        <v>19730755.180224929</v>
      </c>
      <c r="AC9" s="2">
        <v>18523508.426571481</v>
      </c>
      <c r="AD9" s="2">
        <v>17240989.75454082</v>
      </c>
      <c r="AE9" s="2">
        <v>17764535.877509646</v>
      </c>
      <c r="AF9" s="2">
        <v>18083983.18690424</v>
      </c>
      <c r="AG9" s="2">
        <v>17896718.579680081</v>
      </c>
      <c r="AH9" s="2">
        <v>17383427.603475772</v>
      </c>
      <c r="AI9" s="2">
        <v>17543017.495831765</v>
      </c>
    </row>
    <row r="10" spans="1:35" x14ac:dyDescent="0.2">
      <c r="A10" s="1" t="s">
        <v>35</v>
      </c>
      <c r="B10" s="1" t="s">
        <v>42</v>
      </c>
      <c r="C10" s="1" t="s">
        <v>43</v>
      </c>
      <c r="D10" s="2">
        <v>25824.219336033002</v>
      </c>
      <c r="E10" s="2">
        <v>29126.33840121</v>
      </c>
      <c r="F10" s="2">
        <v>3975.8044170445996</v>
      </c>
      <c r="G10" s="2">
        <v>8152.8735067278003</v>
      </c>
      <c r="H10" s="2">
        <v>92221.623345976899</v>
      </c>
      <c r="I10" s="2">
        <v>138660.25634912</v>
      </c>
      <c r="J10" s="2">
        <v>296264.80865267763</v>
      </c>
      <c r="K10" s="2">
        <v>249622.78427359561</v>
      </c>
      <c r="L10" s="2">
        <v>282687.12616904825</v>
      </c>
      <c r="M10" s="2">
        <v>262910.47700727091</v>
      </c>
      <c r="N10" s="2">
        <v>166094.21631105943</v>
      </c>
      <c r="O10" s="2">
        <v>131456.64518516581</v>
      </c>
      <c r="P10" s="2">
        <v>145928.75225586371</v>
      </c>
      <c r="Q10" s="2">
        <v>147503.90891554049</v>
      </c>
      <c r="R10" s="2">
        <v>156742.34168543181</v>
      </c>
      <c r="S10" s="2">
        <v>181128.66563592802</v>
      </c>
      <c r="T10" s="2">
        <v>215120.37997159641</v>
      </c>
      <c r="U10" s="2">
        <v>209251.40956862993</v>
      </c>
      <c r="V10" s="2">
        <v>207994.96922236469</v>
      </c>
      <c r="W10" s="2">
        <v>231178.7067255096</v>
      </c>
      <c r="X10" s="2">
        <v>247291.62400000001</v>
      </c>
      <c r="Y10" s="2">
        <v>258728.20469624555</v>
      </c>
      <c r="Z10" s="2">
        <v>258976.69862318502</v>
      </c>
      <c r="AA10" s="2">
        <v>299937.41427220852</v>
      </c>
      <c r="AB10" s="2">
        <v>341847.13316110417</v>
      </c>
      <c r="AC10" s="2">
        <v>331539.97633497411</v>
      </c>
      <c r="AD10" s="2">
        <v>363703.14980377135</v>
      </c>
      <c r="AE10" s="2">
        <v>394091.25349994429</v>
      </c>
      <c r="AF10" s="2">
        <v>421531.75766085408</v>
      </c>
      <c r="AG10" s="2">
        <v>446581.43970510998</v>
      </c>
      <c r="AH10" s="2">
        <v>450330.13640896569</v>
      </c>
      <c r="AI10" s="2">
        <v>416749.55664623162</v>
      </c>
    </row>
    <row r="11" spans="1:35" x14ac:dyDescent="0.2">
      <c r="A11" s="1" t="s">
        <v>44</v>
      </c>
      <c r="B11" s="1" t="s">
        <v>45</v>
      </c>
      <c r="C11" s="1" t="s">
        <v>46</v>
      </c>
      <c r="D11" s="2">
        <v>1243.3416290242001</v>
      </c>
      <c r="E11" s="2">
        <v>3479.8795148362001</v>
      </c>
      <c r="F11" s="2">
        <v>1030.0555587416</v>
      </c>
      <c r="G11" s="2">
        <v>4001.8468391443998</v>
      </c>
      <c r="H11" s="2">
        <v>25092.220655663499</v>
      </c>
      <c r="I11" s="2">
        <v>29299.579227331698</v>
      </c>
      <c r="J11" s="2">
        <v>33743.486325182806</v>
      </c>
      <c r="K11" s="2">
        <v>40359.341271580197</v>
      </c>
      <c r="L11" s="2">
        <v>113833.72095547921</v>
      </c>
      <c r="M11" s="2">
        <v>52796.179068044556</v>
      </c>
      <c r="N11" s="2">
        <v>60436.478730560004</v>
      </c>
      <c r="O11" s="2">
        <v>72889.165836540153</v>
      </c>
      <c r="P11" s="2">
        <v>68916.458596913697</v>
      </c>
      <c r="Q11" s="2">
        <v>73963.872707952105</v>
      </c>
      <c r="R11" s="2">
        <v>80762.589919384525</v>
      </c>
      <c r="S11" s="2">
        <v>85516.591594317098</v>
      </c>
      <c r="T11" s="2">
        <v>90153.002063134016</v>
      </c>
      <c r="U11" s="2">
        <v>95245.603527241488</v>
      </c>
      <c r="V11" s="2">
        <v>95985.901940118783</v>
      </c>
      <c r="W11" s="2">
        <v>112186.48363637991</v>
      </c>
      <c r="X11" s="2">
        <v>98811.71100000001</v>
      </c>
      <c r="Y11" s="2">
        <v>111080.2952063245</v>
      </c>
      <c r="Z11" s="2">
        <v>109816.3235513453</v>
      </c>
      <c r="AA11" s="2">
        <v>135880.51548167522</v>
      </c>
      <c r="AB11" s="2">
        <v>136320.6686383409</v>
      </c>
      <c r="AC11" s="2">
        <v>118937.1331918911</v>
      </c>
      <c r="AD11" s="2">
        <v>122374.87013369999</v>
      </c>
      <c r="AE11" s="2">
        <v>137613.06813249073</v>
      </c>
      <c r="AF11" s="2">
        <v>125099.63787022932</v>
      </c>
      <c r="AG11" s="2">
        <v>138247.33416623587</v>
      </c>
      <c r="AH11" s="2">
        <v>120707.99349152412</v>
      </c>
      <c r="AI11" s="2">
        <v>118461.16656882798</v>
      </c>
    </row>
    <row r="12" spans="1:35" x14ac:dyDescent="0.2">
      <c r="A12" s="1" t="s">
        <v>44</v>
      </c>
      <c r="B12" s="1" t="s">
        <v>47</v>
      </c>
      <c r="C12" s="1" t="s">
        <v>48</v>
      </c>
      <c r="D12" s="2">
        <v>5090.8240831356998</v>
      </c>
      <c r="E12" s="2">
        <v>7992.1608984263003</v>
      </c>
      <c r="F12" s="2">
        <v>61309.471270305497</v>
      </c>
      <c r="G12" s="2">
        <v>261475.87387506492</v>
      </c>
      <c r="H12" s="2">
        <v>214472.03907808079</v>
      </c>
      <c r="I12" s="2">
        <v>360944.27208376903</v>
      </c>
      <c r="J12" s="2">
        <v>627872.83637358027</v>
      </c>
      <c r="K12" s="2">
        <v>875061.73767997895</v>
      </c>
      <c r="L12" s="2">
        <v>2515591.5585626909</v>
      </c>
      <c r="M12" s="2">
        <v>1703116.6239030773</v>
      </c>
      <c r="N12" s="2">
        <v>1934190.8070289858</v>
      </c>
      <c r="O12" s="2">
        <v>2162030.2436871291</v>
      </c>
      <c r="P12" s="2">
        <v>2375246.9578488362</v>
      </c>
      <c r="Q12" s="2">
        <v>2115304.4275629013</v>
      </c>
      <c r="R12" s="2">
        <v>2209885.976877037</v>
      </c>
      <c r="S12" s="2">
        <v>2199163.2562961383</v>
      </c>
      <c r="T12" s="2">
        <v>2708554.5318281525</v>
      </c>
      <c r="U12" s="2">
        <v>2908666.7113627074</v>
      </c>
      <c r="V12" s="2">
        <v>3010873.4539757716</v>
      </c>
      <c r="W12" s="2">
        <v>3157261.3912436427</v>
      </c>
      <c r="X12" s="2">
        <v>3051002.9410000006</v>
      </c>
      <c r="Y12" s="2">
        <v>3230789.799160589</v>
      </c>
      <c r="Z12" s="2">
        <v>3382329.2750751963</v>
      </c>
      <c r="AA12" s="2">
        <v>3637496.5401952467</v>
      </c>
      <c r="AB12" s="2">
        <v>3798208.5259467834</v>
      </c>
      <c r="AC12" s="2">
        <v>3539078.7034695549</v>
      </c>
      <c r="AD12" s="2">
        <v>3284528.8253107183</v>
      </c>
      <c r="AE12" s="2">
        <v>3491908.962887241</v>
      </c>
      <c r="AF12" s="2">
        <v>3595909.0824438781</v>
      </c>
      <c r="AG12" s="2">
        <v>3611273.276948655</v>
      </c>
      <c r="AH12" s="2">
        <v>3299883.2289927127</v>
      </c>
      <c r="AI12" s="2">
        <v>3300013.002832822</v>
      </c>
    </row>
    <row r="13" spans="1:35" x14ac:dyDescent="0.2">
      <c r="A13" s="1" t="s">
        <v>49</v>
      </c>
      <c r="B13" s="1" t="s">
        <v>50</v>
      </c>
      <c r="C13" s="1" t="s">
        <v>51</v>
      </c>
      <c r="D13" s="2">
        <v>15387.588044348098</v>
      </c>
      <c r="E13" s="2">
        <v>44776.021847121105</v>
      </c>
      <c r="F13" s="2">
        <v>32827.116828720005</v>
      </c>
      <c r="G13" s="2">
        <v>47143.340678784894</v>
      </c>
      <c r="H13" s="2">
        <v>126292.4459965172</v>
      </c>
      <c r="I13" s="2">
        <v>217296.37985014511</v>
      </c>
      <c r="J13" s="2">
        <v>399933.29284270678</v>
      </c>
      <c r="K13" s="2">
        <v>532324.93973651284</v>
      </c>
      <c r="L13" s="2">
        <v>805299.45348500693</v>
      </c>
      <c r="M13" s="2">
        <v>1412382.422254645</v>
      </c>
      <c r="N13" s="2">
        <v>1441558.5580010291</v>
      </c>
      <c r="O13" s="2">
        <v>1604483.6095788991</v>
      </c>
      <c r="P13" s="2">
        <v>1529687.7111113621</v>
      </c>
      <c r="Q13" s="2">
        <v>1672680.0408554205</v>
      </c>
      <c r="R13" s="2">
        <v>1987173.5348156439</v>
      </c>
      <c r="S13" s="2">
        <v>2042548.5919443122</v>
      </c>
      <c r="T13" s="2">
        <v>1920213.3697054307</v>
      </c>
      <c r="U13" s="2">
        <v>2346445.6182913375</v>
      </c>
      <c r="V13" s="2">
        <v>2655982.8238709457</v>
      </c>
      <c r="W13" s="2">
        <v>2869367.9487401517</v>
      </c>
      <c r="X13" s="2">
        <v>2676210.4869999997</v>
      </c>
      <c r="Y13" s="2">
        <v>3191501.4488153192</v>
      </c>
      <c r="Z13" s="2">
        <v>3760327.3016373897</v>
      </c>
      <c r="AA13" s="2">
        <v>3877763.3043185864</v>
      </c>
      <c r="AB13" s="2">
        <v>4020590.5814014669</v>
      </c>
      <c r="AC13" s="2">
        <v>4119860.1619050843</v>
      </c>
      <c r="AD13" s="2">
        <v>3468516.0175137669</v>
      </c>
      <c r="AE13" s="2">
        <v>3908442.9295903235</v>
      </c>
      <c r="AF13" s="2">
        <v>4748461.9282084843</v>
      </c>
      <c r="AG13" s="2">
        <v>4383820.8369273897</v>
      </c>
      <c r="AH13" s="2">
        <v>4544708.3568469267</v>
      </c>
      <c r="AI13" s="2">
        <v>4938364.4427198274</v>
      </c>
    </row>
    <row r="14" spans="1:35" x14ac:dyDescent="0.2">
      <c r="A14" s="1" t="s">
        <v>49</v>
      </c>
      <c r="B14" s="1" t="s">
        <v>52</v>
      </c>
      <c r="C14" s="1" t="s">
        <v>53</v>
      </c>
      <c r="D14" s="2">
        <v>53084.080575971893</v>
      </c>
      <c r="E14" s="2">
        <v>95077.485982341488</v>
      </c>
      <c r="F14" s="2">
        <v>115111.12062220029</v>
      </c>
      <c r="G14" s="2">
        <v>234197.98260640953</v>
      </c>
      <c r="H14" s="2">
        <v>361554.86356469832</v>
      </c>
      <c r="I14" s="2">
        <v>652144.46184808307</v>
      </c>
      <c r="J14" s="2">
        <v>1017562.19615376</v>
      </c>
      <c r="K14" s="2">
        <v>1190499.224647634</v>
      </c>
      <c r="L14" s="2">
        <v>1441624.286739975</v>
      </c>
      <c r="M14" s="2">
        <v>1380179.2800686455</v>
      </c>
      <c r="N14" s="2">
        <v>1392445.4535911207</v>
      </c>
      <c r="O14" s="2">
        <v>1420819.348444707</v>
      </c>
      <c r="P14" s="2">
        <v>1447427.0999519965</v>
      </c>
      <c r="Q14" s="2">
        <v>1414973.2601962385</v>
      </c>
      <c r="R14" s="2">
        <v>1395195.545129963</v>
      </c>
      <c r="S14" s="2">
        <v>1463471.3866634539</v>
      </c>
      <c r="T14" s="2">
        <v>1525487.1147853606</v>
      </c>
      <c r="U14" s="2">
        <v>1704200.2298016606</v>
      </c>
      <c r="V14" s="2">
        <v>1727829.3527515479</v>
      </c>
      <c r="W14" s="2">
        <v>1987788.8352369298</v>
      </c>
      <c r="X14" s="2">
        <v>2015837.2510000004</v>
      </c>
      <c r="Y14" s="2">
        <v>2106779.2456072052</v>
      </c>
      <c r="Z14" s="2">
        <v>2377975.7861740845</v>
      </c>
      <c r="AA14" s="2">
        <v>2685718.2162682451</v>
      </c>
      <c r="AB14" s="2">
        <v>2776179.9121707305</v>
      </c>
      <c r="AC14" s="2">
        <v>2735151.502773873</v>
      </c>
      <c r="AD14" s="2">
        <v>2732863.9609328285</v>
      </c>
      <c r="AE14" s="2">
        <v>2894889.1007217686</v>
      </c>
      <c r="AF14" s="2">
        <v>3044026.5765428357</v>
      </c>
      <c r="AG14" s="2">
        <v>2979649.2337365062</v>
      </c>
      <c r="AH14" s="2">
        <v>2776294.9322759705</v>
      </c>
      <c r="AI14" s="2">
        <v>2796006.6440287386</v>
      </c>
    </row>
    <row r="15" spans="1:35" x14ac:dyDescent="0.2">
      <c r="A15" s="1" t="s">
        <v>49</v>
      </c>
      <c r="B15" s="1" t="s">
        <v>54</v>
      </c>
      <c r="C15" s="1" t="s">
        <v>55</v>
      </c>
      <c r="D15" s="2">
        <v>64993.532712194494</v>
      </c>
      <c r="E15" s="2">
        <v>173275.75002171702</v>
      </c>
      <c r="F15" s="2">
        <v>452747.34519700857</v>
      </c>
      <c r="G15" s="2">
        <v>707148.40757999127</v>
      </c>
      <c r="H15" s="2">
        <v>1447719.6963635725</v>
      </c>
      <c r="I15" s="2">
        <v>2120666.7058945177</v>
      </c>
      <c r="J15" s="2">
        <v>3229652.4650787394</v>
      </c>
      <c r="K15" s="2">
        <v>3281574.6126024886</v>
      </c>
      <c r="L15" s="2">
        <v>3976302.1002986138</v>
      </c>
      <c r="M15" s="2">
        <v>3774020.881390749</v>
      </c>
      <c r="N15" s="2">
        <v>3760159.4121177704</v>
      </c>
      <c r="O15" s="2">
        <v>3683741.7642457224</v>
      </c>
      <c r="P15" s="2">
        <v>4151520.1485132473</v>
      </c>
      <c r="Q15" s="2">
        <v>4262895.1678037979</v>
      </c>
      <c r="R15" s="2">
        <v>4296922.1151350038</v>
      </c>
      <c r="S15" s="2">
        <v>4704957.1352806967</v>
      </c>
      <c r="T15" s="2">
        <v>4903816.6986779049</v>
      </c>
      <c r="U15" s="2">
        <v>5702223.6338643208</v>
      </c>
      <c r="V15" s="2">
        <v>5942095.5432434855</v>
      </c>
      <c r="W15" s="2">
        <v>6502377.7372183064</v>
      </c>
      <c r="X15" s="2">
        <v>6701933.5239999993</v>
      </c>
      <c r="Y15" s="2">
        <v>7153349.3348464407</v>
      </c>
      <c r="Z15" s="2">
        <v>7697228.9215280069</v>
      </c>
      <c r="AA15" s="2">
        <v>8529274.025434766</v>
      </c>
      <c r="AB15" s="2">
        <v>8561368.4133778512</v>
      </c>
      <c r="AC15" s="2">
        <v>8579661.2984473053</v>
      </c>
      <c r="AD15" s="2">
        <v>8597446.656254841</v>
      </c>
      <c r="AE15" s="2">
        <v>8810785.4862449802</v>
      </c>
      <c r="AF15" s="2">
        <v>9215674.1039121188</v>
      </c>
      <c r="AG15" s="2">
        <v>8922417.511811588</v>
      </c>
      <c r="AH15" s="2">
        <v>8302409.4405973321</v>
      </c>
      <c r="AI15" s="2">
        <v>8316640.4984893017</v>
      </c>
    </row>
    <row r="16" spans="1:35" x14ac:dyDescent="0.2">
      <c r="A16" s="1" t="s">
        <v>49</v>
      </c>
      <c r="B16" s="1" t="s">
        <v>56</v>
      </c>
      <c r="C16" s="1" t="s">
        <v>57</v>
      </c>
      <c r="D16" s="2">
        <v>45349.749092262093</v>
      </c>
      <c r="E16" s="2">
        <v>121797.40963901891</v>
      </c>
      <c r="F16" s="2">
        <v>175353.88375988946</v>
      </c>
      <c r="G16" s="2">
        <v>355697.34820931294</v>
      </c>
      <c r="H16" s="2">
        <v>605253.4088258628</v>
      </c>
      <c r="I16" s="2">
        <v>1080428.2764716088</v>
      </c>
      <c r="J16" s="2">
        <v>1484369.2098261756</v>
      </c>
      <c r="K16" s="2">
        <v>1792861.5973949018</v>
      </c>
      <c r="L16" s="2">
        <v>1787613.4602186396</v>
      </c>
      <c r="M16" s="2">
        <v>1621981.7750715611</v>
      </c>
      <c r="N16" s="2">
        <v>1558045.2881286107</v>
      </c>
      <c r="O16" s="2">
        <v>1587464.8737713117</v>
      </c>
      <c r="P16" s="2">
        <v>1933640.9810141602</v>
      </c>
      <c r="Q16" s="2">
        <v>1880798.377241272</v>
      </c>
      <c r="R16" s="2">
        <v>1917085.1781679904</v>
      </c>
      <c r="S16" s="2">
        <v>2173769.3115102127</v>
      </c>
      <c r="T16" s="2">
        <v>2343208.7676702351</v>
      </c>
      <c r="U16" s="2">
        <v>2725073.7123250798</v>
      </c>
      <c r="V16" s="2">
        <v>2697228.5643806583</v>
      </c>
      <c r="W16" s="2">
        <v>2765214.1967810015</v>
      </c>
      <c r="X16" s="2">
        <v>2927659.7669999995</v>
      </c>
      <c r="Y16" s="2">
        <v>3216684.5853768545</v>
      </c>
      <c r="Z16" s="2">
        <v>3470706.6016392922</v>
      </c>
      <c r="AA16" s="2">
        <v>3782720.3655212247</v>
      </c>
      <c r="AB16" s="2">
        <v>3631144.4776892858</v>
      </c>
      <c r="AC16" s="2">
        <v>3654350.5269102519</v>
      </c>
      <c r="AD16" s="2">
        <v>3614644.2338931612</v>
      </c>
      <c r="AE16" s="2">
        <v>3661420.104796947</v>
      </c>
      <c r="AF16" s="2">
        <v>3730547.62260208</v>
      </c>
      <c r="AG16" s="2">
        <v>3775238.484300545</v>
      </c>
      <c r="AH16" s="2">
        <v>3669043.7332858727</v>
      </c>
      <c r="AI16" s="2">
        <v>3522349.0434313752</v>
      </c>
    </row>
    <row r="17" spans="1:35" x14ac:dyDescent="0.2">
      <c r="A17" s="1" t="s">
        <v>49</v>
      </c>
      <c r="B17" s="1" t="s">
        <v>58</v>
      </c>
      <c r="C17" s="1" t="s">
        <v>59</v>
      </c>
      <c r="D17" s="2">
        <v>455809.99592545349</v>
      </c>
      <c r="E17" s="2">
        <v>1452124.5434583374</v>
      </c>
      <c r="F17" s="2">
        <v>1890752.9736545042</v>
      </c>
      <c r="G17" s="2">
        <v>3840989.592774265</v>
      </c>
      <c r="H17" s="2">
        <v>7900458.9596465137</v>
      </c>
      <c r="I17" s="2">
        <v>13700054.425885817</v>
      </c>
      <c r="J17" s="2">
        <v>22197901.747433092</v>
      </c>
      <c r="K17" s="2">
        <v>25065914.199855141</v>
      </c>
      <c r="L17" s="2">
        <v>31452665.438984036</v>
      </c>
      <c r="M17" s="2">
        <v>27492164.350532893</v>
      </c>
      <c r="N17" s="2">
        <v>26612760.497111809</v>
      </c>
      <c r="O17" s="2">
        <v>26726576.061156046</v>
      </c>
      <c r="P17" s="2">
        <v>24760710.525598746</v>
      </c>
      <c r="Q17" s="2">
        <v>24401997.579398632</v>
      </c>
      <c r="R17" s="2">
        <v>25937697.175519802</v>
      </c>
      <c r="S17" s="2">
        <v>27390693.141385108</v>
      </c>
      <c r="T17" s="2">
        <v>27822894.209456325</v>
      </c>
      <c r="U17" s="2">
        <v>31789935.261696178</v>
      </c>
      <c r="V17" s="2">
        <v>31784913.573207628</v>
      </c>
      <c r="W17" s="2">
        <v>35125629.59616676</v>
      </c>
      <c r="X17" s="2">
        <v>35034077.835000008</v>
      </c>
      <c r="Y17" s="2">
        <v>35563126.495570347</v>
      </c>
      <c r="Z17" s="2">
        <v>35988640.006837532</v>
      </c>
      <c r="AA17" s="2">
        <v>38816792.639463753</v>
      </c>
      <c r="AB17" s="2">
        <v>38587048.789147317</v>
      </c>
      <c r="AC17" s="2">
        <v>37816923.232086204</v>
      </c>
      <c r="AD17" s="2">
        <v>36886712.532279119</v>
      </c>
      <c r="AE17" s="2">
        <v>37421259.396778099</v>
      </c>
      <c r="AF17" s="2">
        <v>37078756.739539109</v>
      </c>
      <c r="AG17" s="2">
        <v>35644388.453304552</v>
      </c>
      <c r="AH17" s="2">
        <v>30979437.554334149</v>
      </c>
      <c r="AI17" s="2">
        <v>30826676.73765536</v>
      </c>
    </row>
    <row r="18" spans="1:35" x14ac:dyDescent="0.2">
      <c r="A18" s="1" t="s">
        <v>49</v>
      </c>
      <c r="B18" s="1" t="s">
        <v>60</v>
      </c>
      <c r="C18" s="1" t="s">
        <v>61</v>
      </c>
      <c r="D18" s="2">
        <v>90747.677790533096</v>
      </c>
      <c r="E18" s="2">
        <v>208525.7147781259</v>
      </c>
      <c r="F18" s="2">
        <v>378296.38320609188</v>
      </c>
      <c r="G18" s="2">
        <v>939439.47619310825</v>
      </c>
      <c r="H18" s="2">
        <v>1681004.0945973822</v>
      </c>
      <c r="I18" s="2">
        <v>2003672.255764354</v>
      </c>
      <c r="J18" s="2">
        <v>2720016.1346441284</v>
      </c>
      <c r="K18" s="2">
        <v>3976228.6114832959</v>
      </c>
      <c r="L18" s="2">
        <v>3747419.9444682482</v>
      </c>
      <c r="M18" s="2">
        <v>3741212.2018849947</v>
      </c>
      <c r="N18" s="2">
        <v>3677073.9272948862</v>
      </c>
      <c r="O18" s="2">
        <v>3758535.3430976216</v>
      </c>
      <c r="P18" s="2">
        <v>3652312.391916573</v>
      </c>
      <c r="Q18" s="2">
        <v>3707598.0421469999</v>
      </c>
      <c r="R18" s="2">
        <v>3887317.0124179665</v>
      </c>
      <c r="S18" s="2">
        <v>4278488.8778961049</v>
      </c>
      <c r="T18" s="2">
        <v>4501646.5714036366</v>
      </c>
      <c r="U18" s="2">
        <v>5041440.4691005908</v>
      </c>
      <c r="V18" s="2">
        <v>5121041.1638834998</v>
      </c>
      <c r="W18" s="2">
        <v>5588464.1386938337</v>
      </c>
      <c r="X18" s="2">
        <v>5666915.9389999993</v>
      </c>
      <c r="Y18" s="2">
        <v>6053407.261565892</v>
      </c>
      <c r="Z18" s="2">
        <v>6526925.6773131825</v>
      </c>
      <c r="AA18" s="2">
        <v>7060965.4313545739</v>
      </c>
      <c r="AB18" s="2">
        <v>7197975.9695014618</v>
      </c>
      <c r="AC18" s="2">
        <v>7291673.0139728757</v>
      </c>
      <c r="AD18" s="2">
        <v>7174343.4364029011</v>
      </c>
      <c r="AE18" s="2">
        <v>7352322.4301775759</v>
      </c>
      <c r="AF18" s="2">
        <v>7584443.927347146</v>
      </c>
      <c r="AG18" s="2">
        <v>7514507.2315216698</v>
      </c>
      <c r="AH18" s="2">
        <v>7028738.4701623768</v>
      </c>
      <c r="AI18" s="2">
        <v>7142389.4851600267</v>
      </c>
    </row>
    <row r="19" spans="1:35" x14ac:dyDescent="0.2">
      <c r="A19" s="1" t="s">
        <v>49</v>
      </c>
      <c r="B19" s="1" t="s">
        <v>62</v>
      </c>
      <c r="C19" s="1" t="s">
        <v>63</v>
      </c>
      <c r="D19" s="2">
        <v>86100.216582419205</v>
      </c>
      <c r="E19" s="2">
        <v>300476.62931083539</v>
      </c>
      <c r="F19" s="2">
        <v>575852.1220435896</v>
      </c>
      <c r="G19" s="2">
        <v>911155.85542833083</v>
      </c>
      <c r="H19" s="2">
        <v>1971957.5149415608</v>
      </c>
      <c r="I19" s="2">
        <v>2610789.8515557591</v>
      </c>
      <c r="J19" s="2">
        <v>4076173.4585485132</v>
      </c>
      <c r="K19" s="2">
        <v>6135269.2457690295</v>
      </c>
      <c r="L19" s="2">
        <v>4600248.8581354301</v>
      </c>
      <c r="M19" s="2">
        <v>4702557.5291147782</v>
      </c>
      <c r="N19" s="2">
        <v>4457025.5124542778</v>
      </c>
      <c r="O19" s="2">
        <v>4679545.3545482093</v>
      </c>
      <c r="P19" s="2">
        <v>4932186.3037700206</v>
      </c>
      <c r="Q19" s="2">
        <v>4994895.3284096401</v>
      </c>
      <c r="R19" s="2">
        <v>5052333.2464983687</v>
      </c>
      <c r="S19" s="2">
        <v>5641442.841367987</v>
      </c>
      <c r="T19" s="2">
        <v>5518624.1274490627</v>
      </c>
      <c r="U19" s="2">
        <v>6413741.8875765176</v>
      </c>
      <c r="V19" s="2">
        <v>6468273.622049869</v>
      </c>
      <c r="W19" s="2">
        <v>6981175.5690335827</v>
      </c>
      <c r="X19" s="2">
        <v>7177077.8879999993</v>
      </c>
      <c r="Y19" s="2">
        <v>7475112.1835510461</v>
      </c>
      <c r="Z19" s="2">
        <v>8026174.8032784909</v>
      </c>
      <c r="AA19" s="2">
        <v>8545439.2969231587</v>
      </c>
      <c r="AB19" s="2">
        <v>8505939.4568483438</v>
      </c>
      <c r="AC19" s="2">
        <v>8536175.7682350446</v>
      </c>
      <c r="AD19" s="2">
        <v>8024273.0501219761</v>
      </c>
      <c r="AE19" s="2">
        <v>8221500.8824937539</v>
      </c>
      <c r="AF19" s="2">
        <v>8572947.4471711963</v>
      </c>
      <c r="AG19" s="2">
        <v>8357762.6485565836</v>
      </c>
      <c r="AH19" s="2">
        <v>7461625.584349989</v>
      </c>
      <c r="AI19" s="2">
        <v>7710845.4309806135</v>
      </c>
    </row>
    <row r="20" spans="1:35" x14ac:dyDescent="0.2">
      <c r="A20" s="1" t="s">
        <v>64</v>
      </c>
      <c r="B20" s="1" t="s">
        <v>65</v>
      </c>
      <c r="C20" s="1" t="s">
        <v>66</v>
      </c>
      <c r="D20" s="2">
        <v>46607.191866833993</v>
      </c>
      <c r="E20" s="2">
        <v>149063.40369548812</v>
      </c>
      <c r="F20" s="2">
        <v>161182.59081233319</v>
      </c>
      <c r="G20" s="2">
        <v>273563.84647937771</v>
      </c>
      <c r="H20" s="2">
        <v>476267.05121771432</v>
      </c>
      <c r="I20" s="2">
        <v>590383.19913021347</v>
      </c>
      <c r="J20" s="2">
        <v>860792.42835802888</v>
      </c>
      <c r="K20" s="2">
        <v>1177163.4117118989</v>
      </c>
      <c r="L20" s="2">
        <v>1262954.9843440088</v>
      </c>
      <c r="M20" s="2">
        <v>1495820.2201053861</v>
      </c>
      <c r="N20" s="2">
        <v>1521813.1992437507</v>
      </c>
      <c r="O20" s="2">
        <v>1599663.1293176746</v>
      </c>
      <c r="P20" s="2">
        <v>1487452.2436180748</v>
      </c>
      <c r="Q20" s="2">
        <v>1526151.8355705452</v>
      </c>
      <c r="R20" s="2">
        <v>1676788.3802053246</v>
      </c>
      <c r="S20" s="2">
        <v>1826668.4611742883</v>
      </c>
      <c r="T20" s="2">
        <v>1783250.131327644</v>
      </c>
      <c r="U20" s="2">
        <v>1890320.169791077</v>
      </c>
      <c r="V20" s="2">
        <v>1922606.3647579444</v>
      </c>
      <c r="W20" s="2">
        <v>2021770.6871131167</v>
      </c>
      <c r="X20" s="2">
        <v>2473337.9510000004</v>
      </c>
      <c r="Y20" s="2">
        <v>2550895.0480247475</v>
      </c>
      <c r="Z20" s="2">
        <v>2679551.16036135</v>
      </c>
      <c r="AA20" s="2">
        <v>2896384.9894972951</v>
      </c>
      <c r="AB20" s="2">
        <v>3306196.6304781553</v>
      </c>
      <c r="AC20" s="2">
        <v>3254188.5109418067</v>
      </c>
      <c r="AD20" s="2">
        <v>3266065.4996517226</v>
      </c>
      <c r="AE20" s="2">
        <v>3574625.6222815956</v>
      </c>
      <c r="AF20" s="2">
        <v>3590469.4076109845</v>
      </c>
      <c r="AG20" s="2">
        <v>3766773.3641962213</v>
      </c>
      <c r="AH20" s="2">
        <v>3513851.8125820039</v>
      </c>
      <c r="AI20" s="2">
        <v>3575960.8251994527</v>
      </c>
    </row>
    <row r="21" spans="1:35" x14ac:dyDescent="0.2">
      <c r="A21" s="1" t="s">
        <v>64</v>
      </c>
      <c r="B21" s="1" t="s">
        <v>67</v>
      </c>
      <c r="C21" s="1" t="s">
        <v>68</v>
      </c>
      <c r="D21" s="2">
        <v>21899.298602846604</v>
      </c>
      <c r="E21" s="2">
        <v>87206.829660848103</v>
      </c>
      <c r="F21" s="2">
        <v>87072.730968230608</v>
      </c>
      <c r="G21" s="2">
        <v>162447.04918608733</v>
      </c>
      <c r="H21" s="2">
        <v>260277.79150485675</v>
      </c>
      <c r="I21" s="2">
        <v>388651.47066161077</v>
      </c>
      <c r="J21" s="2">
        <v>609492.50603721221</v>
      </c>
      <c r="K21" s="2">
        <v>1133411.4789033683</v>
      </c>
      <c r="L21" s="2">
        <v>761505.96170018113</v>
      </c>
      <c r="M21" s="2">
        <v>907988.90694070817</v>
      </c>
      <c r="N21" s="2">
        <v>915789.18543781573</v>
      </c>
      <c r="O21" s="2">
        <v>1015321.2163536688</v>
      </c>
      <c r="P21" s="2">
        <v>1045294.1284673625</v>
      </c>
      <c r="Q21" s="2">
        <v>1054778.7395476985</v>
      </c>
      <c r="R21" s="2">
        <v>1182043.6767284649</v>
      </c>
      <c r="S21" s="2">
        <v>1254643.8389360693</v>
      </c>
      <c r="T21" s="2">
        <v>1219050.6363255705</v>
      </c>
      <c r="U21" s="2">
        <v>1237343.3461535741</v>
      </c>
      <c r="V21" s="2">
        <v>1289757.3459575437</v>
      </c>
      <c r="W21" s="2">
        <v>1305200.0774976108</v>
      </c>
      <c r="X21" s="2">
        <v>1778485.841</v>
      </c>
      <c r="Y21" s="2">
        <v>1910952.2119881818</v>
      </c>
      <c r="Z21" s="2">
        <v>1763169.9954805686</v>
      </c>
      <c r="AA21" s="2">
        <v>1933345.0625002759</v>
      </c>
      <c r="AB21" s="2">
        <v>2236174.8888055165</v>
      </c>
      <c r="AC21" s="2">
        <v>2207176.8708552755</v>
      </c>
      <c r="AD21" s="2">
        <v>2242083.2579557039</v>
      </c>
      <c r="AE21" s="2">
        <v>2510713.3703089547</v>
      </c>
      <c r="AF21" s="2">
        <v>2510331.757256065</v>
      </c>
      <c r="AG21" s="2">
        <v>2720528.6822144613</v>
      </c>
      <c r="AH21" s="2">
        <v>2610179.3545265985</v>
      </c>
      <c r="AI21" s="2">
        <v>2712813.5436225547</v>
      </c>
    </row>
    <row r="22" spans="1:35" x14ac:dyDescent="0.2">
      <c r="A22" s="1" t="s">
        <v>64</v>
      </c>
      <c r="B22" s="1" t="s">
        <v>69</v>
      </c>
      <c r="C22" s="1" t="s">
        <v>70</v>
      </c>
      <c r="D22" s="2">
        <v>81916.913687964407</v>
      </c>
      <c r="E22" s="2">
        <v>541324.5286493859</v>
      </c>
      <c r="F22" s="2">
        <v>889947.70122769475</v>
      </c>
      <c r="G22" s="2">
        <v>1618184.2190081915</v>
      </c>
      <c r="H22" s="2">
        <v>4129301.0134260096</v>
      </c>
      <c r="I22" s="2">
        <v>5821982.2038782602</v>
      </c>
      <c r="J22" s="2">
        <v>10968324.448566748</v>
      </c>
      <c r="K22" s="2">
        <v>13298062.374874245</v>
      </c>
      <c r="L22" s="2">
        <v>21129518.38965242</v>
      </c>
      <c r="M22" s="2">
        <v>16178593.532868385</v>
      </c>
      <c r="N22" s="2">
        <v>16418165.86571634</v>
      </c>
      <c r="O22" s="2">
        <v>16387976.695465783</v>
      </c>
      <c r="P22" s="2">
        <v>16162418.009421688</v>
      </c>
      <c r="Q22" s="2">
        <v>16312907.868550677</v>
      </c>
      <c r="R22" s="2">
        <v>17055823.923293151</v>
      </c>
      <c r="S22" s="2">
        <v>18537392.882302318</v>
      </c>
      <c r="T22" s="2">
        <v>18468309.513509654</v>
      </c>
      <c r="U22" s="2">
        <v>19814927.554669339</v>
      </c>
      <c r="V22" s="2">
        <v>20778382.229022056</v>
      </c>
      <c r="W22" s="2">
        <v>22145022.377985638</v>
      </c>
      <c r="X22" s="2">
        <v>24265138.793000005</v>
      </c>
      <c r="Y22" s="2">
        <v>25333604.14670543</v>
      </c>
      <c r="Z22" s="2">
        <v>26418072.372096568</v>
      </c>
      <c r="AA22" s="2">
        <v>27461831.207866356</v>
      </c>
      <c r="AB22" s="2">
        <v>30181699.834527247</v>
      </c>
      <c r="AC22" s="2">
        <v>28350232.966324992</v>
      </c>
      <c r="AD22" s="2">
        <v>28064937.529830776</v>
      </c>
      <c r="AE22" s="2">
        <v>28789234.808489792</v>
      </c>
      <c r="AF22" s="2">
        <v>29169664.538620178</v>
      </c>
      <c r="AG22" s="2">
        <v>28882271.727218769</v>
      </c>
      <c r="AH22" s="2">
        <v>26270772.493214812</v>
      </c>
      <c r="AI22" s="2">
        <v>26365535.542450387</v>
      </c>
    </row>
    <row r="23" spans="1:35" x14ac:dyDescent="0.2">
      <c r="A23" s="1" t="s">
        <v>64</v>
      </c>
      <c r="B23" s="1" t="s">
        <v>71</v>
      </c>
      <c r="C23" s="1" t="s">
        <v>72</v>
      </c>
      <c r="D23" s="2">
        <v>18090.128159765001</v>
      </c>
      <c r="E23" s="2">
        <v>80839.265669496905</v>
      </c>
      <c r="F23" s="2">
        <v>145920.05067458778</v>
      </c>
      <c r="G23" s="2">
        <v>250944.63709903558</v>
      </c>
      <c r="H23" s="2">
        <v>386748.92644811864</v>
      </c>
      <c r="I23" s="2">
        <v>540388.436723363</v>
      </c>
      <c r="J23" s="2">
        <v>752758.45614448097</v>
      </c>
      <c r="K23" s="2">
        <v>1213599.3533501707</v>
      </c>
      <c r="L23" s="2">
        <v>871284.76850215357</v>
      </c>
      <c r="M23" s="2">
        <v>838387.87524687825</v>
      </c>
      <c r="N23" s="2">
        <v>793963.58364589128</v>
      </c>
      <c r="O23" s="2">
        <v>882270.95501983364</v>
      </c>
      <c r="P23" s="2">
        <v>786291.05176555831</v>
      </c>
      <c r="Q23" s="2">
        <v>789395.72753190005</v>
      </c>
      <c r="R23" s="2">
        <v>854340.63965922571</v>
      </c>
      <c r="S23" s="2">
        <v>969866.01343536132</v>
      </c>
      <c r="T23" s="2">
        <v>954857.12111394969</v>
      </c>
      <c r="U23" s="2">
        <v>985273.4766783138</v>
      </c>
      <c r="V23" s="2">
        <v>1025935.5912866587</v>
      </c>
      <c r="W23" s="2">
        <v>1067200.0584752676</v>
      </c>
      <c r="X23" s="2">
        <v>1300766.8349999997</v>
      </c>
      <c r="Y23" s="2">
        <v>1398585.6822618335</v>
      </c>
      <c r="Z23" s="2">
        <v>1395165.5145989354</v>
      </c>
      <c r="AA23" s="2">
        <v>1508097.6652157293</v>
      </c>
      <c r="AB23" s="2">
        <v>1719782.6641145146</v>
      </c>
      <c r="AC23" s="2">
        <v>1676178.2641126707</v>
      </c>
      <c r="AD23" s="2">
        <v>1663766.6751282611</v>
      </c>
      <c r="AE23" s="2">
        <v>1763761.3020950353</v>
      </c>
      <c r="AF23" s="2">
        <v>1693051.7970228917</v>
      </c>
      <c r="AG23" s="2">
        <v>1859590.1203552242</v>
      </c>
      <c r="AH23" s="2">
        <v>1808095.8515685787</v>
      </c>
      <c r="AI23" s="2">
        <v>1725061.1702644313</v>
      </c>
    </row>
    <row r="24" spans="1:35" x14ac:dyDescent="0.2">
      <c r="A24" s="1" t="s">
        <v>64</v>
      </c>
      <c r="B24" s="1" t="s">
        <v>73</v>
      </c>
      <c r="C24" s="1" t="s">
        <v>74</v>
      </c>
      <c r="D24" s="2">
        <v>18651.150972212105</v>
      </c>
      <c r="E24" s="2">
        <v>73181.251964777301</v>
      </c>
      <c r="F24" s="2">
        <v>83925.815475911601</v>
      </c>
      <c r="G24" s="2">
        <v>144648.47740622828</v>
      </c>
      <c r="H24" s="2">
        <v>183115.81110755311</v>
      </c>
      <c r="I24" s="2">
        <v>241390.39706309099</v>
      </c>
      <c r="J24" s="2">
        <v>455185.17345366324</v>
      </c>
      <c r="K24" s="2">
        <v>751031.92471977219</v>
      </c>
      <c r="L24" s="2">
        <v>676004.66056409234</v>
      </c>
      <c r="M24" s="2">
        <v>689158.68600533041</v>
      </c>
      <c r="N24" s="2">
        <v>691834.24201100145</v>
      </c>
      <c r="O24" s="2">
        <v>756850.86105750839</v>
      </c>
      <c r="P24" s="2">
        <v>744965.14266041073</v>
      </c>
      <c r="Q24" s="2">
        <v>744991.54634889867</v>
      </c>
      <c r="R24" s="2">
        <v>817087.19840374705</v>
      </c>
      <c r="S24" s="2">
        <v>853687.09331395524</v>
      </c>
      <c r="T24" s="2">
        <v>857730.4913374309</v>
      </c>
      <c r="U24" s="2">
        <v>898575.58656025946</v>
      </c>
      <c r="V24" s="2">
        <v>930497.95798745309</v>
      </c>
      <c r="W24" s="2">
        <v>944630.9364436327</v>
      </c>
      <c r="X24" s="2">
        <v>1134645.7299999997</v>
      </c>
      <c r="Y24" s="2">
        <v>1156844.7939838348</v>
      </c>
      <c r="Z24" s="2">
        <v>1232148.9549649451</v>
      </c>
      <c r="AA24" s="2">
        <v>1391295.3563398831</v>
      </c>
      <c r="AB24" s="2">
        <v>1566575.1844379851</v>
      </c>
      <c r="AC24" s="2">
        <v>1544375.1961543639</v>
      </c>
      <c r="AD24" s="2">
        <v>1552714.3692926955</v>
      </c>
      <c r="AE24" s="2">
        <v>1736074.4496141444</v>
      </c>
      <c r="AF24" s="2">
        <v>1638879.3349961569</v>
      </c>
      <c r="AG24" s="2">
        <v>1786821.8892500242</v>
      </c>
      <c r="AH24" s="2">
        <v>1663273.4893644282</v>
      </c>
      <c r="AI24" s="2">
        <v>1659323.212596128</v>
      </c>
    </row>
    <row r="25" spans="1:35" x14ac:dyDescent="0.2">
      <c r="A25" s="1" t="s">
        <v>64</v>
      </c>
      <c r="B25" s="1" t="s">
        <v>75</v>
      </c>
      <c r="C25" s="1" t="s">
        <v>76</v>
      </c>
      <c r="D25" s="2">
        <v>12183.313487846499</v>
      </c>
      <c r="E25" s="2">
        <v>54211.608601168795</v>
      </c>
      <c r="F25" s="2">
        <v>117392.0513846075</v>
      </c>
      <c r="G25" s="2">
        <v>206210.6610096363</v>
      </c>
      <c r="H25" s="2">
        <v>190788.6424844806</v>
      </c>
      <c r="I25" s="2">
        <v>268609.31674030423</v>
      </c>
      <c r="J25" s="2">
        <v>394635.64491809276</v>
      </c>
      <c r="K25" s="2">
        <v>514507.37963339296</v>
      </c>
      <c r="L25" s="2">
        <v>434318.42409432872</v>
      </c>
      <c r="M25" s="2">
        <v>471260.61110154318</v>
      </c>
      <c r="N25" s="2">
        <v>479387.78388854995</v>
      </c>
      <c r="O25" s="2">
        <v>496401.0008855788</v>
      </c>
      <c r="P25" s="2">
        <v>483560.92216582433</v>
      </c>
      <c r="Q25" s="2">
        <v>492975.11359574075</v>
      </c>
      <c r="R25" s="2">
        <v>516362.89018007496</v>
      </c>
      <c r="S25" s="2">
        <v>568060.89347484009</v>
      </c>
      <c r="T25" s="2">
        <v>574408.48187839857</v>
      </c>
      <c r="U25" s="2">
        <v>604392.34398022224</v>
      </c>
      <c r="V25" s="2">
        <v>638691.98951495683</v>
      </c>
      <c r="W25" s="2">
        <v>631848.38860345853</v>
      </c>
      <c r="X25" s="2">
        <v>800813.58800000011</v>
      </c>
      <c r="Y25" s="2">
        <v>821484.76339355134</v>
      </c>
      <c r="Z25" s="2">
        <v>864349.41415063187</v>
      </c>
      <c r="AA25" s="2">
        <v>911890.85426019784</v>
      </c>
      <c r="AB25" s="2">
        <v>1036290.2345030904</v>
      </c>
      <c r="AC25" s="2">
        <v>987191.55258398945</v>
      </c>
      <c r="AD25" s="2">
        <v>931910.00099677709</v>
      </c>
      <c r="AE25" s="2">
        <v>972849.02784683229</v>
      </c>
      <c r="AF25" s="2">
        <v>945196.93857288698</v>
      </c>
      <c r="AG25" s="2">
        <v>993328.41048932704</v>
      </c>
      <c r="AH25" s="2">
        <v>932462.36306866922</v>
      </c>
      <c r="AI25" s="2">
        <v>882123.34639586473</v>
      </c>
    </row>
    <row r="26" spans="1:35" x14ac:dyDescent="0.2">
      <c r="A26" s="1" t="s">
        <v>64</v>
      </c>
      <c r="B26" s="1" t="s">
        <v>77</v>
      </c>
      <c r="C26" s="1" t="s">
        <v>78</v>
      </c>
      <c r="D26" s="2">
        <v>20751.630260151498</v>
      </c>
      <c r="E26" s="2">
        <v>83877.856462439697</v>
      </c>
      <c r="F26" s="2">
        <v>230184.76474198059</v>
      </c>
      <c r="G26" s="2">
        <v>617933.10063705733</v>
      </c>
      <c r="H26" s="2">
        <v>402040.13154739689</v>
      </c>
      <c r="I26" s="2">
        <v>562174.44805089047</v>
      </c>
      <c r="J26" s="2">
        <v>903443.71825765958</v>
      </c>
      <c r="K26" s="2">
        <v>1232123.759083272</v>
      </c>
      <c r="L26" s="2">
        <v>1263703.0191253943</v>
      </c>
      <c r="M26" s="2">
        <v>1211956.7214314907</v>
      </c>
      <c r="N26" s="2">
        <v>1241909.5897158533</v>
      </c>
      <c r="O26" s="2">
        <v>1309091.0036968698</v>
      </c>
      <c r="P26" s="2">
        <v>1315907.8017060885</v>
      </c>
      <c r="Q26" s="2">
        <v>1335776.4431195492</v>
      </c>
      <c r="R26" s="2">
        <v>1398285.4187308969</v>
      </c>
      <c r="S26" s="2">
        <v>1538546.4648681029</v>
      </c>
      <c r="T26" s="2">
        <v>1601921.3085320159</v>
      </c>
      <c r="U26" s="2">
        <v>1717093.6690638547</v>
      </c>
      <c r="V26" s="2">
        <v>1794801.9696508439</v>
      </c>
      <c r="W26" s="2">
        <v>1925494.3720836982</v>
      </c>
      <c r="X26" s="2">
        <v>2321080.1140000005</v>
      </c>
      <c r="Y26" s="2">
        <v>2483193.0898494977</v>
      </c>
      <c r="Z26" s="2">
        <v>2668033.2071685689</v>
      </c>
      <c r="AA26" s="2">
        <v>2825177.1704294537</v>
      </c>
      <c r="AB26" s="2">
        <v>3253468.0051143006</v>
      </c>
      <c r="AC26" s="2">
        <v>3088011.308006715</v>
      </c>
      <c r="AD26" s="2">
        <v>3052947.542786683</v>
      </c>
      <c r="AE26" s="2">
        <v>3243533.1868752986</v>
      </c>
      <c r="AF26" s="2">
        <v>3066849.3182009584</v>
      </c>
      <c r="AG26" s="2">
        <v>3276172.8504533404</v>
      </c>
      <c r="AH26" s="2">
        <v>2984688.756781749</v>
      </c>
      <c r="AI26" s="2">
        <v>2873489.5715328711</v>
      </c>
    </row>
    <row r="27" spans="1:35" x14ac:dyDescent="0.2">
      <c r="A27" s="1" t="s">
        <v>79</v>
      </c>
      <c r="B27" s="1" t="s">
        <v>80</v>
      </c>
      <c r="C27" s="1" t="s">
        <v>81</v>
      </c>
      <c r="H27" s="2">
        <v>7958510.3438635804</v>
      </c>
      <c r="I27" s="2">
        <v>12185911.959031399</v>
      </c>
      <c r="J27" s="2">
        <v>31397709.676070999</v>
      </c>
      <c r="K27" s="2">
        <v>39782075.420058802</v>
      </c>
      <c r="L27" s="2">
        <v>57659311.625176497</v>
      </c>
      <c r="M27" s="2">
        <v>47599250.381459326</v>
      </c>
      <c r="N27" s="2">
        <v>37948810.405245721</v>
      </c>
      <c r="O27" s="2">
        <v>36302406.910011597</v>
      </c>
      <c r="P27" s="2">
        <v>41656815.189003199</v>
      </c>
      <c r="Q27" s="2">
        <v>39059546.732460499</v>
      </c>
      <c r="R27" s="2">
        <v>40633093.882229999</v>
      </c>
      <c r="S27" s="2">
        <v>42495777.5100495</v>
      </c>
      <c r="T27" s="2">
        <v>46221314.1975573</v>
      </c>
      <c r="U27" s="2">
        <v>49273978.281509399</v>
      </c>
      <c r="V27" s="2">
        <v>52957070.283078901</v>
      </c>
      <c r="W27" s="2">
        <v>52676659.393217698</v>
      </c>
      <c r="X27" s="2">
        <v>58259560.973999999</v>
      </c>
      <c r="Y27" s="2">
        <v>57392129.069970302</v>
      </c>
      <c r="Z27" s="2">
        <v>58058358.717902601</v>
      </c>
      <c r="AA27" s="2">
        <v>58646577.913898297</v>
      </c>
      <c r="AB27" s="2">
        <v>62967595.549030699</v>
      </c>
      <c r="AC27" s="2">
        <v>63350577.866459802</v>
      </c>
      <c r="AD27" s="2">
        <v>65887048.213967703</v>
      </c>
      <c r="AE27" s="2">
        <v>66284279.918015942</v>
      </c>
      <c r="AF27" s="2">
        <v>66623037.963200673</v>
      </c>
      <c r="AG27" s="2">
        <v>70380766.635803908</v>
      </c>
      <c r="AH27" s="2">
        <v>61503701.095543355</v>
      </c>
      <c r="AI27" s="2">
        <v>60502091.247725204</v>
      </c>
    </row>
    <row r="28" spans="1:35" x14ac:dyDescent="0.2">
      <c r="A28" s="1" t="s">
        <v>82</v>
      </c>
      <c r="B28" s="1" t="s">
        <v>83</v>
      </c>
      <c r="C28" s="1" t="s">
        <v>84</v>
      </c>
      <c r="D28" s="2">
        <v>4474.8582512012999</v>
      </c>
      <c r="E28" s="2">
        <v>28775.263339764097</v>
      </c>
      <c r="F28" s="2">
        <v>121400.14964243751</v>
      </c>
      <c r="G28" s="2">
        <v>214265.8981602758</v>
      </c>
      <c r="H28" s="2">
        <v>432212.53552278708</v>
      </c>
      <c r="I28" s="2">
        <v>706301.82416833122</v>
      </c>
      <c r="J28" s="2">
        <v>904061.40126214467</v>
      </c>
      <c r="K28" s="2">
        <v>1045313.8538237488</v>
      </c>
      <c r="L28" s="2">
        <v>1349564.2645529541</v>
      </c>
      <c r="M28" s="2">
        <v>1110400.4840920335</v>
      </c>
      <c r="N28" s="2">
        <v>1186299.5412678996</v>
      </c>
      <c r="O28" s="2">
        <v>1283340.7532317801</v>
      </c>
      <c r="P28" s="2">
        <v>1205401.9354638827</v>
      </c>
      <c r="Q28" s="2">
        <v>1218667.7766983965</v>
      </c>
      <c r="R28" s="2">
        <v>1379785.4730685845</v>
      </c>
      <c r="S28" s="2">
        <v>1466783.4431415638</v>
      </c>
      <c r="T28" s="2">
        <v>1594898.6709005262</v>
      </c>
      <c r="U28" s="2">
        <v>1602093.2213975138</v>
      </c>
      <c r="V28" s="2">
        <v>1667229.1027737509</v>
      </c>
      <c r="W28" s="2">
        <v>1773145.3901908882</v>
      </c>
      <c r="X28" s="2">
        <v>1878099.5249999999</v>
      </c>
      <c r="Y28" s="2">
        <v>2003223.9798838459</v>
      </c>
      <c r="Z28" s="2">
        <v>2146473.8967032502</v>
      </c>
      <c r="AA28" s="2">
        <v>2074097.6314846212</v>
      </c>
      <c r="AB28" s="2">
        <v>2314247.0237259236</v>
      </c>
      <c r="AC28" s="2">
        <v>2403195.9474081225</v>
      </c>
      <c r="AD28" s="2">
        <v>2328820.7305165161</v>
      </c>
      <c r="AE28" s="2">
        <v>2293248.6439604582</v>
      </c>
      <c r="AF28" s="2">
        <v>2120950.2405254082</v>
      </c>
      <c r="AG28" s="2">
        <v>2223215.5181406126</v>
      </c>
      <c r="AH28" s="2">
        <v>2118807.9304005811</v>
      </c>
      <c r="AI28" s="2">
        <v>2146982.988386807</v>
      </c>
    </row>
    <row r="29" spans="1:35" x14ac:dyDescent="0.2">
      <c r="A29" s="1" t="s">
        <v>82</v>
      </c>
      <c r="B29" s="1" t="s">
        <v>85</v>
      </c>
      <c r="C29" s="1" t="s">
        <v>86</v>
      </c>
      <c r="D29" s="2">
        <v>10114.936889954201</v>
      </c>
      <c r="E29" s="2">
        <v>30418.3324168</v>
      </c>
      <c r="F29" s="2">
        <v>64709.850032882503</v>
      </c>
      <c r="G29" s="2">
        <v>91168.854033143201</v>
      </c>
      <c r="H29" s="2">
        <v>329618.63240235136</v>
      </c>
      <c r="I29" s="2">
        <v>607368.25125457917</v>
      </c>
      <c r="J29" s="2">
        <v>1053391.7253660427</v>
      </c>
      <c r="K29" s="2">
        <v>1487451.3098846627</v>
      </c>
      <c r="L29" s="2">
        <v>1601857.1113198646</v>
      </c>
      <c r="M29" s="2">
        <v>1515569.3191480876</v>
      </c>
      <c r="N29" s="2">
        <v>1655005.0669257231</v>
      </c>
      <c r="O29" s="2">
        <v>1737004.056119852</v>
      </c>
      <c r="P29" s="2">
        <v>2062116.2215983099</v>
      </c>
      <c r="Q29" s="2">
        <v>2080918.6956233992</v>
      </c>
      <c r="R29" s="2">
        <v>2317335.4279554305</v>
      </c>
      <c r="S29" s="2">
        <v>2498307.5813496481</v>
      </c>
      <c r="T29" s="2">
        <v>2965308.924794734</v>
      </c>
      <c r="U29" s="2">
        <v>3053716.6747300643</v>
      </c>
      <c r="V29" s="2">
        <v>3411987.6931707594</v>
      </c>
      <c r="W29" s="2">
        <v>3057646.5785080511</v>
      </c>
      <c r="X29" s="2">
        <v>3255727.6839999999</v>
      </c>
      <c r="Y29" s="2">
        <v>3464376.9025535728</v>
      </c>
      <c r="Z29" s="2">
        <v>3657222.532871726</v>
      </c>
      <c r="AA29" s="2">
        <v>3595237.623282752</v>
      </c>
      <c r="AB29" s="2">
        <v>3797775.5585022531</v>
      </c>
      <c r="AC29" s="2">
        <v>3825849.4613366444</v>
      </c>
      <c r="AD29" s="2">
        <v>3555029.4275112338</v>
      </c>
      <c r="AE29" s="2">
        <v>3716914.9695693483</v>
      </c>
      <c r="AF29" s="2">
        <v>3565602.9082645443</v>
      </c>
      <c r="AG29" s="2">
        <v>3655079.4025913952</v>
      </c>
      <c r="AH29" s="2">
        <v>3297100.0711541628</v>
      </c>
      <c r="AI29" s="2">
        <v>3361205.4508231455</v>
      </c>
    </row>
    <row r="30" spans="1:35" x14ac:dyDescent="0.2">
      <c r="A30" s="1" t="s">
        <v>82</v>
      </c>
      <c r="B30" s="1" t="s">
        <v>87</v>
      </c>
      <c r="C30" s="1" t="s">
        <v>88</v>
      </c>
      <c r="D30" s="2">
        <v>57310.357074164494</v>
      </c>
      <c r="E30" s="2">
        <v>313611.86934627563</v>
      </c>
      <c r="F30" s="2">
        <v>587445.63337749988</v>
      </c>
      <c r="G30" s="2">
        <v>1249845.7402490915</v>
      </c>
      <c r="H30" s="2">
        <v>3759560.5173703916</v>
      </c>
      <c r="I30" s="2">
        <v>4589807.6579172201</v>
      </c>
      <c r="J30" s="2">
        <v>9306767.2785234191</v>
      </c>
      <c r="K30" s="2">
        <v>10237399.494379932</v>
      </c>
      <c r="L30" s="2">
        <v>16967848.467195649</v>
      </c>
      <c r="M30" s="2">
        <v>12420435.822051045</v>
      </c>
      <c r="N30" s="2">
        <v>13944094.359792721</v>
      </c>
      <c r="O30" s="2">
        <v>13917857.063832551</v>
      </c>
      <c r="P30" s="2">
        <v>13470885.599368244</v>
      </c>
      <c r="Q30" s="2">
        <v>13058835.041330423</v>
      </c>
      <c r="R30" s="2">
        <v>15591319.252236331</v>
      </c>
      <c r="S30" s="2">
        <v>16373166.290090539</v>
      </c>
      <c r="T30" s="2">
        <v>17040469.601935841</v>
      </c>
      <c r="U30" s="2">
        <v>18018822.585286736</v>
      </c>
      <c r="V30" s="2">
        <v>20056488.774496641</v>
      </c>
      <c r="W30" s="2">
        <v>20892372.718108423</v>
      </c>
      <c r="X30" s="2">
        <v>21197315.68</v>
      </c>
      <c r="Y30" s="2">
        <v>21537338.718243293</v>
      </c>
      <c r="Z30" s="2">
        <v>22064420.958880436</v>
      </c>
      <c r="AA30" s="2">
        <v>21362959.225058518</v>
      </c>
      <c r="AB30" s="2">
        <v>23822104.660792269</v>
      </c>
      <c r="AC30" s="2">
        <v>23097660.515229758</v>
      </c>
      <c r="AD30" s="2">
        <v>21486496.323255654</v>
      </c>
      <c r="AE30" s="2">
        <v>22202318.676670652</v>
      </c>
      <c r="AF30" s="2">
        <v>22999060.557440173</v>
      </c>
      <c r="AG30" s="2">
        <v>23748220.771607194</v>
      </c>
      <c r="AH30" s="2">
        <v>21875803.199668318</v>
      </c>
      <c r="AI30" s="2">
        <v>22822871.776831128</v>
      </c>
    </row>
    <row r="31" spans="1:35" x14ac:dyDescent="0.2">
      <c r="A31" s="1" t="s">
        <v>82</v>
      </c>
      <c r="B31" s="1" t="s">
        <v>89</v>
      </c>
      <c r="C31" s="1" t="s">
        <v>90</v>
      </c>
      <c r="D31" s="2">
        <v>27315.415017896903</v>
      </c>
      <c r="E31" s="2">
        <v>159668.45505921289</v>
      </c>
      <c r="F31" s="2">
        <v>362355.62677309831</v>
      </c>
      <c r="G31" s="2">
        <v>389221.68236892507</v>
      </c>
      <c r="H31" s="2">
        <v>532202.29760070017</v>
      </c>
      <c r="I31" s="2">
        <v>933135.97336487274</v>
      </c>
      <c r="J31" s="2">
        <v>1411182.0019811874</v>
      </c>
      <c r="K31" s="2">
        <v>1650914.4641800649</v>
      </c>
      <c r="L31" s="2">
        <v>2145936.1176628279</v>
      </c>
      <c r="M31" s="2">
        <v>1493028.5500210058</v>
      </c>
      <c r="N31" s="2">
        <v>1658826.9315040449</v>
      </c>
      <c r="O31" s="2">
        <v>1821945.4655519607</v>
      </c>
      <c r="P31" s="2">
        <v>1816171.0931571694</v>
      </c>
      <c r="Q31" s="2">
        <v>1880475.9944832844</v>
      </c>
      <c r="R31" s="2">
        <v>2105002.8588779685</v>
      </c>
      <c r="S31" s="2">
        <v>2195963.8804571256</v>
      </c>
      <c r="T31" s="2">
        <v>2254564.0343858278</v>
      </c>
      <c r="U31" s="2">
        <v>2501827.1664738166</v>
      </c>
      <c r="V31" s="2">
        <v>2688978.6986142667</v>
      </c>
      <c r="W31" s="2">
        <v>2863946.1594733824</v>
      </c>
      <c r="X31" s="2">
        <v>3161886.6179999998</v>
      </c>
      <c r="Y31" s="2">
        <v>4335173.0499910563</v>
      </c>
      <c r="Z31" s="2">
        <v>5005218.670698693</v>
      </c>
      <c r="AA31" s="2">
        <v>5019374.0996295512</v>
      </c>
      <c r="AB31" s="2">
        <v>5436529.4812257877</v>
      </c>
      <c r="AC31" s="2">
        <v>4704655.3021840584</v>
      </c>
      <c r="AD31" s="2">
        <v>3714398.9803145486</v>
      </c>
      <c r="AE31" s="2">
        <v>4266317.8023255244</v>
      </c>
      <c r="AF31" s="2">
        <v>4423958.8844093913</v>
      </c>
      <c r="AG31" s="2">
        <v>4775218.8632562906</v>
      </c>
      <c r="AH31" s="2">
        <v>3882494.1028066282</v>
      </c>
      <c r="AI31" s="2">
        <v>4135354.6574295526</v>
      </c>
    </row>
    <row r="32" spans="1:35" x14ac:dyDescent="0.2">
      <c r="A32" s="1" t="s">
        <v>91</v>
      </c>
      <c r="B32" s="1" t="s">
        <v>92</v>
      </c>
      <c r="C32" s="1" t="s">
        <v>93</v>
      </c>
      <c r="D32" s="2">
        <v>7586.9052151388996</v>
      </c>
      <c r="E32" s="2">
        <v>14330.8615414498</v>
      </c>
      <c r="F32" s="2">
        <v>21130.435583605402</v>
      </c>
      <c r="G32" s="2">
        <v>29674.239793238303</v>
      </c>
      <c r="H32" s="2">
        <v>151657.85013754619</v>
      </c>
      <c r="I32" s="2">
        <v>421618.21543182037</v>
      </c>
      <c r="J32" s="2">
        <v>455911.3952518804</v>
      </c>
      <c r="K32" s="2">
        <v>964048.85462315613</v>
      </c>
      <c r="L32" s="2">
        <v>564484.65593000513</v>
      </c>
      <c r="M32" s="2">
        <v>511001.97771692753</v>
      </c>
      <c r="N32" s="2">
        <v>578424.41762485646</v>
      </c>
      <c r="O32" s="2">
        <v>596573.54267054901</v>
      </c>
      <c r="P32" s="2">
        <v>664866.4688030628</v>
      </c>
      <c r="Q32" s="2">
        <v>686539.97899068031</v>
      </c>
      <c r="R32" s="2">
        <v>697926.07271680527</v>
      </c>
      <c r="S32" s="2">
        <v>719503.28260396211</v>
      </c>
      <c r="T32" s="2">
        <v>806128.83904304157</v>
      </c>
      <c r="U32" s="2">
        <v>825717.10094309831</v>
      </c>
      <c r="V32" s="2">
        <v>813047.99708001933</v>
      </c>
      <c r="W32" s="2">
        <v>849171.86774808844</v>
      </c>
      <c r="X32" s="2">
        <v>885640.37099999981</v>
      </c>
      <c r="Y32" s="2">
        <v>921113.78994329902</v>
      </c>
      <c r="Z32" s="2">
        <v>1054472.4491344618</v>
      </c>
      <c r="AA32" s="2">
        <v>1047771.8852673118</v>
      </c>
      <c r="AB32" s="2">
        <v>1139370.4668063542</v>
      </c>
      <c r="AC32" s="2">
        <v>1118957.0562808455</v>
      </c>
      <c r="AD32" s="2">
        <v>1089607.6351210745</v>
      </c>
      <c r="AE32" s="2">
        <v>1175730.5188082319</v>
      </c>
      <c r="AF32" s="2">
        <v>1209420.2570410988</v>
      </c>
      <c r="AG32" s="2">
        <v>1159665.8292497161</v>
      </c>
      <c r="AH32" s="2">
        <v>1151389.8647862987</v>
      </c>
      <c r="AI32" s="2">
        <v>1193207.1891773832</v>
      </c>
    </row>
    <row r="33" spans="1:35" x14ac:dyDescent="0.2">
      <c r="A33" s="1" t="s">
        <v>91</v>
      </c>
      <c r="B33" s="1" t="s">
        <v>94</v>
      </c>
      <c r="C33" s="1" t="s">
        <v>95</v>
      </c>
      <c r="D33" s="2">
        <v>3676.9978884838001</v>
      </c>
      <c r="E33" s="2">
        <v>4402.9082009197</v>
      </c>
      <c r="F33" s="2">
        <v>3266.8529359633999</v>
      </c>
      <c r="G33" s="2">
        <v>21286.944335325301</v>
      </c>
      <c r="H33" s="2">
        <v>138131.10524185267</v>
      </c>
      <c r="I33" s="2">
        <v>284934.108299657</v>
      </c>
      <c r="J33" s="2">
        <v>515678.34637273225</v>
      </c>
      <c r="K33" s="2">
        <v>739885.14086139493</v>
      </c>
      <c r="L33" s="2">
        <v>695879.11893104843</v>
      </c>
      <c r="M33" s="2">
        <v>632998.67560589348</v>
      </c>
      <c r="N33" s="2">
        <v>687240.32918354415</v>
      </c>
      <c r="O33" s="2">
        <v>695913.81633599172</v>
      </c>
      <c r="P33" s="2">
        <v>832880.65491352184</v>
      </c>
      <c r="Q33" s="2">
        <v>845291.05488128169</v>
      </c>
      <c r="R33" s="2">
        <v>874254.6041535486</v>
      </c>
      <c r="S33" s="2">
        <v>950435.10200600419</v>
      </c>
      <c r="T33" s="2">
        <v>1104466.8623238017</v>
      </c>
      <c r="U33" s="2">
        <v>1278628.5334334609</v>
      </c>
      <c r="V33" s="2">
        <v>1222865.7676620418</v>
      </c>
      <c r="W33" s="2">
        <v>1236836.0953805319</v>
      </c>
      <c r="X33" s="2">
        <v>1287475.8380000002</v>
      </c>
      <c r="Y33" s="2">
        <v>1358829.7067474872</v>
      </c>
      <c r="Z33" s="2">
        <v>1482029.1706797252</v>
      </c>
      <c r="AA33" s="2">
        <v>1366300.1961784225</v>
      </c>
      <c r="AB33" s="2">
        <v>1472771.688548337</v>
      </c>
      <c r="AC33" s="2">
        <v>1421343.0962405852</v>
      </c>
      <c r="AD33" s="2">
        <v>1286650.0094413781</v>
      </c>
      <c r="AE33" s="2">
        <v>1351580.5217189009</v>
      </c>
      <c r="AF33" s="2">
        <v>1407469.1610980208</v>
      </c>
      <c r="AG33" s="2">
        <v>1416862.5409179721</v>
      </c>
      <c r="AH33" s="2">
        <v>1284106.493047267</v>
      </c>
      <c r="AI33" s="2">
        <v>1365352.7717250457</v>
      </c>
    </row>
    <row r="34" spans="1:35" x14ac:dyDescent="0.2">
      <c r="A34" s="1" t="s">
        <v>91</v>
      </c>
      <c r="B34" s="1" t="s">
        <v>96</v>
      </c>
      <c r="C34" s="1" t="s">
        <v>97</v>
      </c>
      <c r="D34" s="2">
        <v>9727.3311218782001</v>
      </c>
      <c r="E34" s="2">
        <v>102118.70810753069</v>
      </c>
      <c r="F34" s="2">
        <v>399676.12205129769</v>
      </c>
      <c r="G34" s="2">
        <v>1213889.4067764487</v>
      </c>
      <c r="H34" s="2">
        <v>3495216.2155910884</v>
      </c>
      <c r="I34" s="2">
        <v>6852083.3930150336</v>
      </c>
      <c r="J34" s="2">
        <v>9935392.6916343868</v>
      </c>
      <c r="K34" s="2">
        <v>13931038.66207655</v>
      </c>
      <c r="L34" s="2">
        <v>18629304.060144458</v>
      </c>
      <c r="M34" s="2">
        <v>15482804.928413302</v>
      </c>
      <c r="N34" s="2">
        <v>16029100.954623559</v>
      </c>
      <c r="O34" s="2">
        <v>16291823.654097686</v>
      </c>
      <c r="P34" s="2">
        <v>17260861.103500884</v>
      </c>
      <c r="Q34" s="2">
        <v>17683761.046016499</v>
      </c>
      <c r="R34" s="2">
        <v>18204671.197184451</v>
      </c>
      <c r="S34" s="2">
        <v>18738319.888354167</v>
      </c>
      <c r="T34" s="2">
        <v>21633287.456815038</v>
      </c>
      <c r="U34" s="2">
        <v>22786296.822786309</v>
      </c>
      <c r="V34" s="2">
        <v>23281167.183536902</v>
      </c>
      <c r="W34" s="2">
        <v>25151484.549333777</v>
      </c>
      <c r="X34" s="2">
        <v>25983966.458000004</v>
      </c>
      <c r="Y34" s="2">
        <v>27833243.113144618</v>
      </c>
      <c r="Z34" s="2">
        <v>30706178.516388375</v>
      </c>
      <c r="AA34" s="2">
        <v>30237990.723206189</v>
      </c>
      <c r="AB34" s="2">
        <v>33485869.478840787</v>
      </c>
      <c r="AC34" s="2">
        <v>32222819.823465031</v>
      </c>
      <c r="AD34" s="2">
        <v>30603261.9990042</v>
      </c>
      <c r="AE34" s="2">
        <v>32091232.499334104</v>
      </c>
      <c r="AF34" s="2">
        <v>30671024.162161138</v>
      </c>
      <c r="AG34" s="2">
        <v>30828535.215566337</v>
      </c>
      <c r="AH34" s="2">
        <v>28361992.648590043</v>
      </c>
      <c r="AI34" s="2">
        <v>29554885.533945743</v>
      </c>
    </row>
    <row r="35" spans="1:35" x14ac:dyDescent="0.2">
      <c r="A35" s="1" t="s">
        <v>91</v>
      </c>
      <c r="B35" s="1" t="s">
        <v>98</v>
      </c>
      <c r="C35" s="1" t="s">
        <v>99</v>
      </c>
      <c r="D35" s="2">
        <v>10523.7867925829</v>
      </c>
      <c r="E35" s="2">
        <v>25336.423524317193</v>
      </c>
      <c r="F35" s="2">
        <v>13325.8880201056</v>
      </c>
      <c r="G35" s="2">
        <v>58908.636891383299</v>
      </c>
      <c r="H35" s="2">
        <v>219427.935569364</v>
      </c>
      <c r="I35" s="2">
        <v>425817.24310206086</v>
      </c>
      <c r="J35" s="2">
        <v>803263.54200175998</v>
      </c>
      <c r="K35" s="2">
        <v>1091447.1718304246</v>
      </c>
      <c r="L35" s="2">
        <v>2537134.9507367872</v>
      </c>
      <c r="M35" s="2">
        <v>1933294.7095708619</v>
      </c>
      <c r="N35" s="2">
        <v>2165830.1137308199</v>
      </c>
      <c r="O35" s="2">
        <v>2171721.2654498513</v>
      </c>
      <c r="P35" s="2">
        <v>2344704.1255145366</v>
      </c>
      <c r="Q35" s="2">
        <v>2529330.243306037</v>
      </c>
      <c r="R35" s="2">
        <v>2676702.1622694889</v>
      </c>
      <c r="S35" s="2">
        <v>2828849.8293780666</v>
      </c>
      <c r="T35" s="2">
        <v>3063563.9008358503</v>
      </c>
      <c r="U35" s="2">
        <v>3164393.8431933383</v>
      </c>
      <c r="V35" s="2">
        <v>3428495.2505969335</v>
      </c>
      <c r="W35" s="2">
        <v>3689162.1681798901</v>
      </c>
      <c r="X35" s="2">
        <v>3934985.1079999995</v>
      </c>
      <c r="Y35" s="2">
        <v>4217665.1952518942</v>
      </c>
      <c r="Z35" s="2">
        <v>4723358.8626601147</v>
      </c>
      <c r="AA35" s="2">
        <v>4759695.0906924242</v>
      </c>
      <c r="AB35" s="2">
        <v>5160604.3349490706</v>
      </c>
      <c r="AC35" s="2">
        <v>5168043.5230309321</v>
      </c>
      <c r="AD35" s="2">
        <v>5367284.7252532141</v>
      </c>
      <c r="AE35" s="2">
        <v>5184938.0242290897</v>
      </c>
      <c r="AF35" s="2">
        <v>5243639.2351194751</v>
      </c>
      <c r="AG35" s="2">
        <v>5266144.6992174396</v>
      </c>
      <c r="AH35" s="2">
        <v>4984904.2947099088</v>
      </c>
      <c r="AI35" s="2">
        <v>5294106.5626781182</v>
      </c>
    </row>
    <row r="36" spans="1:35" x14ac:dyDescent="0.2">
      <c r="A36" s="1" t="s">
        <v>91</v>
      </c>
      <c r="B36" s="1" t="s">
        <v>100</v>
      </c>
      <c r="C36" s="1" t="s">
        <v>101</v>
      </c>
      <c r="D36" s="2">
        <v>26185.8126185609</v>
      </c>
      <c r="E36" s="2">
        <v>134962.26532612811</v>
      </c>
      <c r="F36" s="2">
        <v>196556.84829656148</v>
      </c>
      <c r="G36" s="2">
        <v>498253.80500184983</v>
      </c>
      <c r="H36" s="2">
        <v>1198523.2979029298</v>
      </c>
      <c r="I36" s="2">
        <v>2092408.7807867841</v>
      </c>
      <c r="J36" s="2">
        <v>2771872.4404287459</v>
      </c>
      <c r="K36" s="2">
        <v>4744920.1316927169</v>
      </c>
      <c r="L36" s="2">
        <v>4033090.5705516883</v>
      </c>
      <c r="M36" s="2">
        <v>5054632.1844533067</v>
      </c>
      <c r="N36" s="2">
        <v>5546446.5431618141</v>
      </c>
      <c r="O36" s="2">
        <v>5988110.7152222209</v>
      </c>
      <c r="P36" s="2">
        <v>7246439.084907867</v>
      </c>
      <c r="Q36" s="2">
        <v>7836201.3144082604</v>
      </c>
      <c r="R36" s="2">
        <v>8030818.1777715338</v>
      </c>
      <c r="S36" s="2">
        <v>7986312.0891614296</v>
      </c>
      <c r="T36" s="2">
        <v>8718358.257088989</v>
      </c>
      <c r="U36" s="2">
        <v>8962527.6064738259</v>
      </c>
      <c r="V36" s="2">
        <v>9579009.4992371164</v>
      </c>
      <c r="W36" s="2">
        <v>10127958.876817221</v>
      </c>
      <c r="X36" s="2">
        <v>10025238.589000002</v>
      </c>
      <c r="Y36" s="2">
        <v>10813665.599842289</v>
      </c>
      <c r="Z36" s="2">
        <v>12087488.996865617</v>
      </c>
      <c r="AA36" s="2">
        <v>12023083.778601497</v>
      </c>
      <c r="AB36" s="2">
        <v>12706882.92156481</v>
      </c>
      <c r="AC36" s="2">
        <v>12271436.107041681</v>
      </c>
      <c r="AD36" s="2">
        <v>12126142.393488161</v>
      </c>
      <c r="AE36" s="2">
        <v>12879200.364372673</v>
      </c>
      <c r="AF36" s="2">
        <v>12753276.360638853</v>
      </c>
      <c r="AG36" s="2">
        <v>12620277.628908703</v>
      </c>
      <c r="AH36" s="2">
        <v>11605118.572173556</v>
      </c>
      <c r="AI36" s="2">
        <v>12805884.254698982</v>
      </c>
    </row>
    <row r="37" spans="1:35" x14ac:dyDescent="0.2">
      <c r="A37" s="1" t="s">
        <v>102</v>
      </c>
      <c r="B37" s="1" t="s">
        <v>103</v>
      </c>
      <c r="C37" s="1" t="s">
        <v>104</v>
      </c>
      <c r="D37" s="2">
        <v>114606.99164605558</v>
      </c>
      <c r="E37" s="2">
        <v>295146.44765160687</v>
      </c>
      <c r="F37" s="2">
        <v>427998.69356535614</v>
      </c>
      <c r="G37" s="2">
        <v>912112.59467934421</v>
      </c>
      <c r="H37" s="2">
        <v>1458307.1865802165</v>
      </c>
      <c r="I37" s="2">
        <v>2281216.7437991896</v>
      </c>
      <c r="J37" s="2">
        <v>3755670.4978278102</v>
      </c>
      <c r="K37" s="2">
        <v>5925025.7059073308</v>
      </c>
      <c r="L37" s="2">
        <v>7865051.3304223297</v>
      </c>
      <c r="M37" s="2">
        <v>6421585.0036951853</v>
      </c>
      <c r="N37" s="2">
        <v>7189286.206536104</v>
      </c>
      <c r="O37" s="2">
        <v>7308882.6749826381</v>
      </c>
      <c r="P37" s="2">
        <v>6871790.239156004</v>
      </c>
      <c r="Q37" s="2">
        <v>6871932.0012301533</v>
      </c>
      <c r="R37" s="2">
        <v>7563254.6879703877</v>
      </c>
      <c r="S37" s="2">
        <v>8174336.4715918545</v>
      </c>
      <c r="T37" s="2">
        <v>8332565.1671142187</v>
      </c>
      <c r="U37" s="2">
        <v>8631331.4202226363</v>
      </c>
      <c r="V37" s="2">
        <v>9408403.4850253146</v>
      </c>
      <c r="W37" s="2">
        <v>10036243.615035469</v>
      </c>
      <c r="X37" s="2">
        <v>10766941.839999992</v>
      </c>
      <c r="Y37" s="2">
        <v>10447248.784529367</v>
      </c>
      <c r="Z37" s="2">
        <v>11070423.918566195</v>
      </c>
      <c r="AA37" s="2">
        <v>11279353.369817026</v>
      </c>
      <c r="AB37" s="2">
        <v>12482690.220926633</v>
      </c>
      <c r="AC37" s="2">
        <v>11046551.750716964</v>
      </c>
      <c r="AD37" s="2">
        <v>11957951.446744889</v>
      </c>
      <c r="AE37" s="2">
        <v>11702090.581861759</v>
      </c>
      <c r="AF37" s="2">
        <v>12242685.372892836</v>
      </c>
      <c r="AG37" s="2">
        <v>10977304.908913203</v>
      </c>
      <c r="AH37" s="2">
        <v>10665631.822683018</v>
      </c>
      <c r="AI37" s="2">
        <v>10965702.061056085</v>
      </c>
    </row>
    <row r="38" spans="1:35" x14ac:dyDescent="0.2">
      <c r="A38" s="1" t="s">
        <v>102</v>
      </c>
      <c r="B38" s="1" t="s">
        <v>105</v>
      </c>
      <c r="C38" s="1" t="s">
        <v>106</v>
      </c>
      <c r="D38" s="2">
        <v>4498.7141426363996</v>
      </c>
      <c r="E38" s="2">
        <v>11783.951767638</v>
      </c>
      <c r="F38" s="2">
        <v>13601.808747023302</v>
      </c>
      <c r="G38" s="2">
        <v>73502.424299681006</v>
      </c>
      <c r="H38" s="2">
        <v>274536.94291698281</v>
      </c>
      <c r="I38" s="2">
        <v>639557.41241634241</v>
      </c>
      <c r="J38" s="2">
        <v>1229864.0326165988</v>
      </c>
      <c r="K38" s="2">
        <v>1216453.1373773951</v>
      </c>
      <c r="L38" s="2">
        <v>1587160.0916244446</v>
      </c>
      <c r="M38" s="2">
        <v>1816800.2956739962</v>
      </c>
      <c r="N38" s="2">
        <v>2039715.3549992535</v>
      </c>
      <c r="O38" s="2">
        <v>2073019.2725978813</v>
      </c>
      <c r="P38" s="2">
        <v>2536107.2104574223</v>
      </c>
      <c r="Q38" s="2">
        <v>2679478.0604924294</v>
      </c>
      <c r="R38" s="2">
        <v>3056403.7722596778</v>
      </c>
      <c r="S38" s="2">
        <v>3414994.151570769</v>
      </c>
      <c r="T38" s="2">
        <v>3496697.7520793341</v>
      </c>
      <c r="U38" s="2">
        <v>3450298.080343686</v>
      </c>
      <c r="V38" s="2">
        <v>3547014.3663040102</v>
      </c>
      <c r="W38" s="2">
        <v>3669907.886622062</v>
      </c>
      <c r="X38" s="2">
        <v>3711238.148</v>
      </c>
      <c r="Y38" s="2">
        <v>3753154.4287312557</v>
      </c>
      <c r="Z38" s="2">
        <v>4127643.7599668503</v>
      </c>
      <c r="AA38" s="2">
        <v>4477032.4350250773</v>
      </c>
      <c r="AB38" s="2">
        <v>4829494.1911372552</v>
      </c>
      <c r="AC38" s="2">
        <v>4307287.0824700454</v>
      </c>
      <c r="AD38" s="2">
        <v>4915080.3875605883</v>
      </c>
      <c r="AE38" s="2">
        <v>4534850.7769312207</v>
      </c>
      <c r="AF38" s="2">
        <v>4595611.106071284</v>
      </c>
      <c r="AG38" s="2">
        <v>4267479.0939935455</v>
      </c>
      <c r="AH38" s="2">
        <v>4035123.9773773607</v>
      </c>
      <c r="AI38" s="2">
        <v>4297812.9362172242</v>
      </c>
    </row>
    <row r="39" spans="1:35" x14ac:dyDescent="0.2">
      <c r="A39" s="1" t="s">
        <v>102</v>
      </c>
      <c r="B39" s="1" t="s">
        <v>107</v>
      </c>
      <c r="C39" s="1" t="s">
        <v>108</v>
      </c>
      <c r="D39" s="2">
        <v>9666.6037658182995</v>
      </c>
      <c r="E39" s="2">
        <v>29280.921359069602</v>
      </c>
      <c r="F39" s="2">
        <v>61751.96729443629</v>
      </c>
      <c r="G39" s="2">
        <v>225534.16720250557</v>
      </c>
      <c r="H39" s="2">
        <v>388112.79150948656</v>
      </c>
      <c r="I39" s="2">
        <v>514113.34647172666</v>
      </c>
      <c r="J39" s="2">
        <v>803197.59142465796</v>
      </c>
      <c r="K39" s="2">
        <v>704140.37010275945</v>
      </c>
      <c r="L39" s="2">
        <v>820550.33313256921</v>
      </c>
      <c r="M39" s="2">
        <v>719161.39139552915</v>
      </c>
      <c r="N39" s="2">
        <v>798209.84901613556</v>
      </c>
      <c r="O39" s="2">
        <v>825107.27628384496</v>
      </c>
      <c r="P39" s="2">
        <v>979377.85100350878</v>
      </c>
      <c r="Q39" s="2">
        <v>951119.93807065266</v>
      </c>
      <c r="R39" s="2">
        <v>1038444.7486684995</v>
      </c>
      <c r="S39" s="2">
        <v>1127807.9879945668</v>
      </c>
      <c r="T39" s="2">
        <v>1189867.0811015777</v>
      </c>
      <c r="U39" s="2">
        <v>1233391.3511208605</v>
      </c>
      <c r="V39" s="2">
        <v>1381870.4429366603</v>
      </c>
      <c r="W39" s="2">
        <v>1527976.116452422</v>
      </c>
      <c r="X39" s="2">
        <v>1408613.3419999997</v>
      </c>
      <c r="Y39" s="2">
        <v>1484169.6693697223</v>
      </c>
      <c r="Z39" s="2">
        <v>1595961.6429692784</v>
      </c>
      <c r="AA39" s="2">
        <v>1905425.8937667999</v>
      </c>
      <c r="AB39" s="2">
        <v>1950445.8184525149</v>
      </c>
      <c r="AC39" s="2">
        <v>1760991.9632254941</v>
      </c>
      <c r="AD39" s="2">
        <v>1894170.4538395135</v>
      </c>
      <c r="AE39" s="2">
        <v>1835186.8462089805</v>
      </c>
      <c r="AF39" s="2">
        <v>1909987.5987771377</v>
      </c>
      <c r="AG39" s="2">
        <v>1781119.4795899442</v>
      </c>
      <c r="AH39" s="2">
        <v>1747463.750124122</v>
      </c>
      <c r="AI39" s="2">
        <v>1853054.4546926315</v>
      </c>
    </row>
    <row r="40" spans="1:35" x14ac:dyDescent="0.2">
      <c r="A40" s="1" t="s">
        <v>102</v>
      </c>
      <c r="B40" s="1" t="s">
        <v>109</v>
      </c>
      <c r="C40" s="1" t="s">
        <v>110</v>
      </c>
      <c r="D40" s="2">
        <v>28311.814965344194</v>
      </c>
      <c r="E40" s="2">
        <v>81491.757515244317</v>
      </c>
      <c r="F40" s="2">
        <v>132645.13220142751</v>
      </c>
      <c r="G40" s="2">
        <v>174798.04774223681</v>
      </c>
      <c r="H40" s="2">
        <v>401914.57361095952</v>
      </c>
      <c r="I40" s="2">
        <v>581029.76587325707</v>
      </c>
      <c r="J40" s="2">
        <v>939883.17264444614</v>
      </c>
      <c r="K40" s="2">
        <v>1326192.8921905183</v>
      </c>
      <c r="L40" s="2">
        <v>1136168.3732789934</v>
      </c>
      <c r="M40" s="2">
        <v>998020.86316326295</v>
      </c>
      <c r="N40" s="2">
        <v>1094489.0082493774</v>
      </c>
      <c r="O40" s="2">
        <v>1088765.2276032278</v>
      </c>
      <c r="P40" s="2">
        <v>1272465.8018640007</v>
      </c>
      <c r="Q40" s="2">
        <v>1302480.2703235545</v>
      </c>
      <c r="R40" s="2">
        <v>1431183.5933442204</v>
      </c>
      <c r="S40" s="2">
        <v>1521926.0950549378</v>
      </c>
      <c r="T40" s="2">
        <v>1600917.3407638096</v>
      </c>
      <c r="U40" s="2">
        <v>1681404.5651432197</v>
      </c>
      <c r="V40" s="2">
        <v>1923782.8911407655</v>
      </c>
      <c r="W40" s="2">
        <v>2174719.6013585404</v>
      </c>
      <c r="X40" s="2">
        <v>2068457.7009999999</v>
      </c>
      <c r="Y40" s="2">
        <v>2172695.5011063162</v>
      </c>
      <c r="Z40" s="2">
        <v>2285334.1631360659</v>
      </c>
      <c r="AA40" s="2">
        <v>2393985.4728741562</v>
      </c>
      <c r="AB40" s="2">
        <v>2648432.7721705227</v>
      </c>
      <c r="AC40" s="2">
        <v>2373300.9797671549</v>
      </c>
      <c r="AD40" s="2">
        <v>2670904.6180693926</v>
      </c>
      <c r="AE40" s="2">
        <v>2613909.097288908</v>
      </c>
      <c r="AF40" s="2">
        <v>2705987.2980831414</v>
      </c>
      <c r="AG40" s="2">
        <v>2511243.1119517335</v>
      </c>
      <c r="AH40" s="2">
        <v>2452050.7115300619</v>
      </c>
      <c r="AI40" s="2">
        <v>2513480.3642726261</v>
      </c>
    </row>
    <row r="41" spans="1:35" x14ac:dyDescent="0.2">
      <c r="A41" s="1" t="s">
        <v>102</v>
      </c>
      <c r="B41" s="1" t="s">
        <v>111</v>
      </c>
      <c r="C41" s="1" t="s">
        <v>112</v>
      </c>
      <c r="D41" s="2">
        <v>9027.6276030441004</v>
      </c>
      <c r="E41" s="2">
        <v>12058.721574494699</v>
      </c>
      <c r="F41" s="2">
        <v>27044.746412544395</v>
      </c>
      <c r="G41" s="2">
        <v>99529.468662721411</v>
      </c>
      <c r="H41" s="2">
        <v>72333.079744687391</v>
      </c>
      <c r="I41" s="2">
        <v>86730.22036555149</v>
      </c>
      <c r="J41" s="2">
        <v>181591.4340631988</v>
      </c>
      <c r="K41" s="2">
        <v>225172.11717144767</v>
      </c>
      <c r="L41" s="2">
        <v>315485.66400995362</v>
      </c>
      <c r="M41" s="2">
        <v>764331.13784194097</v>
      </c>
      <c r="N41" s="2">
        <v>829518.4372244929</v>
      </c>
      <c r="O41" s="2">
        <v>763302.50339760748</v>
      </c>
      <c r="P41" s="2">
        <v>758992.63188269257</v>
      </c>
      <c r="Q41" s="2">
        <v>845366.65439565736</v>
      </c>
      <c r="R41" s="2">
        <v>1051495.7737900629</v>
      </c>
      <c r="S41" s="2">
        <v>1164960.4169622827</v>
      </c>
      <c r="T41" s="2">
        <v>1012918.9030053504</v>
      </c>
      <c r="U41" s="2">
        <v>1031971.7416220069</v>
      </c>
      <c r="V41" s="2">
        <v>1261948.0721722464</v>
      </c>
      <c r="W41" s="2">
        <v>1359429.0163349325</v>
      </c>
      <c r="X41" s="2">
        <v>1276849.804</v>
      </c>
      <c r="Y41" s="2">
        <v>1232681.3852073022</v>
      </c>
      <c r="Z41" s="2">
        <v>1425684.5220414461</v>
      </c>
      <c r="AA41" s="2">
        <v>1579163.0425366161</v>
      </c>
      <c r="AB41" s="2">
        <v>1737948.671832039</v>
      </c>
      <c r="AC41" s="2">
        <v>1507624.4116746271</v>
      </c>
      <c r="AD41" s="2">
        <v>1479876.220792033</v>
      </c>
      <c r="AE41" s="2">
        <v>1610042.5460056632</v>
      </c>
      <c r="AF41" s="2">
        <v>1745458.6632243309</v>
      </c>
      <c r="AG41" s="2">
        <v>1651441.2113145231</v>
      </c>
      <c r="AH41" s="2">
        <v>1775692.1686109882</v>
      </c>
      <c r="AI41" s="2">
        <v>2254896.3961723042</v>
      </c>
    </row>
    <row r="42" spans="1:35" x14ac:dyDescent="0.2">
      <c r="A42" s="1" t="s">
        <v>113</v>
      </c>
      <c r="B42" s="1" t="s">
        <v>114</v>
      </c>
      <c r="C42" s="1" t="s">
        <v>115</v>
      </c>
      <c r="D42" s="2">
        <v>7737.0700418969991</v>
      </c>
      <c r="E42" s="2">
        <v>23884.693318893598</v>
      </c>
      <c r="F42" s="2">
        <v>11555.2970633124</v>
      </c>
      <c r="G42" s="2">
        <v>105328.8911147117</v>
      </c>
      <c r="H42" s="2">
        <v>436243.4353506387</v>
      </c>
      <c r="I42" s="2">
        <v>509489.43005509936</v>
      </c>
      <c r="J42" s="2">
        <v>733125.16564788821</v>
      </c>
      <c r="K42" s="2">
        <v>815662.98561971844</v>
      </c>
      <c r="L42" s="2">
        <v>936249.40830294392</v>
      </c>
      <c r="M42" s="2">
        <v>1046356.568509809</v>
      </c>
      <c r="N42" s="2">
        <v>1056180.0644253222</v>
      </c>
      <c r="O42" s="2">
        <v>1157390.8444765729</v>
      </c>
      <c r="P42" s="2">
        <v>1242585.3519934986</v>
      </c>
      <c r="Q42" s="2">
        <v>1363170.3639128078</v>
      </c>
      <c r="R42" s="2">
        <v>1475072.8103812838</v>
      </c>
      <c r="S42" s="2">
        <v>1490798.0943967924</v>
      </c>
      <c r="T42" s="2">
        <v>1474354.6940625685</v>
      </c>
      <c r="U42" s="2">
        <v>1555427.0943357155</v>
      </c>
      <c r="V42" s="2">
        <v>1669382.9617693136</v>
      </c>
      <c r="W42" s="2">
        <v>1708806.3892308909</v>
      </c>
      <c r="X42" s="2">
        <v>1874296.2159999998</v>
      </c>
      <c r="Y42" s="2">
        <v>2099692.5203804821</v>
      </c>
      <c r="Z42" s="2">
        <v>2335889.0960066826</v>
      </c>
      <c r="AA42" s="2">
        <v>2504450.4959606086</v>
      </c>
      <c r="AB42" s="2">
        <v>2433061.5241965498</v>
      </c>
      <c r="AC42" s="2">
        <v>2450248.2225899724</v>
      </c>
      <c r="AD42" s="2">
        <v>2480452.8799002436</v>
      </c>
      <c r="AE42" s="2">
        <v>2425636.5422804933</v>
      </c>
      <c r="AF42" s="2">
        <v>2851646.3184523676</v>
      </c>
      <c r="AG42" s="2">
        <v>2700074.960778269</v>
      </c>
      <c r="AH42" s="2">
        <v>2679447.4775918121</v>
      </c>
      <c r="AI42" s="2">
        <v>2736404.1206907742</v>
      </c>
    </row>
    <row r="43" spans="1:35" x14ac:dyDescent="0.2">
      <c r="A43" s="1" t="s">
        <v>113</v>
      </c>
      <c r="B43" s="1" t="s">
        <v>116</v>
      </c>
      <c r="C43" s="1" t="s">
        <v>117</v>
      </c>
      <c r="D43" s="2">
        <v>39121.101233387497</v>
      </c>
      <c r="E43" s="2">
        <v>174204.93230482892</v>
      </c>
      <c r="F43" s="2">
        <v>159484.83357476979</v>
      </c>
      <c r="G43" s="2">
        <v>512947.02457594243</v>
      </c>
      <c r="H43" s="2">
        <v>914421.87292502227</v>
      </c>
      <c r="I43" s="2">
        <v>1583311.5336287117</v>
      </c>
      <c r="J43" s="2">
        <v>2213080.9344569664</v>
      </c>
      <c r="K43" s="2">
        <v>2555175.160211599</v>
      </c>
      <c r="L43" s="2">
        <v>3358371.98338245</v>
      </c>
      <c r="M43" s="2">
        <v>2956018.6345738741</v>
      </c>
      <c r="N43" s="2">
        <v>2966080.6984698153</v>
      </c>
      <c r="O43" s="2">
        <v>3212265.0033607399</v>
      </c>
      <c r="P43" s="2">
        <v>3113483.0033582221</v>
      </c>
      <c r="Q43" s="2">
        <v>3206634.3001264497</v>
      </c>
      <c r="R43" s="2">
        <v>3405151.2480624258</v>
      </c>
      <c r="S43" s="2">
        <v>3674757.7080419064</v>
      </c>
      <c r="T43" s="2">
        <v>4089836.381841647</v>
      </c>
      <c r="U43" s="2">
        <v>4235310.8667308167</v>
      </c>
      <c r="V43" s="2">
        <v>4380694.3388319863</v>
      </c>
      <c r="W43" s="2">
        <v>4586234.5029213345</v>
      </c>
      <c r="X43" s="2">
        <v>4834563.6419999981</v>
      </c>
      <c r="Y43" s="2">
        <v>5092609.2723365091</v>
      </c>
      <c r="Z43" s="2">
        <v>5555702.6381687578</v>
      </c>
      <c r="AA43" s="2">
        <v>5945518.0906129479</v>
      </c>
      <c r="AB43" s="2">
        <v>6172549.8347802963</v>
      </c>
      <c r="AC43" s="2">
        <v>6133700.1363711543</v>
      </c>
      <c r="AD43" s="2">
        <v>6091156.7054276811</v>
      </c>
      <c r="AE43" s="2">
        <v>6108148.2448167186</v>
      </c>
      <c r="AF43" s="2">
        <v>6246599.5589697463</v>
      </c>
      <c r="AG43" s="2">
        <v>6357542.3071134184</v>
      </c>
      <c r="AH43" s="2">
        <v>6069332.1418072665</v>
      </c>
      <c r="AI43" s="2">
        <v>5891339.8143765498</v>
      </c>
    </row>
    <row r="44" spans="1:35" x14ac:dyDescent="0.2">
      <c r="A44" s="1" t="s">
        <v>113</v>
      </c>
      <c r="B44" s="1" t="s">
        <v>118</v>
      </c>
      <c r="C44" s="1" t="s">
        <v>119</v>
      </c>
      <c r="D44" s="2">
        <v>45673.438886776406</v>
      </c>
      <c r="E44" s="2">
        <v>127225.97050985892</v>
      </c>
      <c r="F44" s="2">
        <v>105939.25326446182</v>
      </c>
      <c r="G44" s="2">
        <v>254191.88448582849</v>
      </c>
      <c r="H44" s="2">
        <v>467607.02903289732</v>
      </c>
      <c r="I44" s="2">
        <v>582855.12514655117</v>
      </c>
      <c r="J44" s="2">
        <v>1157419.5400967724</v>
      </c>
      <c r="K44" s="2">
        <v>1128814.9686524137</v>
      </c>
      <c r="L44" s="2">
        <v>1076947.969288073</v>
      </c>
      <c r="M44" s="2">
        <v>820312.34785168653</v>
      </c>
      <c r="N44" s="2">
        <v>881453.35541048064</v>
      </c>
      <c r="O44" s="2">
        <v>945723.57706503582</v>
      </c>
      <c r="P44" s="2">
        <v>957805.5175887713</v>
      </c>
      <c r="Q44" s="2">
        <v>997286.04651104065</v>
      </c>
      <c r="R44" s="2">
        <v>1029762.8826162491</v>
      </c>
      <c r="S44" s="2">
        <v>1087850.5913163561</v>
      </c>
      <c r="T44" s="2">
        <v>1162100.7585313602</v>
      </c>
      <c r="U44" s="2">
        <v>1162521.7968974619</v>
      </c>
      <c r="V44" s="2">
        <v>1193569.1878400585</v>
      </c>
      <c r="W44" s="2">
        <v>1229282.7021978528</v>
      </c>
      <c r="X44" s="2">
        <v>1345701.9659999998</v>
      </c>
      <c r="Y44" s="2">
        <v>1397709.7061430872</v>
      </c>
      <c r="Z44" s="2">
        <v>1530535.2408404609</v>
      </c>
      <c r="AA44" s="2">
        <v>1615759.7168291169</v>
      </c>
      <c r="AB44" s="2">
        <v>1708237.8801501363</v>
      </c>
      <c r="AC44" s="2">
        <v>1754669.0706153535</v>
      </c>
      <c r="AD44" s="2">
        <v>1670620.5489645221</v>
      </c>
      <c r="AE44" s="2">
        <v>1678068.8843217178</v>
      </c>
      <c r="AF44" s="2">
        <v>1750715.6296335114</v>
      </c>
      <c r="AG44" s="2">
        <v>1895956.5370306643</v>
      </c>
      <c r="AH44" s="2">
        <v>1813012.0249519572</v>
      </c>
      <c r="AI44" s="2">
        <v>1735791.2074999877</v>
      </c>
    </row>
    <row r="45" spans="1:35" x14ac:dyDescent="0.2">
      <c r="A45" s="1" t="s">
        <v>113</v>
      </c>
      <c r="B45" s="1" t="s">
        <v>120</v>
      </c>
      <c r="C45" s="1" t="s">
        <v>121</v>
      </c>
      <c r="D45" s="2">
        <v>15866.996042746499</v>
      </c>
      <c r="E45" s="2">
        <v>82118.4273198101</v>
      </c>
      <c r="F45" s="2">
        <v>78184.806211452698</v>
      </c>
      <c r="G45" s="2">
        <v>361449.08448538731</v>
      </c>
      <c r="H45" s="2">
        <v>395349.22006067418</v>
      </c>
      <c r="I45" s="2">
        <v>644923.93575569917</v>
      </c>
      <c r="J45" s="2">
        <v>720120.33156375587</v>
      </c>
      <c r="K45" s="2">
        <v>873723.04965669685</v>
      </c>
      <c r="L45" s="2">
        <v>1071790.3619697473</v>
      </c>
      <c r="M45" s="2">
        <v>792297.90279485495</v>
      </c>
      <c r="N45" s="2">
        <v>819319.27351223119</v>
      </c>
      <c r="O45" s="2">
        <v>890975.35317218828</v>
      </c>
      <c r="P45" s="2">
        <v>898400.30915120651</v>
      </c>
      <c r="Q45" s="2">
        <v>895629.6114499371</v>
      </c>
      <c r="R45" s="2">
        <v>931172.94294593134</v>
      </c>
      <c r="S45" s="2">
        <v>1005224.9997679145</v>
      </c>
      <c r="T45" s="2">
        <v>1073520.9802280238</v>
      </c>
      <c r="U45" s="2">
        <v>1099943.2074155796</v>
      </c>
      <c r="V45" s="2">
        <v>1164626.1659646204</v>
      </c>
      <c r="W45" s="2">
        <v>1244512.8819118734</v>
      </c>
      <c r="X45" s="2">
        <v>1248103.3830000001</v>
      </c>
      <c r="Y45" s="2">
        <v>1271172.0977857802</v>
      </c>
      <c r="Z45" s="2">
        <v>1390165.9702641356</v>
      </c>
      <c r="AA45" s="2">
        <v>1460894.9277724396</v>
      </c>
      <c r="AB45" s="2">
        <v>1501053.5337094285</v>
      </c>
      <c r="AC45" s="2">
        <v>1503545.0138046506</v>
      </c>
      <c r="AD45" s="2">
        <v>1404662.3133272745</v>
      </c>
      <c r="AE45" s="2">
        <v>1381935.3377063272</v>
      </c>
      <c r="AF45" s="2">
        <v>1450957.2795650498</v>
      </c>
      <c r="AG45" s="2">
        <v>1507776.8969992253</v>
      </c>
      <c r="AH45" s="2">
        <v>1438415.5500681822</v>
      </c>
      <c r="AI45" s="2">
        <v>1336316.8741652321</v>
      </c>
    </row>
    <row r="46" spans="1:35" x14ac:dyDescent="0.2">
      <c r="A46" s="1" t="s">
        <v>113</v>
      </c>
      <c r="B46" s="1" t="s">
        <v>122</v>
      </c>
      <c r="C46" s="1" t="s">
        <v>123</v>
      </c>
      <c r="D46" s="2">
        <v>73826.265943427497</v>
      </c>
      <c r="E46" s="2">
        <v>465334.14114268054</v>
      </c>
      <c r="F46" s="2">
        <v>1031645.3302919585</v>
      </c>
      <c r="G46" s="2">
        <v>2344535.4306278834</v>
      </c>
      <c r="H46" s="2">
        <v>3242068.8029032252</v>
      </c>
      <c r="I46" s="2">
        <v>5715016.4266707022</v>
      </c>
      <c r="J46" s="2">
        <v>6953258.6698978571</v>
      </c>
      <c r="K46" s="2">
        <v>9633008.808820039</v>
      </c>
      <c r="L46" s="2">
        <v>10564325.215176307</v>
      </c>
      <c r="M46" s="2">
        <v>12501730.399230683</v>
      </c>
      <c r="N46" s="2">
        <v>12798749.494945332</v>
      </c>
      <c r="O46" s="2">
        <v>13644704.163941517</v>
      </c>
      <c r="P46" s="2">
        <v>12776135.73798844</v>
      </c>
      <c r="Q46" s="2">
        <v>13262418.742275354</v>
      </c>
      <c r="R46" s="2">
        <v>14395516.444565719</v>
      </c>
      <c r="S46" s="2">
        <v>14479006.77078036</v>
      </c>
      <c r="T46" s="2">
        <v>15533521.041011509</v>
      </c>
      <c r="U46" s="2">
        <v>16811750.550770804</v>
      </c>
      <c r="V46" s="2">
        <v>17594085.290280391</v>
      </c>
      <c r="W46" s="2">
        <v>17933808.887571976</v>
      </c>
      <c r="X46" s="2">
        <v>19098213.679000001</v>
      </c>
      <c r="Y46" s="2">
        <v>19718405.613924671</v>
      </c>
      <c r="Z46" s="2">
        <v>21679304.650769386</v>
      </c>
      <c r="AA46" s="2">
        <v>23168446.659775518</v>
      </c>
      <c r="AB46" s="2">
        <v>23819176.548699193</v>
      </c>
      <c r="AC46" s="2">
        <v>23697225.868247382</v>
      </c>
      <c r="AD46" s="2">
        <v>23516780.343964435</v>
      </c>
      <c r="AE46" s="2">
        <v>24004521.906152733</v>
      </c>
      <c r="AF46" s="2">
        <v>24898586.342148017</v>
      </c>
      <c r="AG46" s="2">
        <v>24939633.891528249</v>
      </c>
      <c r="AH46" s="2">
        <v>23466323.022258073</v>
      </c>
      <c r="AI46" s="2">
        <v>23465658.412208367</v>
      </c>
    </row>
    <row r="47" spans="1:35" x14ac:dyDescent="0.2">
      <c r="A47" s="1" t="s">
        <v>113</v>
      </c>
      <c r="B47" s="1" t="s">
        <v>124</v>
      </c>
      <c r="C47" s="1" t="s">
        <v>125</v>
      </c>
      <c r="D47" s="2">
        <v>21147.721206490598</v>
      </c>
      <c r="E47" s="2">
        <v>117965.5407317085</v>
      </c>
      <c r="F47" s="2">
        <v>141945.41401973597</v>
      </c>
      <c r="G47" s="2">
        <v>384079.88923569821</v>
      </c>
      <c r="H47" s="2">
        <v>512912.28576560767</v>
      </c>
      <c r="I47" s="2">
        <v>764856.14606629882</v>
      </c>
      <c r="J47" s="2">
        <v>968011.50245376886</v>
      </c>
      <c r="K47" s="2">
        <v>1167890.8583372026</v>
      </c>
      <c r="L47" s="2">
        <v>1279022.1106671335</v>
      </c>
      <c r="M47" s="2">
        <v>1209796.8127240203</v>
      </c>
      <c r="N47" s="2">
        <v>1231480.1659994635</v>
      </c>
      <c r="O47" s="2">
        <v>1317447.0590523293</v>
      </c>
      <c r="P47" s="2">
        <v>1407729.8448097657</v>
      </c>
      <c r="Q47" s="2">
        <v>1437123.2918252011</v>
      </c>
      <c r="R47" s="2">
        <v>1536488.1448432743</v>
      </c>
      <c r="S47" s="2">
        <v>1588790.5037864544</v>
      </c>
      <c r="T47" s="2">
        <v>1856342.2770585767</v>
      </c>
      <c r="U47" s="2">
        <v>1858986.5550985641</v>
      </c>
      <c r="V47" s="2">
        <v>1825180.4879612501</v>
      </c>
      <c r="W47" s="2">
        <v>1839022.2103174739</v>
      </c>
      <c r="X47" s="2">
        <v>1961283.209</v>
      </c>
      <c r="Y47" s="2">
        <v>2009458.5947008072</v>
      </c>
      <c r="Z47" s="2">
        <v>2199512.6232051305</v>
      </c>
      <c r="AA47" s="2">
        <v>2352851.8397958637</v>
      </c>
      <c r="AB47" s="2">
        <v>2469837.0536915921</v>
      </c>
      <c r="AC47" s="2">
        <v>2477285.0913674738</v>
      </c>
      <c r="AD47" s="2">
        <v>2349514.8862841236</v>
      </c>
      <c r="AE47" s="2">
        <v>2492967.1295628487</v>
      </c>
      <c r="AF47" s="2">
        <v>2627664.5303067607</v>
      </c>
      <c r="AG47" s="2">
        <v>2607036.1775687509</v>
      </c>
      <c r="AH47" s="2">
        <v>2664032.4560480318</v>
      </c>
      <c r="AI47" s="2">
        <v>2533616.8295811126</v>
      </c>
    </row>
    <row r="48" spans="1:35" x14ac:dyDescent="0.2">
      <c r="A48" s="1" t="s">
        <v>113</v>
      </c>
      <c r="B48" s="1" t="s">
        <v>126</v>
      </c>
      <c r="C48" s="1" t="s">
        <v>127</v>
      </c>
      <c r="D48" s="2">
        <v>192342.69665651108</v>
      </c>
      <c r="E48" s="2">
        <v>1421236.3978675769</v>
      </c>
      <c r="F48" s="2">
        <v>2443427.3328153039</v>
      </c>
      <c r="G48" s="2">
        <v>5706511.3146207314</v>
      </c>
      <c r="H48" s="2">
        <v>14330248.686850317</v>
      </c>
      <c r="I48" s="2">
        <v>27082050.122100201</v>
      </c>
      <c r="J48" s="2">
        <v>35768315.853878863</v>
      </c>
      <c r="K48" s="2">
        <v>37699131.42184002</v>
      </c>
      <c r="L48" s="2">
        <v>58484382.330997854</v>
      </c>
      <c r="M48" s="2">
        <v>37995845.69106213</v>
      </c>
      <c r="N48" s="2">
        <v>38713795.090136804</v>
      </c>
      <c r="O48" s="2">
        <v>42309438.688171767</v>
      </c>
      <c r="P48" s="2">
        <v>43904148.721888915</v>
      </c>
      <c r="Q48" s="2">
        <v>43674841.620105103</v>
      </c>
      <c r="R48" s="2">
        <v>47031146.665917218</v>
      </c>
      <c r="S48" s="2">
        <v>46991220.78798867</v>
      </c>
      <c r="T48" s="2">
        <v>53825854.037870206</v>
      </c>
      <c r="U48" s="2">
        <v>57922369.502483226</v>
      </c>
      <c r="V48" s="2">
        <v>60124625.242358439</v>
      </c>
      <c r="W48" s="2">
        <v>60540737.162499487</v>
      </c>
      <c r="X48" s="2">
        <v>66645059.661000021</v>
      </c>
      <c r="Y48" s="2">
        <v>68623781.592210233</v>
      </c>
      <c r="Z48" s="2">
        <v>73709275.62386848</v>
      </c>
      <c r="AA48" s="2">
        <v>77257093.210658982</v>
      </c>
      <c r="AB48" s="2">
        <v>75813387.787812844</v>
      </c>
      <c r="AC48" s="2">
        <v>70568260.363661975</v>
      </c>
      <c r="AD48" s="2">
        <v>66162750.361741133</v>
      </c>
      <c r="AE48" s="2">
        <v>66997753.32765048</v>
      </c>
      <c r="AF48" s="2">
        <v>67373245.778209895</v>
      </c>
      <c r="AG48" s="2">
        <v>69198473.213507503</v>
      </c>
      <c r="AH48" s="2">
        <v>64629211.095315784</v>
      </c>
      <c r="AI48" s="2">
        <v>67830520.725929931</v>
      </c>
    </row>
    <row r="49" spans="1:35" x14ac:dyDescent="0.2">
      <c r="A49" s="1" t="s">
        <v>113</v>
      </c>
      <c r="B49" s="1" t="s">
        <v>128</v>
      </c>
      <c r="C49" s="1" t="s">
        <v>129</v>
      </c>
      <c r="D49" s="2">
        <v>41308.491106471702</v>
      </c>
      <c r="E49" s="2">
        <v>184109.39136605698</v>
      </c>
      <c r="F49" s="2">
        <v>423467.22504372027</v>
      </c>
      <c r="G49" s="2">
        <v>982703.30237258796</v>
      </c>
      <c r="H49" s="2">
        <v>1900998.5844765273</v>
      </c>
      <c r="I49" s="2">
        <v>3239988.0880438173</v>
      </c>
      <c r="J49" s="2">
        <v>6714430.6052924702</v>
      </c>
      <c r="K49" s="2">
        <v>5428551.671796225</v>
      </c>
      <c r="L49" s="2">
        <v>5862194.8920997614</v>
      </c>
      <c r="M49" s="2">
        <v>5107785.9643007331</v>
      </c>
      <c r="N49" s="2">
        <v>5277421.5901034623</v>
      </c>
      <c r="O49" s="2">
        <v>5731473.8528510332</v>
      </c>
      <c r="P49" s="2">
        <v>5975784.3657952044</v>
      </c>
      <c r="Q49" s="2">
        <v>6010376.4190041274</v>
      </c>
      <c r="R49" s="2">
        <v>6640171.1940955864</v>
      </c>
      <c r="S49" s="2">
        <v>6628273.7380181123</v>
      </c>
      <c r="T49" s="2">
        <v>7342030.3425302207</v>
      </c>
      <c r="U49" s="2">
        <v>7657869.5087029841</v>
      </c>
      <c r="V49" s="2">
        <v>7533762.7981269183</v>
      </c>
      <c r="W49" s="2">
        <v>7401823.6225551628</v>
      </c>
      <c r="X49" s="2">
        <v>7875214.0729999999</v>
      </c>
      <c r="Y49" s="2">
        <v>7965671.556706992</v>
      </c>
      <c r="Z49" s="2">
        <v>8459971.0104049165</v>
      </c>
      <c r="AA49" s="2">
        <v>8855739.4288370665</v>
      </c>
      <c r="AB49" s="2">
        <v>8805171.0077561233</v>
      </c>
      <c r="AC49" s="2">
        <v>8758845.6805150323</v>
      </c>
      <c r="AD49" s="2">
        <v>8385069.967702792</v>
      </c>
      <c r="AE49" s="2">
        <v>8681630.9638810307</v>
      </c>
      <c r="AF49" s="2">
        <v>8855388.9036576319</v>
      </c>
      <c r="AG49" s="2">
        <v>9219482.7703564204</v>
      </c>
      <c r="AH49" s="2">
        <v>8643714.6194244586</v>
      </c>
      <c r="AI49" s="2">
        <v>8598427.4953721985</v>
      </c>
    </row>
    <row r="50" spans="1:35" x14ac:dyDescent="0.2">
      <c r="A50" s="1" t="s">
        <v>113</v>
      </c>
      <c r="B50" s="1" t="s">
        <v>130</v>
      </c>
      <c r="C50" s="1" t="s">
        <v>131</v>
      </c>
      <c r="D50" s="2">
        <v>46917.440602731302</v>
      </c>
      <c r="E50" s="2">
        <v>195813.95522589042</v>
      </c>
      <c r="F50" s="2">
        <v>294975.21957982791</v>
      </c>
      <c r="G50" s="2">
        <v>602570.46828671894</v>
      </c>
      <c r="H50" s="2">
        <v>1033766.8076388137</v>
      </c>
      <c r="I50" s="2">
        <v>1760163.3123887358</v>
      </c>
      <c r="J50" s="2">
        <v>2365139.4017417571</v>
      </c>
      <c r="K50" s="2">
        <v>3416864.4518867391</v>
      </c>
      <c r="L50" s="2">
        <v>3439680.5952298115</v>
      </c>
      <c r="M50" s="2">
        <v>3315436.0259157214</v>
      </c>
      <c r="N50" s="2">
        <v>3436838.2471056045</v>
      </c>
      <c r="O50" s="2">
        <v>3636310.8249726826</v>
      </c>
      <c r="P50" s="2">
        <v>3684438.6414671098</v>
      </c>
      <c r="Q50" s="2">
        <v>3762768.2139325207</v>
      </c>
      <c r="R50" s="2">
        <v>4164009.9668001789</v>
      </c>
      <c r="S50" s="2">
        <v>4335945.412694226</v>
      </c>
      <c r="T50" s="2">
        <v>4794569.4028838752</v>
      </c>
      <c r="U50" s="2">
        <v>4843613.6955786478</v>
      </c>
      <c r="V50" s="2">
        <v>4882683.4654338909</v>
      </c>
      <c r="W50" s="2">
        <v>4954311.5535675595</v>
      </c>
      <c r="X50" s="2">
        <v>5407910.2289999975</v>
      </c>
      <c r="Y50" s="2">
        <v>5864468.1738176197</v>
      </c>
      <c r="Z50" s="2">
        <v>6235768.6379651753</v>
      </c>
      <c r="AA50" s="2">
        <v>6452397.5742073897</v>
      </c>
      <c r="AB50" s="2">
        <v>6588940.2209700858</v>
      </c>
      <c r="AC50" s="2">
        <v>6514816.3455307614</v>
      </c>
      <c r="AD50" s="2">
        <v>6353418.3582306374</v>
      </c>
      <c r="AE50" s="2">
        <v>6689976.6248690626</v>
      </c>
      <c r="AF50" s="2">
        <v>6732238.5491966857</v>
      </c>
      <c r="AG50" s="2">
        <v>6961997.7310819421</v>
      </c>
      <c r="AH50" s="2">
        <v>6706446.7871492403</v>
      </c>
      <c r="AI50" s="2">
        <v>6586416.825032684</v>
      </c>
    </row>
    <row r="51" spans="1:35" x14ac:dyDescent="0.2">
      <c r="A51" s="1" t="s">
        <v>113</v>
      </c>
      <c r="B51" s="1" t="s">
        <v>132</v>
      </c>
      <c r="C51" s="1" t="s">
        <v>133</v>
      </c>
      <c r="D51" s="2">
        <v>185458.79302648443</v>
      </c>
      <c r="E51" s="2">
        <v>774727.44560158835</v>
      </c>
      <c r="F51" s="2">
        <v>1724115.524149379</v>
      </c>
      <c r="G51" s="2">
        <v>2608243.1669079419</v>
      </c>
      <c r="H51" s="2">
        <v>3107857.3470111843</v>
      </c>
      <c r="I51" s="2">
        <v>4970093.1534676608</v>
      </c>
      <c r="J51" s="2">
        <v>6171347.9144898979</v>
      </c>
      <c r="K51" s="2">
        <v>8320358.9378531957</v>
      </c>
      <c r="L51" s="2">
        <v>10076991.730467562</v>
      </c>
      <c r="M51" s="2">
        <v>11355152.636291118</v>
      </c>
      <c r="N51" s="2">
        <v>11232636.076868152</v>
      </c>
      <c r="O51" s="2">
        <v>11709217.719566859</v>
      </c>
      <c r="P51" s="2">
        <v>11001860.872819642</v>
      </c>
      <c r="Q51" s="2">
        <v>10908223.209487643</v>
      </c>
      <c r="R51" s="2">
        <v>11820044.544969363</v>
      </c>
      <c r="S51" s="2">
        <v>12002793.86535701</v>
      </c>
      <c r="T51" s="2">
        <v>13157009.972020101</v>
      </c>
      <c r="U51" s="2">
        <v>13650696.817184603</v>
      </c>
      <c r="V51" s="2">
        <v>13996476.09383091</v>
      </c>
      <c r="W51" s="2">
        <v>14340007.490404826</v>
      </c>
      <c r="X51" s="2">
        <v>16074701.013000002</v>
      </c>
      <c r="Y51" s="2">
        <v>17337015.07037973</v>
      </c>
      <c r="Z51" s="2">
        <v>18454995.058572888</v>
      </c>
      <c r="AA51" s="2">
        <v>19292208.351302937</v>
      </c>
      <c r="AB51" s="2">
        <v>20309409.109127223</v>
      </c>
      <c r="AC51" s="2">
        <v>20415008.00542229</v>
      </c>
      <c r="AD51" s="2">
        <v>19406597.322021659</v>
      </c>
      <c r="AE51" s="2">
        <v>20567296.404457696</v>
      </c>
      <c r="AF51" s="2">
        <v>21389437.994394854</v>
      </c>
      <c r="AG51" s="2">
        <v>22157009.682070374</v>
      </c>
      <c r="AH51" s="2">
        <v>21191931.080468372</v>
      </c>
      <c r="AI51" s="2">
        <v>21183972.25266356</v>
      </c>
    </row>
    <row r="52" spans="1:35" x14ac:dyDescent="0.2">
      <c r="A52" s="1" t="s">
        <v>113</v>
      </c>
      <c r="B52" s="1" t="s">
        <v>134</v>
      </c>
      <c r="C52" s="1" t="s">
        <v>135</v>
      </c>
      <c r="D52" s="2">
        <v>50246.722268224796</v>
      </c>
      <c r="E52" s="2">
        <v>207461.00676666567</v>
      </c>
      <c r="F52" s="2">
        <v>246884.89863545963</v>
      </c>
      <c r="G52" s="2">
        <v>504465.83772390452</v>
      </c>
      <c r="H52" s="2">
        <v>869255.46329076425</v>
      </c>
      <c r="I52" s="2">
        <v>1253170.6414335545</v>
      </c>
      <c r="J52" s="2">
        <v>1674675.137909496</v>
      </c>
      <c r="K52" s="2">
        <v>1567882.8130434905</v>
      </c>
      <c r="L52" s="2">
        <v>2252429.6015663603</v>
      </c>
      <c r="M52" s="2">
        <v>1801204.1336825236</v>
      </c>
      <c r="N52" s="2">
        <v>1877905.7807257934</v>
      </c>
      <c r="O52" s="2">
        <v>1997399.6832814871</v>
      </c>
      <c r="P52" s="2">
        <v>2142296.6909102644</v>
      </c>
      <c r="Q52" s="2">
        <v>2148358.9023740166</v>
      </c>
      <c r="R52" s="2">
        <v>2268577.8362101843</v>
      </c>
      <c r="S52" s="2">
        <v>2256945.3330785269</v>
      </c>
      <c r="T52" s="2">
        <v>2450712.6898782863</v>
      </c>
      <c r="U52" s="2">
        <v>2564510.7672948209</v>
      </c>
      <c r="V52" s="2">
        <v>2601236.1711144559</v>
      </c>
      <c r="W52" s="2">
        <v>2613032.7105139564</v>
      </c>
      <c r="X52" s="2">
        <v>2807783.6169999996</v>
      </c>
      <c r="Y52" s="2">
        <v>2897369.4208100257</v>
      </c>
      <c r="Z52" s="2">
        <v>3119500.809731618</v>
      </c>
      <c r="AA52" s="2">
        <v>3297086.1585824899</v>
      </c>
      <c r="AB52" s="2">
        <v>3255855.4956485028</v>
      </c>
      <c r="AC52" s="2">
        <v>3225166.1506359861</v>
      </c>
      <c r="AD52" s="2">
        <v>3134982.5511703603</v>
      </c>
      <c r="AE52" s="2">
        <v>3271390.7645438788</v>
      </c>
      <c r="AF52" s="2">
        <v>3343127.2934067179</v>
      </c>
      <c r="AG52" s="2">
        <v>3525152.2262975075</v>
      </c>
      <c r="AH52" s="2">
        <v>3264444.6691429149</v>
      </c>
      <c r="AI52" s="2">
        <v>3165000.9916531513</v>
      </c>
    </row>
    <row r="53" spans="1:35" x14ac:dyDescent="0.2">
      <c r="A53" s="1" t="s">
        <v>113</v>
      </c>
      <c r="B53" s="1" t="s">
        <v>136</v>
      </c>
      <c r="C53" s="1" t="s">
        <v>137</v>
      </c>
      <c r="D53" s="2">
        <v>209497.59014015825</v>
      </c>
      <c r="E53" s="2">
        <v>879102.72482105915</v>
      </c>
      <c r="F53" s="2">
        <v>1375210.7551405253</v>
      </c>
      <c r="G53" s="2">
        <v>2231004.3289862941</v>
      </c>
      <c r="H53" s="2">
        <v>3288482.5224192995</v>
      </c>
      <c r="I53" s="2">
        <v>4961838.662066306</v>
      </c>
      <c r="J53" s="2">
        <v>6430473.0062521184</v>
      </c>
      <c r="K53" s="2">
        <v>8273803.7929217927</v>
      </c>
      <c r="L53" s="2">
        <v>10052036.307679961</v>
      </c>
      <c r="M53" s="2">
        <v>8131705.8348637717</v>
      </c>
      <c r="N53" s="2">
        <v>8275632.5889532287</v>
      </c>
      <c r="O53" s="2">
        <v>8666547.6829387676</v>
      </c>
      <c r="P53" s="2">
        <v>8727497.5194086041</v>
      </c>
      <c r="Q53" s="2">
        <v>8840649.0170429759</v>
      </c>
      <c r="R53" s="2">
        <v>9488554.5788519401</v>
      </c>
      <c r="S53" s="2">
        <v>9630443.5766525101</v>
      </c>
      <c r="T53" s="2">
        <v>10552739.292229919</v>
      </c>
      <c r="U53" s="2">
        <v>10662062.09219835</v>
      </c>
      <c r="V53" s="2">
        <v>11114849.028540935</v>
      </c>
      <c r="W53" s="2">
        <v>11223527.888757315</v>
      </c>
      <c r="X53" s="2">
        <v>11597241.456</v>
      </c>
      <c r="Y53" s="2">
        <v>11949539.358720619</v>
      </c>
      <c r="Z53" s="2">
        <v>12686047.380960312</v>
      </c>
      <c r="AA53" s="2">
        <v>13435796.35524191</v>
      </c>
      <c r="AB53" s="2">
        <v>13675216.523684207</v>
      </c>
      <c r="AC53" s="2">
        <v>13531047.547411822</v>
      </c>
      <c r="AD53" s="2">
        <v>13020782.725336583</v>
      </c>
      <c r="AE53" s="2">
        <v>13465236.90613017</v>
      </c>
      <c r="AF53" s="2">
        <v>13321987.366450852</v>
      </c>
      <c r="AG53" s="2">
        <v>14078466.205190608</v>
      </c>
      <c r="AH53" s="2">
        <v>13161828.884638134</v>
      </c>
      <c r="AI53" s="2">
        <v>12430669.656787565</v>
      </c>
    </row>
    <row r="54" spans="1:35" x14ac:dyDescent="0.2">
      <c r="A54" s="1" t="s">
        <v>138</v>
      </c>
      <c r="B54" s="1" t="s">
        <v>139</v>
      </c>
      <c r="C54" s="1" t="s">
        <v>140</v>
      </c>
      <c r="D54" s="2">
        <v>23682.677094249098</v>
      </c>
      <c r="E54" s="2">
        <v>103503.21202335552</v>
      </c>
      <c r="F54" s="2">
        <v>140413.81131162299</v>
      </c>
      <c r="G54" s="2">
        <v>173027.51936439279</v>
      </c>
      <c r="H54" s="2">
        <v>846119.08849959727</v>
      </c>
      <c r="I54" s="2">
        <v>749416.21559293452</v>
      </c>
      <c r="J54" s="2">
        <v>717545.49946679501</v>
      </c>
      <c r="K54" s="2">
        <v>558215.51955559303</v>
      </c>
      <c r="L54" s="2">
        <v>1041082.6098702722</v>
      </c>
      <c r="M54" s="2">
        <v>705288.86516068061</v>
      </c>
      <c r="N54" s="2">
        <v>906619.41939106782</v>
      </c>
      <c r="O54" s="2">
        <v>1028873.2112723961</v>
      </c>
      <c r="P54" s="2">
        <v>728162.92083684658</v>
      </c>
      <c r="Q54" s="2">
        <v>785577.20608480263</v>
      </c>
      <c r="R54" s="2">
        <v>755915.42028791574</v>
      </c>
      <c r="S54" s="2">
        <v>852626.53800649126</v>
      </c>
      <c r="T54" s="2">
        <v>934623.77788043162</v>
      </c>
      <c r="U54" s="2">
        <v>1019084.5092034172</v>
      </c>
      <c r="V54" s="2">
        <v>1082880.5288878994</v>
      </c>
      <c r="W54" s="2">
        <v>1087199.0739225207</v>
      </c>
      <c r="X54" s="2">
        <v>1130965.4070000001</v>
      </c>
      <c r="Y54" s="2">
        <v>1163841.8070032531</v>
      </c>
      <c r="Z54" s="2">
        <v>1174611.5912442794</v>
      </c>
      <c r="AA54" s="2">
        <v>1251013.1398769256</v>
      </c>
      <c r="AB54" s="2">
        <v>1435221.7134898559</v>
      </c>
      <c r="AC54" s="2">
        <v>1267994.972919476</v>
      </c>
      <c r="AD54" s="2">
        <v>1179924.8661453861</v>
      </c>
      <c r="AE54" s="2">
        <v>1242146.9002468339</v>
      </c>
      <c r="AF54" s="2">
        <v>1269672.4589876404</v>
      </c>
      <c r="AG54" s="2">
        <v>1129114.7579267076</v>
      </c>
      <c r="AH54" s="2">
        <v>1065041.2582625416</v>
      </c>
      <c r="AI54" s="2">
        <v>1132269.5245039724</v>
      </c>
    </row>
    <row r="55" spans="1:35" x14ac:dyDescent="0.2">
      <c r="A55" s="1" t="s">
        <v>138</v>
      </c>
      <c r="B55" s="1" t="s">
        <v>141</v>
      </c>
      <c r="C55" s="1" t="s">
        <v>142</v>
      </c>
      <c r="D55" s="2">
        <v>9077.6901704520005</v>
      </c>
      <c r="E55" s="2">
        <v>101100.9350326979</v>
      </c>
      <c r="F55" s="2">
        <v>231095.88849901711</v>
      </c>
      <c r="G55" s="2">
        <v>632637.39001260779</v>
      </c>
      <c r="H55" s="2">
        <v>965057.08059169201</v>
      </c>
      <c r="I55" s="2">
        <v>1916751.1716630021</v>
      </c>
      <c r="J55" s="2">
        <v>3835147.3567079348</v>
      </c>
      <c r="K55" s="2">
        <v>5384002.099761893</v>
      </c>
      <c r="L55" s="2">
        <v>7438036.4077842273</v>
      </c>
      <c r="M55" s="2">
        <v>4806698.0280865757</v>
      </c>
      <c r="N55" s="2">
        <v>5026160.5191282807</v>
      </c>
      <c r="O55" s="2">
        <v>5067000.581291087</v>
      </c>
      <c r="P55" s="2">
        <v>5700579.7478902265</v>
      </c>
      <c r="Q55" s="2">
        <v>6123646.7624402624</v>
      </c>
      <c r="R55" s="2">
        <v>6111510.5620458936</v>
      </c>
      <c r="S55" s="2">
        <v>6494511.3663620101</v>
      </c>
      <c r="T55" s="2">
        <v>6720693.0911963293</v>
      </c>
      <c r="U55" s="2">
        <v>7282526.3208321361</v>
      </c>
      <c r="V55" s="2">
        <v>7463710.4862318477</v>
      </c>
      <c r="W55" s="2">
        <v>8131200.8510244749</v>
      </c>
      <c r="X55" s="2">
        <v>8550796.4849999994</v>
      </c>
      <c r="Y55" s="2">
        <v>8974736.2312108688</v>
      </c>
      <c r="Z55" s="2">
        <v>9271908.8178583682</v>
      </c>
      <c r="AA55" s="2">
        <v>9589838.2392696645</v>
      </c>
      <c r="AB55" s="2">
        <v>10422861.302684844</v>
      </c>
      <c r="AC55" s="2">
        <v>9892868.2166309189</v>
      </c>
      <c r="AD55" s="2">
        <v>9585199.3618120421</v>
      </c>
      <c r="AE55" s="2">
        <v>10049506.8682098</v>
      </c>
      <c r="AF55" s="2">
        <v>10530124.766807299</v>
      </c>
      <c r="AG55" s="2">
        <v>10016984.623391924</v>
      </c>
      <c r="AH55" s="2">
        <v>9299984.1876378171</v>
      </c>
      <c r="AI55" s="2">
        <v>9767736.5234905239</v>
      </c>
    </row>
    <row r="56" spans="1:35" x14ac:dyDescent="0.2">
      <c r="A56" s="1" t="s">
        <v>138</v>
      </c>
      <c r="B56" s="1" t="s">
        <v>143</v>
      </c>
      <c r="C56" s="1" t="s">
        <v>144</v>
      </c>
      <c r="D56" s="2">
        <v>7132.1190974202</v>
      </c>
      <c r="E56" s="2">
        <v>22426.061607490301</v>
      </c>
      <c r="F56" s="2">
        <v>33141.854321100203</v>
      </c>
      <c r="G56" s="2">
        <v>84266.21511309479</v>
      </c>
      <c r="H56" s="2">
        <v>333841.34693180321</v>
      </c>
      <c r="I56" s="2">
        <v>734440.70210531435</v>
      </c>
      <c r="J56" s="2">
        <v>745697.07889901032</v>
      </c>
      <c r="K56" s="2">
        <v>628225.58589211211</v>
      </c>
      <c r="L56" s="2">
        <v>1283386.9809782535</v>
      </c>
      <c r="M56" s="2">
        <v>1309379.0937612862</v>
      </c>
      <c r="N56" s="2">
        <v>1369344.9572946236</v>
      </c>
      <c r="O56" s="2">
        <v>1479447.3184586621</v>
      </c>
      <c r="P56" s="2">
        <v>1535050.4142053584</v>
      </c>
      <c r="Q56" s="2">
        <v>1710912.2082162753</v>
      </c>
      <c r="R56" s="2">
        <v>1805367.1590829634</v>
      </c>
      <c r="S56" s="2">
        <v>1928476.9203141788</v>
      </c>
      <c r="T56" s="2">
        <v>1979913.3613225266</v>
      </c>
      <c r="U56" s="2">
        <v>2083209.572622329</v>
      </c>
      <c r="V56" s="2">
        <v>2148265.6494383011</v>
      </c>
      <c r="W56" s="2">
        <v>2269544.2341425079</v>
      </c>
      <c r="X56" s="2">
        <v>2474349.4870000002</v>
      </c>
      <c r="Y56" s="2">
        <v>2800407.3233080301</v>
      </c>
      <c r="Z56" s="2">
        <v>3028075.6961746952</v>
      </c>
      <c r="AA56" s="2">
        <v>3291834.983854088</v>
      </c>
      <c r="AB56" s="2">
        <v>3712040.51555548</v>
      </c>
      <c r="AC56" s="2">
        <v>3366225.6444540685</v>
      </c>
      <c r="AD56" s="2">
        <v>3347601.4304459961</v>
      </c>
      <c r="AE56" s="2">
        <v>3533393.9596591541</v>
      </c>
      <c r="AF56" s="2">
        <v>3795241.0446942402</v>
      </c>
      <c r="AG56" s="2">
        <v>3529585.3736241451</v>
      </c>
      <c r="AH56" s="2">
        <v>3445129.8723690659</v>
      </c>
      <c r="AI56" s="2">
        <v>3573170.2454779828</v>
      </c>
    </row>
    <row r="57" spans="1:35" x14ac:dyDescent="0.2">
      <c r="A57" s="1" t="s">
        <v>138</v>
      </c>
      <c r="B57" s="1" t="s">
        <v>145</v>
      </c>
      <c r="C57" s="1" t="s">
        <v>146</v>
      </c>
      <c r="D57" s="2">
        <v>8334.1797750769001</v>
      </c>
      <c r="E57" s="2">
        <v>51740.14772688751</v>
      </c>
      <c r="F57" s="2">
        <v>55278.540852006998</v>
      </c>
      <c r="G57" s="2">
        <v>342788.0429890923</v>
      </c>
      <c r="H57" s="2">
        <v>648717.56475281145</v>
      </c>
      <c r="I57" s="2">
        <v>1377938.4532856694</v>
      </c>
      <c r="J57" s="2">
        <v>2422537.9295179052</v>
      </c>
      <c r="K57" s="2">
        <v>3952496.204198549</v>
      </c>
      <c r="L57" s="2">
        <v>2901006.7152883722</v>
      </c>
      <c r="M57" s="2">
        <v>2737810.6389946216</v>
      </c>
      <c r="N57" s="2">
        <v>2758336.5108238235</v>
      </c>
      <c r="O57" s="2">
        <v>2885008.4180453597</v>
      </c>
      <c r="P57" s="2">
        <v>3164121.0920611951</v>
      </c>
      <c r="Q57" s="2">
        <v>3748680.6485519316</v>
      </c>
      <c r="R57" s="2">
        <v>3579507.9171312931</v>
      </c>
      <c r="S57" s="2">
        <v>3784788.4965464231</v>
      </c>
      <c r="T57" s="2">
        <v>3744363.6733551822</v>
      </c>
      <c r="U57" s="2">
        <v>4270616.3867041487</v>
      </c>
      <c r="V57" s="2">
        <v>4414875.8073365511</v>
      </c>
      <c r="W57" s="2">
        <v>4489484.5329487575</v>
      </c>
      <c r="X57" s="2">
        <v>4621189.5310000004</v>
      </c>
      <c r="Y57" s="2">
        <v>5202114.2064113263</v>
      </c>
      <c r="Z57" s="2">
        <v>5677582.2155467132</v>
      </c>
      <c r="AA57" s="2">
        <v>5770564.535415275</v>
      </c>
      <c r="AB57" s="2">
        <v>6764615.0138375666</v>
      </c>
      <c r="AC57" s="2">
        <v>6469391.5153160635</v>
      </c>
      <c r="AD57" s="2">
        <v>6646868.9689540546</v>
      </c>
      <c r="AE57" s="2">
        <v>6808503.3513198271</v>
      </c>
      <c r="AF57" s="2">
        <v>6932279.6777967773</v>
      </c>
      <c r="AG57" s="2">
        <v>7089040.271333375</v>
      </c>
      <c r="AH57" s="2">
        <v>7491937.9410819113</v>
      </c>
      <c r="AI57" s="2">
        <v>8007664.3957667314</v>
      </c>
    </row>
    <row r="58" spans="1:35" x14ac:dyDescent="0.2">
      <c r="A58" s="1" t="s">
        <v>147</v>
      </c>
      <c r="B58" s="1" t="s">
        <v>148</v>
      </c>
      <c r="C58" s="1" t="s">
        <v>149</v>
      </c>
      <c r="D58" s="2">
        <v>1839.8280959200999</v>
      </c>
      <c r="E58" s="2">
        <v>10059.5482122065</v>
      </c>
      <c r="F58" s="2">
        <v>7644.2325063917997</v>
      </c>
      <c r="G58" s="2">
        <v>178.19976761949999</v>
      </c>
      <c r="H58" s="2">
        <v>13951.887809940199</v>
      </c>
      <c r="I58" s="2">
        <v>123025.97597708889</v>
      </c>
      <c r="J58" s="2">
        <v>996384.51633668109</v>
      </c>
      <c r="K58" s="2">
        <v>1703147.2358194455</v>
      </c>
      <c r="L58" s="2">
        <v>1494574.4000659154</v>
      </c>
      <c r="M58" s="2">
        <v>2579271.9094631472</v>
      </c>
      <c r="N58" s="2">
        <v>3007493.6374475579</v>
      </c>
      <c r="O58" s="2">
        <v>3177912.5631088512</v>
      </c>
      <c r="P58" s="2">
        <v>3287143.7829741016</v>
      </c>
      <c r="Q58" s="2">
        <v>4215699.9288789025</v>
      </c>
      <c r="R58" s="2">
        <v>4534743.1064116154</v>
      </c>
      <c r="S58" s="2">
        <v>4532415.1066087484</v>
      </c>
      <c r="T58" s="2">
        <v>4282562.8773667682</v>
      </c>
      <c r="U58" s="2">
        <v>5384986.4730770579</v>
      </c>
      <c r="V58" s="2">
        <v>6825957.5492385225</v>
      </c>
      <c r="W58" s="2">
        <v>6690207.1821062732</v>
      </c>
      <c r="X58" s="2">
        <v>6265997.5249999994</v>
      </c>
      <c r="Y58" s="2">
        <v>7604815.1663189353</v>
      </c>
      <c r="Z58" s="2">
        <v>7973714.7063318761</v>
      </c>
      <c r="AA58" s="2">
        <v>8323745.6700647129</v>
      </c>
      <c r="AB58" s="2">
        <v>9856314.953238314</v>
      </c>
      <c r="AC58" s="2">
        <v>9874133.3856719173</v>
      </c>
      <c r="AD58" s="2">
        <v>10615696.14021052</v>
      </c>
      <c r="AE58" s="2">
        <v>10879714.083865263</v>
      </c>
      <c r="AF58" s="2">
        <v>11295117.909643074</v>
      </c>
      <c r="AG58" s="2">
        <v>10728468.809693661</v>
      </c>
      <c r="AH58" s="2">
        <v>11675823.129754607</v>
      </c>
      <c r="AI58" s="2">
        <v>12425999.940775609</v>
      </c>
    </row>
    <row r="59" spans="1:35" x14ac:dyDescent="0.2">
      <c r="A59" s="1" t="s">
        <v>147</v>
      </c>
      <c r="B59" s="1" t="s">
        <v>150</v>
      </c>
      <c r="C59" s="1" t="s">
        <v>151</v>
      </c>
      <c r="D59" s="2">
        <v>1266.2253697729</v>
      </c>
      <c r="E59" s="2">
        <v>979.70319295110005</v>
      </c>
      <c r="F59" s="2">
        <v>416.95813671230002</v>
      </c>
      <c r="G59" s="2">
        <v>2840.8012954681999</v>
      </c>
      <c r="H59" s="2">
        <v>48453.957992325297</v>
      </c>
      <c r="I59" s="2">
        <v>239619.15321207358</v>
      </c>
      <c r="J59" s="2">
        <v>383833.92388911662</v>
      </c>
      <c r="K59" s="2">
        <v>637033.56310822489</v>
      </c>
      <c r="L59" s="2">
        <v>686932.79318108852</v>
      </c>
      <c r="M59" s="2">
        <v>546721.52756685577</v>
      </c>
      <c r="N59" s="2">
        <v>612751.21784810827</v>
      </c>
      <c r="O59" s="2">
        <v>674377.05359382462</v>
      </c>
      <c r="P59" s="2">
        <v>700032.53008352488</v>
      </c>
      <c r="Q59" s="2">
        <v>864230.55486715981</v>
      </c>
      <c r="R59" s="2">
        <v>918843.34430368571</v>
      </c>
      <c r="S59" s="2">
        <v>943407.83672184742</v>
      </c>
      <c r="T59" s="2">
        <v>948866.6555289909</v>
      </c>
      <c r="U59" s="2">
        <v>1099045.5717696701</v>
      </c>
      <c r="V59" s="2">
        <v>1341825.7269045415</v>
      </c>
      <c r="W59" s="2">
        <v>1338577.6514137837</v>
      </c>
      <c r="X59" s="2">
        <v>1270200.25</v>
      </c>
      <c r="Y59" s="2">
        <v>1486556.097172234</v>
      </c>
      <c r="Z59" s="2">
        <v>1583064.3724184844</v>
      </c>
      <c r="AA59" s="2">
        <v>1638725.0480861324</v>
      </c>
      <c r="AB59" s="2">
        <v>2035327.2885569343</v>
      </c>
      <c r="AC59" s="2">
        <v>2174047.8469577613</v>
      </c>
      <c r="AD59" s="2">
        <v>2234190.7634816128</v>
      </c>
      <c r="AE59" s="2">
        <v>2480589.8594145263</v>
      </c>
      <c r="AF59" s="2">
        <v>2529017.7928080889</v>
      </c>
      <c r="AG59" s="2">
        <v>2441551.676126719</v>
      </c>
      <c r="AH59" s="2">
        <v>2797774.9581880574</v>
      </c>
      <c r="AI59" s="2">
        <v>3032500.853068084</v>
      </c>
    </row>
    <row r="60" spans="1:35" x14ac:dyDescent="0.2">
      <c r="A60" s="1" t="s">
        <v>147</v>
      </c>
      <c r="B60" s="1" t="s">
        <v>152</v>
      </c>
      <c r="C60" s="1" t="s">
        <v>153</v>
      </c>
      <c r="D60" s="2">
        <v>152.3901939548</v>
      </c>
      <c r="E60" s="2">
        <v>1378.9699157957</v>
      </c>
      <c r="F60" s="2">
        <v>1263.5095051886999</v>
      </c>
      <c r="G60" s="2">
        <v>519.74932222359996</v>
      </c>
      <c r="H60" s="2">
        <v>24581.673343919501</v>
      </c>
      <c r="I60" s="2">
        <v>124563.0576377706</v>
      </c>
      <c r="J60" s="2">
        <v>365273.52350758447</v>
      </c>
      <c r="K60" s="2">
        <v>699191.64075800637</v>
      </c>
      <c r="L60" s="2">
        <v>764273.45156998921</v>
      </c>
      <c r="M60" s="2">
        <v>788168.80579558411</v>
      </c>
      <c r="N60" s="2">
        <v>809014.00960198895</v>
      </c>
      <c r="O60" s="2">
        <v>855540.33859941061</v>
      </c>
      <c r="P60" s="2">
        <v>963084.09234033595</v>
      </c>
      <c r="Q60" s="2">
        <v>1063832.2068307875</v>
      </c>
      <c r="R60" s="2">
        <v>1073546.8324521983</v>
      </c>
      <c r="S60" s="2">
        <v>1172350.7082070794</v>
      </c>
      <c r="T60" s="2">
        <v>1251294.4581323555</v>
      </c>
      <c r="U60" s="2">
        <v>1379861.6476216188</v>
      </c>
      <c r="V60" s="2">
        <v>1515017.480986505</v>
      </c>
      <c r="W60" s="2">
        <v>1537820.5110376405</v>
      </c>
      <c r="X60" s="2">
        <v>1603719.7140000004</v>
      </c>
      <c r="Y60" s="2">
        <v>1670423.1876876494</v>
      </c>
      <c r="Z60" s="2">
        <v>1647486.7759619353</v>
      </c>
      <c r="AA60" s="2">
        <v>1718860.8448839241</v>
      </c>
      <c r="AB60" s="2">
        <v>1854386.7890209584</v>
      </c>
      <c r="AC60" s="2">
        <v>1929030.8050099669</v>
      </c>
      <c r="AD60" s="2">
        <v>1990490.5723870529</v>
      </c>
      <c r="AE60" s="2">
        <v>2020923.0001314799</v>
      </c>
      <c r="AF60" s="2">
        <v>2059610.5720954253</v>
      </c>
      <c r="AG60" s="2">
        <v>2043918.0263464849</v>
      </c>
      <c r="AH60" s="2">
        <v>2095649.7774641123</v>
      </c>
      <c r="AI60" s="2">
        <v>2066683.8791689824</v>
      </c>
    </row>
    <row r="61" spans="1:35" x14ac:dyDescent="0.2">
      <c r="A61" s="1" t="s">
        <v>147</v>
      </c>
      <c r="B61" s="1" t="s">
        <v>154</v>
      </c>
      <c r="C61" s="1" t="s">
        <v>155</v>
      </c>
      <c r="D61" s="2">
        <v>23103.660795237</v>
      </c>
      <c r="E61" s="2">
        <v>92600.325972157705</v>
      </c>
      <c r="F61" s="2">
        <v>139883.1373194434</v>
      </c>
      <c r="G61" s="2">
        <v>193581.37756124331</v>
      </c>
      <c r="H61" s="2">
        <v>785593.21587443305</v>
      </c>
      <c r="I61" s="2">
        <v>1618602.0351757174</v>
      </c>
      <c r="J61" s="2">
        <v>3326391.4294813029</v>
      </c>
      <c r="K61" s="2">
        <v>5415222.5782170109</v>
      </c>
      <c r="L61" s="2">
        <v>8252885.7500681458</v>
      </c>
      <c r="M61" s="2">
        <v>5165726.8265814949</v>
      </c>
      <c r="N61" s="2">
        <v>5264165.83770895</v>
      </c>
      <c r="O61" s="2">
        <v>5579894.6749613956</v>
      </c>
      <c r="P61" s="2">
        <v>5295818.0259698145</v>
      </c>
      <c r="Q61" s="2">
        <v>6570483.7664906858</v>
      </c>
      <c r="R61" s="2">
        <v>6906007.8208738482</v>
      </c>
      <c r="S61" s="2">
        <v>7403795.3640462523</v>
      </c>
      <c r="T61" s="2">
        <v>7345241.8554985449</v>
      </c>
      <c r="U61" s="2">
        <v>8076300.5415931894</v>
      </c>
      <c r="V61" s="2">
        <v>8887262.3867066074</v>
      </c>
      <c r="W61" s="2">
        <v>9286011.5455927961</v>
      </c>
      <c r="X61" s="2">
        <v>9346846.0999999996</v>
      </c>
      <c r="Y61" s="2">
        <v>9506399.5460706297</v>
      </c>
      <c r="Z61" s="2">
        <v>10289387.571969861</v>
      </c>
      <c r="AA61" s="2">
        <v>9921914.5372081082</v>
      </c>
      <c r="AB61" s="2">
        <v>11342910.15048667</v>
      </c>
      <c r="AC61" s="2">
        <v>11339638.859423485</v>
      </c>
      <c r="AD61" s="2">
        <v>11284391.185450664</v>
      </c>
      <c r="AE61" s="2">
        <v>11630365.809730677</v>
      </c>
      <c r="AF61" s="2">
        <v>11519721.023550084</v>
      </c>
      <c r="AG61" s="2">
        <v>11370098.056257572</v>
      </c>
      <c r="AH61" s="2">
        <v>10754478.09436602</v>
      </c>
      <c r="AI61" s="2">
        <v>10559435.742249774</v>
      </c>
    </row>
    <row r="62" spans="1:35" x14ac:dyDescent="0.2">
      <c r="A62" s="1" t="s">
        <v>147</v>
      </c>
      <c r="B62" s="1" t="s">
        <v>156</v>
      </c>
      <c r="C62" s="1" t="s">
        <v>157</v>
      </c>
      <c r="E62" s="2">
        <v>17375.092261969898</v>
      </c>
      <c r="F62" s="2">
        <v>38903.457664761001</v>
      </c>
      <c r="G62" s="2">
        <v>44921.191420761301</v>
      </c>
      <c r="H62" s="2">
        <v>197854.3106426016</v>
      </c>
      <c r="I62" s="2">
        <v>453250.50122448232</v>
      </c>
      <c r="J62" s="2">
        <v>814537.79746049643</v>
      </c>
      <c r="K62" s="2">
        <v>1670042.8564895345</v>
      </c>
      <c r="L62" s="2">
        <v>1432177.3839984236</v>
      </c>
      <c r="M62" s="2">
        <v>1841617.7897631477</v>
      </c>
      <c r="N62" s="2">
        <v>1926486.126694778</v>
      </c>
      <c r="O62" s="2">
        <v>2073816.0806722164</v>
      </c>
      <c r="P62" s="2">
        <v>2228105.1552163721</v>
      </c>
      <c r="Q62" s="2">
        <v>2878094.5726232831</v>
      </c>
      <c r="R62" s="2">
        <v>2991689.2969569615</v>
      </c>
      <c r="S62" s="2">
        <v>3038516.4131739782</v>
      </c>
      <c r="T62" s="2">
        <v>2843362.1677054516</v>
      </c>
      <c r="U62" s="2">
        <v>3447789.1055715363</v>
      </c>
      <c r="V62" s="2">
        <v>4277506.3670305237</v>
      </c>
      <c r="W62" s="2">
        <v>4291131.6077490309</v>
      </c>
      <c r="X62" s="2">
        <v>4088854.2349999999</v>
      </c>
      <c r="Y62" s="2">
        <v>4525054.6019821493</v>
      </c>
      <c r="Z62" s="2">
        <v>4714454.1726461351</v>
      </c>
      <c r="AA62" s="2">
        <v>4789919.7098687785</v>
      </c>
      <c r="AB62" s="2">
        <v>5335683.6191538861</v>
      </c>
      <c r="AC62" s="2">
        <v>5330380.8787002554</v>
      </c>
      <c r="AD62" s="2">
        <v>5359540.2763637193</v>
      </c>
      <c r="AE62" s="2">
        <v>5316915.9373313785</v>
      </c>
      <c r="AF62" s="2">
        <v>5591219.1726789065</v>
      </c>
      <c r="AG62" s="2">
        <v>5431485.3621657304</v>
      </c>
      <c r="AH62" s="2">
        <v>5528420.0859847357</v>
      </c>
      <c r="AI62" s="2">
        <v>6633547.8933411427</v>
      </c>
    </row>
    <row r="63" spans="1:35" x14ac:dyDescent="0.2">
      <c r="A63" s="1" t="s">
        <v>158</v>
      </c>
      <c r="B63" s="1" t="s">
        <v>159</v>
      </c>
      <c r="C63" s="1" t="s">
        <v>160</v>
      </c>
      <c r="D63" s="2">
        <v>20058.940192781101</v>
      </c>
      <c r="E63" s="2">
        <v>49210.569387953001</v>
      </c>
      <c r="F63" s="2">
        <v>86962.087788008095</v>
      </c>
      <c r="G63" s="2">
        <v>246663.60819895566</v>
      </c>
      <c r="H63" s="2">
        <v>329334.78325127345</v>
      </c>
      <c r="I63" s="2">
        <v>506628.32105207938</v>
      </c>
      <c r="J63" s="2">
        <v>1149645.9061599106</v>
      </c>
      <c r="K63" s="2">
        <v>1960779.2720891756</v>
      </c>
      <c r="L63" s="2">
        <v>999083.07266110263</v>
      </c>
      <c r="M63" s="2">
        <v>1070260.9886089365</v>
      </c>
      <c r="N63" s="2">
        <v>1026686.4668377392</v>
      </c>
      <c r="O63" s="2">
        <v>1200301.6709300212</v>
      </c>
      <c r="P63" s="2">
        <v>1367199.8190041063</v>
      </c>
      <c r="Q63" s="2">
        <v>1392695.5426159794</v>
      </c>
      <c r="R63" s="2">
        <v>1748642.2263654883</v>
      </c>
      <c r="S63" s="2">
        <v>1698458.0189208465</v>
      </c>
      <c r="T63" s="2">
        <v>1710011.2427888711</v>
      </c>
      <c r="U63" s="2">
        <v>1784781.8931941781</v>
      </c>
      <c r="V63" s="2">
        <v>1824697.5281809242</v>
      </c>
      <c r="W63" s="2">
        <v>1825599.9214635002</v>
      </c>
      <c r="X63" s="2">
        <v>1866188</v>
      </c>
      <c r="Y63" s="2">
        <v>1881620.4626096291</v>
      </c>
      <c r="Z63" s="2">
        <v>2040313.9334724434</v>
      </c>
      <c r="AA63" s="2">
        <v>2113627.277172565</v>
      </c>
      <c r="AB63" s="2">
        <v>2268235.9867700259</v>
      </c>
      <c r="AC63" s="2">
        <v>2288143.0404593954</v>
      </c>
      <c r="AD63" s="2">
        <v>2375066.2597910222</v>
      </c>
      <c r="AE63" s="2">
        <v>2314374.5091209207</v>
      </c>
      <c r="AF63" s="2">
        <v>2438214.6342427526</v>
      </c>
      <c r="AG63" s="2">
        <v>2379293.2068396094</v>
      </c>
      <c r="AH63" s="2">
        <v>2235404.5126823699</v>
      </c>
      <c r="AI63" s="2">
        <v>2318219.2036736216</v>
      </c>
    </row>
    <row r="64" spans="1:35" x14ac:dyDescent="0.2">
      <c r="A64" s="1" t="s">
        <v>158</v>
      </c>
      <c r="B64" s="1" t="s">
        <v>161</v>
      </c>
      <c r="C64" s="1" t="s">
        <v>162</v>
      </c>
      <c r="D64" s="2">
        <v>30908.875127593303</v>
      </c>
      <c r="E64" s="2">
        <v>40134.417949562601</v>
      </c>
      <c r="F64" s="2">
        <v>26386.354723929198</v>
      </c>
      <c r="G64" s="2">
        <v>40941.971508168797</v>
      </c>
      <c r="H64" s="2">
        <v>134709.7234198456</v>
      </c>
      <c r="I64" s="2">
        <v>211891.72519385198</v>
      </c>
      <c r="J64" s="2">
        <v>354323.27521162212</v>
      </c>
      <c r="K64" s="2">
        <v>373793.83599141176</v>
      </c>
      <c r="L64" s="2">
        <v>246318.29349782041</v>
      </c>
      <c r="M64" s="2">
        <v>224313.43288591076</v>
      </c>
      <c r="N64" s="2">
        <v>221905.17789987</v>
      </c>
      <c r="O64" s="2">
        <v>243493.70091468285</v>
      </c>
      <c r="P64" s="2">
        <v>247982.65709080698</v>
      </c>
      <c r="Q64" s="2">
        <v>229983.74505127192</v>
      </c>
      <c r="R64" s="2">
        <v>275429.76187672326</v>
      </c>
      <c r="S64" s="2">
        <v>288595.26908697042</v>
      </c>
      <c r="T64" s="2">
        <v>282664.51810168993</v>
      </c>
      <c r="U64" s="2">
        <v>314708.23273424531</v>
      </c>
      <c r="V64" s="2">
        <v>299011.317157446</v>
      </c>
      <c r="W64" s="2">
        <v>341998.72018650721</v>
      </c>
      <c r="X64" s="2">
        <v>326510.7649999999</v>
      </c>
      <c r="Y64" s="2">
        <v>355901.83744376455</v>
      </c>
      <c r="Z64" s="2">
        <v>399445.9551085498</v>
      </c>
      <c r="AA64" s="2">
        <v>401274.75000656751</v>
      </c>
      <c r="AB64" s="2">
        <v>427530.09218928212</v>
      </c>
      <c r="AC64" s="2">
        <v>445027.95237985085</v>
      </c>
      <c r="AD64" s="2">
        <v>465050.30183460884</v>
      </c>
      <c r="AE64" s="2">
        <v>452707.51319134375</v>
      </c>
      <c r="AF64" s="2">
        <v>506538.02300078375</v>
      </c>
      <c r="AG64" s="2">
        <v>455451.6674421964</v>
      </c>
      <c r="AH64" s="2">
        <v>424889.62517675728</v>
      </c>
      <c r="AI64" s="2">
        <v>390310.53147018113</v>
      </c>
    </row>
    <row r="65" spans="1:35" x14ac:dyDescent="0.2">
      <c r="A65" s="1" t="s">
        <v>158</v>
      </c>
      <c r="B65" s="1" t="s">
        <v>163</v>
      </c>
      <c r="C65" s="1" t="s">
        <v>164</v>
      </c>
      <c r="D65" s="2">
        <v>226300.70631383499</v>
      </c>
      <c r="E65" s="2">
        <v>629721.28701616684</v>
      </c>
      <c r="F65" s="2">
        <v>896557.53625867667</v>
      </c>
      <c r="G65" s="2">
        <v>1808495.2480885587</v>
      </c>
      <c r="H65" s="2">
        <v>3487638.4773895228</v>
      </c>
      <c r="I65" s="2">
        <v>4923396.947894848</v>
      </c>
      <c r="J65" s="2">
        <v>7843472.746467201</v>
      </c>
      <c r="K65" s="2">
        <v>8277943.0071280813</v>
      </c>
      <c r="L65" s="2">
        <v>14191555.490859589</v>
      </c>
      <c r="M65" s="2">
        <v>10268446.77984097</v>
      </c>
      <c r="N65" s="2">
        <v>11515533.066449715</v>
      </c>
      <c r="O65" s="2">
        <v>11021180.20503371</v>
      </c>
      <c r="P65" s="2">
        <v>11068830.663808389</v>
      </c>
      <c r="Q65" s="2">
        <v>10577718.404135674</v>
      </c>
      <c r="R65" s="2">
        <v>12665157.330735845</v>
      </c>
      <c r="S65" s="2">
        <v>12369686.373175723</v>
      </c>
      <c r="T65" s="2">
        <v>13618410.894366214</v>
      </c>
      <c r="U65" s="2">
        <v>14913359.032691805</v>
      </c>
      <c r="V65" s="2">
        <v>14678345.272031249</v>
      </c>
      <c r="W65" s="2">
        <v>15439915.552301859</v>
      </c>
      <c r="X65" s="2">
        <v>15040908.241</v>
      </c>
      <c r="Y65" s="2">
        <v>15408803.443717539</v>
      </c>
      <c r="Z65" s="2">
        <v>17049669.496515907</v>
      </c>
      <c r="AA65" s="2">
        <v>16286630.785972351</v>
      </c>
      <c r="AB65" s="2">
        <v>16785461.179646838</v>
      </c>
      <c r="AC65" s="2">
        <v>16064396.513418201</v>
      </c>
      <c r="AD65" s="2">
        <v>15628625.676321454</v>
      </c>
      <c r="AE65" s="2">
        <v>15529292.798841612</v>
      </c>
      <c r="AF65" s="2">
        <v>15741035.184321489</v>
      </c>
      <c r="AG65" s="2">
        <v>15386772.261648491</v>
      </c>
      <c r="AH65" s="2">
        <v>13576798.034993714</v>
      </c>
      <c r="AI65" s="2">
        <v>13599980.019112902</v>
      </c>
    </row>
    <row r="66" spans="1:35" x14ac:dyDescent="0.2">
      <c r="A66" s="1" t="s">
        <v>158</v>
      </c>
      <c r="B66" s="1" t="s">
        <v>165</v>
      </c>
      <c r="C66" s="1" t="s">
        <v>166</v>
      </c>
      <c r="D66" s="2">
        <v>60779.471894223003</v>
      </c>
      <c r="E66" s="2">
        <v>118962.00426430281</v>
      </c>
      <c r="F66" s="2">
        <v>90390.902867106284</v>
      </c>
      <c r="G66" s="2">
        <v>251224.53658180364</v>
      </c>
      <c r="H66" s="2">
        <v>519182.4944933817</v>
      </c>
      <c r="I66" s="2">
        <v>683965.86650417675</v>
      </c>
      <c r="J66" s="2">
        <v>1139078.350698571</v>
      </c>
      <c r="K66" s="2">
        <v>1414501.1983220226</v>
      </c>
      <c r="L66" s="2">
        <v>1156265.9536622767</v>
      </c>
      <c r="M66" s="2">
        <v>1305547.9974115011</v>
      </c>
      <c r="N66" s="2">
        <v>1254689.0199449621</v>
      </c>
      <c r="O66" s="2">
        <v>1290059.388853332</v>
      </c>
      <c r="P66" s="2">
        <v>1334485.4081579202</v>
      </c>
      <c r="Q66" s="2">
        <v>1328269.6354664743</v>
      </c>
      <c r="R66" s="2">
        <v>1494058.9369079284</v>
      </c>
      <c r="S66" s="2">
        <v>1591991.0418747107</v>
      </c>
      <c r="T66" s="2">
        <v>1702393.7705150209</v>
      </c>
      <c r="U66" s="2">
        <v>1901481.5832702054</v>
      </c>
      <c r="V66" s="2">
        <v>1870461.2118665469</v>
      </c>
      <c r="W66" s="2">
        <v>2027218.8178299272</v>
      </c>
      <c r="X66" s="2">
        <v>1987069.9399999997</v>
      </c>
      <c r="Y66" s="2">
        <v>2151682.2451788215</v>
      </c>
      <c r="Z66" s="2">
        <v>2343449.4328556508</v>
      </c>
      <c r="AA66" s="2">
        <v>2490185.5299970768</v>
      </c>
      <c r="AB66" s="2">
        <v>2659596.6431017476</v>
      </c>
      <c r="AC66" s="2">
        <v>2680165.9264617153</v>
      </c>
      <c r="AD66" s="2">
        <v>2771133.5983297937</v>
      </c>
      <c r="AE66" s="2">
        <v>2732898.4339256654</v>
      </c>
      <c r="AF66" s="2">
        <v>2863193.2565894071</v>
      </c>
      <c r="AG66" s="2">
        <v>2829254.2892785245</v>
      </c>
      <c r="AH66" s="2">
        <v>2732792.9193027266</v>
      </c>
      <c r="AI66" s="2">
        <v>2731044.4704084159</v>
      </c>
    </row>
    <row r="67" spans="1:35" x14ac:dyDescent="0.2">
      <c r="A67" s="1" t="s">
        <v>158</v>
      </c>
      <c r="B67" s="1" t="s">
        <v>167</v>
      </c>
      <c r="C67" s="1" t="s">
        <v>168</v>
      </c>
      <c r="D67" s="2">
        <v>12440.413485650201</v>
      </c>
      <c r="E67" s="2">
        <v>10722.9817903412</v>
      </c>
      <c r="F67" s="2">
        <v>11062.514493882602</v>
      </c>
      <c r="G67" s="2">
        <v>7847.513004136501</v>
      </c>
      <c r="H67" s="2">
        <v>35762.298095194703</v>
      </c>
      <c r="I67" s="2">
        <v>98917.794625163908</v>
      </c>
      <c r="J67" s="2">
        <v>497310.33426649647</v>
      </c>
      <c r="K67" s="2">
        <v>1198809.0943961306</v>
      </c>
      <c r="L67" s="2">
        <v>493154.1301997003</v>
      </c>
      <c r="M67" s="2">
        <v>519338.84388693346</v>
      </c>
      <c r="N67" s="2">
        <v>478272.60308424354</v>
      </c>
      <c r="O67" s="2">
        <v>543462.7385116095</v>
      </c>
      <c r="P67" s="2">
        <v>608038.92663706141</v>
      </c>
      <c r="Q67" s="2">
        <v>640430.44113972329</v>
      </c>
      <c r="R67" s="2">
        <v>760531.31597202923</v>
      </c>
      <c r="S67" s="2">
        <v>748323.62445217592</v>
      </c>
      <c r="T67" s="2">
        <v>771355.38068651408</v>
      </c>
      <c r="U67" s="2">
        <v>912237.77327268012</v>
      </c>
      <c r="V67" s="2">
        <v>882886.11615777551</v>
      </c>
      <c r="W67" s="2">
        <v>944278.18761775643</v>
      </c>
      <c r="X67" s="2">
        <v>910052.39099999995</v>
      </c>
      <c r="Y67" s="2">
        <v>1006003.2656246705</v>
      </c>
      <c r="Z67" s="2">
        <v>1308531.7510164459</v>
      </c>
      <c r="AA67" s="2">
        <v>1440431.36747802</v>
      </c>
      <c r="AB67" s="2">
        <v>1785452.3599053402</v>
      </c>
      <c r="AC67" s="2">
        <v>1886745.805276718</v>
      </c>
      <c r="AD67" s="2">
        <v>1747706.1185569202</v>
      </c>
      <c r="AE67" s="2">
        <v>1770705.3502308521</v>
      </c>
      <c r="AF67" s="2">
        <v>1862592.330941495</v>
      </c>
      <c r="AG67" s="2">
        <v>1924923.6993151703</v>
      </c>
      <c r="AH67" s="2">
        <v>1836704.7510568846</v>
      </c>
      <c r="AI67" s="2">
        <v>1979576.1580618368</v>
      </c>
    </row>
    <row r="68" spans="1:35" x14ac:dyDescent="0.2">
      <c r="A68" s="1" t="s">
        <v>158</v>
      </c>
      <c r="B68" s="1" t="s">
        <v>169</v>
      </c>
      <c r="C68" s="1" t="s">
        <v>170</v>
      </c>
      <c r="D68" s="2">
        <v>5591.6176067096994</v>
      </c>
      <c r="E68" s="2">
        <v>8535.1820215300995</v>
      </c>
      <c r="F68" s="2">
        <v>36926.786263380898</v>
      </c>
      <c r="G68" s="2">
        <v>60217.835581785104</v>
      </c>
      <c r="H68" s="2">
        <v>119141.7505669224</v>
      </c>
      <c r="I68" s="2">
        <v>327540.26757010206</v>
      </c>
      <c r="J68" s="2">
        <v>1359366.6078586928</v>
      </c>
      <c r="K68" s="2">
        <v>2255095.0386512857</v>
      </c>
      <c r="L68" s="2">
        <v>1817422.3812161686</v>
      </c>
      <c r="M68" s="2">
        <v>2546994.8631160753</v>
      </c>
      <c r="N68" s="2">
        <v>2610979.1379859322</v>
      </c>
      <c r="O68" s="2">
        <v>2875826.3522254061</v>
      </c>
      <c r="P68" s="2">
        <v>3005634.3932373286</v>
      </c>
      <c r="Q68" s="2">
        <v>3191264.3870165274</v>
      </c>
      <c r="R68" s="2">
        <v>4009331.3722121911</v>
      </c>
      <c r="S68" s="2">
        <v>4259176.408007076</v>
      </c>
      <c r="T68" s="2">
        <v>4711494.3692756686</v>
      </c>
      <c r="U68" s="2">
        <v>5595442.7140172478</v>
      </c>
      <c r="V68" s="2">
        <v>5966817.2810137216</v>
      </c>
      <c r="W68" s="2">
        <v>5918363.5114840996</v>
      </c>
      <c r="X68" s="2">
        <v>6690485.6149999993</v>
      </c>
      <c r="Y68" s="2">
        <v>7470435.4905695096</v>
      </c>
      <c r="Z68" s="2">
        <v>7900480.0586446999</v>
      </c>
      <c r="AA68" s="2">
        <v>7626765.3260197295</v>
      </c>
      <c r="AB68" s="2">
        <v>7767698.2525295885</v>
      </c>
      <c r="AC68" s="2">
        <v>7366170.6129548056</v>
      </c>
      <c r="AD68" s="2">
        <v>7421088.5037325593</v>
      </c>
      <c r="AE68" s="2">
        <v>7849765.4498075126</v>
      </c>
      <c r="AF68" s="2">
        <v>8189984.1494273515</v>
      </c>
      <c r="AG68" s="2">
        <v>9038754.1979233883</v>
      </c>
      <c r="AH68" s="2">
        <v>8931485.9630350973</v>
      </c>
      <c r="AI68" s="2">
        <v>9655966.3638642058</v>
      </c>
    </row>
    <row r="69" spans="1:35" x14ac:dyDescent="0.2">
      <c r="A69" s="1" t="s">
        <v>171</v>
      </c>
      <c r="B69" s="1" t="s">
        <v>172</v>
      </c>
      <c r="C69" s="1" t="s">
        <v>173</v>
      </c>
      <c r="D69" s="2">
        <v>14914.457221290601</v>
      </c>
      <c r="E69" s="2">
        <v>91097.345234862005</v>
      </c>
      <c r="F69" s="2">
        <v>205093.70842248178</v>
      </c>
      <c r="G69" s="2">
        <v>240687.65607454468</v>
      </c>
      <c r="H69" s="2">
        <v>417444.93032693054</v>
      </c>
      <c r="I69" s="2">
        <v>649098.48960567475</v>
      </c>
      <c r="J69" s="2">
        <v>915346.48306280421</v>
      </c>
      <c r="K69" s="2">
        <v>1182226.6958430212</v>
      </c>
      <c r="L69" s="2">
        <v>1341640.1289833405</v>
      </c>
      <c r="M69" s="2">
        <v>1070137.0203387504</v>
      </c>
      <c r="N69" s="2">
        <v>1058918.3525136297</v>
      </c>
      <c r="O69" s="2">
        <v>1031833.0821034989</v>
      </c>
      <c r="P69" s="2">
        <v>1166900.4867057386</v>
      </c>
      <c r="Q69" s="2">
        <v>1179384.2029554236</v>
      </c>
      <c r="R69" s="2">
        <v>1227725.2115792534</v>
      </c>
      <c r="S69" s="2">
        <v>1253145.6895979741</v>
      </c>
      <c r="T69" s="2">
        <v>1416595.6635981982</v>
      </c>
      <c r="U69" s="2">
        <v>1518615.1984798121</v>
      </c>
      <c r="V69" s="2">
        <v>1657906.7684782541</v>
      </c>
      <c r="W69" s="2">
        <v>1754611.1501914207</v>
      </c>
      <c r="X69" s="2">
        <v>1679309.6329999999</v>
      </c>
      <c r="Y69" s="2">
        <v>1708118.9296314833</v>
      </c>
      <c r="Z69" s="2">
        <v>1918801.7080498447</v>
      </c>
      <c r="AA69" s="2">
        <v>1974643.0240852772</v>
      </c>
      <c r="AB69" s="2">
        <v>2263353.6982970294</v>
      </c>
      <c r="AC69" s="2">
        <v>2250628.5688866037</v>
      </c>
      <c r="AD69" s="2">
        <v>2321366.8974270439</v>
      </c>
      <c r="AE69" s="2">
        <v>2327631.1057735756</v>
      </c>
      <c r="AF69" s="2">
        <v>2243141.1837142962</v>
      </c>
      <c r="AG69" s="2">
        <v>2335385.38288684</v>
      </c>
      <c r="AH69" s="2">
        <v>2188032.2532950328</v>
      </c>
      <c r="AI69" s="2">
        <v>2141583.7169889198</v>
      </c>
    </row>
    <row r="70" spans="1:35" x14ac:dyDescent="0.2">
      <c r="A70" s="1" t="s">
        <v>171</v>
      </c>
      <c r="B70" s="1" t="s">
        <v>174</v>
      </c>
      <c r="C70" s="1" t="s">
        <v>175</v>
      </c>
      <c r="D70" s="2">
        <v>9046.0655661702003</v>
      </c>
      <c r="E70" s="2">
        <v>25218.860219933802</v>
      </c>
      <c r="F70" s="2">
        <v>40578.838348418401</v>
      </c>
      <c r="G70" s="2">
        <v>66687.896836485408</v>
      </c>
      <c r="H70" s="2">
        <v>124441.92837423291</v>
      </c>
      <c r="I70" s="2">
        <v>162784.9213146368</v>
      </c>
      <c r="J70" s="2">
        <v>239472.74804744788</v>
      </c>
      <c r="K70" s="2">
        <v>315765.01004751911</v>
      </c>
      <c r="L70" s="2">
        <v>398304.64105944446</v>
      </c>
      <c r="M70" s="2">
        <v>260772.024346563</v>
      </c>
      <c r="N70" s="2">
        <v>259642.98661564651</v>
      </c>
      <c r="O70" s="2">
        <v>290474.08902527113</v>
      </c>
      <c r="P70" s="2">
        <v>294810.75242512138</v>
      </c>
      <c r="Q70" s="2">
        <v>286446.81139939505</v>
      </c>
      <c r="R70" s="2">
        <v>284931.65973471326</v>
      </c>
      <c r="S70" s="2">
        <v>296078.01668336219</v>
      </c>
      <c r="T70" s="2">
        <v>323747.26651399006</v>
      </c>
      <c r="U70" s="2">
        <v>352446.22661350126</v>
      </c>
      <c r="V70" s="2">
        <v>371929.72230351873</v>
      </c>
      <c r="W70" s="2">
        <v>392385.23891537212</v>
      </c>
      <c r="X70" s="2">
        <v>390865.34100000007</v>
      </c>
      <c r="Y70" s="2">
        <v>388960.80845371017</v>
      </c>
      <c r="Z70" s="2">
        <v>441686.33771124226</v>
      </c>
      <c r="AA70" s="2">
        <v>460425.65265967691</v>
      </c>
      <c r="AB70" s="2">
        <v>534749.45316191681</v>
      </c>
      <c r="AC70" s="2">
        <v>555161.24202624906</v>
      </c>
      <c r="AD70" s="2">
        <v>570125.61316865194</v>
      </c>
      <c r="AE70" s="2">
        <v>596332.67798706994</v>
      </c>
      <c r="AF70" s="2">
        <v>599581.11656836013</v>
      </c>
      <c r="AG70" s="2">
        <v>598367.57209474687</v>
      </c>
      <c r="AH70" s="2">
        <v>572513.61517098406</v>
      </c>
      <c r="AI70" s="2">
        <v>577614.70129350794</v>
      </c>
    </row>
    <row r="71" spans="1:35" x14ac:dyDescent="0.2">
      <c r="A71" s="1" t="s">
        <v>171</v>
      </c>
      <c r="B71" s="1" t="s">
        <v>176</v>
      </c>
      <c r="C71" s="1" t="s">
        <v>177</v>
      </c>
      <c r="D71" s="2">
        <v>43926.215523642808</v>
      </c>
      <c r="E71" s="2">
        <v>235658.99893181509</v>
      </c>
      <c r="F71" s="2">
        <v>397046.4268820188</v>
      </c>
      <c r="G71" s="2">
        <v>713237.52960169956</v>
      </c>
      <c r="H71" s="2">
        <v>884256.1996647584</v>
      </c>
      <c r="I71" s="2">
        <v>1253329.640019492</v>
      </c>
      <c r="J71" s="2">
        <v>1878119.393433274</v>
      </c>
      <c r="K71" s="2">
        <v>1739435.7922409563</v>
      </c>
      <c r="L71" s="2">
        <v>3174355.3862691275</v>
      </c>
      <c r="M71" s="2">
        <v>2164998.5585640129</v>
      </c>
      <c r="N71" s="2">
        <v>2153809.1870447216</v>
      </c>
      <c r="O71" s="2">
        <v>2125961.1200709022</v>
      </c>
      <c r="P71" s="2">
        <v>2345454.7435711566</v>
      </c>
      <c r="Q71" s="2">
        <v>2258116.6441370547</v>
      </c>
      <c r="R71" s="2">
        <v>2272557.8821481401</v>
      </c>
      <c r="S71" s="2">
        <v>2387310.1323165214</v>
      </c>
      <c r="T71" s="2">
        <v>2812393.5400501043</v>
      </c>
      <c r="U71" s="2">
        <v>2986228.0555516817</v>
      </c>
      <c r="V71" s="2">
        <v>3070506.2264281078</v>
      </c>
      <c r="W71" s="2">
        <v>3226199.7199739502</v>
      </c>
      <c r="X71" s="2">
        <v>3195798.4900000007</v>
      </c>
      <c r="Y71" s="2">
        <v>3296867.4304645625</v>
      </c>
      <c r="Z71" s="2">
        <v>3625699.3096058941</v>
      </c>
      <c r="AA71" s="2">
        <v>3472563.0842741332</v>
      </c>
      <c r="AB71" s="2">
        <v>3979893.3309039143</v>
      </c>
      <c r="AC71" s="2">
        <v>3959222.8182923649</v>
      </c>
      <c r="AD71" s="2">
        <v>3952247.2292402466</v>
      </c>
      <c r="AE71" s="2">
        <v>3938667.4069935991</v>
      </c>
      <c r="AF71" s="2">
        <v>3847125.5521971183</v>
      </c>
      <c r="AG71" s="2">
        <v>3940426.8807183513</v>
      </c>
      <c r="AH71" s="2">
        <v>3886636.6490775077</v>
      </c>
      <c r="AI71" s="2">
        <v>3869824.3267253097</v>
      </c>
    </row>
    <row r="72" spans="1:35" x14ac:dyDescent="0.2">
      <c r="A72" s="1" t="s">
        <v>171</v>
      </c>
      <c r="B72" s="1" t="s">
        <v>178</v>
      </c>
      <c r="C72" s="1" t="s">
        <v>179</v>
      </c>
      <c r="D72" s="2">
        <v>59397.895497928395</v>
      </c>
      <c r="E72" s="2">
        <v>279608.07359428931</v>
      </c>
      <c r="F72" s="2">
        <v>363313.02310011996</v>
      </c>
      <c r="G72" s="2">
        <v>516160.5651398715</v>
      </c>
      <c r="H72" s="2">
        <v>1279933.2271781375</v>
      </c>
      <c r="I72" s="2">
        <v>1761716.0696699244</v>
      </c>
      <c r="J72" s="2">
        <v>3364509.9745227825</v>
      </c>
      <c r="K72" s="2">
        <v>4200542.2141065467</v>
      </c>
      <c r="L72" s="2">
        <v>8330334.9426072221</v>
      </c>
      <c r="M72" s="2">
        <v>4248650.0918340757</v>
      </c>
      <c r="N72" s="2">
        <v>4559712.4444913203</v>
      </c>
      <c r="O72" s="2">
        <v>4788670.514801885</v>
      </c>
      <c r="P72" s="2">
        <v>5382165.4842508743</v>
      </c>
      <c r="Q72" s="2">
        <v>5198340.7799188532</v>
      </c>
      <c r="R72" s="2">
        <v>5057040.8831972871</v>
      </c>
      <c r="S72" s="2">
        <v>5274942.5768447788</v>
      </c>
      <c r="T72" s="2">
        <v>6092710.0612883884</v>
      </c>
      <c r="U72" s="2">
        <v>6577735.8957610661</v>
      </c>
      <c r="V72" s="2">
        <v>7116982.2931905091</v>
      </c>
      <c r="W72" s="2">
        <v>7394285.3837024914</v>
      </c>
      <c r="X72" s="2">
        <v>7387223.1140000001</v>
      </c>
      <c r="Y72" s="2">
        <v>7336564.5261952141</v>
      </c>
      <c r="Z72" s="2">
        <v>7988451.9764129557</v>
      </c>
      <c r="AA72" s="2">
        <v>8036440.145365526</v>
      </c>
      <c r="AB72" s="2">
        <v>9158011.779575374</v>
      </c>
      <c r="AC72" s="2">
        <v>8947358.8278490379</v>
      </c>
      <c r="AD72" s="2">
        <v>8948446.9925934691</v>
      </c>
      <c r="AE72" s="2">
        <v>9243245.8488619588</v>
      </c>
      <c r="AF72" s="2">
        <v>9044760.9143999908</v>
      </c>
      <c r="AG72" s="2">
        <v>9337696.6611853652</v>
      </c>
      <c r="AH72" s="2">
        <v>8669361.466400858</v>
      </c>
      <c r="AI72" s="2">
        <v>8845532.576019235</v>
      </c>
    </row>
    <row r="73" spans="1:35" x14ac:dyDescent="0.2">
      <c r="A73" s="1" t="s">
        <v>180</v>
      </c>
      <c r="B73" s="1" t="s">
        <v>181</v>
      </c>
      <c r="C73" s="1" t="s">
        <v>182</v>
      </c>
      <c r="D73" s="2">
        <v>12523.555750253001</v>
      </c>
      <c r="E73" s="2">
        <v>83376.312230635798</v>
      </c>
      <c r="F73" s="2">
        <v>223443.11371734261</v>
      </c>
      <c r="G73" s="2">
        <v>459884.77387940383</v>
      </c>
      <c r="H73" s="2">
        <v>512359.92529549223</v>
      </c>
      <c r="I73" s="2">
        <v>1400457.9224018697</v>
      </c>
      <c r="J73" s="2">
        <v>1226541.9927352122</v>
      </c>
      <c r="K73" s="2">
        <v>1199163.3038657571</v>
      </c>
      <c r="L73" s="2">
        <v>1400919.023477742</v>
      </c>
      <c r="M73" s="2">
        <v>1153376.9457582321</v>
      </c>
      <c r="N73" s="2">
        <v>1133064.3312938944</v>
      </c>
      <c r="O73" s="2">
        <v>1151840.304461376</v>
      </c>
      <c r="P73" s="2">
        <v>1177130.5417787593</v>
      </c>
      <c r="Q73" s="2">
        <v>1124788.1392304234</v>
      </c>
      <c r="R73" s="2">
        <v>1168958.8940906315</v>
      </c>
      <c r="S73" s="2">
        <v>1246520.7308465114</v>
      </c>
      <c r="T73" s="2">
        <v>1345261.0555620622</v>
      </c>
      <c r="U73" s="2">
        <v>1469730.224817279</v>
      </c>
      <c r="V73" s="2">
        <v>1555606.6039080997</v>
      </c>
      <c r="W73" s="2">
        <v>1594041.8414771578</v>
      </c>
      <c r="X73" s="2">
        <v>1816351.3159999999</v>
      </c>
      <c r="Y73" s="2">
        <v>2037879.6989354419</v>
      </c>
      <c r="Z73" s="2">
        <v>2364478.0476662144</v>
      </c>
      <c r="AA73" s="2">
        <v>2504974.5498440061</v>
      </c>
      <c r="AB73" s="2">
        <v>2713680.3643348087</v>
      </c>
      <c r="AC73" s="2">
        <v>2415270.604294328</v>
      </c>
      <c r="AD73" s="2">
        <v>2397039.3764216085</v>
      </c>
      <c r="AE73" s="2">
        <v>2434722.9161585993</v>
      </c>
      <c r="AF73" s="2">
        <v>2461272.2030736599</v>
      </c>
      <c r="AG73" s="2">
        <v>2531867.6415992435</v>
      </c>
      <c r="AH73" s="2">
        <v>2366597.1060859743</v>
      </c>
      <c r="AI73" s="2">
        <v>2330431.3800182594</v>
      </c>
    </row>
    <row r="74" spans="1:35" x14ac:dyDescent="0.2">
      <c r="A74" s="1" t="s">
        <v>180</v>
      </c>
      <c r="B74" s="1" t="s">
        <v>183</v>
      </c>
      <c r="C74" s="1" t="s">
        <v>184</v>
      </c>
      <c r="D74" s="2">
        <v>13144.486670350101</v>
      </c>
      <c r="E74" s="2">
        <v>34640.261189933903</v>
      </c>
      <c r="F74" s="2">
        <v>41910.768883191202</v>
      </c>
      <c r="G74" s="2">
        <v>82809.544531924184</v>
      </c>
      <c r="H74" s="2">
        <v>228776.26901157122</v>
      </c>
      <c r="I74" s="2">
        <v>379509.53483117634</v>
      </c>
      <c r="J74" s="2">
        <v>610214.51360116422</v>
      </c>
      <c r="K74" s="2">
        <v>741087.04861278099</v>
      </c>
      <c r="L74" s="2">
        <v>1135209.1306389601</v>
      </c>
      <c r="M74" s="2">
        <v>970776.4517847019</v>
      </c>
      <c r="N74" s="2">
        <v>949763.82330181252</v>
      </c>
      <c r="O74" s="2">
        <v>992672.67690045375</v>
      </c>
      <c r="P74" s="2">
        <v>1132538.9772647889</v>
      </c>
      <c r="Q74" s="2">
        <v>1117204.8778593957</v>
      </c>
      <c r="R74" s="2">
        <v>1175103.1885601466</v>
      </c>
      <c r="S74" s="2">
        <v>1290057.1877506671</v>
      </c>
      <c r="T74" s="2">
        <v>1309441.3890310039</v>
      </c>
      <c r="U74" s="2">
        <v>1411379.5792432539</v>
      </c>
      <c r="V74" s="2">
        <v>1508087.8839267727</v>
      </c>
      <c r="W74" s="2">
        <v>1568627.1117227823</v>
      </c>
      <c r="X74" s="2">
        <v>1822560.82</v>
      </c>
      <c r="Y74" s="2">
        <v>2000223.7848725987</v>
      </c>
      <c r="Z74" s="2">
        <v>2246245.0326636597</v>
      </c>
      <c r="AA74" s="2">
        <v>2367753.9251909819</v>
      </c>
      <c r="AB74" s="2">
        <v>2576445.0458748201</v>
      </c>
      <c r="AC74" s="2">
        <v>2343774.2708172984</v>
      </c>
      <c r="AD74" s="2">
        <v>2309052.3187882453</v>
      </c>
      <c r="AE74" s="2">
        <v>2377750.8807658372</v>
      </c>
      <c r="AF74" s="2">
        <v>2397661.5626335624</v>
      </c>
      <c r="AG74" s="2">
        <v>2471156.5598580856</v>
      </c>
      <c r="AH74" s="2">
        <v>2142666.3583563436</v>
      </c>
      <c r="AI74" s="2">
        <v>2249965.6948655313</v>
      </c>
    </row>
    <row r="75" spans="1:35" x14ac:dyDescent="0.2">
      <c r="A75" s="1" t="s">
        <v>180</v>
      </c>
      <c r="B75" s="1" t="s">
        <v>185</v>
      </c>
      <c r="C75" s="1" t="s">
        <v>186</v>
      </c>
      <c r="D75" s="2">
        <v>58791.348351531611</v>
      </c>
      <c r="E75" s="2">
        <v>284884.04328871617</v>
      </c>
      <c r="F75" s="2">
        <v>565221.72205592017</v>
      </c>
      <c r="G75" s="2">
        <v>792632.83720983157</v>
      </c>
      <c r="H75" s="2">
        <v>1242873.9794851074</v>
      </c>
      <c r="I75" s="2">
        <v>1827760.818379388</v>
      </c>
      <c r="J75" s="2">
        <v>2367129.2357462142</v>
      </c>
      <c r="K75" s="2">
        <v>2591051.6372398832</v>
      </c>
      <c r="L75" s="2">
        <v>3551307.3918883316</v>
      </c>
      <c r="M75" s="2">
        <v>3044913.4203179916</v>
      </c>
      <c r="N75" s="2">
        <v>3073697.9035364259</v>
      </c>
      <c r="O75" s="2">
        <v>3197467.7350902385</v>
      </c>
      <c r="P75" s="2">
        <v>3109515.984601798</v>
      </c>
      <c r="Q75" s="2">
        <v>3043201.0380313606</v>
      </c>
      <c r="R75" s="2">
        <v>3419466.6463139844</v>
      </c>
      <c r="S75" s="2">
        <v>3691110.5893572499</v>
      </c>
      <c r="T75" s="2">
        <v>3898738.1849381146</v>
      </c>
      <c r="U75" s="2">
        <v>4245367.4038275359</v>
      </c>
      <c r="V75" s="2">
        <v>4382812.3925617831</v>
      </c>
      <c r="W75" s="2">
        <v>4578717.9313885877</v>
      </c>
      <c r="X75" s="2">
        <v>5283512.5289999992</v>
      </c>
      <c r="Y75" s="2">
        <v>5820102.9092627428</v>
      </c>
      <c r="Z75" s="2">
        <v>6669039.0248869183</v>
      </c>
      <c r="AA75" s="2">
        <v>7044117.8651313959</v>
      </c>
      <c r="AB75" s="2">
        <v>7619082.9899352072</v>
      </c>
      <c r="AC75" s="2">
        <v>6874953.5877756216</v>
      </c>
      <c r="AD75" s="2">
        <v>6680741.2352535883</v>
      </c>
      <c r="AE75" s="2">
        <v>6957236.1976268003</v>
      </c>
      <c r="AF75" s="2">
        <v>6741436.0443980452</v>
      </c>
      <c r="AG75" s="2">
        <v>6940325.3155327607</v>
      </c>
      <c r="AH75" s="2">
        <v>6431440.2908948148</v>
      </c>
      <c r="AI75" s="2">
        <v>6697464.1149957599</v>
      </c>
    </row>
    <row r="76" spans="1:35" x14ac:dyDescent="0.2">
      <c r="A76" s="1" t="s">
        <v>180</v>
      </c>
      <c r="B76" s="1" t="s">
        <v>187</v>
      </c>
      <c r="C76" s="1" t="s">
        <v>188</v>
      </c>
      <c r="D76" s="2">
        <v>76279.361316435388</v>
      </c>
      <c r="E76" s="2">
        <v>270525.58970462106</v>
      </c>
      <c r="F76" s="2">
        <v>393394.31855092058</v>
      </c>
      <c r="G76" s="2">
        <v>535516.89309978439</v>
      </c>
      <c r="H76" s="2">
        <v>918229.44557837618</v>
      </c>
      <c r="I76" s="2">
        <v>1410144.1515177705</v>
      </c>
      <c r="J76" s="2">
        <v>1914344.8017364263</v>
      </c>
      <c r="K76" s="2">
        <v>2612686.4181074542</v>
      </c>
      <c r="L76" s="2">
        <v>1996002.5970420553</v>
      </c>
      <c r="M76" s="2">
        <v>1853986.0087193931</v>
      </c>
      <c r="N76" s="2">
        <v>1853207.0091065255</v>
      </c>
      <c r="O76" s="2">
        <v>1932539.0888536256</v>
      </c>
      <c r="P76" s="2">
        <v>1998986.0011203759</v>
      </c>
      <c r="Q76" s="2">
        <v>1904179.5043848609</v>
      </c>
      <c r="R76" s="2">
        <v>2036782.5484525971</v>
      </c>
      <c r="S76" s="2">
        <v>2120766.4712047889</v>
      </c>
      <c r="T76" s="2">
        <v>2199608.0560000255</v>
      </c>
      <c r="U76" s="2">
        <v>2339400.1230401592</v>
      </c>
      <c r="V76" s="2">
        <v>2427961.0374091449</v>
      </c>
      <c r="W76" s="2">
        <v>2655435.1969922367</v>
      </c>
      <c r="X76" s="2">
        <v>3023914.9129999997</v>
      </c>
      <c r="Y76" s="2">
        <v>3344523.3406297518</v>
      </c>
      <c r="Z76" s="2">
        <v>3863377.7891370072</v>
      </c>
      <c r="AA76" s="2">
        <v>4072471.2644503526</v>
      </c>
      <c r="AB76" s="2">
        <v>4525583.2824471723</v>
      </c>
      <c r="AC76" s="2">
        <v>4260149.7121489355</v>
      </c>
      <c r="AD76" s="2">
        <v>4371306.8174020611</v>
      </c>
      <c r="AE76" s="2">
        <v>4591461.7805650709</v>
      </c>
      <c r="AF76" s="2">
        <v>4480456.19400708</v>
      </c>
      <c r="AG76" s="2">
        <v>4698407.421991081</v>
      </c>
      <c r="AH76" s="2">
        <v>4306548.3584615001</v>
      </c>
      <c r="AI76" s="2">
        <v>4377438.7825929569</v>
      </c>
    </row>
    <row r="77" spans="1:35" x14ac:dyDescent="0.2">
      <c r="A77" s="1" t="s">
        <v>180</v>
      </c>
      <c r="B77" s="1" t="s">
        <v>189</v>
      </c>
      <c r="C77" s="1" t="s">
        <v>190</v>
      </c>
      <c r="D77" s="2">
        <v>305979.61858107662</v>
      </c>
      <c r="E77" s="2">
        <v>1715233.3867450713</v>
      </c>
      <c r="F77" s="2">
        <v>2503429.4344594418</v>
      </c>
      <c r="G77" s="2">
        <v>4879347.2093916219</v>
      </c>
      <c r="H77" s="2">
        <v>9195645.1358637922</v>
      </c>
      <c r="I77" s="2">
        <v>12132984.498470111</v>
      </c>
      <c r="J77" s="2">
        <v>18615752.018432498</v>
      </c>
      <c r="K77" s="2">
        <v>17717684.474350821</v>
      </c>
      <c r="L77" s="2">
        <v>28710513.060473371</v>
      </c>
      <c r="M77" s="2">
        <v>19230194.087760832</v>
      </c>
      <c r="N77" s="2">
        <v>19991613.761349499</v>
      </c>
      <c r="O77" s="2">
        <v>20067459.082518335</v>
      </c>
      <c r="P77" s="2">
        <v>20356304.911160313</v>
      </c>
      <c r="Q77" s="2">
        <v>19620568.845896423</v>
      </c>
      <c r="R77" s="2">
        <v>20826947.465808533</v>
      </c>
      <c r="S77" s="2">
        <v>21316949.261742681</v>
      </c>
      <c r="T77" s="2">
        <v>22203908.675043728</v>
      </c>
      <c r="U77" s="2">
        <v>23690552.319267545</v>
      </c>
      <c r="V77" s="2">
        <v>23591176.631496962</v>
      </c>
      <c r="W77" s="2">
        <v>25114044.964437757</v>
      </c>
      <c r="X77" s="2">
        <v>28468235.452000003</v>
      </c>
      <c r="Y77" s="2">
        <v>30254603.029548962</v>
      </c>
      <c r="Z77" s="2">
        <v>33088114.836223904</v>
      </c>
      <c r="AA77" s="2">
        <v>34677752.182234891</v>
      </c>
      <c r="AB77" s="2">
        <v>36663268.151825495</v>
      </c>
      <c r="AC77" s="2">
        <v>32377898.980647765</v>
      </c>
      <c r="AD77" s="2">
        <v>31699330.410580952</v>
      </c>
      <c r="AE77" s="2">
        <v>32369110.689231496</v>
      </c>
      <c r="AF77" s="2">
        <v>31084305.346162751</v>
      </c>
      <c r="AG77" s="2">
        <v>31606795.298849251</v>
      </c>
      <c r="AH77" s="2">
        <v>26852499.97563288</v>
      </c>
      <c r="AI77" s="2">
        <v>27108357.165227015</v>
      </c>
    </row>
    <row r="78" spans="1:35" x14ac:dyDescent="0.2">
      <c r="A78" s="1" t="s">
        <v>191</v>
      </c>
      <c r="B78" s="1" t="s">
        <v>192</v>
      </c>
      <c r="C78" s="1" t="s">
        <v>193</v>
      </c>
      <c r="D78" s="2">
        <v>29928.836746490004</v>
      </c>
      <c r="E78" s="2">
        <v>148978.34163275061</v>
      </c>
      <c r="F78" s="2">
        <v>97646.404409547496</v>
      </c>
      <c r="G78" s="2">
        <v>142458.0986645337</v>
      </c>
      <c r="H78" s="2">
        <v>256830.33178605052</v>
      </c>
      <c r="I78" s="2">
        <v>315627.27334869723</v>
      </c>
      <c r="J78" s="2">
        <v>513543.11307078064</v>
      </c>
      <c r="K78" s="2">
        <v>507003.56089107541</v>
      </c>
      <c r="L78" s="2">
        <v>859107.78239361977</v>
      </c>
      <c r="M78" s="2">
        <v>715194.40674957819</v>
      </c>
      <c r="N78" s="2">
        <v>794983.95150732156</v>
      </c>
      <c r="O78" s="2">
        <v>710788.26235191338</v>
      </c>
      <c r="P78" s="2">
        <v>577657.54229872138</v>
      </c>
      <c r="Q78" s="2">
        <v>564820.65800545225</v>
      </c>
      <c r="R78" s="2">
        <v>617474.07203626714</v>
      </c>
      <c r="S78" s="2">
        <v>665268.9457320153</v>
      </c>
      <c r="T78" s="2">
        <v>757071.2056481943</v>
      </c>
      <c r="U78" s="2">
        <v>722527.49953510845</v>
      </c>
      <c r="V78" s="2">
        <v>799603.10408144677</v>
      </c>
      <c r="W78" s="2">
        <v>845565.94929907785</v>
      </c>
      <c r="X78" s="2">
        <v>965396.2150000002</v>
      </c>
      <c r="Y78" s="2">
        <v>1020400.1744845061</v>
      </c>
      <c r="Z78" s="2">
        <v>1086433.0057682497</v>
      </c>
      <c r="AA78" s="2">
        <v>1184970.989119987</v>
      </c>
      <c r="AB78" s="2">
        <v>1315313.7435879693</v>
      </c>
      <c r="AC78" s="2">
        <v>1292940.6325755951</v>
      </c>
      <c r="AD78" s="2">
        <v>1338214.0133329036</v>
      </c>
      <c r="AE78" s="2">
        <v>1342331.3775901673</v>
      </c>
      <c r="AF78" s="2">
        <v>1426282.8583050752</v>
      </c>
      <c r="AG78" s="2">
        <v>1539864.6803549777</v>
      </c>
      <c r="AH78" s="2">
        <v>1416543.9611837391</v>
      </c>
      <c r="AI78" s="2">
        <v>1463061.3469900026</v>
      </c>
    </row>
    <row r="79" spans="1:35" x14ac:dyDescent="0.2">
      <c r="A79" s="1" t="s">
        <v>191</v>
      </c>
      <c r="B79" s="1" t="s">
        <v>194</v>
      </c>
      <c r="C79" s="1" t="s">
        <v>195</v>
      </c>
      <c r="D79" s="2">
        <v>27321.036820802205</v>
      </c>
      <c r="E79" s="2">
        <v>120239.59747376111</v>
      </c>
      <c r="F79" s="2">
        <v>275832.56831228832</v>
      </c>
      <c r="G79" s="2">
        <v>368492.67317581532</v>
      </c>
      <c r="H79" s="2">
        <v>907485.74665104586</v>
      </c>
      <c r="I79" s="2">
        <v>1679695.8525112297</v>
      </c>
      <c r="J79" s="2">
        <v>2466702.0908724964</v>
      </c>
      <c r="K79" s="2">
        <v>3172720.2805625596</v>
      </c>
      <c r="L79" s="2">
        <v>6191215.5394553887</v>
      </c>
      <c r="M79" s="2">
        <v>3834314.7567998492</v>
      </c>
      <c r="N79" s="2">
        <v>4228198.9897244396</v>
      </c>
      <c r="O79" s="2">
        <v>3956275.1562883896</v>
      </c>
      <c r="P79" s="2">
        <v>3633793.2520410866</v>
      </c>
      <c r="Q79" s="2">
        <v>3808449.524377001</v>
      </c>
      <c r="R79" s="2">
        <v>3696393.4199807812</v>
      </c>
      <c r="S79" s="2">
        <v>3956501.2718937621</v>
      </c>
      <c r="T79" s="2">
        <v>4549950.1498919418</v>
      </c>
      <c r="U79" s="2">
        <v>4496106.7495512236</v>
      </c>
      <c r="V79" s="2">
        <v>4887497.9001323981</v>
      </c>
      <c r="W79" s="2">
        <v>5272964.584396706</v>
      </c>
      <c r="X79" s="2">
        <v>5971642.6390000023</v>
      </c>
      <c r="Y79" s="2">
        <v>6279078.2059465088</v>
      </c>
      <c r="Z79" s="2">
        <v>6523982.7871757066</v>
      </c>
      <c r="AA79" s="2">
        <v>6926719.6621521404</v>
      </c>
      <c r="AB79" s="2">
        <v>7535596.6400207998</v>
      </c>
      <c r="AC79" s="2">
        <v>7093107.8314360669</v>
      </c>
      <c r="AD79" s="2">
        <v>7422048.5178357242</v>
      </c>
      <c r="AE79" s="2">
        <v>7157874.3963370677</v>
      </c>
      <c r="AF79" s="2">
        <v>7340327.3195461044</v>
      </c>
      <c r="AG79" s="2">
        <v>7576321.2623378839</v>
      </c>
      <c r="AH79" s="2">
        <v>6654788.4435820198</v>
      </c>
      <c r="AI79" s="2">
        <v>6897937.2453647461</v>
      </c>
    </row>
    <row r="80" spans="1:35" x14ac:dyDescent="0.2">
      <c r="A80" s="1" t="s">
        <v>191</v>
      </c>
      <c r="B80" s="1" t="s">
        <v>196</v>
      </c>
      <c r="C80" s="1" t="s">
        <v>197</v>
      </c>
      <c r="D80" s="2">
        <v>14040.5180990301</v>
      </c>
      <c r="E80" s="2">
        <v>33210.360424721803</v>
      </c>
      <c r="F80" s="2">
        <v>34148.858025114205</v>
      </c>
      <c r="G80" s="2">
        <v>133267.70151752071</v>
      </c>
      <c r="H80" s="2">
        <v>163818.00536336668</v>
      </c>
      <c r="I80" s="2">
        <v>298924.98590442009</v>
      </c>
      <c r="J80" s="2">
        <v>345612.65293487516</v>
      </c>
      <c r="K80" s="2">
        <v>450440.50304116594</v>
      </c>
      <c r="L80" s="2">
        <v>658411.20939690701</v>
      </c>
      <c r="M80" s="2">
        <v>530507.90822964965</v>
      </c>
      <c r="N80" s="2">
        <v>592400.29689502285</v>
      </c>
      <c r="O80" s="2">
        <v>551908.48692255712</v>
      </c>
      <c r="P80" s="2">
        <v>516322.84375439759</v>
      </c>
      <c r="Q80" s="2">
        <v>548769.46176029008</v>
      </c>
      <c r="R80" s="2">
        <v>654506.94976245961</v>
      </c>
      <c r="S80" s="2">
        <v>688867.02988653374</v>
      </c>
      <c r="T80" s="2">
        <v>707730.77640402259</v>
      </c>
      <c r="U80" s="2">
        <v>725762.92561156745</v>
      </c>
      <c r="V80" s="2">
        <v>857429.69733825873</v>
      </c>
      <c r="W80" s="2">
        <v>940879.86082925822</v>
      </c>
      <c r="X80" s="2">
        <v>985832.23299999989</v>
      </c>
      <c r="Y80" s="2">
        <v>1074160.7780957134</v>
      </c>
      <c r="Z80" s="2">
        <v>1209774.5321792599</v>
      </c>
      <c r="AA80" s="2">
        <v>1234075.5134282145</v>
      </c>
      <c r="AB80" s="2">
        <v>1415725.2410488203</v>
      </c>
      <c r="AC80" s="2">
        <v>1447968.6996195309</v>
      </c>
      <c r="AD80" s="2">
        <v>1351010.0400267751</v>
      </c>
      <c r="AE80" s="2">
        <v>1542465.9675926601</v>
      </c>
      <c r="AF80" s="2">
        <v>1646096.3177327877</v>
      </c>
      <c r="AG80" s="2">
        <v>1679037.9748246737</v>
      </c>
      <c r="AH80" s="2">
        <v>1756909.283334628</v>
      </c>
      <c r="AI80" s="2">
        <v>1893297.052473281</v>
      </c>
    </row>
    <row r="81" spans="1:35" x14ac:dyDescent="0.2">
      <c r="A81" s="1" t="s">
        <v>191</v>
      </c>
      <c r="B81" s="1" t="s">
        <v>198</v>
      </c>
      <c r="C81" s="1" t="s">
        <v>199</v>
      </c>
      <c r="D81" s="2">
        <v>9696.4706793606983</v>
      </c>
      <c r="E81" s="2">
        <v>26217.067535734896</v>
      </c>
      <c r="F81" s="2">
        <v>31077.608529773497</v>
      </c>
      <c r="G81" s="2">
        <v>48493.081946016595</v>
      </c>
      <c r="H81" s="2">
        <v>139866.82891782801</v>
      </c>
      <c r="I81" s="2">
        <v>215266.84030754559</v>
      </c>
      <c r="J81" s="2">
        <v>368858.24151607073</v>
      </c>
      <c r="K81" s="2">
        <v>446138.79550909606</v>
      </c>
      <c r="L81" s="2">
        <v>628512.73592274869</v>
      </c>
      <c r="M81" s="2">
        <v>508358.11595469218</v>
      </c>
      <c r="N81" s="2">
        <v>582449.45279505639</v>
      </c>
      <c r="O81" s="2">
        <v>541710.59510207735</v>
      </c>
      <c r="P81" s="2">
        <v>468786.4680980703</v>
      </c>
      <c r="Q81" s="2">
        <v>430450.07749194588</v>
      </c>
      <c r="R81" s="2">
        <v>508447.27879617794</v>
      </c>
      <c r="S81" s="2">
        <v>571994.70870458696</v>
      </c>
      <c r="T81" s="2">
        <v>660568.07417614537</v>
      </c>
      <c r="U81" s="2">
        <v>641076.92993040581</v>
      </c>
      <c r="V81" s="2">
        <v>717569.97886647109</v>
      </c>
      <c r="W81" s="2">
        <v>764164.07917906635</v>
      </c>
      <c r="X81" s="2">
        <v>865315.00199999975</v>
      </c>
      <c r="Y81" s="2">
        <v>917761.92030981462</v>
      </c>
      <c r="Z81" s="2">
        <v>970253.27178777824</v>
      </c>
      <c r="AA81" s="2">
        <v>1043488.9524366016</v>
      </c>
      <c r="AB81" s="2">
        <v>1130689.0081614496</v>
      </c>
      <c r="AC81" s="2">
        <v>1085941.8272355627</v>
      </c>
      <c r="AD81" s="2">
        <v>1170435.4498813844</v>
      </c>
      <c r="AE81" s="2">
        <v>1200472.8207401675</v>
      </c>
      <c r="AF81" s="2">
        <v>1173933.2449624655</v>
      </c>
      <c r="AG81" s="2">
        <v>1249621.0747496546</v>
      </c>
      <c r="AH81" s="2">
        <v>1194705.0673926771</v>
      </c>
      <c r="AI81" s="2">
        <v>1204280.1304073636</v>
      </c>
    </row>
    <row r="82" spans="1:35" x14ac:dyDescent="0.2">
      <c r="A82" s="1" t="s">
        <v>200</v>
      </c>
      <c r="B82" s="1" t="s">
        <v>201</v>
      </c>
      <c r="C82" s="1" t="s">
        <v>202</v>
      </c>
      <c r="G82" s="2">
        <v>528676.36463205714</v>
      </c>
      <c r="H82" s="2">
        <v>1290031.6382783421</v>
      </c>
      <c r="I82" s="2">
        <v>2233867.3407156235</v>
      </c>
      <c r="J82" s="2">
        <v>1772813.4005914791</v>
      </c>
      <c r="K82" s="2">
        <v>2421333.3922023866</v>
      </c>
      <c r="L82" s="2">
        <v>2410131.1450050781</v>
      </c>
      <c r="M82" s="2">
        <v>2762926.1337332595</v>
      </c>
      <c r="N82" s="2">
        <v>2747791.9571053688</v>
      </c>
      <c r="O82" s="2">
        <v>2521501.2371177655</v>
      </c>
      <c r="P82" s="2">
        <v>2600024.0662723547</v>
      </c>
      <c r="Q82" s="2">
        <v>2857629.508339047</v>
      </c>
      <c r="R82" s="2">
        <v>2913754.930140011</v>
      </c>
      <c r="S82" s="2">
        <v>2884319.5997919901</v>
      </c>
      <c r="T82" s="2">
        <v>2955897.5884807953</v>
      </c>
      <c r="U82" s="2">
        <v>3220912.5206518355</v>
      </c>
      <c r="V82" s="2">
        <v>3256791.1306667263</v>
      </c>
      <c r="W82" s="2">
        <v>3381165.6400878462</v>
      </c>
      <c r="X82" s="2">
        <v>3463201.3229999999</v>
      </c>
      <c r="Y82" s="2">
        <v>3642192.073573255</v>
      </c>
      <c r="Z82" s="2">
        <v>4191830.1601253115</v>
      </c>
      <c r="AA82" s="2">
        <v>4700144.1832599705</v>
      </c>
      <c r="AB82" s="2">
        <v>4780878.9988243766</v>
      </c>
      <c r="AC82" s="2">
        <v>4969645.7258830275</v>
      </c>
      <c r="AD82" s="2">
        <v>4898231.2649489529</v>
      </c>
      <c r="AE82" s="2">
        <v>5126456.3865494896</v>
      </c>
      <c r="AF82" s="2">
        <v>5135982.3956745379</v>
      </c>
      <c r="AG82" s="2">
        <v>5206524.2054307824</v>
      </c>
      <c r="AH82" s="2">
        <v>4804737.8332651947</v>
      </c>
      <c r="AI82" s="2">
        <v>4605840.7887361888</v>
      </c>
    </row>
    <row r="83" spans="1:35" x14ac:dyDescent="0.2">
      <c r="A83" s="1" t="s">
        <v>200</v>
      </c>
      <c r="B83" s="1" t="s">
        <v>203</v>
      </c>
      <c r="C83" s="1" t="s">
        <v>204</v>
      </c>
      <c r="F83" s="2">
        <v>12422.0358710784</v>
      </c>
      <c r="G83" s="2">
        <v>138376.15973159979</v>
      </c>
      <c r="H83" s="2">
        <v>739588.56601496751</v>
      </c>
      <c r="I83" s="2">
        <v>1184012.8963701217</v>
      </c>
      <c r="J83" s="2">
        <v>1176212.0940110548</v>
      </c>
      <c r="K83" s="2">
        <v>1564005.0424964475</v>
      </c>
      <c r="L83" s="2">
        <v>1365419.4575705493</v>
      </c>
      <c r="M83" s="2">
        <v>1935056.4894106206</v>
      </c>
      <c r="N83" s="2">
        <v>1922458.8340735575</v>
      </c>
      <c r="O83" s="2">
        <v>1926508.7952858184</v>
      </c>
      <c r="P83" s="2">
        <v>1678337.6497337576</v>
      </c>
      <c r="Q83" s="2">
        <v>1990942.7102305109</v>
      </c>
      <c r="R83" s="2">
        <v>2016631.3711508785</v>
      </c>
      <c r="S83" s="2">
        <v>1933339.9394262549</v>
      </c>
      <c r="T83" s="2">
        <v>1967968.5301739243</v>
      </c>
      <c r="U83" s="2">
        <v>2091040.0627240934</v>
      </c>
      <c r="V83" s="2">
        <v>2301961.4206091305</v>
      </c>
      <c r="W83" s="2">
        <v>2219458.7148643686</v>
      </c>
      <c r="X83" s="2">
        <v>2117133.4050000003</v>
      </c>
      <c r="Y83" s="2">
        <v>2301794.8654310526</v>
      </c>
      <c r="Z83" s="2">
        <v>2509191.9346032981</v>
      </c>
      <c r="AA83" s="2">
        <v>2701770.3704967774</v>
      </c>
      <c r="AB83" s="2">
        <v>2778560.6514546918</v>
      </c>
      <c r="AC83" s="2">
        <v>2852880.4314733245</v>
      </c>
      <c r="AD83" s="2">
        <v>2848045.1982310456</v>
      </c>
      <c r="AE83" s="2">
        <v>2803007.741915171</v>
      </c>
      <c r="AF83" s="2">
        <v>3096995.0369056216</v>
      </c>
      <c r="AG83" s="2">
        <v>2923258.363629634</v>
      </c>
      <c r="AH83" s="2">
        <v>2934601.4145200592</v>
      </c>
      <c r="AI83" s="2">
        <v>2804042.7140499684</v>
      </c>
    </row>
    <row r="84" spans="1:35" x14ac:dyDescent="0.2">
      <c r="A84" s="1" t="s">
        <v>200</v>
      </c>
      <c r="B84" s="1" t="s">
        <v>205</v>
      </c>
      <c r="C84" s="1" t="s">
        <v>206</v>
      </c>
      <c r="D84" s="2">
        <v>1112.9310560788999</v>
      </c>
      <c r="E84" s="2">
        <v>48319.183479330997</v>
      </c>
      <c r="F84" s="2">
        <v>725422.3539517693</v>
      </c>
      <c r="G84" s="2">
        <v>1687883.2036867114</v>
      </c>
      <c r="H84" s="2">
        <v>4203480.5994584374</v>
      </c>
      <c r="I84" s="2">
        <v>7637448.4103607591</v>
      </c>
      <c r="J84" s="2">
        <v>7614763.286046396</v>
      </c>
      <c r="K84" s="2">
        <v>9348457.3104127739</v>
      </c>
      <c r="L84" s="2">
        <v>12708722.76934273</v>
      </c>
      <c r="M84" s="2">
        <v>13121528.838066973</v>
      </c>
      <c r="N84" s="2">
        <v>13159733.97278958</v>
      </c>
      <c r="O84" s="2">
        <v>12645306.593764473</v>
      </c>
      <c r="P84" s="2">
        <v>12085269.063382998</v>
      </c>
      <c r="Q84" s="2">
        <v>13544996.990550939</v>
      </c>
      <c r="R84" s="2">
        <v>14191913.148868702</v>
      </c>
      <c r="S84" s="2">
        <v>13818500.193088641</v>
      </c>
      <c r="T84" s="2">
        <v>14519256.906014374</v>
      </c>
      <c r="U84" s="2">
        <v>16720284.046749417</v>
      </c>
      <c r="V84" s="2">
        <v>16055667.658508211</v>
      </c>
      <c r="W84" s="2">
        <v>17127499.968293492</v>
      </c>
      <c r="X84" s="2">
        <v>17948407.979999997</v>
      </c>
      <c r="Y84" s="2">
        <v>18761845.046827532</v>
      </c>
      <c r="Z84" s="2">
        <v>20489897.668881919</v>
      </c>
      <c r="AA84" s="2">
        <v>23047604.967242416</v>
      </c>
      <c r="AB84" s="2">
        <v>22739760.364128958</v>
      </c>
      <c r="AC84" s="2">
        <v>23338904.285235807</v>
      </c>
      <c r="AD84" s="2">
        <v>22187567.831928868</v>
      </c>
      <c r="AE84" s="2">
        <v>22609604.111163232</v>
      </c>
      <c r="AF84" s="2">
        <v>23104760.30857728</v>
      </c>
      <c r="AG84" s="2">
        <v>23635416.556628808</v>
      </c>
      <c r="AH84" s="2">
        <v>21643310.837836936</v>
      </c>
      <c r="AI84" s="2">
        <v>21238409.694890168</v>
      </c>
    </row>
    <row r="85" spans="1:35" x14ac:dyDescent="0.2">
      <c r="A85" s="1" t="s">
        <v>200</v>
      </c>
      <c r="B85" s="1" t="s">
        <v>207</v>
      </c>
      <c r="C85" s="1" t="s">
        <v>208</v>
      </c>
      <c r="D85" s="2">
        <v>10924.224876624601</v>
      </c>
      <c r="E85" s="2">
        <v>114592.43499779262</v>
      </c>
      <c r="F85" s="2">
        <v>536868.69732179784</v>
      </c>
      <c r="G85" s="2">
        <v>710824.91546061717</v>
      </c>
      <c r="H85" s="2">
        <v>1217983.0487881578</v>
      </c>
      <c r="I85" s="2">
        <v>1732764.0988402977</v>
      </c>
      <c r="J85" s="2">
        <v>1626373.511236873</v>
      </c>
      <c r="K85" s="2">
        <v>2315083.1634994065</v>
      </c>
      <c r="L85" s="2">
        <v>1939798.9689692091</v>
      </c>
      <c r="M85" s="2">
        <v>2161935.1118873022</v>
      </c>
      <c r="N85" s="2">
        <v>2153707.6017487822</v>
      </c>
      <c r="O85" s="2">
        <v>2085467.8343456057</v>
      </c>
      <c r="P85" s="2">
        <v>2050125.0812835605</v>
      </c>
      <c r="Q85" s="2">
        <v>2223709.9800470877</v>
      </c>
      <c r="R85" s="2">
        <v>2291315.86380539</v>
      </c>
      <c r="S85" s="2">
        <v>2234985.9254148323</v>
      </c>
      <c r="T85" s="2">
        <v>2303665.8359822957</v>
      </c>
      <c r="U85" s="2">
        <v>2527836.1560865692</v>
      </c>
      <c r="V85" s="2">
        <v>2467392.6902194042</v>
      </c>
      <c r="W85" s="2">
        <v>2604886.8054719334</v>
      </c>
      <c r="X85" s="2">
        <v>2562250.6580000012</v>
      </c>
      <c r="Y85" s="2">
        <v>2717067.0535068531</v>
      </c>
      <c r="Z85" s="2">
        <v>2869616.73761542</v>
      </c>
      <c r="AA85" s="2">
        <v>3134109.8249766757</v>
      </c>
      <c r="AB85" s="2">
        <v>3192406.860860819</v>
      </c>
      <c r="AC85" s="2">
        <v>3411131.1208939306</v>
      </c>
      <c r="AD85" s="2">
        <v>3366987.3605773821</v>
      </c>
      <c r="AE85" s="2">
        <v>3515395.6086000465</v>
      </c>
      <c r="AF85" s="2">
        <v>3574076.0114141963</v>
      </c>
      <c r="AG85" s="2">
        <v>3537930.2537376052</v>
      </c>
      <c r="AH85" s="2">
        <v>3352158.9966538092</v>
      </c>
      <c r="AI85" s="2">
        <v>3227273.2006801781</v>
      </c>
    </row>
    <row r="86" spans="1:35" x14ac:dyDescent="0.2">
      <c r="A86" s="1" t="s">
        <v>200</v>
      </c>
      <c r="B86" s="1" t="s">
        <v>209</v>
      </c>
      <c r="C86" s="1" t="s">
        <v>210</v>
      </c>
      <c r="D86" s="2">
        <v>32548.199031560598</v>
      </c>
      <c r="E86" s="2">
        <v>195330.50450610678</v>
      </c>
      <c r="F86" s="2">
        <v>409956.0554152471</v>
      </c>
      <c r="G86" s="2">
        <v>401466.6425530233</v>
      </c>
      <c r="H86" s="2">
        <v>1056558.2534359824</v>
      </c>
      <c r="I86" s="2">
        <v>2369689.3409535922</v>
      </c>
      <c r="J86" s="2">
        <v>2409493.8653282872</v>
      </c>
      <c r="K86" s="2">
        <v>3282213.0433124295</v>
      </c>
      <c r="L86" s="2">
        <v>3231510.7147101364</v>
      </c>
      <c r="M86" s="2">
        <v>3361661.8866639091</v>
      </c>
      <c r="N86" s="2">
        <v>3364789.4403237221</v>
      </c>
      <c r="O86" s="2">
        <v>3274399.3460787702</v>
      </c>
      <c r="P86" s="2">
        <v>3548295.8901050459</v>
      </c>
      <c r="Q86" s="2">
        <v>3991161.6766922716</v>
      </c>
      <c r="R86" s="2">
        <v>4186305.893785188</v>
      </c>
      <c r="S86" s="2">
        <v>4091649.1496479651</v>
      </c>
      <c r="T86" s="2">
        <v>4289735.5206434177</v>
      </c>
      <c r="U86" s="2">
        <v>4933910.2247686125</v>
      </c>
      <c r="V86" s="2">
        <v>4805535.9677421618</v>
      </c>
      <c r="W86" s="2">
        <v>4881426.786630692</v>
      </c>
      <c r="X86" s="2">
        <v>4933765.9040000001</v>
      </c>
      <c r="Y86" s="2">
        <v>5147272.8298912244</v>
      </c>
      <c r="Z86" s="2">
        <v>5572688.8471204229</v>
      </c>
      <c r="AA86" s="2">
        <v>6164176.8669524165</v>
      </c>
      <c r="AB86" s="2">
        <v>6229265.4319211915</v>
      </c>
      <c r="AC86" s="2">
        <v>6420398.0734057147</v>
      </c>
      <c r="AD86" s="2">
        <v>6441876.9446891788</v>
      </c>
      <c r="AE86" s="2">
        <v>6758912.2736829873</v>
      </c>
      <c r="AF86" s="2">
        <v>6802933.240283085</v>
      </c>
      <c r="AG86" s="2">
        <v>6967729.9198051784</v>
      </c>
      <c r="AH86" s="2">
        <v>6401122.1293209847</v>
      </c>
      <c r="AI86" s="2">
        <v>6431831.6425955025</v>
      </c>
    </row>
    <row r="87" spans="1:35" x14ac:dyDescent="0.2">
      <c r="A87" s="1" t="s">
        <v>200</v>
      </c>
      <c r="B87" s="1" t="s">
        <v>211</v>
      </c>
      <c r="C87" s="1" t="s">
        <v>212</v>
      </c>
      <c r="D87" s="2">
        <v>3862.2122422021998</v>
      </c>
      <c r="E87" s="2">
        <v>12552.736973314701</v>
      </c>
      <c r="F87" s="2">
        <v>15417.4715982705</v>
      </c>
      <c r="G87" s="2">
        <v>205145.60499974241</v>
      </c>
      <c r="H87" s="2">
        <v>1311913.494724167</v>
      </c>
      <c r="I87" s="2">
        <v>3532409.9470935171</v>
      </c>
      <c r="J87" s="2">
        <v>4839600.5131868264</v>
      </c>
      <c r="K87" s="2">
        <v>5548544.5690194173</v>
      </c>
      <c r="L87" s="2">
        <v>6291988.0944531159</v>
      </c>
      <c r="M87" s="2">
        <v>6914828.5267079743</v>
      </c>
      <c r="N87" s="2">
        <v>6998346.4842894208</v>
      </c>
      <c r="O87" s="2">
        <v>6722386.042801911</v>
      </c>
      <c r="P87" s="2">
        <v>7179003.4040618036</v>
      </c>
      <c r="Q87" s="2">
        <v>8231337.8300280562</v>
      </c>
      <c r="R87" s="2">
        <v>8472857.954899786</v>
      </c>
      <c r="S87" s="2">
        <v>8269969.4085826734</v>
      </c>
      <c r="T87" s="2">
        <v>8516652.577410154</v>
      </c>
      <c r="U87" s="2">
        <v>9691941.8078236766</v>
      </c>
      <c r="V87" s="2">
        <v>9749255.3175716978</v>
      </c>
      <c r="W87" s="2">
        <v>9756193.5862181354</v>
      </c>
      <c r="X87" s="2">
        <v>9872573.6630000025</v>
      </c>
      <c r="Y87" s="2">
        <v>10632116.89710182</v>
      </c>
      <c r="Z87" s="2">
        <v>11544862.345074749</v>
      </c>
      <c r="AA87" s="2">
        <v>12981535.449644972</v>
      </c>
      <c r="AB87" s="2">
        <v>13150934.491567373</v>
      </c>
      <c r="AC87" s="2">
        <v>13495706.107499847</v>
      </c>
      <c r="AD87" s="2">
        <v>13524143.211228317</v>
      </c>
      <c r="AE87" s="2">
        <v>13409264.133215891</v>
      </c>
      <c r="AF87" s="2">
        <v>13897172.809226178</v>
      </c>
      <c r="AG87" s="2">
        <v>13786861.190716794</v>
      </c>
      <c r="AH87" s="2">
        <v>12835395.710779926</v>
      </c>
      <c r="AI87" s="2">
        <v>12576525.019934928</v>
      </c>
    </row>
    <row r="88" spans="1:35" x14ac:dyDescent="0.2">
      <c r="A88" s="1" t="s">
        <v>200</v>
      </c>
      <c r="B88" s="1" t="s">
        <v>213</v>
      </c>
      <c r="C88" s="1" t="s">
        <v>214</v>
      </c>
      <c r="G88" s="2">
        <v>135128.6922106437</v>
      </c>
      <c r="H88" s="2">
        <v>537007.13304731436</v>
      </c>
      <c r="I88" s="2">
        <v>1216426.8114532351</v>
      </c>
      <c r="J88" s="2">
        <v>1517168.5161576958</v>
      </c>
      <c r="K88" s="2">
        <v>1607948.8706741345</v>
      </c>
      <c r="L88" s="2">
        <v>3275800.0868149004</v>
      </c>
      <c r="M88" s="2">
        <v>2026304.2882830761</v>
      </c>
      <c r="N88" s="2">
        <v>2074491.3879756578</v>
      </c>
      <c r="O88" s="2">
        <v>1922505.9819490418</v>
      </c>
      <c r="P88" s="2">
        <v>2010454.9830073561</v>
      </c>
      <c r="Q88" s="2">
        <v>2411601.2635707664</v>
      </c>
      <c r="R88" s="2">
        <v>2507775.2270477521</v>
      </c>
      <c r="S88" s="2">
        <v>2439557.4832864678</v>
      </c>
      <c r="T88" s="2">
        <v>2460440.3489748049</v>
      </c>
      <c r="U88" s="2">
        <v>2911062.8200503443</v>
      </c>
      <c r="V88" s="2">
        <v>2998453.5040169246</v>
      </c>
      <c r="W88" s="2">
        <v>3143186.8102385104</v>
      </c>
      <c r="X88" s="2">
        <v>2982972.0789999994</v>
      </c>
      <c r="Y88" s="2">
        <v>3203131.5815025605</v>
      </c>
      <c r="Z88" s="2">
        <v>3497659.6915948945</v>
      </c>
      <c r="AA88" s="2">
        <v>4154286.9589636521</v>
      </c>
      <c r="AB88" s="2">
        <v>4325975.0234859195</v>
      </c>
      <c r="AC88" s="2">
        <v>4507203.8953701295</v>
      </c>
      <c r="AD88" s="2">
        <v>4549429.4019575631</v>
      </c>
      <c r="AE88" s="2">
        <v>4607016.1301918188</v>
      </c>
      <c r="AF88" s="2">
        <v>4780088.6392322769</v>
      </c>
      <c r="AG88" s="2">
        <v>4707418.6788763283</v>
      </c>
      <c r="AH88" s="2">
        <v>4429235.2753308332</v>
      </c>
      <c r="AI88" s="2">
        <v>4503849.9372458328</v>
      </c>
    </row>
    <row r="89" spans="1:35" x14ac:dyDescent="0.2">
      <c r="A89" s="1" t="s">
        <v>200</v>
      </c>
      <c r="B89" s="1" t="s">
        <v>215</v>
      </c>
      <c r="C89" s="1" t="s">
        <v>216</v>
      </c>
      <c r="D89" s="2">
        <v>7625.0884612928003</v>
      </c>
      <c r="E89" s="2">
        <v>26646.329180540703</v>
      </c>
      <c r="F89" s="2">
        <v>83020.486106417709</v>
      </c>
      <c r="G89" s="2">
        <v>224320.0149770233</v>
      </c>
      <c r="H89" s="2">
        <v>665163.25094014814</v>
      </c>
      <c r="I89" s="2">
        <v>1391275.395285096</v>
      </c>
      <c r="J89" s="2">
        <v>1462183.0195938095</v>
      </c>
      <c r="K89" s="2">
        <v>1665911.6582603687</v>
      </c>
      <c r="L89" s="2">
        <v>1647482.7648190698</v>
      </c>
      <c r="M89" s="2">
        <v>2247661.5547260907</v>
      </c>
      <c r="N89" s="2">
        <v>2268934.6742067221</v>
      </c>
      <c r="O89" s="2">
        <v>2203063.7736303648</v>
      </c>
      <c r="P89" s="2">
        <v>1898120.4936609499</v>
      </c>
      <c r="Q89" s="2">
        <v>2208544.2682156353</v>
      </c>
      <c r="R89" s="2">
        <v>2345441.9452739432</v>
      </c>
      <c r="S89" s="2">
        <v>2234611.8638401316</v>
      </c>
      <c r="T89" s="2">
        <v>2313674.0115223723</v>
      </c>
      <c r="U89" s="2">
        <v>2625053.9461990721</v>
      </c>
      <c r="V89" s="2">
        <v>2611544.6389530539</v>
      </c>
      <c r="W89" s="2">
        <v>2564895.2572088246</v>
      </c>
      <c r="X89" s="2">
        <v>2559523.4379999996</v>
      </c>
      <c r="Y89" s="2">
        <v>2707550.085284838</v>
      </c>
      <c r="Z89" s="2">
        <v>2904857.305199693</v>
      </c>
      <c r="AA89" s="2">
        <v>3367500.4463688545</v>
      </c>
      <c r="AB89" s="2">
        <v>3402985.9929280356</v>
      </c>
      <c r="AC89" s="2">
        <v>3469987.5889079454</v>
      </c>
      <c r="AD89" s="2">
        <v>3516814.7696472746</v>
      </c>
      <c r="AE89" s="2">
        <v>3525183.8526942055</v>
      </c>
      <c r="AF89" s="2">
        <v>3718752.9740059674</v>
      </c>
      <c r="AG89" s="2">
        <v>3606228.8160236171</v>
      </c>
      <c r="AH89" s="2">
        <v>3694634.6426947932</v>
      </c>
      <c r="AI89" s="2">
        <v>3683762.2538812142</v>
      </c>
    </row>
    <row r="90" spans="1:35" x14ac:dyDescent="0.2">
      <c r="A90" s="1" t="s">
        <v>200</v>
      </c>
      <c r="B90" s="1" t="s">
        <v>217</v>
      </c>
      <c r="C90" s="1" t="s">
        <v>218</v>
      </c>
      <c r="D90" s="2">
        <v>19878.9941193495</v>
      </c>
      <c r="E90" s="2">
        <v>88586.02249433969</v>
      </c>
      <c r="F90" s="2">
        <v>189116.65418833631</v>
      </c>
      <c r="G90" s="2">
        <v>225808.57665672191</v>
      </c>
      <c r="H90" s="2">
        <v>541101.62883579638</v>
      </c>
      <c r="I90" s="2">
        <v>708279.38811354083</v>
      </c>
      <c r="J90" s="2">
        <v>831706.13945868402</v>
      </c>
      <c r="K90" s="2">
        <v>1041090.0898914452</v>
      </c>
      <c r="L90" s="2">
        <v>1010834.6840803731</v>
      </c>
      <c r="M90" s="2">
        <v>1127381.7531023147</v>
      </c>
      <c r="N90" s="2">
        <v>1137637.9270621638</v>
      </c>
      <c r="O90" s="2">
        <v>1074787.7121421858</v>
      </c>
      <c r="P90" s="2">
        <v>1212204.6800598283</v>
      </c>
      <c r="Q90" s="2">
        <v>1394460.8067622003</v>
      </c>
      <c r="R90" s="2">
        <v>1463798.5571538433</v>
      </c>
      <c r="S90" s="2">
        <v>1472262.1508421672</v>
      </c>
      <c r="T90" s="2">
        <v>1564907.0070604291</v>
      </c>
      <c r="U90" s="2">
        <v>1707750.8177280943</v>
      </c>
      <c r="V90" s="2">
        <v>1740374.0585744604</v>
      </c>
      <c r="W90" s="2">
        <v>1816592.1885793554</v>
      </c>
      <c r="X90" s="2">
        <v>1717473.3610000005</v>
      </c>
      <c r="Y90" s="2">
        <v>1749552.7897663475</v>
      </c>
      <c r="Z90" s="2">
        <v>1897998.5939386715</v>
      </c>
      <c r="AA90" s="2">
        <v>2208509.3736244445</v>
      </c>
      <c r="AB90" s="2">
        <v>2221643.605351198</v>
      </c>
      <c r="AC90" s="2">
        <v>2324623.2237267001</v>
      </c>
      <c r="AD90" s="2">
        <v>2246843.1167661352</v>
      </c>
      <c r="AE90" s="2">
        <v>2359658.2942984691</v>
      </c>
      <c r="AF90" s="2">
        <v>2427710.0710871476</v>
      </c>
      <c r="AG90" s="2">
        <v>2409102.6109292642</v>
      </c>
      <c r="AH90" s="2">
        <v>2231728.9923286531</v>
      </c>
      <c r="AI90" s="2">
        <v>2298195.8086189958</v>
      </c>
    </row>
    <row r="91" spans="1:35" x14ac:dyDescent="0.2">
      <c r="A91" s="1" t="s">
        <v>200</v>
      </c>
      <c r="B91" s="1" t="s">
        <v>219</v>
      </c>
      <c r="C91" s="1" t="s">
        <v>220</v>
      </c>
      <c r="D91" s="2">
        <v>98078.410765148583</v>
      </c>
      <c r="E91" s="2">
        <v>730953.33283330663</v>
      </c>
      <c r="F91" s="2">
        <v>1110231.1850934362</v>
      </c>
      <c r="G91" s="2">
        <v>3469679.2964840708</v>
      </c>
      <c r="H91" s="2">
        <v>7914758.6042080084</v>
      </c>
      <c r="I91" s="2">
        <v>13949885.723349757</v>
      </c>
      <c r="J91" s="2">
        <v>21731679.09541703</v>
      </c>
      <c r="K91" s="2">
        <v>24122533.779934257</v>
      </c>
      <c r="L91" s="2">
        <v>38507770.132463358</v>
      </c>
      <c r="M91" s="2">
        <v>34972383.549496703</v>
      </c>
      <c r="N91" s="2">
        <v>34392611.692862965</v>
      </c>
      <c r="O91" s="2">
        <v>34836701.402007692</v>
      </c>
      <c r="P91" s="2">
        <v>32177440.330384504</v>
      </c>
      <c r="Q91" s="2">
        <v>35467092.964912854</v>
      </c>
      <c r="R91" s="2">
        <v>36716168.360136919</v>
      </c>
      <c r="S91" s="2">
        <v>36111117.426536903</v>
      </c>
      <c r="T91" s="2">
        <v>37937930.739221804</v>
      </c>
      <c r="U91" s="2">
        <v>45372183.387310609</v>
      </c>
      <c r="V91" s="2">
        <v>45833769.785223447</v>
      </c>
      <c r="W91" s="2">
        <v>46450994.191110633</v>
      </c>
      <c r="X91" s="2">
        <v>49011978.841999985</v>
      </c>
      <c r="Y91" s="2">
        <v>49910105.253017567</v>
      </c>
      <c r="Z91" s="2">
        <v>51231577.956698187</v>
      </c>
      <c r="AA91" s="2">
        <v>54312739.911263771</v>
      </c>
      <c r="AB91" s="2">
        <v>52363136.843227692</v>
      </c>
      <c r="AC91" s="2">
        <v>52028004.226415962</v>
      </c>
      <c r="AD91" s="2">
        <v>48893366.243221946</v>
      </c>
      <c r="AE91" s="2">
        <v>49234266.277996413</v>
      </c>
      <c r="AF91" s="2">
        <v>50301449.104949459</v>
      </c>
      <c r="AG91" s="2">
        <v>51479828.374686509</v>
      </c>
      <c r="AH91" s="2">
        <v>44214643.862395652</v>
      </c>
      <c r="AI91" s="2">
        <v>44683896.824483097</v>
      </c>
    </row>
    <row r="92" spans="1:35" x14ac:dyDescent="0.2">
      <c r="A92" s="1" t="s">
        <v>221</v>
      </c>
      <c r="B92" s="1" t="s">
        <v>222</v>
      </c>
      <c r="C92" s="1" t="s">
        <v>223</v>
      </c>
      <c r="D92" s="2">
        <v>33934.661314847202</v>
      </c>
      <c r="E92" s="2">
        <v>142343.17139082821</v>
      </c>
      <c r="F92" s="2">
        <v>126126.0485859195</v>
      </c>
      <c r="G92" s="2">
        <v>215801.2150413506</v>
      </c>
      <c r="H92" s="2">
        <v>317692.1250732764</v>
      </c>
      <c r="I92" s="2">
        <v>634837.25238347868</v>
      </c>
      <c r="J92" s="2">
        <v>665500.94983807951</v>
      </c>
      <c r="K92" s="2">
        <v>761584.9908842243</v>
      </c>
      <c r="L92" s="2">
        <v>1303326.6999577612</v>
      </c>
      <c r="M92" s="2">
        <v>1601209.9377998249</v>
      </c>
      <c r="N92" s="2">
        <v>1584272.3540890042</v>
      </c>
      <c r="O92" s="2">
        <v>1515941.9626172045</v>
      </c>
      <c r="P92" s="2">
        <v>1386945.8887989111</v>
      </c>
      <c r="Q92" s="2">
        <v>1381016.4766576544</v>
      </c>
      <c r="R92" s="2">
        <v>1391764.9130070431</v>
      </c>
      <c r="S92" s="2">
        <v>1407352.0713982079</v>
      </c>
      <c r="T92" s="2">
        <v>1416255.6953488071</v>
      </c>
      <c r="U92" s="2">
        <v>1400294.2223803385</v>
      </c>
      <c r="V92" s="2">
        <v>1529707.4426744774</v>
      </c>
      <c r="W92" s="2">
        <v>1577289.0966760213</v>
      </c>
      <c r="X92" s="2">
        <v>1591236.5109999999</v>
      </c>
      <c r="Y92" s="2">
        <v>1639143.9942399024</v>
      </c>
      <c r="Z92" s="2">
        <v>1725348.3886332472</v>
      </c>
      <c r="AA92" s="2">
        <v>1786493.3049002625</v>
      </c>
      <c r="AB92" s="2">
        <v>2240319.316970265</v>
      </c>
      <c r="AC92" s="2">
        <v>1979532.8790945436</v>
      </c>
      <c r="AD92" s="2">
        <v>1948538.2661024143</v>
      </c>
      <c r="AE92" s="2">
        <v>1954485.8134728731</v>
      </c>
      <c r="AF92" s="2">
        <v>1928868.6404352386</v>
      </c>
      <c r="AG92" s="2">
        <v>1966568.8763370933</v>
      </c>
      <c r="AH92" s="2">
        <v>1926119.3695339931</v>
      </c>
      <c r="AI92" s="2">
        <v>1721301.6643948192</v>
      </c>
    </row>
    <row r="93" spans="1:35" x14ac:dyDescent="0.2">
      <c r="A93" s="1" t="s">
        <v>221</v>
      </c>
      <c r="B93" s="1" t="s">
        <v>224</v>
      </c>
      <c r="C93" s="1" t="s">
        <v>225</v>
      </c>
      <c r="D93" s="2">
        <v>87645.809803008597</v>
      </c>
      <c r="E93" s="2">
        <v>353613.46752051968</v>
      </c>
      <c r="F93" s="2">
        <v>302446.71590121457</v>
      </c>
      <c r="G93" s="2">
        <v>778398.90966879658</v>
      </c>
      <c r="H93" s="2">
        <v>1005119.7991539034</v>
      </c>
      <c r="I93" s="2">
        <v>2046772.1637150864</v>
      </c>
      <c r="J93" s="2">
        <v>2560951.8361957679</v>
      </c>
      <c r="K93" s="2">
        <v>3121339.2570742522</v>
      </c>
      <c r="L93" s="2">
        <v>3579626.7552853692</v>
      </c>
      <c r="M93" s="2">
        <v>4310486.4186049113</v>
      </c>
      <c r="N93" s="2">
        <v>4426931.4328951444</v>
      </c>
      <c r="O93" s="2">
        <v>4644519.1734376559</v>
      </c>
      <c r="P93" s="2">
        <v>10772783.834187992</v>
      </c>
      <c r="Q93" s="2">
        <v>11002379.365808411</v>
      </c>
      <c r="R93" s="2">
        <v>11220568.646997213</v>
      </c>
      <c r="S93" s="2">
        <v>13852419.185697872</v>
      </c>
      <c r="T93" s="2">
        <v>14250685.179086091</v>
      </c>
      <c r="U93" s="2">
        <v>14857378.725507203</v>
      </c>
      <c r="V93" s="2">
        <v>19619122.369844943</v>
      </c>
      <c r="W93" s="2">
        <v>16850977.899376467</v>
      </c>
      <c r="X93" s="2">
        <v>18359336.662</v>
      </c>
      <c r="Y93" s="2">
        <v>20698272.300020233</v>
      </c>
      <c r="Z93" s="2">
        <v>21271831.940360025</v>
      </c>
      <c r="AA93" s="2">
        <v>21333500.107059021</v>
      </c>
      <c r="AB93" s="2">
        <v>20462183.344729066</v>
      </c>
      <c r="AC93" s="2">
        <v>15525121.730762407</v>
      </c>
      <c r="AD93" s="2">
        <v>11211945.805085177</v>
      </c>
      <c r="AE93" s="2">
        <v>11239767.997436881</v>
      </c>
      <c r="AF93" s="2">
        <v>12403354.007390805</v>
      </c>
      <c r="AG93" s="2">
        <v>12257443.904708011</v>
      </c>
      <c r="AH93" s="2">
        <v>10832564.30000275</v>
      </c>
      <c r="AI93" s="2">
        <v>10983479.537500178</v>
      </c>
    </row>
    <row r="94" spans="1:35" x14ac:dyDescent="0.2">
      <c r="A94" s="1" t="s">
        <v>221</v>
      </c>
      <c r="B94" s="1" t="s">
        <v>226</v>
      </c>
      <c r="C94" s="1" t="s">
        <v>227</v>
      </c>
      <c r="D94" s="2">
        <v>52287.215763300599</v>
      </c>
      <c r="E94" s="2">
        <v>170535.86985330738</v>
      </c>
      <c r="F94" s="2">
        <v>320264.99049887783</v>
      </c>
      <c r="G94" s="2">
        <v>597346.86176119128</v>
      </c>
      <c r="H94" s="2">
        <v>748005.71680541965</v>
      </c>
      <c r="I94" s="2">
        <v>1333387.5985754339</v>
      </c>
      <c r="J94" s="2">
        <v>1603312.0762221997</v>
      </c>
      <c r="K94" s="2">
        <v>1635872.4157525417</v>
      </c>
      <c r="L94" s="2">
        <v>2713272.8911653045</v>
      </c>
      <c r="M94" s="2">
        <v>3110313.834856675</v>
      </c>
      <c r="N94" s="2">
        <v>3107672.5414004214</v>
      </c>
      <c r="O94" s="2">
        <v>2911390.6916688881</v>
      </c>
      <c r="P94" s="2">
        <v>2610511.4476114558</v>
      </c>
      <c r="Q94" s="2">
        <v>2519327.9706468778</v>
      </c>
      <c r="R94" s="2">
        <v>2589809.7652559597</v>
      </c>
      <c r="S94" s="2">
        <v>2503603.689338115</v>
      </c>
      <c r="T94" s="2">
        <v>2664677.692688996</v>
      </c>
      <c r="U94" s="2">
        <v>2787579.3017827803</v>
      </c>
      <c r="V94" s="2">
        <v>2940104.8599092397</v>
      </c>
      <c r="W94" s="2">
        <v>3288275.7480486049</v>
      </c>
      <c r="X94" s="2">
        <v>3345459.4940000004</v>
      </c>
      <c r="Y94" s="2">
        <v>3229628.015228373</v>
      </c>
      <c r="Z94" s="2">
        <v>3420425.7751786062</v>
      </c>
      <c r="AA94" s="2">
        <v>3479510.9868733445</v>
      </c>
      <c r="AB94" s="2">
        <v>3739675.0226350506</v>
      </c>
      <c r="AC94" s="2">
        <v>3837943.1139778038</v>
      </c>
      <c r="AD94" s="2">
        <v>3878388.2234911243</v>
      </c>
      <c r="AE94" s="2">
        <v>3804591.2262619738</v>
      </c>
      <c r="AF94" s="2">
        <v>3701552.0300005269</v>
      </c>
      <c r="AG94" s="2">
        <v>3721508.0644587702</v>
      </c>
      <c r="AH94" s="2">
        <v>3789793.9438094562</v>
      </c>
      <c r="AI94" s="2">
        <v>3469149.9258273719</v>
      </c>
    </row>
    <row r="95" spans="1:35" x14ac:dyDescent="0.2">
      <c r="A95" s="1" t="s">
        <v>221</v>
      </c>
      <c r="B95" s="1" t="s">
        <v>228</v>
      </c>
      <c r="C95" s="1" t="s">
        <v>229</v>
      </c>
      <c r="D95" s="2">
        <v>25775.533356752101</v>
      </c>
      <c r="E95" s="2">
        <v>50070.000306080896</v>
      </c>
      <c r="F95" s="2">
        <v>48313.731192677602</v>
      </c>
      <c r="G95" s="2">
        <v>162083.88239254159</v>
      </c>
      <c r="H95" s="2">
        <v>391226.82803338283</v>
      </c>
      <c r="I95" s="2">
        <v>685788.36353259417</v>
      </c>
      <c r="J95" s="2">
        <v>1092855.369976853</v>
      </c>
      <c r="K95" s="2">
        <v>1241912.2835242751</v>
      </c>
      <c r="L95" s="2">
        <v>2019548.3772658836</v>
      </c>
      <c r="M95" s="2">
        <v>3099018.418238577</v>
      </c>
      <c r="N95" s="2">
        <v>2948876.664239815</v>
      </c>
      <c r="O95" s="2">
        <v>2882038.1177892</v>
      </c>
      <c r="P95" s="2">
        <v>5426166.9763249215</v>
      </c>
      <c r="Q95" s="2">
        <v>5267816.1924674315</v>
      </c>
      <c r="R95" s="2">
        <v>5425436.9997701077</v>
      </c>
      <c r="S95" s="2">
        <v>7566170.252139302</v>
      </c>
      <c r="T95" s="2">
        <v>7904045.2440082338</v>
      </c>
      <c r="U95" s="2">
        <v>7683040.8149063392</v>
      </c>
      <c r="V95" s="2">
        <v>8642279.5889601987</v>
      </c>
      <c r="W95" s="2">
        <v>8234230.7061746307</v>
      </c>
      <c r="X95" s="2">
        <v>8683798.7290000003</v>
      </c>
      <c r="Y95" s="2">
        <v>10017235.075470965</v>
      </c>
      <c r="Z95" s="2">
        <v>11359004.05729085</v>
      </c>
      <c r="AA95" s="2">
        <v>11415637.818572806</v>
      </c>
      <c r="AB95" s="2">
        <v>10864895.623902913</v>
      </c>
      <c r="AC95" s="2">
        <v>8128628.3571788082</v>
      </c>
      <c r="AD95" s="2">
        <v>6498823.9920808738</v>
      </c>
      <c r="AE95" s="2">
        <v>6859235.656465767</v>
      </c>
      <c r="AF95" s="2">
        <v>7773478.0446264241</v>
      </c>
      <c r="AG95" s="2">
        <v>8915877.9171684086</v>
      </c>
      <c r="AH95" s="2">
        <v>8352172.7671379643</v>
      </c>
      <c r="AI95" s="2">
        <v>10181203.967370689</v>
      </c>
    </row>
    <row r="96" spans="1:35" x14ac:dyDescent="0.2">
      <c r="A96" s="1" t="s">
        <v>221</v>
      </c>
      <c r="B96" s="1" t="s">
        <v>230</v>
      </c>
      <c r="C96" s="1" t="s">
        <v>231</v>
      </c>
      <c r="D96" s="2">
        <v>58436.673022745286</v>
      </c>
      <c r="E96" s="2">
        <v>213374.4381094815</v>
      </c>
      <c r="F96" s="2">
        <v>563426.13124333846</v>
      </c>
      <c r="G96" s="2">
        <v>918559.68944476766</v>
      </c>
      <c r="H96" s="2">
        <v>1821311.1090472394</v>
      </c>
      <c r="I96" s="2">
        <v>4422925.5329955034</v>
      </c>
      <c r="J96" s="2">
        <v>4980718.4247331833</v>
      </c>
      <c r="K96" s="2">
        <v>5966018.4550134977</v>
      </c>
      <c r="L96" s="2">
        <v>6264216.6677722549</v>
      </c>
      <c r="M96" s="2">
        <v>8577896.2473253999</v>
      </c>
      <c r="N96" s="2">
        <v>8508411.9084205981</v>
      </c>
      <c r="O96" s="2">
        <v>8205525.3777306583</v>
      </c>
      <c r="P96" s="2">
        <v>8332296.4695341801</v>
      </c>
      <c r="Q96" s="2">
        <v>8193849.6223656023</v>
      </c>
      <c r="R96" s="2">
        <v>9072973.0945955869</v>
      </c>
      <c r="S96" s="2">
        <v>8197241.3934647497</v>
      </c>
      <c r="T96" s="2">
        <v>8224955.2943006307</v>
      </c>
      <c r="U96" s="2">
        <v>9046666.1000751443</v>
      </c>
      <c r="V96" s="2">
        <v>10544517.90379066</v>
      </c>
      <c r="W96" s="2">
        <v>11133336.61240837</v>
      </c>
      <c r="X96" s="2">
        <v>12450211.626999998</v>
      </c>
      <c r="Y96" s="2">
        <v>12139408.011725761</v>
      </c>
      <c r="Z96" s="2">
        <v>12525787.287083801</v>
      </c>
      <c r="AA96" s="2">
        <v>13099463.917475348</v>
      </c>
      <c r="AB96" s="2">
        <v>13417008.27133376</v>
      </c>
      <c r="AC96" s="2">
        <v>12625944.149086094</v>
      </c>
      <c r="AD96" s="2">
        <v>12565102.667539591</v>
      </c>
      <c r="AE96" s="2">
        <v>12933385.112202991</v>
      </c>
      <c r="AF96" s="2">
        <v>12348914.509975567</v>
      </c>
      <c r="AG96" s="2">
        <v>12182793.412063615</v>
      </c>
      <c r="AH96" s="2">
        <v>11964282.083274929</v>
      </c>
      <c r="AI96" s="2">
        <v>11229230.749586506</v>
      </c>
    </row>
    <row r="97" spans="1:35" x14ac:dyDescent="0.2">
      <c r="A97" s="1" t="s">
        <v>221</v>
      </c>
      <c r="B97" s="1" t="s">
        <v>232</v>
      </c>
      <c r="C97" s="1" t="s">
        <v>233</v>
      </c>
      <c r="D97" s="2">
        <v>2411070.2641626755</v>
      </c>
      <c r="E97" s="2">
        <v>13824277.248073356</v>
      </c>
      <c r="F97" s="2">
        <v>24585756.982819065</v>
      </c>
      <c r="G97" s="2">
        <v>40568017.464098357</v>
      </c>
      <c r="H97" s="2">
        <v>71681108.920611024</v>
      </c>
      <c r="I97" s="2">
        <v>109078988.90389888</v>
      </c>
      <c r="J97" s="2">
        <v>140896532.39015818</v>
      </c>
      <c r="K97" s="2">
        <v>122224557.19371673</v>
      </c>
      <c r="L97" s="2">
        <v>160905666.72992876</v>
      </c>
      <c r="M97" s="2">
        <v>134674990.09700915</v>
      </c>
      <c r="N97" s="2">
        <v>131906463.7834378</v>
      </c>
      <c r="O97" s="2">
        <v>129690868.43119942</v>
      </c>
      <c r="P97" s="2">
        <v>127904014.68250699</v>
      </c>
      <c r="Q97" s="2">
        <v>122669549.53771994</v>
      </c>
      <c r="R97" s="2">
        <v>125904970.86800835</v>
      </c>
      <c r="S97" s="2">
        <v>125107684.14331862</v>
      </c>
      <c r="T97" s="2">
        <v>125308074.83348922</v>
      </c>
      <c r="U97" s="2">
        <v>133028532.83672938</v>
      </c>
      <c r="V97" s="2">
        <v>134286790.69224238</v>
      </c>
      <c r="W97" s="2">
        <v>149055513.57327303</v>
      </c>
      <c r="X97" s="2">
        <v>151232472.63300002</v>
      </c>
      <c r="Y97" s="2">
        <v>156470774.3409465</v>
      </c>
      <c r="Z97" s="2">
        <v>159368758.10503715</v>
      </c>
      <c r="AA97" s="2">
        <v>167508537.31464049</v>
      </c>
      <c r="AB97" s="2">
        <v>171992805.63455829</v>
      </c>
      <c r="AC97" s="2">
        <v>171580678.93847185</v>
      </c>
      <c r="AD97" s="2">
        <v>167964440.72836405</v>
      </c>
      <c r="AE97" s="2">
        <v>167568502.22135347</v>
      </c>
      <c r="AF97" s="2">
        <v>167839217.49342677</v>
      </c>
      <c r="AG97" s="2">
        <v>162287722.38330218</v>
      </c>
      <c r="AH97" s="2">
        <v>151668232.3228161</v>
      </c>
      <c r="AI97" s="2">
        <v>141102399.60400203</v>
      </c>
    </row>
    <row r="98" spans="1:35" x14ac:dyDescent="0.2">
      <c r="A98" s="1" t="s">
        <v>234</v>
      </c>
      <c r="B98" s="1" t="s">
        <v>235</v>
      </c>
      <c r="C98" s="1" t="s">
        <v>236</v>
      </c>
      <c r="D98" s="2">
        <v>27860.466331522399</v>
      </c>
      <c r="E98" s="2">
        <v>96769.036434093403</v>
      </c>
      <c r="F98" s="2">
        <v>209539.76643131601</v>
      </c>
      <c r="G98" s="2">
        <v>409135.97926939587</v>
      </c>
      <c r="H98" s="2">
        <v>432575.94706925593</v>
      </c>
      <c r="I98" s="2">
        <v>691849.89325621107</v>
      </c>
      <c r="J98" s="2">
        <v>1083179.5514496923</v>
      </c>
      <c r="K98" s="2">
        <v>1295101.4707988324</v>
      </c>
      <c r="L98" s="2">
        <v>1758193.1832289004</v>
      </c>
      <c r="M98" s="2">
        <v>1380305.6323440282</v>
      </c>
      <c r="N98" s="2">
        <v>1456509.656112209</v>
      </c>
      <c r="O98" s="2">
        <v>1479055.1720765287</v>
      </c>
      <c r="P98" s="2">
        <v>1852242.0071554591</v>
      </c>
      <c r="Q98" s="2">
        <v>1866556.9153469554</v>
      </c>
      <c r="R98" s="2">
        <v>2264951.3316815733</v>
      </c>
      <c r="S98" s="2">
        <v>2249692.105253573</v>
      </c>
      <c r="T98" s="2">
        <v>2371507.4271334838</v>
      </c>
      <c r="U98" s="2">
        <v>2526655.0117211235</v>
      </c>
      <c r="V98" s="2">
        <v>2434287.2808932192</v>
      </c>
      <c r="W98" s="2">
        <v>2642698.9709066148</v>
      </c>
      <c r="X98" s="2">
        <v>2905572.6579999998</v>
      </c>
      <c r="Y98" s="2">
        <v>3155757.1050171768</v>
      </c>
      <c r="Z98" s="2">
        <v>3459672.0559330308</v>
      </c>
      <c r="AA98" s="2">
        <v>3527812.916835621</v>
      </c>
      <c r="AB98" s="2">
        <v>3469380.312829237</v>
      </c>
      <c r="AC98" s="2">
        <v>3283019.791056396</v>
      </c>
      <c r="AD98" s="2">
        <v>3142362.9784060726</v>
      </c>
      <c r="AE98" s="2">
        <v>3347561.1226554522</v>
      </c>
      <c r="AF98" s="2">
        <v>3473160.644321098</v>
      </c>
      <c r="AG98" s="2">
        <v>3682890.8001039228</v>
      </c>
      <c r="AH98" s="2">
        <v>3419979.6032322678</v>
      </c>
      <c r="AI98" s="2">
        <v>3412658.4439526461</v>
      </c>
    </row>
    <row r="99" spans="1:35" x14ac:dyDescent="0.2">
      <c r="A99" s="1" t="s">
        <v>234</v>
      </c>
      <c r="B99" s="1" t="s">
        <v>237</v>
      </c>
      <c r="C99" s="1" t="s">
        <v>238</v>
      </c>
      <c r="D99" s="2">
        <v>20947.754112936302</v>
      </c>
      <c r="E99" s="2">
        <v>64144.907963495796</v>
      </c>
      <c r="F99" s="2">
        <v>141330.75488171418</v>
      </c>
      <c r="G99" s="2">
        <v>207523.54334140816</v>
      </c>
      <c r="H99" s="2">
        <v>277837.0289957702</v>
      </c>
      <c r="I99" s="2">
        <v>326144.94546493632</v>
      </c>
      <c r="J99" s="2">
        <v>503201.43087602034</v>
      </c>
      <c r="K99" s="2">
        <v>728267.91452261037</v>
      </c>
      <c r="L99" s="2">
        <v>860542.13440094143</v>
      </c>
      <c r="M99" s="2">
        <v>703736.87777816027</v>
      </c>
      <c r="N99" s="2">
        <v>747369.79457526666</v>
      </c>
      <c r="O99" s="2">
        <v>748778.48606359225</v>
      </c>
      <c r="P99" s="2">
        <v>713909.27827710041</v>
      </c>
      <c r="Q99" s="2">
        <v>686884.62932070764</v>
      </c>
      <c r="R99" s="2">
        <v>786025.93799517606</v>
      </c>
      <c r="S99" s="2">
        <v>814582.6480497414</v>
      </c>
      <c r="T99" s="2">
        <v>846646.7892377727</v>
      </c>
      <c r="U99" s="2">
        <v>909664.56703517772</v>
      </c>
      <c r="V99" s="2">
        <v>873819.02164172137</v>
      </c>
      <c r="W99" s="2">
        <v>1003601.4935035639</v>
      </c>
      <c r="X99" s="2">
        <v>1150475.0299999996</v>
      </c>
      <c r="Y99" s="2">
        <v>1216682.0829222514</v>
      </c>
      <c r="Z99" s="2">
        <v>1341576.9152028614</v>
      </c>
      <c r="AA99" s="2">
        <v>1359463.8650583141</v>
      </c>
      <c r="AB99" s="2">
        <v>1365827.6446225878</v>
      </c>
      <c r="AC99" s="2">
        <v>1319805.5211572137</v>
      </c>
      <c r="AD99" s="2">
        <v>1244519.7152766706</v>
      </c>
      <c r="AE99" s="2">
        <v>1336357.8317757647</v>
      </c>
      <c r="AF99" s="2">
        <v>1310220.2601615319</v>
      </c>
      <c r="AG99" s="2">
        <v>1365770.0965766483</v>
      </c>
      <c r="AH99" s="2">
        <v>1298145.7670587935</v>
      </c>
      <c r="AI99" s="2">
        <v>1252560.9103878147</v>
      </c>
    </row>
    <row r="100" spans="1:35" x14ac:dyDescent="0.2">
      <c r="A100" s="1" t="s">
        <v>234</v>
      </c>
      <c r="B100" s="1" t="s">
        <v>239</v>
      </c>
      <c r="C100" s="1" t="s">
        <v>240</v>
      </c>
      <c r="D100" s="2">
        <v>4272.4784189008997</v>
      </c>
      <c r="E100" s="2">
        <v>17257.6690141117</v>
      </c>
      <c r="F100" s="2">
        <v>50797.894123932798</v>
      </c>
      <c r="G100" s="2">
        <v>87295.478038390182</v>
      </c>
      <c r="H100" s="2">
        <v>125266.67210460961</v>
      </c>
      <c r="I100" s="2">
        <v>208149.58715950482</v>
      </c>
      <c r="J100" s="2">
        <v>317046.65738157515</v>
      </c>
      <c r="K100" s="2">
        <v>328010.22520473762</v>
      </c>
      <c r="L100" s="2">
        <v>479912.70646175859</v>
      </c>
      <c r="M100" s="2">
        <v>444550.21688686003</v>
      </c>
      <c r="N100" s="2">
        <v>479694.79722738749</v>
      </c>
      <c r="O100" s="2">
        <v>487996.97017485817</v>
      </c>
      <c r="P100" s="2">
        <v>371050.34728216915</v>
      </c>
      <c r="Q100" s="2">
        <v>374193.99649322266</v>
      </c>
      <c r="R100" s="2">
        <v>412509.34165754705</v>
      </c>
      <c r="S100" s="2">
        <v>435137.32917733217</v>
      </c>
      <c r="T100" s="2">
        <v>438108.17067487375</v>
      </c>
      <c r="U100" s="2">
        <v>478326.96988927055</v>
      </c>
      <c r="V100" s="2">
        <v>442968.98919290322</v>
      </c>
      <c r="W100" s="2">
        <v>504933.33606977033</v>
      </c>
      <c r="X100" s="2">
        <v>539778.56000000006</v>
      </c>
      <c r="Y100" s="2">
        <v>607374.34869070677</v>
      </c>
      <c r="Z100" s="2">
        <v>728771.18479714519</v>
      </c>
      <c r="AA100" s="2">
        <v>763313.86373313586</v>
      </c>
      <c r="AB100" s="2">
        <v>758462.35840923735</v>
      </c>
      <c r="AC100" s="2">
        <v>784533.69935718644</v>
      </c>
      <c r="AD100" s="2">
        <v>806359.24542855157</v>
      </c>
      <c r="AE100" s="2">
        <v>886561.21363042772</v>
      </c>
      <c r="AF100" s="2">
        <v>851376.16299668909</v>
      </c>
      <c r="AG100" s="2">
        <v>893709.57806025993</v>
      </c>
      <c r="AH100" s="2">
        <v>888288.0438598711</v>
      </c>
      <c r="AI100" s="2">
        <v>859829.14332633419</v>
      </c>
    </row>
    <row r="101" spans="1:35" x14ac:dyDescent="0.2">
      <c r="A101" s="1" t="s">
        <v>234</v>
      </c>
      <c r="B101" s="1" t="s">
        <v>241</v>
      </c>
      <c r="C101" s="1" t="s">
        <v>242</v>
      </c>
      <c r="D101" s="2">
        <v>39764.692296334899</v>
      </c>
      <c r="E101" s="2">
        <v>224270.28478469976</v>
      </c>
      <c r="F101" s="2">
        <v>339572.47567718185</v>
      </c>
      <c r="G101" s="2">
        <v>568713.02721234993</v>
      </c>
      <c r="H101" s="2">
        <v>1416400.9082225137</v>
      </c>
      <c r="I101" s="2">
        <v>2259143.8466744521</v>
      </c>
      <c r="J101" s="2">
        <v>3915218.0665082256</v>
      </c>
      <c r="K101" s="2">
        <v>4991354.8510924084</v>
      </c>
      <c r="L101" s="2">
        <v>8206798.1839805664</v>
      </c>
      <c r="M101" s="2">
        <v>5400722.9867501622</v>
      </c>
      <c r="N101" s="2">
        <v>5577667.0907803606</v>
      </c>
      <c r="O101" s="2">
        <v>5433551.0684502395</v>
      </c>
      <c r="P101" s="2">
        <v>5887040.2794171106</v>
      </c>
      <c r="Q101" s="2">
        <v>6000716.5937289288</v>
      </c>
      <c r="R101" s="2">
        <v>6168329.7438325947</v>
      </c>
      <c r="S101" s="2">
        <v>6636940.9096484268</v>
      </c>
      <c r="T101" s="2">
        <v>7413103.9262752179</v>
      </c>
      <c r="U101" s="2">
        <v>8093785.4389880681</v>
      </c>
      <c r="V101" s="2">
        <v>8082139.6914157337</v>
      </c>
      <c r="W101" s="2">
        <v>9180237.3732309714</v>
      </c>
      <c r="X101" s="2">
        <v>9657402.0530000012</v>
      </c>
      <c r="Y101" s="2">
        <v>9666479.9675828516</v>
      </c>
      <c r="Z101" s="2">
        <v>10399588.053484054</v>
      </c>
      <c r="AA101" s="2">
        <v>11005039.485525567</v>
      </c>
      <c r="AB101" s="2">
        <v>10877717.772886423</v>
      </c>
      <c r="AC101" s="2">
        <v>11024691.101380402</v>
      </c>
      <c r="AD101" s="2">
        <v>10900347.506515075</v>
      </c>
      <c r="AE101" s="2">
        <v>11272132.964827741</v>
      </c>
      <c r="AF101" s="2">
        <v>10836868.78606314</v>
      </c>
      <c r="AG101" s="2">
        <v>11177144.33559476</v>
      </c>
      <c r="AH101" s="2">
        <v>9806994.3835775312</v>
      </c>
      <c r="AI101" s="2">
        <v>9788561.251046503</v>
      </c>
    </row>
    <row r="102" spans="1:35" x14ac:dyDescent="0.2">
      <c r="A102" s="1" t="s">
        <v>243</v>
      </c>
      <c r="B102" s="1" t="s">
        <v>244</v>
      </c>
      <c r="C102" s="1" t="s">
        <v>245</v>
      </c>
      <c r="D102" s="2">
        <v>16457.862056075101</v>
      </c>
      <c r="E102" s="2">
        <v>24587.902274383599</v>
      </c>
      <c r="F102" s="2">
        <v>107486.2211695743</v>
      </c>
      <c r="G102" s="2">
        <v>130361.2061690486</v>
      </c>
      <c r="H102" s="2">
        <v>444641.03321406594</v>
      </c>
      <c r="I102" s="2">
        <v>778899.56569001498</v>
      </c>
      <c r="J102" s="2">
        <v>1408784.9322255559</v>
      </c>
      <c r="K102" s="2">
        <v>2965131.4755839859</v>
      </c>
      <c r="L102" s="2">
        <v>3381675.4157472784</v>
      </c>
      <c r="M102" s="2">
        <v>1824328.9840825973</v>
      </c>
      <c r="N102" s="2">
        <v>1836874.3509705774</v>
      </c>
      <c r="O102" s="2">
        <v>2023068.584231134</v>
      </c>
      <c r="P102" s="2">
        <v>2093035.5018585126</v>
      </c>
      <c r="Q102" s="2">
        <v>2513256.6662610699</v>
      </c>
      <c r="R102" s="2">
        <v>2781271.5045797909</v>
      </c>
      <c r="S102" s="2">
        <v>3043342.5740255276</v>
      </c>
      <c r="T102" s="2">
        <v>2659813.5539660146</v>
      </c>
      <c r="U102" s="2">
        <v>2913902.2282415796</v>
      </c>
      <c r="V102" s="2">
        <v>3211011.3879592991</v>
      </c>
      <c r="W102" s="2">
        <v>3478032.6617280189</v>
      </c>
      <c r="X102" s="2">
        <v>3902146.22</v>
      </c>
      <c r="Y102" s="2">
        <v>4184542.0173513554</v>
      </c>
      <c r="Z102" s="2">
        <v>4448624.1244289679</v>
      </c>
      <c r="AA102" s="2">
        <v>4239721.3031406505</v>
      </c>
      <c r="AB102" s="2">
        <v>4496848.3982978966</v>
      </c>
      <c r="AC102" s="2">
        <v>4372569.6136554591</v>
      </c>
      <c r="AD102" s="2">
        <v>4294991.6787600508</v>
      </c>
      <c r="AE102" s="2">
        <v>4257591.2363698604</v>
      </c>
      <c r="AF102" s="2">
        <v>4471487.0843353625</v>
      </c>
      <c r="AG102" s="2">
        <v>4632188.3373040399</v>
      </c>
      <c r="AH102" s="2">
        <v>4724484.8384579895</v>
      </c>
      <c r="AI102" s="2">
        <v>4175726.0535663315</v>
      </c>
    </row>
    <row r="103" spans="1:35" x14ac:dyDescent="0.2">
      <c r="A103" s="1" t="s">
        <v>243</v>
      </c>
      <c r="B103" s="1" t="s">
        <v>246</v>
      </c>
      <c r="C103" s="1" t="s">
        <v>247</v>
      </c>
      <c r="J103" s="2">
        <v>726032.35315650003</v>
      </c>
      <c r="K103" s="2">
        <v>2652637.8898256952</v>
      </c>
      <c r="L103" s="2">
        <v>2910043.855143873</v>
      </c>
      <c r="M103" s="2">
        <v>2440458.4389224164</v>
      </c>
      <c r="N103" s="2">
        <v>2615755.9043460782</v>
      </c>
      <c r="O103" s="2">
        <v>2398936.7197359768</v>
      </c>
      <c r="P103" s="2">
        <v>2627033.3524454227</v>
      </c>
      <c r="Q103" s="2">
        <v>3109379.4379012613</v>
      </c>
      <c r="R103" s="2">
        <v>3379192.2960003098</v>
      </c>
      <c r="S103" s="2">
        <v>3578865.7663973388</v>
      </c>
      <c r="T103" s="2">
        <v>3160655.4396187817</v>
      </c>
      <c r="U103" s="2">
        <v>3550659.7709028753</v>
      </c>
      <c r="V103" s="2">
        <v>3979586.8003982315</v>
      </c>
      <c r="W103" s="2">
        <v>3992609.2529953606</v>
      </c>
      <c r="X103" s="2">
        <v>4109577.5529999998</v>
      </c>
      <c r="Y103" s="2">
        <v>4359771.6017763084</v>
      </c>
      <c r="Z103" s="2">
        <v>4552182.5108568687</v>
      </c>
      <c r="AA103" s="2">
        <v>4503792.1297681527</v>
      </c>
      <c r="AB103" s="2">
        <v>4740142.638729604</v>
      </c>
      <c r="AC103" s="2">
        <v>4627086.0102790585</v>
      </c>
      <c r="AD103" s="2">
        <v>4589420.9195882529</v>
      </c>
      <c r="AE103" s="2">
        <v>4584809.0055093262</v>
      </c>
      <c r="AF103" s="2">
        <v>4946530.1571948407</v>
      </c>
      <c r="AG103" s="2">
        <v>5190644.0986002674</v>
      </c>
      <c r="AH103" s="2">
        <v>5334087.6994323144</v>
      </c>
      <c r="AI103" s="2">
        <v>5140266.2633722741</v>
      </c>
    </row>
    <row r="104" spans="1:35" x14ac:dyDescent="0.2">
      <c r="A104" s="1" t="s">
        <v>248</v>
      </c>
      <c r="B104" s="1" t="s">
        <v>249</v>
      </c>
      <c r="C104" s="1" t="s">
        <v>250</v>
      </c>
      <c r="D104" s="2">
        <v>1425.7428088208001</v>
      </c>
      <c r="E104" s="2">
        <v>3476.9968154277999</v>
      </c>
      <c r="F104" s="2">
        <v>34375.5955005875</v>
      </c>
      <c r="G104" s="2">
        <v>33391.876108749202</v>
      </c>
      <c r="H104" s="2">
        <v>125465.19238913</v>
      </c>
      <c r="I104" s="2">
        <v>201572.29469681799</v>
      </c>
      <c r="J104" s="2">
        <v>394175.66648287699</v>
      </c>
      <c r="K104" s="2">
        <v>711685.69717847812</v>
      </c>
      <c r="L104" s="2">
        <v>2205371.6944994843</v>
      </c>
      <c r="M104" s="2">
        <v>1046876.2816425115</v>
      </c>
      <c r="N104" s="2">
        <v>1101703.8217120573</v>
      </c>
      <c r="O104" s="2">
        <v>1142443.3924852542</v>
      </c>
      <c r="P104" s="2">
        <v>1381898.9044572518</v>
      </c>
      <c r="Q104" s="2">
        <v>1421722.4658703655</v>
      </c>
      <c r="R104" s="2">
        <v>1342068.5192484369</v>
      </c>
      <c r="S104" s="2">
        <v>1389356.3795520486</v>
      </c>
      <c r="T104" s="2">
        <v>1521966.0067840777</v>
      </c>
      <c r="U104" s="2">
        <v>1639185.1289279065</v>
      </c>
      <c r="V104" s="2">
        <v>1743291.5390662807</v>
      </c>
      <c r="W104" s="2">
        <v>1907057.260963408</v>
      </c>
      <c r="X104" s="2">
        <v>1996590.4130000002</v>
      </c>
      <c r="Y104" s="2">
        <v>2077167.3974997154</v>
      </c>
      <c r="Z104" s="2">
        <v>2061772.9043782332</v>
      </c>
      <c r="AA104" s="2">
        <v>2156550.9219723232</v>
      </c>
      <c r="AB104" s="2">
        <v>2391494.3354188758</v>
      </c>
      <c r="AC104" s="2">
        <v>2202537.6972533851</v>
      </c>
      <c r="AD104" s="2">
        <v>2196312.135707079</v>
      </c>
      <c r="AE104" s="2">
        <v>2313419.3047553925</v>
      </c>
      <c r="AF104" s="2">
        <v>2509071.5376155889</v>
      </c>
      <c r="AG104" s="2">
        <v>2652856.6039929856</v>
      </c>
      <c r="AH104" s="2">
        <v>2576300.1862985119</v>
      </c>
      <c r="AI104" s="2">
        <v>2795800.4972005771</v>
      </c>
    </row>
    <row r="105" spans="1:35" x14ac:dyDescent="0.2">
      <c r="A105" s="1" t="s">
        <v>248</v>
      </c>
      <c r="B105" s="1" t="s">
        <v>251</v>
      </c>
      <c r="C105" s="1" t="s">
        <v>252</v>
      </c>
      <c r="D105" s="2">
        <v>626.93067167059996</v>
      </c>
      <c r="E105" s="2">
        <v>777.8073724743</v>
      </c>
      <c r="G105" s="2">
        <v>473.71436277629999</v>
      </c>
      <c r="H105" s="2">
        <v>7981.7855642928998</v>
      </c>
      <c r="I105" s="2">
        <v>29910.3291843972</v>
      </c>
      <c r="J105" s="2">
        <v>71677.135700419094</v>
      </c>
      <c r="K105" s="2">
        <v>68134.511024921609</v>
      </c>
      <c r="L105" s="2">
        <v>125332.09010105369</v>
      </c>
      <c r="M105" s="2">
        <v>103329.93720519528</v>
      </c>
      <c r="N105" s="2">
        <v>103334.82048003077</v>
      </c>
      <c r="O105" s="2">
        <v>111000.37087887719</v>
      </c>
      <c r="P105" s="2">
        <v>86931.867578768593</v>
      </c>
      <c r="Q105" s="2">
        <v>87246.273787917802</v>
      </c>
      <c r="R105" s="2">
        <v>97356.31840911528</v>
      </c>
      <c r="S105" s="2">
        <v>99636.082976845006</v>
      </c>
      <c r="T105" s="2">
        <v>96452.843092914904</v>
      </c>
      <c r="U105" s="2">
        <v>107911.27922074521</v>
      </c>
      <c r="V105" s="2">
        <v>107456.39277748582</v>
      </c>
      <c r="W105" s="2">
        <v>126394.36029366411</v>
      </c>
      <c r="X105" s="2">
        <v>126322.65000000001</v>
      </c>
      <c r="Y105" s="2">
        <v>139499.91493126721</v>
      </c>
      <c r="Z105" s="2">
        <v>146422.819280025</v>
      </c>
      <c r="AA105" s="2">
        <v>159703.82983778851</v>
      </c>
      <c r="AB105" s="2">
        <v>174826.02011093724</v>
      </c>
      <c r="AC105" s="2">
        <v>171201.91170230429</v>
      </c>
      <c r="AD105" s="2">
        <v>176731.51850508701</v>
      </c>
      <c r="AE105" s="2">
        <v>184035.02122796557</v>
      </c>
      <c r="AF105" s="2">
        <v>194659.42855549295</v>
      </c>
      <c r="AG105" s="2">
        <v>199271.93887422036</v>
      </c>
      <c r="AH105" s="2">
        <v>209366.3993818594</v>
      </c>
      <c r="AI105" s="2">
        <v>221722.40344884931</v>
      </c>
    </row>
    <row r="106" spans="1:35" x14ac:dyDescent="0.2">
      <c r="A106" s="1" t="s">
        <v>253</v>
      </c>
      <c r="B106" s="1" t="s">
        <v>254</v>
      </c>
      <c r="C106" s="1" t="s">
        <v>255</v>
      </c>
      <c r="D106" s="2">
        <v>60023.141201427003</v>
      </c>
      <c r="E106" s="2">
        <v>523992.12535518286</v>
      </c>
      <c r="F106" s="2">
        <v>1222964.0037990292</v>
      </c>
      <c r="G106" s="2">
        <v>2535793.8437634511</v>
      </c>
      <c r="H106" s="2">
        <v>4889594.6181198033</v>
      </c>
      <c r="I106" s="2">
        <v>8546184.8179999869</v>
      </c>
      <c r="J106" s="2">
        <v>8686236.0690757036</v>
      </c>
      <c r="K106" s="2">
        <v>10632418.615782773</v>
      </c>
      <c r="L106" s="2">
        <v>10451836.295990735</v>
      </c>
      <c r="M106" s="2">
        <v>11470202.343039276</v>
      </c>
      <c r="N106" s="2">
        <v>11469108.586205656</v>
      </c>
      <c r="O106" s="2">
        <v>12299245.755071789</v>
      </c>
      <c r="P106" s="2">
        <v>12166631.320854871</v>
      </c>
      <c r="Q106" s="2">
        <v>13942207.780542918</v>
      </c>
      <c r="R106" s="2">
        <v>13385566.29561864</v>
      </c>
      <c r="S106" s="2">
        <v>11885850.196743749</v>
      </c>
      <c r="T106" s="2">
        <v>12763945.428145712</v>
      </c>
      <c r="U106" s="2">
        <v>14283384.23860593</v>
      </c>
      <c r="V106" s="2">
        <v>15139781.831453303</v>
      </c>
      <c r="W106" s="2">
        <v>14857873.914647181</v>
      </c>
      <c r="X106" s="2">
        <v>15528544.276999999</v>
      </c>
      <c r="Y106" s="2">
        <v>16943941.876500055</v>
      </c>
      <c r="Z106" s="2">
        <v>17556280.463709172</v>
      </c>
      <c r="AA106" s="2">
        <v>20135261.359560974</v>
      </c>
      <c r="AB106" s="2">
        <v>20034909.797098074</v>
      </c>
      <c r="AC106" s="2">
        <v>20151309.81494832</v>
      </c>
      <c r="AD106" s="2">
        <v>20093432.254721474</v>
      </c>
      <c r="AE106" s="2">
        <v>20492634.42479647</v>
      </c>
      <c r="AF106" s="2">
        <v>21597503.067936298</v>
      </c>
      <c r="AG106" s="2">
        <v>21617158.530949008</v>
      </c>
      <c r="AH106" s="2">
        <v>19849983.031795818</v>
      </c>
      <c r="AI106" s="2">
        <v>20887118.312322885</v>
      </c>
    </row>
    <row r="107" spans="1:35" x14ac:dyDescent="0.2">
      <c r="A107" s="1" t="s">
        <v>253</v>
      </c>
      <c r="B107" s="1" t="s">
        <v>256</v>
      </c>
      <c r="C107" s="1" t="s">
        <v>257</v>
      </c>
      <c r="D107" s="2">
        <v>39241.541208958603</v>
      </c>
      <c r="E107" s="2">
        <v>232617.05128831472</v>
      </c>
      <c r="F107" s="2">
        <v>754800.31377827225</v>
      </c>
      <c r="G107" s="2">
        <v>1134420.5278871057</v>
      </c>
      <c r="H107" s="2">
        <v>1945396.23764525</v>
      </c>
      <c r="I107" s="2">
        <v>2979553.5250662984</v>
      </c>
      <c r="J107" s="2">
        <v>4346049.0764922928</v>
      </c>
      <c r="K107" s="2">
        <v>6533982.1887818156</v>
      </c>
      <c r="L107" s="2">
        <v>6654352.8120162701</v>
      </c>
      <c r="M107" s="2">
        <v>7967371.5887011038</v>
      </c>
      <c r="N107" s="2">
        <v>8098388.8220501244</v>
      </c>
      <c r="O107" s="2">
        <v>8157643.8872951679</v>
      </c>
      <c r="P107" s="2">
        <v>8557391.7853770219</v>
      </c>
      <c r="Q107" s="2">
        <v>8237123.2193217296</v>
      </c>
      <c r="R107" s="2">
        <v>8642148.4374781437</v>
      </c>
      <c r="S107" s="2">
        <v>9076392.8080575392</v>
      </c>
      <c r="T107" s="2">
        <v>9274509.3064277004</v>
      </c>
      <c r="U107" s="2">
        <v>10238017.093303444</v>
      </c>
      <c r="V107" s="2">
        <v>10418935.750582278</v>
      </c>
      <c r="W107" s="2">
        <v>10427296.188003872</v>
      </c>
      <c r="X107" s="2">
        <v>11487570.523999996</v>
      </c>
      <c r="Y107" s="2">
        <v>11941232.73026867</v>
      </c>
      <c r="Z107" s="2">
        <v>12311168.871825695</v>
      </c>
      <c r="AA107" s="2">
        <v>12716980.465074912</v>
      </c>
      <c r="AB107" s="2">
        <v>13487404.586609289</v>
      </c>
      <c r="AC107" s="2">
        <v>12964595.23590716</v>
      </c>
      <c r="AD107" s="2">
        <v>12031700.262512201</v>
      </c>
      <c r="AE107" s="2">
        <v>12717294.754211301</v>
      </c>
      <c r="AF107" s="2">
        <v>13482199.815493455</v>
      </c>
      <c r="AG107" s="2">
        <v>14008522.490132436</v>
      </c>
      <c r="AH107" s="2">
        <v>12816491.979249289</v>
      </c>
      <c r="AI107" s="2">
        <v>12763860.233761033</v>
      </c>
    </row>
    <row r="108" spans="1:35" x14ac:dyDescent="0.2">
      <c r="A108" s="1" t="s">
        <v>253</v>
      </c>
      <c r="B108" s="1" t="s">
        <v>258</v>
      </c>
      <c r="C108" s="1" t="s">
        <v>259</v>
      </c>
      <c r="D108" s="2">
        <v>38313.095851922204</v>
      </c>
      <c r="E108" s="2">
        <v>290093.04924266273</v>
      </c>
      <c r="F108" s="2">
        <v>358432.25253139815</v>
      </c>
      <c r="G108" s="2">
        <v>806871.49447015394</v>
      </c>
      <c r="H108" s="2">
        <v>1512123.4779505741</v>
      </c>
      <c r="I108" s="2">
        <v>1958347.314050674</v>
      </c>
      <c r="J108" s="2">
        <v>2427743.4896536958</v>
      </c>
      <c r="K108" s="2">
        <v>3055857.4866633127</v>
      </c>
      <c r="L108" s="2">
        <v>3909922.6691249334</v>
      </c>
      <c r="M108" s="2">
        <v>2963974.0599125391</v>
      </c>
      <c r="N108" s="2">
        <v>2888641.0986501118</v>
      </c>
      <c r="O108" s="2">
        <v>2955079.5532315685</v>
      </c>
      <c r="P108" s="2">
        <v>3037940.719691013</v>
      </c>
      <c r="Q108" s="2">
        <v>3169385.252814848</v>
      </c>
      <c r="R108" s="2">
        <v>3238447.6389573575</v>
      </c>
      <c r="S108" s="2">
        <v>3177617.3249847731</v>
      </c>
      <c r="T108" s="2">
        <v>3380679.0975423418</v>
      </c>
      <c r="U108" s="2">
        <v>3767575.4020923064</v>
      </c>
      <c r="V108" s="2">
        <v>3832148.4034533631</v>
      </c>
      <c r="W108" s="2">
        <v>3796627.4638033006</v>
      </c>
      <c r="X108" s="2">
        <v>3874657.4069999992</v>
      </c>
      <c r="Y108" s="2">
        <v>4235002.805181371</v>
      </c>
      <c r="Z108" s="2">
        <v>4233373.4551950013</v>
      </c>
      <c r="AA108" s="2">
        <v>4722523.7948809052</v>
      </c>
      <c r="AB108" s="2">
        <v>4917061.6076411828</v>
      </c>
      <c r="AC108" s="2">
        <v>4699684.3101392705</v>
      </c>
      <c r="AD108" s="2">
        <v>4600193.4145024763</v>
      </c>
      <c r="AE108" s="2">
        <v>4824283.818868503</v>
      </c>
      <c r="AF108" s="2">
        <v>5058597.7653814452</v>
      </c>
      <c r="AG108" s="2">
        <v>5259980.9950129781</v>
      </c>
      <c r="AH108" s="2">
        <v>4783449.8948489791</v>
      </c>
      <c r="AI108" s="2">
        <v>4944392.4269538261</v>
      </c>
    </row>
    <row r="109" spans="1:35" x14ac:dyDescent="0.2">
      <c r="A109" s="1" t="s">
        <v>253</v>
      </c>
      <c r="B109" s="1" t="s">
        <v>260</v>
      </c>
      <c r="C109" s="1" t="s">
        <v>261</v>
      </c>
      <c r="D109" s="2">
        <v>48678.512426374102</v>
      </c>
      <c r="E109" s="2">
        <v>331235.65283495333</v>
      </c>
      <c r="F109" s="2">
        <v>722490.8251197933</v>
      </c>
      <c r="G109" s="2">
        <v>831261.61651798198</v>
      </c>
      <c r="H109" s="2">
        <v>1584338.8159384876</v>
      </c>
      <c r="I109" s="2">
        <v>2198906.2278471477</v>
      </c>
      <c r="J109" s="2">
        <v>2560938.928653589</v>
      </c>
      <c r="K109" s="2">
        <v>3864229.7153490386</v>
      </c>
      <c r="L109" s="2">
        <v>3910839.0545377284</v>
      </c>
      <c r="M109" s="2">
        <v>4391208.8345375396</v>
      </c>
      <c r="N109" s="2">
        <v>4318149.3831017707</v>
      </c>
      <c r="O109" s="2">
        <v>4499925.6244510217</v>
      </c>
      <c r="P109" s="2">
        <v>4889126.8329400988</v>
      </c>
      <c r="Q109" s="2">
        <v>4845807.7993244501</v>
      </c>
      <c r="R109" s="2">
        <v>5054904.5740520498</v>
      </c>
      <c r="S109" s="2">
        <v>5236298.0413719462</v>
      </c>
      <c r="T109" s="2">
        <v>5322455.901668529</v>
      </c>
      <c r="U109" s="2">
        <v>5708124.1601179037</v>
      </c>
      <c r="V109" s="2">
        <v>5849975.6303137979</v>
      </c>
      <c r="W109" s="2">
        <v>5972081.4977498846</v>
      </c>
      <c r="X109" s="2">
        <v>6335122.3529999992</v>
      </c>
      <c r="Y109" s="2">
        <v>6674376.5192176085</v>
      </c>
      <c r="Z109" s="2">
        <v>6962902.7850655038</v>
      </c>
      <c r="AA109" s="2">
        <v>7308227.5073238751</v>
      </c>
      <c r="AB109" s="2">
        <v>7791969.9148025438</v>
      </c>
      <c r="AC109" s="2">
        <v>7413983.1558703873</v>
      </c>
      <c r="AD109" s="2">
        <v>7135589.0895821676</v>
      </c>
      <c r="AE109" s="2">
        <v>7618376.5240114918</v>
      </c>
      <c r="AF109" s="2">
        <v>7835700.8037710162</v>
      </c>
      <c r="AG109" s="2">
        <v>8050215.1597803598</v>
      </c>
      <c r="AH109" s="2">
        <v>7393892.0504001528</v>
      </c>
      <c r="AI109" s="2">
        <v>7140239.4934751289</v>
      </c>
    </row>
    <row r="110" spans="1:35" x14ac:dyDescent="0.2">
      <c r="A110" s="1" t="s">
        <v>253</v>
      </c>
      <c r="B110" s="1" t="s">
        <v>262</v>
      </c>
      <c r="C110" s="1" t="s">
        <v>263</v>
      </c>
      <c r="D110" s="2">
        <v>257931.20748058858</v>
      </c>
      <c r="E110" s="2">
        <v>2177888.3229716429</v>
      </c>
      <c r="F110" s="2">
        <v>3634879.3417640305</v>
      </c>
      <c r="G110" s="2">
        <v>6857143.9239064734</v>
      </c>
      <c r="H110" s="2">
        <v>15612579.282274181</v>
      </c>
      <c r="I110" s="2">
        <v>24730423.592693623</v>
      </c>
      <c r="J110" s="2">
        <v>37492174.979091592</v>
      </c>
      <c r="K110" s="2">
        <v>41354184.482181452</v>
      </c>
      <c r="L110" s="2">
        <v>55297333.965924911</v>
      </c>
      <c r="M110" s="2">
        <v>44832683.871791951</v>
      </c>
      <c r="N110" s="2">
        <v>44782383.282071292</v>
      </c>
      <c r="O110" s="2">
        <v>45072969.33492624</v>
      </c>
      <c r="P110" s="2">
        <v>44065574.202061996</v>
      </c>
      <c r="Q110" s="2">
        <v>42480702.553927906</v>
      </c>
      <c r="R110" s="2">
        <v>43270657.181443244</v>
      </c>
      <c r="S110" s="2">
        <v>46936202.916764654</v>
      </c>
      <c r="T110" s="2">
        <v>48110442.962041415</v>
      </c>
      <c r="U110" s="2">
        <v>52111301.101130106</v>
      </c>
      <c r="V110" s="2">
        <v>51781712.553042077</v>
      </c>
      <c r="W110" s="2">
        <v>51665454.272914469</v>
      </c>
      <c r="X110" s="2">
        <v>55042764.581999995</v>
      </c>
      <c r="Y110" s="2">
        <v>55550444.588907205</v>
      </c>
      <c r="Z110" s="2">
        <v>58381616.978028871</v>
      </c>
      <c r="AA110" s="2">
        <v>60461701.886623725</v>
      </c>
      <c r="AB110" s="2">
        <v>62185330.51524727</v>
      </c>
      <c r="AC110" s="2">
        <v>63268083.39616438</v>
      </c>
      <c r="AD110" s="2">
        <v>62262496.63853924</v>
      </c>
      <c r="AE110" s="2">
        <v>62887032.258478887</v>
      </c>
      <c r="AF110" s="2">
        <v>64574159.754186571</v>
      </c>
      <c r="AG110" s="2">
        <v>65800209.575323611</v>
      </c>
      <c r="AH110" s="2">
        <v>57581494.486103773</v>
      </c>
      <c r="AI110" s="2">
        <v>55286237.809133559</v>
      </c>
    </row>
    <row r="111" spans="1:35" x14ac:dyDescent="0.2">
      <c r="A111" s="1" t="s">
        <v>253</v>
      </c>
      <c r="B111" s="1" t="s">
        <v>264</v>
      </c>
      <c r="C111" s="1" t="s">
        <v>265</v>
      </c>
      <c r="D111" s="2">
        <v>101425.66324707861</v>
      </c>
      <c r="E111" s="2">
        <v>719796.61681106524</v>
      </c>
      <c r="F111" s="2">
        <v>623480.69350877486</v>
      </c>
      <c r="G111" s="2">
        <v>958465.75717393158</v>
      </c>
      <c r="H111" s="2">
        <v>2443957.9822786613</v>
      </c>
      <c r="I111" s="2">
        <v>2983836.4363644402</v>
      </c>
      <c r="J111" s="2">
        <v>3813547.5251689814</v>
      </c>
      <c r="K111" s="2">
        <v>4546010.087557422</v>
      </c>
      <c r="L111" s="2">
        <v>4738138.6899652798</v>
      </c>
      <c r="M111" s="2">
        <v>3944837.2376810256</v>
      </c>
      <c r="N111" s="2">
        <v>3748104.6236663596</v>
      </c>
      <c r="O111" s="2">
        <v>3874696.1934945746</v>
      </c>
      <c r="P111" s="2">
        <v>3701554.1028747684</v>
      </c>
      <c r="Q111" s="2">
        <v>3626075.6866322607</v>
      </c>
      <c r="R111" s="2">
        <v>3780738.9240410877</v>
      </c>
      <c r="S111" s="2">
        <v>3698906.4192808331</v>
      </c>
      <c r="T111" s="2">
        <v>3717783.3827200839</v>
      </c>
      <c r="U111" s="2">
        <v>4015493.785493168</v>
      </c>
      <c r="V111" s="2">
        <v>4049061.1294588875</v>
      </c>
      <c r="W111" s="2">
        <v>3959049.4433005787</v>
      </c>
      <c r="X111" s="2">
        <v>4107099.2090000003</v>
      </c>
      <c r="Y111" s="2">
        <v>4105298.9684511232</v>
      </c>
      <c r="Z111" s="2">
        <v>4443294.0439860756</v>
      </c>
      <c r="AA111" s="2">
        <v>4854832.7143285526</v>
      </c>
      <c r="AB111" s="2">
        <v>4842908.4657814885</v>
      </c>
      <c r="AC111" s="2">
        <v>5030943.7104159361</v>
      </c>
      <c r="AD111" s="2">
        <v>5014578.9779266575</v>
      </c>
      <c r="AE111" s="2">
        <v>5139718.4904662622</v>
      </c>
      <c r="AF111" s="2">
        <v>5173548.8872807398</v>
      </c>
      <c r="AG111" s="2">
        <v>5083763.66971373</v>
      </c>
      <c r="AH111" s="2">
        <v>4606065.0081041129</v>
      </c>
      <c r="AI111" s="2">
        <v>4701231.1542075146</v>
      </c>
    </row>
    <row r="112" spans="1:35" x14ac:dyDescent="0.2">
      <c r="A112" s="1" t="s">
        <v>253</v>
      </c>
      <c r="B112" s="1" t="s">
        <v>266</v>
      </c>
      <c r="C112" s="1" t="s">
        <v>267</v>
      </c>
      <c r="D112" s="2">
        <v>136258.2471806531</v>
      </c>
      <c r="E112" s="2">
        <v>840135.96211774403</v>
      </c>
      <c r="F112" s="2">
        <v>734886.1977680003</v>
      </c>
      <c r="G112" s="2">
        <v>1608939.5919075767</v>
      </c>
      <c r="H112" s="2">
        <v>2448254.5710329819</v>
      </c>
      <c r="I112" s="2">
        <v>2881960.3466163217</v>
      </c>
      <c r="J112" s="2">
        <v>4302956.711284196</v>
      </c>
      <c r="K112" s="2">
        <v>5641715.5148176719</v>
      </c>
      <c r="L112" s="2">
        <v>5968002.7536127511</v>
      </c>
      <c r="M112" s="2">
        <v>5202867.2435281686</v>
      </c>
      <c r="N112" s="2">
        <v>5143599.8935866673</v>
      </c>
      <c r="O112" s="2">
        <v>5122820.9500797689</v>
      </c>
      <c r="P112" s="2">
        <v>4673432.6047979221</v>
      </c>
      <c r="Q112" s="2">
        <v>4579274.8244828433</v>
      </c>
      <c r="R112" s="2">
        <v>4539199.0583809568</v>
      </c>
      <c r="S112" s="2">
        <v>4554642.5853332942</v>
      </c>
      <c r="T112" s="2">
        <v>4776429.2102051713</v>
      </c>
      <c r="U112" s="2">
        <v>5720214.7940272363</v>
      </c>
      <c r="V112" s="2">
        <v>5972771.2279230775</v>
      </c>
      <c r="W112" s="2">
        <v>5788346.7675732663</v>
      </c>
      <c r="X112" s="2">
        <v>6051996.7319999998</v>
      </c>
      <c r="Y112" s="2">
        <v>6421440.0081461556</v>
      </c>
      <c r="Z112" s="2">
        <v>6738027.4000086626</v>
      </c>
      <c r="AA112" s="2">
        <v>7451895.4832428405</v>
      </c>
      <c r="AB112" s="2">
        <v>7161690.358584241</v>
      </c>
      <c r="AC112" s="2">
        <v>7144202.8214692669</v>
      </c>
      <c r="AD112" s="2">
        <v>7642833.4392810557</v>
      </c>
      <c r="AE112" s="2">
        <v>7578097.6180816367</v>
      </c>
      <c r="AF112" s="2">
        <v>7968952.0482376339</v>
      </c>
      <c r="AG112" s="2">
        <v>7763876.5445324648</v>
      </c>
      <c r="AH112" s="2">
        <v>6951922.9971906506</v>
      </c>
      <c r="AI112" s="2">
        <v>7168917.9059962071</v>
      </c>
    </row>
    <row r="113" spans="1:35" x14ac:dyDescent="0.2">
      <c r="A113" s="1" t="s">
        <v>268</v>
      </c>
      <c r="B113" s="1" t="s">
        <v>269</v>
      </c>
      <c r="C113" s="1" t="s">
        <v>270</v>
      </c>
      <c r="D113" s="2">
        <v>4200.7274873714996</v>
      </c>
      <c r="E113" s="2">
        <v>48542.0927241026</v>
      </c>
      <c r="F113" s="2">
        <v>318740.35742303543</v>
      </c>
      <c r="G113" s="2">
        <v>497603.84178875299</v>
      </c>
      <c r="H113" s="2">
        <v>1348702.0743072585</v>
      </c>
      <c r="I113" s="2">
        <v>2099285.0500437901</v>
      </c>
      <c r="J113" s="2">
        <v>3255803.9884723173</v>
      </c>
      <c r="K113" s="2">
        <v>4094120.9281980409</v>
      </c>
      <c r="L113" s="2">
        <v>5097339.4710422279</v>
      </c>
      <c r="M113" s="2">
        <v>6273037.639939663</v>
      </c>
      <c r="N113" s="2">
        <v>6474378.5576408571</v>
      </c>
      <c r="O113" s="2">
        <v>6796007.3542774329</v>
      </c>
      <c r="P113" s="2">
        <v>6962823.9656476676</v>
      </c>
      <c r="Q113" s="2">
        <v>7181558.2361659305</v>
      </c>
      <c r="R113" s="2">
        <v>7925953.3177287318</v>
      </c>
      <c r="S113" s="2">
        <v>8009773.2537388355</v>
      </c>
      <c r="T113" s="2">
        <v>8123119.2680837968</v>
      </c>
      <c r="U113" s="2">
        <v>8411557.9223168567</v>
      </c>
      <c r="V113" s="2">
        <v>9325197.7091412768</v>
      </c>
      <c r="W113" s="2">
        <v>9453937.0829016641</v>
      </c>
      <c r="X113" s="2">
        <v>10622385.827999998</v>
      </c>
      <c r="Y113" s="2">
        <v>11246373.195462761</v>
      </c>
      <c r="Z113" s="2">
        <v>11764282.918323427</v>
      </c>
      <c r="AA113" s="2">
        <v>12192224.202929821</v>
      </c>
      <c r="AB113" s="2">
        <v>11602505.567144915</v>
      </c>
      <c r="AC113" s="2">
        <v>11062714.553436961</v>
      </c>
      <c r="AD113" s="2">
        <v>10892434.455458378</v>
      </c>
      <c r="AE113" s="2">
        <v>11266309.338981019</v>
      </c>
      <c r="AF113" s="2">
        <v>11800376.973677872</v>
      </c>
      <c r="AG113" s="2">
        <v>12001089.996714024</v>
      </c>
      <c r="AH113" s="2">
        <v>12436920.227137255</v>
      </c>
      <c r="AI113" s="2">
        <v>13403451.577903524</v>
      </c>
    </row>
    <row r="114" spans="1:35" x14ac:dyDescent="0.2">
      <c r="A114" s="1" t="s">
        <v>268</v>
      </c>
      <c r="B114" s="1" t="s">
        <v>271</v>
      </c>
      <c r="C114" s="1" t="s">
        <v>272</v>
      </c>
      <c r="D114" s="2">
        <v>35463.891378634798</v>
      </c>
      <c r="E114" s="2">
        <v>242732.4664824802</v>
      </c>
      <c r="F114" s="2">
        <v>399788.92334803607</v>
      </c>
      <c r="G114" s="2">
        <v>558023.54317038122</v>
      </c>
      <c r="H114" s="2">
        <v>1391244.9291149401</v>
      </c>
      <c r="I114" s="2">
        <v>1861303.1937584388</v>
      </c>
      <c r="J114" s="2">
        <v>3704790.0554102431</v>
      </c>
      <c r="K114" s="2">
        <v>3911349.8139501223</v>
      </c>
      <c r="L114" s="2">
        <v>6516344.0155844428</v>
      </c>
      <c r="M114" s="2">
        <v>7917893.9448657287</v>
      </c>
      <c r="N114" s="2">
        <v>8219022.4897030322</v>
      </c>
      <c r="O114" s="2">
        <v>8737853.6620516907</v>
      </c>
      <c r="P114" s="2">
        <v>8310222.1966860937</v>
      </c>
      <c r="Q114" s="2">
        <v>8444336.1049096324</v>
      </c>
      <c r="R114" s="2">
        <v>9331902.8640055601</v>
      </c>
      <c r="S114" s="2">
        <v>9791216.118612444</v>
      </c>
      <c r="T114" s="2">
        <v>10474344.010662688</v>
      </c>
      <c r="U114" s="2">
        <v>10663949.397919102</v>
      </c>
      <c r="V114" s="2">
        <v>11742497.09658502</v>
      </c>
      <c r="W114" s="2">
        <v>11601643.572230918</v>
      </c>
      <c r="X114" s="2">
        <v>12458491.265999999</v>
      </c>
      <c r="Y114" s="2">
        <v>12464653.536786029</v>
      </c>
      <c r="Z114" s="2">
        <v>13112277.380681254</v>
      </c>
      <c r="AA114" s="2">
        <v>13812350.724123232</v>
      </c>
      <c r="AB114" s="2">
        <v>14750481.096558804</v>
      </c>
      <c r="AC114" s="2">
        <v>14691774.243018381</v>
      </c>
      <c r="AD114" s="2">
        <v>13488336.09750974</v>
      </c>
      <c r="AE114" s="2">
        <v>14447465.416689886</v>
      </c>
      <c r="AF114" s="2">
        <v>15133245.071972368</v>
      </c>
      <c r="AG114" s="2">
        <v>16007015.645912472</v>
      </c>
      <c r="AH114" s="2">
        <v>15996149.544341765</v>
      </c>
      <c r="AI114" s="2">
        <v>17729207.207181606</v>
      </c>
    </row>
    <row r="115" spans="1:35" x14ac:dyDescent="0.2">
      <c r="A115" s="1" t="s">
        <v>268</v>
      </c>
      <c r="B115" s="1" t="s">
        <v>273</v>
      </c>
      <c r="C115" s="1" t="s">
        <v>274</v>
      </c>
      <c r="D115" s="2">
        <v>11363.483518594399</v>
      </c>
      <c r="E115" s="2">
        <v>69282.161968289394</v>
      </c>
      <c r="F115" s="2">
        <v>137438.43817967179</v>
      </c>
      <c r="G115" s="2">
        <v>292159.24886271585</v>
      </c>
      <c r="H115" s="2">
        <v>780921.37625797198</v>
      </c>
      <c r="I115" s="2">
        <v>995996.17807831638</v>
      </c>
      <c r="J115" s="2">
        <v>1342694.5813819836</v>
      </c>
      <c r="K115" s="2">
        <v>1544493.5480306919</v>
      </c>
      <c r="L115" s="2">
        <v>1961722.9950307042</v>
      </c>
      <c r="M115" s="2">
        <v>1805836.2557781262</v>
      </c>
      <c r="N115" s="2">
        <v>1849010.4076587397</v>
      </c>
      <c r="O115" s="2">
        <v>1965671.2863738749</v>
      </c>
      <c r="P115" s="2">
        <v>1946492.4535042185</v>
      </c>
      <c r="Q115" s="2">
        <v>1999158.0955705983</v>
      </c>
      <c r="R115" s="2">
        <v>2085445.3919902351</v>
      </c>
      <c r="S115" s="2">
        <v>2161675.2997820252</v>
      </c>
      <c r="T115" s="2">
        <v>2210453.6100432537</v>
      </c>
      <c r="U115" s="2">
        <v>2167898.367964597</v>
      </c>
      <c r="V115" s="2">
        <v>2378266.8040013905</v>
      </c>
      <c r="W115" s="2">
        <v>2478829.5929699941</v>
      </c>
      <c r="X115" s="2">
        <v>2678630.0839999998</v>
      </c>
      <c r="Y115" s="2">
        <v>2665567.9563921951</v>
      </c>
      <c r="Z115" s="2">
        <v>3375150.1506476142</v>
      </c>
      <c r="AA115" s="2">
        <v>2915736.7634954462</v>
      </c>
      <c r="AB115" s="2">
        <v>3151220.7164233876</v>
      </c>
      <c r="AC115" s="2">
        <v>3195224.9907833375</v>
      </c>
      <c r="AD115" s="2">
        <v>3066204.4254275253</v>
      </c>
      <c r="AE115" s="2">
        <v>3217707.789666628</v>
      </c>
      <c r="AF115" s="2">
        <v>3165662.9528174442</v>
      </c>
      <c r="AG115" s="2">
        <v>3334033.570168131</v>
      </c>
      <c r="AH115" s="2">
        <v>3302923.9107268285</v>
      </c>
      <c r="AI115" s="2">
        <v>3445861.4594689594</v>
      </c>
    </row>
    <row r="116" spans="1:35" x14ac:dyDescent="0.2">
      <c r="A116" s="1" t="s">
        <v>268</v>
      </c>
      <c r="B116" s="1" t="s">
        <v>275</v>
      </c>
      <c r="C116" s="1" t="s">
        <v>276</v>
      </c>
      <c r="D116" s="2">
        <v>23700.725208096599</v>
      </c>
      <c r="E116" s="2">
        <v>199086.00929743578</v>
      </c>
      <c r="F116" s="2">
        <v>492632.00142813829</v>
      </c>
      <c r="G116" s="2">
        <v>1049485.634859489</v>
      </c>
      <c r="H116" s="2">
        <v>1930845.4878053595</v>
      </c>
      <c r="I116" s="2">
        <v>3007874.0352532258</v>
      </c>
      <c r="J116" s="2">
        <v>4801644.8222686285</v>
      </c>
      <c r="K116" s="2">
        <v>5624467.7015683586</v>
      </c>
      <c r="L116" s="2">
        <v>8266614.8324818704</v>
      </c>
      <c r="M116" s="2">
        <v>9835253.9637072999</v>
      </c>
      <c r="N116" s="2">
        <v>11011365.242705146</v>
      </c>
      <c r="O116" s="2">
        <v>11410233.219695285</v>
      </c>
      <c r="P116" s="2">
        <v>10933440.962177541</v>
      </c>
      <c r="Q116" s="2">
        <v>11296269.01783422</v>
      </c>
      <c r="R116" s="2">
        <v>12346920.094393784</v>
      </c>
      <c r="S116" s="2">
        <v>13115763.364095142</v>
      </c>
      <c r="T116" s="2">
        <v>14289703.641333483</v>
      </c>
      <c r="U116" s="2">
        <v>14374264.631297026</v>
      </c>
      <c r="V116" s="2">
        <v>15571337.941927699</v>
      </c>
      <c r="W116" s="2">
        <v>16743895.22104015</v>
      </c>
      <c r="X116" s="2">
        <v>17864823.113999993</v>
      </c>
      <c r="Y116" s="2">
        <v>18891696.62273781</v>
      </c>
      <c r="Z116" s="2">
        <v>20226669.097401354</v>
      </c>
      <c r="AA116" s="2">
        <v>21021457.655095648</v>
      </c>
      <c r="AB116" s="2">
        <v>23824701.157552242</v>
      </c>
      <c r="AC116" s="2">
        <v>22582605.84614959</v>
      </c>
      <c r="AD116" s="2">
        <v>21815808.573011629</v>
      </c>
      <c r="AE116" s="2">
        <v>23321420.446216203</v>
      </c>
      <c r="AF116" s="2">
        <v>23917115.925429057</v>
      </c>
      <c r="AG116" s="2">
        <v>25250180.075777527</v>
      </c>
      <c r="AH116" s="2">
        <v>25681940.41201397</v>
      </c>
      <c r="AI116" s="2">
        <v>29133550.531906083</v>
      </c>
    </row>
    <row r="117" spans="1:35" x14ac:dyDescent="0.2">
      <c r="A117" s="1" t="s">
        <v>268</v>
      </c>
      <c r="B117" s="1" t="s">
        <v>277</v>
      </c>
      <c r="C117" s="1" t="s">
        <v>278</v>
      </c>
      <c r="D117" s="2">
        <v>48680.497015017296</v>
      </c>
      <c r="E117" s="2">
        <v>213444.50738082477</v>
      </c>
      <c r="F117" s="2">
        <v>185784.6783381119</v>
      </c>
      <c r="G117" s="2">
        <v>272571.85548300238</v>
      </c>
      <c r="H117" s="2">
        <v>1374190.7437212483</v>
      </c>
      <c r="I117" s="2">
        <v>2154956.9683847995</v>
      </c>
      <c r="J117" s="2">
        <v>4278292.66193482</v>
      </c>
      <c r="K117" s="2">
        <v>6861230.2454447774</v>
      </c>
      <c r="L117" s="2">
        <v>11455795.443681639</v>
      </c>
      <c r="M117" s="2">
        <v>7145690.8218669789</v>
      </c>
      <c r="N117" s="2">
        <v>7564747.7177771591</v>
      </c>
      <c r="O117" s="2">
        <v>7863256.6779886074</v>
      </c>
      <c r="P117" s="2">
        <v>7972165.91232868</v>
      </c>
      <c r="Q117" s="2">
        <v>8071252.9393936703</v>
      </c>
      <c r="R117" s="2">
        <v>8218032.4118008614</v>
      </c>
      <c r="S117" s="2">
        <v>8916572.5855062678</v>
      </c>
      <c r="T117" s="2">
        <v>9621806.8354937807</v>
      </c>
      <c r="U117" s="2">
        <v>10046738.801777907</v>
      </c>
      <c r="V117" s="2">
        <v>11000614.711638508</v>
      </c>
      <c r="W117" s="2">
        <v>11130721.376433717</v>
      </c>
      <c r="X117" s="2">
        <v>11728231.039999997</v>
      </c>
      <c r="Y117" s="2">
        <v>12109307.546669723</v>
      </c>
      <c r="Z117" s="2">
        <v>12834019.44130134</v>
      </c>
      <c r="AA117" s="2">
        <v>13268557.512523038</v>
      </c>
      <c r="AB117" s="2">
        <v>14774270.411067011</v>
      </c>
      <c r="AC117" s="2">
        <v>14285403.220502378</v>
      </c>
      <c r="AD117" s="2">
        <v>13826300.630262436</v>
      </c>
      <c r="AE117" s="2">
        <v>14188041.456937006</v>
      </c>
      <c r="AF117" s="2">
        <v>14616314.92176903</v>
      </c>
      <c r="AG117" s="2">
        <v>15040650.772439364</v>
      </c>
      <c r="AH117" s="2">
        <v>14506124.728006132</v>
      </c>
      <c r="AI117" s="2">
        <v>15081797.160735464</v>
      </c>
    </row>
    <row r="118" spans="1:35" x14ac:dyDescent="0.2">
      <c r="A118" s="1" t="s">
        <v>268</v>
      </c>
      <c r="B118" s="1" t="s">
        <v>279</v>
      </c>
      <c r="C118" s="1" t="s">
        <v>280</v>
      </c>
      <c r="D118" s="2">
        <v>24988.419830373601</v>
      </c>
      <c r="E118" s="2">
        <v>121699.19741550191</v>
      </c>
      <c r="F118" s="2">
        <v>175918.38595061109</v>
      </c>
      <c r="G118" s="2">
        <v>464926.49134460179</v>
      </c>
      <c r="H118" s="2">
        <v>906845.25052552077</v>
      </c>
      <c r="I118" s="2">
        <v>1290426.6035175375</v>
      </c>
      <c r="J118" s="2">
        <v>2110226.9784134426</v>
      </c>
      <c r="K118" s="2">
        <v>3097571.4963341104</v>
      </c>
      <c r="L118" s="2">
        <v>4172671.3153796652</v>
      </c>
      <c r="M118" s="2">
        <v>4430187.3194902427</v>
      </c>
      <c r="N118" s="2">
        <v>4538499.1772482656</v>
      </c>
      <c r="O118" s="2">
        <v>4724049.7971503297</v>
      </c>
      <c r="P118" s="2">
        <v>4640254.5362957334</v>
      </c>
      <c r="Q118" s="2">
        <v>4676517.8893740037</v>
      </c>
      <c r="R118" s="2">
        <v>4985310.9469791958</v>
      </c>
      <c r="S118" s="2">
        <v>5171112.4311832683</v>
      </c>
      <c r="T118" s="2">
        <v>5431151.0073764771</v>
      </c>
      <c r="U118" s="2">
        <v>5305389.1715411926</v>
      </c>
      <c r="V118" s="2">
        <v>5739700.7360958364</v>
      </c>
      <c r="W118" s="2">
        <v>6248220.1459628791</v>
      </c>
      <c r="X118" s="2">
        <v>6733204.6449999996</v>
      </c>
      <c r="Y118" s="2">
        <v>6875188.3674371419</v>
      </c>
      <c r="Z118" s="2">
        <v>7113798.2619569935</v>
      </c>
      <c r="AA118" s="2">
        <v>7473203.6675265459</v>
      </c>
      <c r="AB118" s="2">
        <v>8212583.5237421729</v>
      </c>
      <c r="AC118" s="2">
        <v>8430846.7086295243</v>
      </c>
      <c r="AD118" s="2">
        <v>8103401.750790989</v>
      </c>
      <c r="AE118" s="2">
        <v>8634488.7830224354</v>
      </c>
      <c r="AF118" s="2">
        <v>8849525.2515850998</v>
      </c>
      <c r="AG118" s="2">
        <v>9095756.3816286605</v>
      </c>
      <c r="AH118" s="2">
        <v>9246122.6427099705</v>
      </c>
      <c r="AI118" s="2">
        <v>9601518.8463847321</v>
      </c>
    </row>
    <row r="119" spans="1:35" x14ac:dyDescent="0.2">
      <c r="A119" s="1" t="s">
        <v>281</v>
      </c>
      <c r="B119" s="1" t="s">
        <v>282</v>
      </c>
      <c r="C119" s="1" t="s">
        <v>283</v>
      </c>
      <c r="D119" s="2">
        <v>4624.1237442769998</v>
      </c>
      <c r="E119" s="2">
        <v>10872.7650623104</v>
      </c>
      <c r="F119" s="2">
        <v>22509.803600749001</v>
      </c>
      <c r="G119" s="2">
        <v>29822.732162968998</v>
      </c>
      <c r="H119" s="2">
        <v>128193.69033836581</v>
      </c>
      <c r="I119" s="2">
        <v>126222.52902469553</v>
      </c>
      <c r="J119" s="2">
        <v>165609.09873697686</v>
      </c>
      <c r="K119" s="2">
        <v>202678.18832079149</v>
      </c>
      <c r="L119" s="2">
        <v>241851.06521264929</v>
      </c>
      <c r="M119" s="2">
        <v>230514.23040040475</v>
      </c>
      <c r="N119" s="2">
        <v>237330.3407254309</v>
      </c>
      <c r="O119" s="2">
        <v>255143.36870306073</v>
      </c>
      <c r="P119" s="2">
        <v>219621.89556437379</v>
      </c>
      <c r="Q119" s="2">
        <v>214378.60625531588</v>
      </c>
      <c r="R119" s="2">
        <v>241923.34620507876</v>
      </c>
      <c r="S119" s="2">
        <v>242363.98628727152</v>
      </c>
      <c r="T119" s="2">
        <v>266414.54689579579</v>
      </c>
      <c r="U119" s="2">
        <v>300302.46641113312</v>
      </c>
      <c r="V119" s="2">
        <v>299630.914755948</v>
      </c>
      <c r="W119" s="2">
        <v>329115.68456385116</v>
      </c>
      <c r="X119" s="2">
        <v>383118.853</v>
      </c>
      <c r="Y119" s="2">
        <v>392134.08086206706</v>
      </c>
      <c r="Z119" s="2">
        <v>419164.89357720944</v>
      </c>
      <c r="AA119" s="2">
        <v>467000.20425847312</v>
      </c>
      <c r="AB119" s="2">
        <v>478432.61722937692</v>
      </c>
      <c r="AC119" s="2">
        <v>498081.25668684451</v>
      </c>
      <c r="AD119" s="2">
        <v>497052.51734212664</v>
      </c>
      <c r="AE119" s="2">
        <v>561480.8748873669</v>
      </c>
      <c r="AF119" s="2">
        <v>530423.63577761664</v>
      </c>
      <c r="AG119" s="2">
        <v>536397.3416642365</v>
      </c>
      <c r="AH119" s="2">
        <v>546777.05700145545</v>
      </c>
      <c r="AI119" s="2">
        <v>561957.88814360939</v>
      </c>
    </row>
    <row r="120" spans="1:35" x14ac:dyDescent="0.2">
      <c r="A120" s="1" t="s">
        <v>281</v>
      </c>
      <c r="B120" s="1" t="s">
        <v>284</v>
      </c>
      <c r="C120" s="1" t="s">
        <v>285</v>
      </c>
      <c r="D120" s="2">
        <v>14952.980381060999</v>
      </c>
      <c r="E120" s="2">
        <v>30579.800899927101</v>
      </c>
      <c r="F120" s="2">
        <v>86052.538343585591</v>
      </c>
      <c r="G120" s="2">
        <v>132977.24515281332</v>
      </c>
      <c r="H120" s="2">
        <v>188983.96426695571</v>
      </c>
      <c r="I120" s="2">
        <v>280011.99748866807</v>
      </c>
      <c r="J120" s="2">
        <v>441668.67249076866</v>
      </c>
      <c r="K120" s="2">
        <v>472392.88966149016</v>
      </c>
      <c r="L120" s="2">
        <v>666696.47187142936</v>
      </c>
      <c r="M120" s="2">
        <v>781667.62362640875</v>
      </c>
      <c r="N120" s="2">
        <v>821509.00100246875</v>
      </c>
      <c r="O120" s="2">
        <v>858823.52160727198</v>
      </c>
      <c r="P120" s="2">
        <v>774610.27292002679</v>
      </c>
      <c r="Q120" s="2">
        <v>712748.2185936803</v>
      </c>
      <c r="R120" s="2">
        <v>784646.92684334749</v>
      </c>
      <c r="S120" s="2">
        <v>795315.22107244306</v>
      </c>
      <c r="T120" s="2">
        <v>819963.61549531366</v>
      </c>
      <c r="U120" s="2">
        <v>883896.29005655996</v>
      </c>
      <c r="V120" s="2">
        <v>874924.30051396019</v>
      </c>
      <c r="W120" s="2">
        <v>903498.33012554247</v>
      </c>
      <c r="X120" s="2">
        <v>1020394.8720000003</v>
      </c>
      <c r="Y120" s="2">
        <v>1091037.999840867</v>
      </c>
      <c r="Z120" s="2">
        <v>1176718.5103712066</v>
      </c>
      <c r="AA120" s="2">
        <v>1317493.33689448</v>
      </c>
      <c r="AB120" s="2">
        <v>1329161.3301734307</v>
      </c>
      <c r="AC120" s="2">
        <v>1369989.6297990084</v>
      </c>
      <c r="AD120" s="2">
        <v>1392582.5367403841</v>
      </c>
      <c r="AE120" s="2">
        <v>1500605.8649424191</v>
      </c>
      <c r="AF120" s="2">
        <v>1457179.3212379401</v>
      </c>
      <c r="AG120" s="2">
        <v>1488537.374723092</v>
      </c>
      <c r="AH120" s="2">
        <v>1385802.0461506059</v>
      </c>
      <c r="AI120" s="2">
        <v>1431604.6032984669</v>
      </c>
    </row>
    <row r="121" spans="1:35" x14ac:dyDescent="0.2">
      <c r="A121" s="1" t="s">
        <v>281</v>
      </c>
      <c r="B121" s="1" t="s">
        <v>286</v>
      </c>
      <c r="C121" s="1" t="s">
        <v>287</v>
      </c>
      <c r="D121" s="2">
        <v>84114.132886889915</v>
      </c>
      <c r="E121" s="2">
        <v>280186.40153282828</v>
      </c>
      <c r="F121" s="2">
        <v>367113.20053197158</v>
      </c>
      <c r="G121" s="2">
        <v>655176.02811208658</v>
      </c>
      <c r="H121" s="2">
        <v>1172041.5217907494</v>
      </c>
      <c r="I121" s="2">
        <v>1850269.0570486181</v>
      </c>
      <c r="J121" s="2">
        <v>3060029.021409309</v>
      </c>
      <c r="K121" s="2">
        <v>4441197.0193196246</v>
      </c>
      <c r="L121" s="2">
        <v>6585552.2584063206</v>
      </c>
      <c r="M121" s="2">
        <v>4807699.3102688482</v>
      </c>
      <c r="N121" s="2">
        <v>5159171.7907285839</v>
      </c>
      <c r="O121" s="2">
        <v>5120549.4213024117</v>
      </c>
      <c r="P121" s="2">
        <v>5597410.8271602839</v>
      </c>
      <c r="Q121" s="2">
        <v>5236009.2761549363</v>
      </c>
      <c r="R121" s="2">
        <v>5988987.6111561246</v>
      </c>
      <c r="S121" s="2">
        <v>5931152.6556918072</v>
      </c>
      <c r="T121" s="2">
        <v>6193021.2687857654</v>
      </c>
      <c r="U121" s="2">
        <v>6610351.017353774</v>
      </c>
      <c r="V121" s="2">
        <v>6598334.8938116655</v>
      </c>
      <c r="W121" s="2">
        <v>6683779.876968259</v>
      </c>
      <c r="X121" s="2">
        <v>7601370.1129999999</v>
      </c>
      <c r="Y121" s="2">
        <v>7884780.5792624354</v>
      </c>
      <c r="Z121" s="2">
        <v>8345017.5060213357</v>
      </c>
      <c r="AA121" s="2">
        <v>8978100.3390352391</v>
      </c>
      <c r="AB121" s="2">
        <v>8920343.340769155</v>
      </c>
      <c r="AC121" s="2">
        <v>8657644.2738537602</v>
      </c>
      <c r="AD121" s="2">
        <v>8379907.6905061556</v>
      </c>
      <c r="AE121" s="2">
        <v>8318609.2468675114</v>
      </c>
      <c r="AF121" s="2">
        <v>8300561.3956320714</v>
      </c>
      <c r="AG121" s="2">
        <v>8167995.2876516124</v>
      </c>
      <c r="AH121" s="2">
        <v>7123416.4971115552</v>
      </c>
      <c r="AI121" s="2">
        <v>7413372.3413579976</v>
      </c>
    </row>
    <row r="122" spans="1:35" x14ac:dyDescent="0.2">
      <c r="A122" s="1" t="s">
        <v>288</v>
      </c>
      <c r="B122" s="1" t="s">
        <v>289</v>
      </c>
      <c r="C122" s="1" t="s">
        <v>290</v>
      </c>
      <c r="D122" s="2">
        <v>48965.547156297405</v>
      </c>
      <c r="E122" s="2">
        <v>502290.91039955488</v>
      </c>
      <c r="F122" s="2">
        <v>1025098.5540065088</v>
      </c>
      <c r="G122" s="2">
        <v>1827121.3086822706</v>
      </c>
      <c r="H122" s="2">
        <v>2670547.9910642966</v>
      </c>
      <c r="I122" s="2">
        <v>3643442.8363284245</v>
      </c>
      <c r="J122" s="2">
        <v>5152508.7113598017</v>
      </c>
      <c r="K122" s="2">
        <v>6888254.5239317156</v>
      </c>
      <c r="L122" s="2">
        <v>10286194.281225227</v>
      </c>
      <c r="M122" s="2">
        <v>11855462.350704508</v>
      </c>
      <c r="N122" s="2">
        <v>12262374.617486101</v>
      </c>
      <c r="O122" s="2">
        <v>11913713.714309376</v>
      </c>
      <c r="P122" s="2">
        <v>11283219.776093645</v>
      </c>
      <c r="Q122" s="2">
        <v>11012160.459684813</v>
      </c>
      <c r="R122" s="2">
        <v>10844738.273870336</v>
      </c>
      <c r="S122" s="2">
        <v>11646735.655072125</v>
      </c>
      <c r="T122" s="2">
        <v>12306541.124515651</v>
      </c>
      <c r="U122" s="2">
        <v>12794454.666964123</v>
      </c>
      <c r="V122" s="2">
        <v>13056220.944367217</v>
      </c>
      <c r="W122" s="2">
        <v>13639346.820623072</v>
      </c>
      <c r="X122" s="2">
        <v>14380702.501000004</v>
      </c>
      <c r="Y122" s="2">
        <v>15183500.803606706</v>
      </c>
      <c r="Z122" s="2">
        <v>16153966.018193239</v>
      </c>
      <c r="AA122" s="2">
        <v>17453188.298760481</v>
      </c>
      <c r="AB122" s="2">
        <v>17713422.865253925</v>
      </c>
      <c r="AC122" s="2">
        <v>16950608.452044889</v>
      </c>
      <c r="AD122" s="2">
        <v>16918820.704083871</v>
      </c>
      <c r="AE122" s="2">
        <v>17434463.509801835</v>
      </c>
      <c r="AF122" s="2">
        <v>17442661.979576495</v>
      </c>
      <c r="AG122" s="2">
        <v>18330570.874558207</v>
      </c>
      <c r="AH122" s="2">
        <v>17825676.344522662</v>
      </c>
      <c r="AI122" s="2">
        <v>17546409.942685008</v>
      </c>
    </row>
    <row r="123" spans="1:35" x14ac:dyDescent="0.2">
      <c r="A123" s="1" t="s">
        <v>288</v>
      </c>
      <c r="B123" s="1" t="s">
        <v>291</v>
      </c>
      <c r="C123" s="1" t="s">
        <v>292</v>
      </c>
      <c r="D123" s="2">
        <v>164027.18611197098</v>
      </c>
      <c r="E123" s="2">
        <v>1034343.0401671288</v>
      </c>
      <c r="F123" s="2">
        <v>1791538.967126406</v>
      </c>
      <c r="G123" s="2">
        <v>2630861.0384784988</v>
      </c>
      <c r="H123" s="2">
        <v>3924827.0073785209</v>
      </c>
      <c r="I123" s="2">
        <v>6263302.2162137898</v>
      </c>
      <c r="J123" s="2">
        <v>9604955.4965319522</v>
      </c>
      <c r="K123" s="2">
        <v>11317299.584829038</v>
      </c>
      <c r="L123" s="2">
        <v>16878677.240708761</v>
      </c>
      <c r="M123" s="2">
        <v>20933880.488905717</v>
      </c>
      <c r="N123" s="2">
        <v>21403872.862550739</v>
      </c>
      <c r="O123" s="2">
        <v>21030497.591062576</v>
      </c>
      <c r="P123" s="2">
        <v>19756833.095221926</v>
      </c>
      <c r="Q123" s="2">
        <v>19814382.003128462</v>
      </c>
      <c r="R123" s="2">
        <v>19696811.63471619</v>
      </c>
      <c r="S123" s="2">
        <v>21062561.05190343</v>
      </c>
      <c r="T123" s="2">
        <v>22629505.839548308</v>
      </c>
      <c r="U123" s="2">
        <v>23417465.187581591</v>
      </c>
      <c r="V123" s="2">
        <v>23204466.244633071</v>
      </c>
      <c r="W123" s="2">
        <v>23785023.159494705</v>
      </c>
      <c r="X123" s="2">
        <v>25627485.913999993</v>
      </c>
      <c r="Y123" s="2">
        <v>27053795.370420605</v>
      </c>
      <c r="Z123" s="2">
        <v>28349152.460276935</v>
      </c>
      <c r="AA123" s="2">
        <v>30266961.548717178</v>
      </c>
      <c r="AB123" s="2">
        <v>31798023.972808052</v>
      </c>
      <c r="AC123" s="2">
        <v>30306792.672616418</v>
      </c>
      <c r="AD123" s="2">
        <v>31084280.926857498</v>
      </c>
      <c r="AE123" s="2">
        <v>31744474.957100447</v>
      </c>
      <c r="AF123" s="2">
        <v>32256029.693130855</v>
      </c>
      <c r="AG123" s="2">
        <v>32207704.766825568</v>
      </c>
      <c r="AH123" s="2">
        <v>30976804.266959403</v>
      </c>
      <c r="AI123" s="2">
        <v>30438176.925515112</v>
      </c>
    </row>
    <row r="124" spans="1:35" x14ac:dyDescent="0.2">
      <c r="A124" s="1" t="s">
        <v>288</v>
      </c>
      <c r="B124" s="1" t="s">
        <v>293</v>
      </c>
      <c r="C124" s="1" t="s">
        <v>294</v>
      </c>
      <c r="D124" s="2">
        <v>8971.0513667801006</v>
      </c>
      <c r="E124" s="2">
        <v>260024.20582493738</v>
      </c>
      <c r="F124" s="2">
        <v>747002.73938905704</v>
      </c>
      <c r="G124" s="2">
        <v>894402.241732397</v>
      </c>
      <c r="H124" s="2">
        <v>1425710.9504042221</v>
      </c>
      <c r="I124" s="2">
        <v>1787014.6100999499</v>
      </c>
      <c r="J124" s="2">
        <v>2341235.6864468316</v>
      </c>
      <c r="K124" s="2">
        <v>2877452.621819404</v>
      </c>
      <c r="L124" s="2">
        <v>4545106.0931270644</v>
      </c>
      <c r="M124" s="2">
        <v>4554088.8375307191</v>
      </c>
      <c r="N124" s="2">
        <v>4697107.6859741425</v>
      </c>
      <c r="O124" s="2">
        <v>4682423.8758638697</v>
      </c>
      <c r="P124" s="2">
        <v>4472203.8997628586</v>
      </c>
      <c r="Q124" s="2">
        <v>4350579.2300838549</v>
      </c>
      <c r="R124" s="2">
        <v>4387764.4521614788</v>
      </c>
      <c r="S124" s="2">
        <v>4492962.9445653856</v>
      </c>
      <c r="T124" s="2">
        <v>4835649.112088507</v>
      </c>
      <c r="U124" s="2">
        <v>5102171.5986713246</v>
      </c>
      <c r="V124" s="2">
        <v>5124373.1991454409</v>
      </c>
      <c r="W124" s="2">
        <v>5402845.0629401477</v>
      </c>
      <c r="X124" s="2">
        <v>5682788.2420000006</v>
      </c>
      <c r="Y124" s="2">
        <v>6090877.7623992097</v>
      </c>
      <c r="Z124" s="2">
        <v>6549185.9954329971</v>
      </c>
      <c r="AA124" s="2">
        <v>7064584.0253287889</v>
      </c>
      <c r="AB124" s="2">
        <v>7097794.9233707814</v>
      </c>
      <c r="AC124" s="2">
        <v>6812269.3060895363</v>
      </c>
      <c r="AD124" s="2">
        <v>6906315.7668551849</v>
      </c>
      <c r="AE124" s="2">
        <v>7070480.2339509791</v>
      </c>
      <c r="AF124" s="2">
        <v>7025246.6428544763</v>
      </c>
      <c r="AG124" s="2">
        <v>7340403.6578374831</v>
      </c>
      <c r="AH124" s="2">
        <v>7235874.2271127719</v>
      </c>
      <c r="AI124" s="2">
        <v>6971944.4219391793</v>
      </c>
    </row>
    <row r="125" spans="1:35" x14ac:dyDescent="0.2">
      <c r="A125" s="1" t="s">
        <v>288</v>
      </c>
      <c r="B125" s="1" t="s">
        <v>295</v>
      </c>
      <c r="C125" s="1" t="s">
        <v>296</v>
      </c>
      <c r="D125" s="2">
        <v>102435.91641999561</v>
      </c>
      <c r="E125" s="2">
        <v>906932.1902057766</v>
      </c>
      <c r="F125" s="2">
        <v>1630384.9415750569</v>
      </c>
      <c r="G125" s="2">
        <v>1911164.5317135188</v>
      </c>
      <c r="H125" s="2">
        <v>2997797.6021022946</v>
      </c>
      <c r="I125" s="2">
        <v>4244461.0654299352</v>
      </c>
      <c r="J125" s="2">
        <v>6067233.1523512127</v>
      </c>
      <c r="K125" s="2">
        <v>7076254.7233207598</v>
      </c>
      <c r="L125" s="2">
        <v>11354094.408703696</v>
      </c>
      <c r="M125" s="2">
        <v>10102543.858259412</v>
      </c>
      <c r="N125" s="2">
        <v>10248619.949226774</v>
      </c>
      <c r="O125" s="2">
        <v>9902593.0794232432</v>
      </c>
      <c r="P125" s="2">
        <v>9737729.5463841911</v>
      </c>
      <c r="Q125" s="2">
        <v>9593517.1046551112</v>
      </c>
      <c r="R125" s="2">
        <v>9867990.5761430487</v>
      </c>
      <c r="S125" s="2">
        <v>10704123.621048603</v>
      </c>
      <c r="T125" s="2">
        <v>11593088.900903966</v>
      </c>
      <c r="U125" s="2">
        <v>11923646.749535285</v>
      </c>
      <c r="V125" s="2">
        <v>12031338.440713678</v>
      </c>
      <c r="W125" s="2">
        <v>12971789.984018214</v>
      </c>
      <c r="X125" s="2">
        <v>13739155.928999996</v>
      </c>
      <c r="Y125" s="2">
        <v>14431219.646412682</v>
      </c>
      <c r="Z125" s="2">
        <v>15052567.747684315</v>
      </c>
      <c r="AA125" s="2">
        <v>16170329.294943707</v>
      </c>
      <c r="AB125" s="2">
        <v>16578026.420984363</v>
      </c>
      <c r="AC125" s="2">
        <v>16049738.167770209</v>
      </c>
      <c r="AD125" s="2">
        <v>15937842.286973592</v>
      </c>
      <c r="AE125" s="2">
        <v>15933578.610144051</v>
      </c>
      <c r="AF125" s="2">
        <v>16046261.903815027</v>
      </c>
      <c r="AG125" s="2">
        <v>16921212.095686782</v>
      </c>
      <c r="AH125" s="2">
        <v>16346122.935276592</v>
      </c>
      <c r="AI125" s="2">
        <v>16141369.533174422</v>
      </c>
    </row>
    <row r="126" spans="1:35" x14ac:dyDescent="0.2">
      <c r="A126" s="1" t="s">
        <v>288</v>
      </c>
      <c r="B126" s="1" t="s">
        <v>297</v>
      </c>
      <c r="C126" s="1" t="s">
        <v>298</v>
      </c>
      <c r="D126" s="2">
        <v>64369.895700271394</v>
      </c>
      <c r="E126" s="2">
        <v>379852.86728446424</v>
      </c>
      <c r="F126" s="2">
        <v>501783.08529338258</v>
      </c>
      <c r="G126" s="2">
        <v>733384.59157378133</v>
      </c>
      <c r="H126" s="2">
        <v>1388042.7043703743</v>
      </c>
      <c r="I126" s="2">
        <v>2132467.2053006697</v>
      </c>
      <c r="J126" s="2">
        <v>3537530.7300575865</v>
      </c>
      <c r="K126" s="2">
        <v>4066249.30578653</v>
      </c>
      <c r="L126" s="2">
        <v>5560269.000199235</v>
      </c>
      <c r="M126" s="2">
        <v>7183265.1277593039</v>
      </c>
      <c r="N126" s="2">
        <v>7153422.0821676459</v>
      </c>
      <c r="O126" s="2">
        <v>6817815.2820710754</v>
      </c>
      <c r="P126" s="2">
        <v>6129370.3474047929</v>
      </c>
      <c r="Q126" s="2">
        <v>6113299.9127160972</v>
      </c>
      <c r="R126" s="2">
        <v>5882746.5802597282</v>
      </c>
      <c r="S126" s="2">
        <v>6205468.780914451</v>
      </c>
      <c r="T126" s="2">
        <v>6701317.607438596</v>
      </c>
      <c r="U126" s="2">
        <v>6895042.0861670412</v>
      </c>
      <c r="V126" s="2">
        <v>7076934.2564477418</v>
      </c>
      <c r="W126" s="2">
        <v>7410110.9311465733</v>
      </c>
      <c r="X126" s="2">
        <v>8013557.3919999972</v>
      </c>
      <c r="Y126" s="2">
        <v>8554292.842249535</v>
      </c>
      <c r="Z126" s="2">
        <v>9036111.8063603025</v>
      </c>
      <c r="AA126" s="2">
        <v>9594016.8163862731</v>
      </c>
      <c r="AB126" s="2">
        <v>9948958.8009203449</v>
      </c>
      <c r="AC126" s="2">
        <v>9732814.8345795535</v>
      </c>
      <c r="AD126" s="2">
        <v>9690182.3512270208</v>
      </c>
      <c r="AE126" s="2">
        <v>9768547.0580787119</v>
      </c>
      <c r="AF126" s="2">
        <v>9797610.388702048</v>
      </c>
      <c r="AG126" s="2">
        <v>10102660.111833945</v>
      </c>
      <c r="AH126" s="2">
        <v>10094235.903435823</v>
      </c>
      <c r="AI126" s="2">
        <v>9909939.5987050273</v>
      </c>
    </row>
    <row r="127" spans="1:35" x14ac:dyDescent="0.2">
      <c r="A127" s="1" t="s">
        <v>288</v>
      </c>
      <c r="B127" s="1" t="s">
        <v>299</v>
      </c>
      <c r="C127" s="1" t="s">
        <v>300</v>
      </c>
      <c r="D127" s="2">
        <v>75574.709951684606</v>
      </c>
      <c r="E127" s="2">
        <v>452421.42059697903</v>
      </c>
      <c r="F127" s="2">
        <v>772909.36951209675</v>
      </c>
      <c r="G127" s="2">
        <v>1216773.0148246617</v>
      </c>
      <c r="H127" s="2">
        <v>2393028.3475236464</v>
      </c>
      <c r="I127" s="2">
        <v>3618765.2337570726</v>
      </c>
      <c r="J127" s="2">
        <v>5849226.8110570312</v>
      </c>
      <c r="K127" s="2">
        <v>5975470.8037903914</v>
      </c>
      <c r="L127" s="2">
        <v>9328512.5832376368</v>
      </c>
      <c r="M127" s="2">
        <v>10786002.387841387</v>
      </c>
      <c r="N127" s="2">
        <v>11255984.892776942</v>
      </c>
      <c r="O127" s="2">
        <v>11196432.09191714</v>
      </c>
      <c r="P127" s="2">
        <v>11508102.381200196</v>
      </c>
      <c r="Q127" s="2">
        <v>11701226.210424921</v>
      </c>
      <c r="R127" s="2">
        <v>11529326.421982925</v>
      </c>
      <c r="S127" s="2">
        <v>12574301.152910143</v>
      </c>
      <c r="T127" s="2">
        <v>13627098.311888717</v>
      </c>
      <c r="U127" s="2">
        <v>14329339.545382684</v>
      </c>
      <c r="V127" s="2">
        <v>14422774.872443384</v>
      </c>
      <c r="W127" s="2">
        <v>14682430.632665038</v>
      </c>
      <c r="X127" s="2">
        <v>15803851.561999997</v>
      </c>
      <c r="Y127" s="2">
        <v>17077704.728317123</v>
      </c>
      <c r="Z127" s="2">
        <v>17741452.097369</v>
      </c>
      <c r="AA127" s="2">
        <v>19186021.961024057</v>
      </c>
      <c r="AB127" s="2">
        <v>19992813.724730704</v>
      </c>
      <c r="AC127" s="2">
        <v>18749104.475833535</v>
      </c>
      <c r="AD127" s="2">
        <v>18356576.576585218</v>
      </c>
      <c r="AE127" s="2">
        <v>18731650.619572129</v>
      </c>
      <c r="AF127" s="2">
        <v>19758217.187492624</v>
      </c>
      <c r="AG127" s="2">
        <v>20059629.809319653</v>
      </c>
      <c r="AH127" s="2">
        <v>19450804.634569354</v>
      </c>
      <c r="AI127" s="2">
        <v>19840117.890645247</v>
      </c>
    </row>
    <row r="128" spans="1:35" x14ac:dyDescent="0.2">
      <c r="A128" s="1" t="s">
        <v>288</v>
      </c>
      <c r="B128" s="1" t="s">
        <v>301</v>
      </c>
      <c r="C128" s="1" t="s">
        <v>302</v>
      </c>
      <c r="D128" s="2">
        <v>164869.57914764009</v>
      </c>
      <c r="E128" s="2">
        <v>927420.76576887444</v>
      </c>
      <c r="F128" s="2">
        <v>1815489.508054666</v>
      </c>
      <c r="G128" s="2">
        <v>2502137.6153390002</v>
      </c>
      <c r="H128" s="2">
        <v>6929375.5904450249</v>
      </c>
      <c r="I128" s="2">
        <v>18194830.502233367</v>
      </c>
      <c r="J128" s="2">
        <v>26047819.09909565</v>
      </c>
      <c r="K128" s="2">
        <v>19497975.519646112</v>
      </c>
      <c r="L128" s="2">
        <v>31035964.14962133</v>
      </c>
      <c r="M128" s="2">
        <v>37676210.194423996</v>
      </c>
      <c r="N128" s="2">
        <v>40963609.154196776</v>
      </c>
      <c r="O128" s="2">
        <v>38657848.755490936</v>
      </c>
      <c r="P128" s="2">
        <v>38429458.803424329</v>
      </c>
      <c r="Q128" s="2">
        <v>38253793.727393351</v>
      </c>
      <c r="R128" s="2">
        <v>38591476.022736773</v>
      </c>
      <c r="S128" s="2">
        <v>41760671.701718666</v>
      </c>
      <c r="T128" s="2">
        <v>43699395.04751119</v>
      </c>
      <c r="U128" s="2">
        <v>46732166.136189528</v>
      </c>
      <c r="V128" s="2">
        <v>48318453.173721135</v>
      </c>
      <c r="W128" s="2">
        <v>50804102.858111024</v>
      </c>
      <c r="X128" s="2">
        <v>55190822.733000003</v>
      </c>
      <c r="Y128" s="2">
        <v>58711939.714399494</v>
      </c>
      <c r="Z128" s="2">
        <v>66191782.146787882</v>
      </c>
      <c r="AA128" s="2">
        <v>64792392.125939295</v>
      </c>
      <c r="AB128" s="2">
        <v>67460114.117970377</v>
      </c>
      <c r="AC128" s="2">
        <v>65293899.963363193</v>
      </c>
      <c r="AD128" s="2">
        <v>64224114.223170899</v>
      </c>
      <c r="AE128" s="2">
        <v>65314135.568769775</v>
      </c>
      <c r="AF128" s="2">
        <v>65501968.35549894</v>
      </c>
      <c r="AG128" s="2">
        <v>68570067.556592837</v>
      </c>
      <c r="AH128" s="2">
        <v>65609478.442350388</v>
      </c>
      <c r="AI128" s="2">
        <v>66717982.514117874</v>
      </c>
    </row>
    <row r="129" spans="1:35" x14ac:dyDescent="0.2">
      <c r="A129" s="1" t="s">
        <v>288</v>
      </c>
      <c r="B129" s="1" t="s">
        <v>303</v>
      </c>
      <c r="C129" s="1" t="s">
        <v>304</v>
      </c>
      <c r="E129" s="2">
        <v>169512.35588762202</v>
      </c>
      <c r="F129" s="2">
        <v>777322.12190820428</v>
      </c>
      <c r="G129" s="2">
        <v>1158774.6781456855</v>
      </c>
      <c r="H129" s="2">
        <v>1980971.1035209321</v>
      </c>
      <c r="I129" s="2">
        <v>2495031.0235952097</v>
      </c>
      <c r="J129" s="2">
        <v>3439653.3728080755</v>
      </c>
      <c r="K129" s="2">
        <v>3979065.2793991398</v>
      </c>
      <c r="L129" s="2">
        <v>5889557.6357723791</v>
      </c>
      <c r="M129" s="2">
        <v>5664029.2086199466</v>
      </c>
      <c r="N129" s="2">
        <v>5669436.9896805072</v>
      </c>
      <c r="O129" s="2">
        <v>5574191.8653403716</v>
      </c>
      <c r="P129" s="2">
        <v>5261673.7942540124</v>
      </c>
      <c r="Q129" s="2">
        <v>5211077.5463909227</v>
      </c>
      <c r="R129" s="2">
        <v>5231211.9948717272</v>
      </c>
      <c r="S129" s="2">
        <v>5461812.243079803</v>
      </c>
      <c r="T129" s="2">
        <v>5750682.8564707702</v>
      </c>
      <c r="U129" s="2">
        <v>5858198.2899985304</v>
      </c>
      <c r="V129" s="2">
        <v>5958363.4859158434</v>
      </c>
      <c r="W129" s="2">
        <v>6286503.4422454005</v>
      </c>
      <c r="X129" s="2">
        <v>6551495.5769999996</v>
      </c>
      <c r="Y129" s="2">
        <v>6822160.2087218259</v>
      </c>
      <c r="Z129" s="2">
        <v>7181388.697980212</v>
      </c>
      <c r="AA129" s="2">
        <v>7716834.3154840488</v>
      </c>
      <c r="AB129" s="2">
        <v>7675285.4684523819</v>
      </c>
      <c r="AC129" s="2">
        <v>7523676.0168098146</v>
      </c>
      <c r="AD129" s="2">
        <v>7422754.4008376263</v>
      </c>
      <c r="AE129" s="2">
        <v>7559680.7149494868</v>
      </c>
      <c r="AF129" s="2">
        <v>7500205.3887491627</v>
      </c>
      <c r="AG129" s="2">
        <v>7827289.654853316</v>
      </c>
      <c r="AH129" s="2">
        <v>7490791.7486614818</v>
      </c>
      <c r="AI129" s="2">
        <v>7278048.5677884687</v>
      </c>
    </row>
    <row r="130" spans="1:35" x14ac:dyDescent="0.2">
      <c r="A130" s="1" t="s">
        <v>288</v>
      </c>
      <c r="B130" s="1" t="s">
        <v>305</v>
      </c>
      <c r="C130" s="1" t="s">
        <v>306</v>
      </c>
      <c r="D130" s="2">
        <v>1814.6020820556</v>
      </c>
      <c r="E130" s="2">
        <v>288038.1517398787</v>
      </c>
      <c r="F130" s="2">
        <v>695459.01899264893</v>
      </c>
      <c r="G130" s="2">
        <v>839854.10331676924</v>
      </c>
      <c r="H130" s="2">
        <v>957673.7446542409</v>
      </c>
      <c r="I130" s="2">
        <v>1246375.3933370276</v>
      </c>
      <c r="J130" s="2">
        <v>1658495.2768121082</v>
      </c>
      <c r="K130" s="2">
        <v>2520309.6171686267</v>
      </c>
      <c r="L130" s="2">
        <v>3551681.2495951797</v>
      </c>
      <c r="M130" s="2">
        <v>3509289.0244138232</v>
      </c>
      <c r="N130" s="2">
        <v>3506593.483650289</v>
      </c>
      <c r="O130" s="2">
        <v>3380132.8573039938</v>
      </c>
      <c r="P130" s="2">
        <v>3183057.9575390555</v>
      </c>
      <c r="Q130" s="2">
        <v>3127297.5085557499</v>
      </c>
      <c r="R130" s="2">
        <v>3150710.8466223441</v>
      </c>
      <c r="S130" s="2">
        <v>3166909.4537011245</v>
      </c>
      <c r="T130" s="2">
        <v>3306901.4865412232</v>
      </c>
      <c r="U130" s="2">
        <v>3403057.1937420289</v>
      </c>
      <c r="V130" s="2">
        <v>3527217.458826289</v>
      </c>
      <c r="W130" s="2">
        <v>3694906.1243857131</v>
      </c>
      <c r="X130" s="2">
        <v>3941692.5789999999</v>
      </c>
      <c r="Y130" s="2">
        <v>4116974.7054976784</v>
      </c>
      <c r="Z130" s="2">
        <v>4423073.4568844326</v>
      </c>
      <c r="AA130" s="2">
        <v>4797436.9466690114</v>
      </c>
      <c r="AB130" s="2">
        <v>4779667.6620948184</v>
      </c>
      <c r="AC130" s="2">
        <v>4608162.2346853921</v>
      </c>
      <c r="AD130" s="2">
        <v>4547641.4575973395</v>
      </c>
      <c r="AE130" s="2">
        <v>4697831.5274322703</v>
      </c>
      <c r="AF130" s="2">
        <v>4779183.2955686273</v>
      </c>
      <c r="AG130" s="2">
        <v>4958764.0855687177</v>
      </c>
      <c r="AH130" s="2">
        <v>4873162.1434021108</v>
      </c>
      <c r="AI130" s="2">
        <v>4911377.1011036094</v>
      </c>
    </row>
    <row r="131" spans="1:35" x14ac:dyDescent="0.2">
      <c r="A131" s="1" t="s">
        <v>288</v>
      </c>
      <c r="B131" s="1" t="s">
        <v>307</v>
      </c>
      <c r="C131" s="1" t="s">
        <v>308</v>
      </c>
      <c r="D131" s="2">
        <v>31646.890380557899</v>
      </c>
      <c r="E131" s="2">
        <v>256016.45117810322</v>
      </c>
      <c r="F131" s="2">
        <v>592779.73854363209</v>
      </c>
      <c r="G131" s="2">
        <v>887024.49264044943</v>
      </c>
      <c r="H131" s="2">
        <v>1102412.2905508711</v>
      </c>
      <c r="I131" s="2">
        <v>1555423.223088132</v>
      </c>
      <c r="J131" s="2">
        <v>1701789.7622454353</v>
      </c>
      <c r="K131" s="2">
        <v>2467531.6151233269</v>
      </c>
      <c r="L131" s="2">
        <v>3064349.7798107178</v>
      </c>
      <c r="M131" s="2">
        <v>4022384.1586927371</v>
      </c>
      <c r="N131" s="2">
        <v>3971082.0908011408</v>
      </c>
      <c r="O131" s="2">
        <v>4143270.575785704</v>
      </c>
      <c r="P131" s="2">
        <v>3717894.1982374317</v>
      </c>
      <c r="Q131" s="2">
        <v>3666406.8369947202</v>
      </c>
      <c r="R131" s="2">
        <v>3704751.8165516537</v>
      </c>
      <c r="S131" s="2">
        <v>3714697.3458969719</v>
      </c>
      <c r="T131" s="2">
        <v>3767333.7826856868</v>
      </c>
      <c r="U131" s="2">
        <v>3802660.4449567026</v>
      </c>
      <c r="V131" s="2">
        <v>3862365.1971053542</v>
      </c>
      <c r="W131" s="2">
        <v>3937240.4227381782</v>
      </c>
      <c r="X131" s="2">
        <v>4174019.0920000002</v>
      </c>
      <c r="Y131" s="2">
        <v>4394093.4169314513</v>
      </c>
      <c r="Z131" s="2">
        <v>4717687.7040812196</v>
      </c>
      <c r="AA131" s="2">
        <v>5079427.5274160365</v>
      </c>
      <c r="AB131" s="2">
        <v>5463396.3057950269</v>
      </c>
      <c r="AC131" s="2">
        <v>5249355.0973049337</v>
      </c>
      <c r="AD131" s="2">
        <v>5380962.4583104812</v>
      </c>
      <c r="AE131" s="2">
        <v>5410158.2022936027</v>
      </c>
      <c r="AF131" s="2">
        <v>5404111.1066995952</v>
      </c>
      <c r="AG131" s="2">
        <v>5695031.7567159003</v>
      </c>
      <c r="AH131" s="2">
        <v>5609578.108416724</v>
      </c>
      <c r="AI131" s="2">
        <v>5588709.6024527429</v>
      </c>
    </row>
    <row r="132" spans="1:35" x14ac:dyDescent="0.2">
      <c r="A132" s="1" t="s">
        <v>288</v>
      </c>
      <c r="B132" s="1" t="s">
        <v>309</v>
      </c>
      <c r="C132" s="1" t="s">
        <v>310</v>
      </c>
      <c r="D132" s="2">
        <v>42639.146389963505</v>
      </c>
      <c r="E132" s="2">
        <v>223005.57976511048</v>
      </c>
      <c r="F132" s="2">
        <v>345965.94876559608</v>
      </c>
      <c r="G132" s="2">
        <v>569278.73551381018</v>
      </c>
      <c r="H132" s="2">
        <v>897938.93817031116</v>
      </c>
      <c r="I132" s="2">
        <v>1401578.4548633669</v>
      </c>
      <c r="J132" s="2">
        <v>2078621.9569757378</v>
      </c>
      <c r="K132" s="2">
        <v>2219181.7162307254</v>
      </c>
      <c r="L132" s="2">
        <v>3220978.1240759883</v>
      </c>
      <c r="M132" s="2">
        <v>3980327.9230321483</v>
      </c>
      <c r="N132" s="2">
        <v>4292418.9563659681</v>
      </c>
      <c r="O132" s="2">
        <v>4172345.7269588816</v>
      </c>
      <c r="P132" s="2">
        <v>3810652.8331117993</v>
      </c>
      <c r="Q132" s="2">
        <v>3829540.5317264311</v>
      </c>
      <c r="R132" s="2">
        <v>3918755.9335910799</v>
      </c>
      <c r="S132" s="2">
        <v>4178441.4018414631</v>
      </c>
      <c r="T132" s="2">
        <v>4335979.8136489606</v>
      </c>
      <c r="U132" s="2">
        <v>4507227.4413773939</v>
      </c>
      <c r="V132" s="2">
        <v>4642608.1730390871</v>
      </c>
      <c r="W132" s="2">
        <v>4908986.1105011497</v>
      </c>
      <c r="X132" s="2">
        <v>4956905.9780000001</v>
      </c>
      <c r="Y132" s="2">
        <v>5383055.6874491032</v>
      </c>
      <c r="Z132" s="2">
        <v>5703882.6328688161</v>
      </c>
      <c r="AA132" s="2">
        <v>6073729.5828533089</v>
      </c>
      <c r="AB132" s="2">
        <v>6600636.2139075939</v>
      </c>
      <c r="AC132" s="2">
        <v>6555272.2925113328</v>
      </c>
      <c r="AD132" s="2">
        <v>6524826.6099811494</v>
      </c>
      <c r="AE132" s="2">
        <v>6494318.8286770778</v>
      </c>
      <c r="AF132" s="2">
        <v>6518763.6666223733</v>
      </c>
      <c r="AG132" s="2">
        <v>6797120.0482853791</v>
      </c>
      <c r="AH132" s="2">
        <v>6926622.3298771409</v>
      </c>
      <c r="AI132" s="2">
        <v>7013561.9124644492</v>
      </c>
    </row>
    <row r="133" spans="1:35" x14ac:dyDescent="0.2">
      <c r="A133" s="1" t="s">
        <v>288</v>
      </c>
      <c r="B133" s="1" t="s">
        <v>311</v>
      </c>
      <c r="C133" s="1" t="s">
        <v>312</v>
      </c>
      <c r="D133" s="2">
        <v>91752.583046663218</v>
      </c>
      <c r="E133" s="2">
        <v>554356.31290264241</v>
      </c>
      <c r="F133" s="2">
        <v>865569.46869176871</v>
      </c>
      <c r="G133" s="2">
        <v>1198225.2157056497</v>
      </c>
      <c r="H133" s="2">
        <v>3600957.5117166019</v>
      </c>
      <c r="I133" s="2">
        <v>6285046.0720446194</v>
      </c>
      <c r="J133" s="2">
        <v>9122209.4114291333</v>
      </c>
      <c r="K133" s="2">
        <v>10932725.63251861</v>
      </c>
      <c r="L133" s="2">
        <v>15916474.986968467</v>
      </c>
      <c r="M133" s="2">
        <v>21183860.121730529</v>
      </c>
      <c r="N133" s="2">
        <v>22891817.524128471</v>
      </c>
      <c r="O133" s="2">
        <v>23107941.025769524</v>
      </c>
      <c r="P133" s="2">
        <v>22976218.19117279</v>
      </c>
      <c r="Q133" s="2">
        <v>23291712.321659826</v>
      </c>
      <c r="R133" s="2">
        <v>24897534.304488637</v>
      </c>
      <c r="S133" s="2">
        <v>26642315.129997708</v>
      </c>
      <c r="T133" s="2">
        <v>29034634.194725178</v>
      </c>
      <c r="U133" s="2">
        <v>32391239.527586401</v>
      </c>
      <c r="V133" s="2">
        <v>33134067.857168052</v>
      </c>
      <c r="W133" s="2">
        <v>32957563.050347496</v>
      </c>
      <c r="X133" s="2">
        <v>36517203.220000006</v>
      </c>
      <c r="Y133" s="2">
        <v>40070872.806689367</v>
      </c>
      <c r="Z133" s="2">
        <v>43314268.969384521</v>
      </c>
      <c r="AA133" s="2">
        <v>46870682.544431254</v>
      </c>
      <c r="AB133" s="2">
        <v>50996146.396814048</v>
      </c>
      <c r="AC133" s="2">
        <v>48648661.583513714</v>
      </c>
      <c r="AD133" s="2">
        <v>47962857.059393637</v>
      </c>
      <c r="AE133" s="2">
        <v>48315308.889145106</v>
      </c>
      <c r="AF133" s="2">
        <v>49275019.532711022</v>
      </c>
      <c r="AG133" s="2">
        <v>52287695.589177258</v>
      </c>
      <c r="AH133" s="2">
        <v>50616470.488439135</v>
      </c>
      <c r="AI133" s="2">
        <v>50065744.303679921</v>
      </c>
    </row>
    <row r="134" spans="1:35" x14ac:dyDescent="0.2">
      <c r="A134" s="1" t="s">
        <v>288</v>
      </c>
      <c r="B134" s="1" t="s">
        <v>313</v>
      </c>
      <c r="C134" s="1" t="s">
        <v>314</v>
      </c>
      <c r="D134" s="2">
        <v>115319.00104401179</v>
      </c>
      <c r="E134" s="2">
        <v>537552.4935491574</v>
      </c>
      <c r="F134" s="2">
        <v>953940.03369233233</v>
      </c>
      <c r="G134" s="2">
        <v>1376127.8868809578</v>
      </c>
      <c r="H134" s="2">
        <v>3610660.6395977144</v>
      </c>
      <c r="I134" s="2">
        <v>5534434.9325760826</v>
      </c>
      <c r="J134" s="2">
        <v>9975854.6219361443</v>
      </c>
      <c r="K134" s="2">
        <v>10803702.625077538</v>
      </c>
      <c r="L134" s="2">
        <v>15409651.380358478</v>
      </c>
      <c r="M134" s="2">
        <v>20245441.772469547</v>
      </c>
      <c r="N134" s="2">
        <v>23217299.069767617</v>
      </c>
      <c r="O134" s="2">
        <v>21780903.067435008</v>
      </c>
      <c r="P134" s="2">
        <v>20492517.153323557</v>
      </c>
      <c r="Q134" s="2">
        <v>20375139.319612827</v>
      </c>
      <c r="R134" s="2">
        <v>20273498.435356472</v>
      </c>
      <c r="S134" s="2">
        <v>20668387.38415109</v>
      </c>
      <c r="T134" s="2">
        <v>21618248.336393181</v>
      </c>
      <c r="U134" s="2">
        <v>22753684.173046321</v>
      </c>
      <c r="V134" s="2">
        <v>23465854.117369708</v>
      </c>
      <c r="W134" s="2">
        <v>24371118.219916642</v>
      </c>
      <c r="X134" s="2">
        <v>24809733.804000005</v>
      </c>
      <c r="Y134" s="2">
        <v>26129077.979359504</v>
      </c>
      <c r="Z134" s="2">
        <v>27241877.004076745</v>
      </c>
      <c r="AA134" s="2">
        <v>29201373.83464428</v>
      </c>
      <c r="AB134" s="2">
        <v>30155499.09839765</v>
      </c>
      <c r="AC134" s="2">
        <v>29133797.53105364</v>
      </c>
      <c r="AD134" s="2">
        <v>27890544.521158237</v>
      </c>
      <c r="AE134" s="2">
        <v>28876567.167134099</v>
      </c>
      <c r="AF134" s="2">
        <v>30945885.5614792</v>
      </c>
      <c r="AG134" s="2">
        <v>32055319.681958094</v>
      </c>
      <c r="AH134" s="2">
        <v>28928671.342217445</v>
      </c>
      <c r="AI134" s="2">
        <v>29953893.802144114</v>
      </c>
    </row>
    <row r="135" spans="1:35" x14ac:dyDescent="0.2">
      <c r="A135" s="1" t="s">
        <v>288</v>
      </c>
      <c r="B135" s="1" t="s">
        <v>315</v>
      </c>
      <c r="C135" s="1" t="s">
        <v>316</v>
      </c>
      <c r="D135" s="2">
        <v>10941.296330628298</v>
      </c>
      <c r="E135" s="2">
        <v>43339.127256268999</v>
      </c>
      <c r="F135" s="2">
        <v>87277.003324736899</v>
      </c>
      <c r="G135" s="2">
        <v>147105.47484001162</v>
      </c>
      <c r="H135" s="2">
        <v>381318.47228930733</v>
      </c>
      <c r="I135" s="2">
        <v>667079.06819287373</v>
      </c>
      <c r="J135" s="2">
        <v>954548.21019630751</v>
      </c>
      <c r="K135" s="2">
        <v>1346054.4058071773</v>
      </c>
      <c r="L135" s="2">
        <v>1778935.5907727871</v>
      </c>
      <c r="M135" s="2">
        <v>2036247.9739551079</v>
      </c>
      <c r="N135" s="2">
        <v>2099187.9021439054</v>
      </c>
      <c r="O135" s="2">
        <v>2162735.2728209649</v>
      </c>
      <c r="P135" s="2">
        <v>1954682.1816020291</v>
      </c>
      <c r="Q135" s="2">
        <v>1893323.4594117079</v>
      </c>
      <c r="R135" s="2">
        <v>1917118.4180020459</v>
      </c>
      <c r="S135" s="2">
        <v>2031504.4178019576</v>
      </c>
      <c r="T135" s="2">
        <v>2107201.8599991482</v>
      </c>
      <c r="U135" s="2">
        <v>2088725.8479207479</v>
      </c>
      <c r="V135" s="2">
        <v>2166655.1736591961</v>
      </c>
      <c r="W135" s="2">
        <v>2330410.405217072</v>
      </c>
      <c r="X135" s="2">
        <v>2627465.9890000001</v>
      </c>
      <c r="Y135" s="2">
        <v>2968808.116988495</v>
      </c>
      <c r="Z135" s="2">
        <v>3432375.9378314046</v>
      </c>
      <c r="AA135" s="2">
        <v>3883880.6723660193</v>
      </c>
      <c r="AB135" s="2">
        <v>4514518.117568085</v>
      </c>
      <c r="AC135" s="2">
        <v>3759322.1612822129</v>
      </c>
      <c r="AD135" s="2">
        <v>3432641.6260919059</v>
      </c>
      <c r="AE135" s="2">
        <v>3662071.7977176947</v>
      </c>
      <c r="AF135" s="2">
        <v>3756176.5782551654</v>
      </c>
      <c r="AG135" s="2">
        <v>3839393.8237238671</v>
      </c>
      <c r="AH135" s="2">
        <v>3685766.9551106077</v>
      </c>
      <c r="AI135" s="2">
        <v>3640613.528176832</v>
      </c>
    </row>
    <row r="136" spans="1:35" x14ac:dyDescent="0.2">
      <c r="A136" s="1" t="s">
        <v>288</v>
      </c>
      <c r="B136" s="1" t="s">
        <v>317</v>
      </c>
      <c r="C136" s="1" t="s">
        <v>318</v>
      </c>
      <c r="D136" s="2">
        <v>683884.72644401435</v>
      </c>
      <c r="E136" s="2">
        <v>11725783.6479974</v>
      </c>
      <c r="F136" s="2">
        <v>17898008.201529335</v>
      </c>
      <c r="G136" s="2">
        <v>41151893.705432422</v>
      </c>
      <c r="H136" s="2">
        <v>95119050.867713928</v>
      </c>
      <c r="I136" s="2">
        <v>146412196.8987022</v>
      </c>
      <c r="J136" s="2">
        <v>209305087.64918527</v>
      </c>
      <c r="K136" s="2">
        <v>194195805.30132505</v>
      </c>
      <c r="L136" s="2">
        <v>284008589.4379636</v>
      </c>
      <c r="M136" s="2">
        <v>301261832.70515871</v>
      </c>
      <c r="N136" s="2">
        <v>303240758.92981368</v>
      </c>
      <c r="O136" s="2">
        <v>312923599.58835846</v>
      </c>
      <c r="P136" s="2">
        <v>324181495.55973876</v>
      </c>
      <c r="Q136" s="2">
        <v>313682415.22368741</v>
      </c>
      <c r="R136" s="2">
        <v>312167867.35752988</v>
      </c>
      <c r="S136" s="2">
        <v>344750944.88093716</v>
      </c>
      <c r="T136" s="2">
        <v>371871586.49827814</v>
      </c>
      <c r="U136" s="2">
        <v>397555011.61783165</v>
      </c>
      <c r="V136" s="2">
        <v>397073889.79165047</v>
      </c>
      <c r="W136" s="2">
        <v>410295428.31104612</v>
      </c>
      <c r="X136" s="2">
        <v>434437365.94800019</v>
      </c>
      <c r="Y136" s="2">
        <v>449755438.07645136</v>
      </c>
      <c r="Z136" s="2">
        <v>458047149.46372479</v>
      </c>
      <c r="AA136" s="2">
        <v>469880864.11587185</v>
      </c>
      <c r="AB136" s="2">
        <v>481155866.824058</v>
      </c>
      <c r="AC136" s="2">
        <v>470586717.0904749</v>
      </c>
      <c r="AD136" s="2">
        <v>465373968.62597591</v>
      </c>
      <c r="AE136" s="2">
        <v>462148463.70289499</v>
      </c>
      <c r="AF136" s="2">
        <v>456148412.39656198</v>
      </c>
      <c r="AG136" s="2">
        <v>474215198.92534524</v>
      </c>
      <c r="AH136" s="2">
        <v>440073267.83292544</v>
      </c>
      <c r="AI136" s="2">
        <v>422812924.94280058</v>
      </c>
    </row>
    <row r="137" spans="1:35" x14ac:dyDescent="0.2">
      <c r="A137" s="1" t="s">
        <v>319</v>
      </c>
      <c r="B137" s="1" t="s">
        <v>320</v>
      </c>
      <c r="C137" s="1" t="s">
        <v>321</v>
      </c>
      <c r="D137" s="2">
        <v>2270.0783242555999</v>
      </c>
      <c r="E137" s="2">
        <v>13580.1821900169</v>
      </c>
      <c r="F137" s="2">
        <v>3424.8106603395995</v>
      </c>
      <c r="G137" s="2">
        <v>49129.707988339193</v>
      </c>
      <c r="H137" s="2">
        <v>251322.69798051906</v>
      </c>
      <c r="I137" s="2">
        <v>619086.42502086761</v>
      </c>
      <c r="J137" s="2">
        <v>1015306.3394458634</v>
      </c>
      <c r="K137" s="2">
        <v>927602.15734102938</v>
      </c>
      <c r="L137" s="2">
        <v>2055005.3208323608</v>
      </c>
      <c r="M137" s="2">
        <v>1703674.4811189142</v>
      </c>
      <c r="N137" s="2">
        <v>1911507.9391713482</v>
      </c>
      <c r="O137" s="2">
        <v>1884071.4647299461</v>
      </c>
      <c r="P137" s="2">
        <v>2214356.1687264699</v>
      </c>
      <c r="Q137" s="2">
        <v>2321972.6992579163</v>
      </c>
      <c r="R137" s="2">
        <v>2288680.5770005756</v>
      </c>
      <c r="S137" s="2">
        <v>2260829.8131295578</v>
      </c>
      <c r="T137" s="2">
        <v>2539637.7819877779</v>
      </c>
      <c r="U137" s="2">
        <v>2824480.5210034</v>
      </c>
      <c r="V137" s="2">
        <v>2862082.3177314829</v>
      </c>
      <c r="W137" s="2">
        <v>2995603.8407352054</v>
      </c>
      <c r="X137" s="2">
        <v>2992820.7210000004</v>
      </c>
      <c r="Y137" s="2">
        <v>2964407.7680711369</v>
      </c>
      <c r="Z137" s="2">
        <v>3270848.5555284065</v>
      </c>
      <c r="AA137" s="2">
        <v>3599140.8461704124</v>
      </c>
      <c r="AB137" s="2">
        <v>3605116.6988239535</v>
      </c>
      <c r="AC137" s="2">
        <v>3967723.8647444071</v>
      </c>
      <c r="AD137" s="2">
        <v>3974399.3697001431</v>
      </c>
      <c r="AE137" s="2">
        <v>4216067.6887491141</v>
      </c>
      <c r="AF137" s="2">
        <v>4268469.3309989618</v>
      </c>
      <c r="AG137" s="2">
        <v>4460788.477806896</v>
      </c>
      <c r="AH137" s="2">
        <v>4369272.8415574282</v>
      </c>
      <c r="AI137" s="2">
        <v>3953413.5563202612</v>
      </c>
    </row>
    <row r="138" spans="1:35" x14ac:dyDescent="0.2">
      <c r="A138" s="1" t="s">
        <v>319</v>
      </c>
      <c r="B138" s="1" t="s">
        <v>322</v>
      </c>
      <c r="C138" s="1" t="s">
        <v>323</v>
      </c>
      <c r="D138" s="2">
        <v>9212.6102610533999</v>
      </c>
      <c r="E138" s="2">
        <v>21369.474690516898</v>
      </c>
      <c r="F138" s="2">
        <v>4853.6100762883998</v>
      </c>
      <c r="G138" s="2">
        <v>17387.4864745622</v>
      </c>
      <c r="H138" s="2">
        <v>84286.922756258326</v>
      </c>
      <c r="I138" s="2">
        <v>151180.55725189086</v>
      </c>
      <c r="J138" s="2">
        <v>221603.07941644374</v>
      </c>
      <c r="K138" s="2">
        <v>188773.61502371458</v>
      </c>
      <c r="L138" s="2">
        <v>1250813.1175818038</v>
      </c>
      <c r="M138" s="2">
        <v>912890.42162344535</v>
      </c>
      <c r="N138" s="2">
        <v>1185723.8912575794</v>
      </c>
      <c r="O138" s="2">
        <v>1223788.7361577975</v>
      </c>
      <c r="P138" s="2">
        <v>1599145.1090228879</v>
      </c>
      <c r="Q138" s="2">
        <v>1620279.341936575</v>
      </c>
      <c r="R138" s="2">
        <v>1571252.5854701889</v>
      </c>
      <c r="S138" s="2">
        <v>1546987.7444405451</v>
      </c>
      <c r="T138" s="2">
        <v>1756106.3384491645</v>
      </c>
      <c r="U138" s="2">
        <v>1976998.6280841182</v>
      </c>
      <c r="V138" s="2">
        <v>2088473.1896661238</v>
      </c>
      <c r="W138" s="2">
        <v>2247706.5280174837</v>
      </c>
      <c r="X138" s="2">
        <v>2482440.2380000008</v>
      </c>
      <c r="Y138" s="2">
        <v>2529911.8275688519</v>
      </c>
      <c r="Z138" s="2">
        <v>2765283.0425942605</v>
      </c>
      <c r="AA138" s="2">
        <v>3039447.6749070655</v>
      </c>
      <c r="AB138" s="2">
        <v>3251922.6179689108</v>
      </c>
      <c r="AC138" s="2">
        <v>3629488.5770933889</v>
      </c>
      <c r="AD138" s="2">
        <v>3684023.7253187811</v>
      </c>
      <c r="AE138" s="2">
        <v>3749492.8845061413</v>
      </c>
      <c r="AF138" s="2">
        <v>3914259.1858328953</v>
      </c>
      <c r="AG138" s="2">
        <v>4158403.4424701044</v>
      </c>
      <c r="AH138" s="2">
        <v>3894306.4283769941</v>
      </c>
      <c r="AI138" s="2">
        <v>3607898.5434117126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127E-1AC4-44BD-AFAB-C2F2AB31E126}">
  <sheetPr>
    <tabColor theme="6"/>
  </sheetPr>
  <dimension ref="A1:AI138"/>
  <sheetViews>
    <sheetView zoomScaleNormal="100" workbookViewId="0">
      <selection activeCell="T45" sqref="T45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35" width="10" style="2" customWidth="1"/>
    <col min="36" max="256" width="10.28515625" style="1"/>
    <col min="257" max="257" width="4" style="1" customWidth="1"/>
    <col min="258" max="258" width="10" style="1" customWidth="1"/>
    <col min="259" max="259" width="30" style="1" customWidth="1"/>
    <col min="260" max="291" width="10" style="1" customWidth="1"/>
    <col min="292" max="512" width="10.28515625" style="1"/>
    <col min="513" max="513" width="4" style="1" customWidth="1"/>
    <col min="514" max="514" width="10" style="1" customWidth="1"/>
    <col min="515" max="515" width="30" style="1" customWidth="1"/>
    <col min="516" max="547" width="10" style="1" customWidth="1"/>
    <col min="548" max="768" width="10.28515625" style="1"/>
    <col min="769" max="769" width="4" style="1" customWidth="1"/>
    <col min="770" max="770" width="10" style="1" customWidth="1"/>
    <col min="771" max="771" width="30" style="1" customWidth="1"/>
    <col min="772" max="803" width="10" style="1" customWidth="1"/>
    <col min="804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59" width="10" style="1" customWidth="1"/>
    <col min="1060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315" width="10" style="1" customWidth="1"/>
    <col min="1316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571" width="10" style="1" customWidth="1"/>
    <col min="1572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27" width="10" style="1" customWidth="1"/>
    <col min="1828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083" width="10" style="1" customWidth="1"/>
    <col min="2084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39" width="10" style="1" customWidth="1"/>
    <col min="2340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595" width="10" style="1" customWidth="1"/>
    <col min="2596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51" width="10" style="1" customWidth="1"/>
    <col min="2852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107" width="10" style="1" customWidth="1"/>
    <col min="3108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63" width="10" style="1" customWidth="1"/>
    <col min="3364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619" width="10" style="1" customWidth="1"/>
    <col min="3620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875" width="10" style="1" customWidth="1"/>
    <col min="3876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31" width="10" style="1" customWidth="1"/>
    <col min="4132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387" width="10" style="1" customWidth="1"/>
    <col min="4388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43" width="10" style="1" customWidth="1"/>
    <col min="4644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899" width="10" style="1" customWidth="1"/>
    <col min="4900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55" width="10" style="1" customWidth="1"/>
    <col min="5156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411" width="10" style="1" customWidth="1"/>
    <col min="5412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67" width="10" style="1" customWidth="1"/>
    <col min="5668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23" width="10" style="1" customWidth="1"/>
    <col min="5924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179" width="10" style="1" customWidth="1"/>
    <col min="6180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35" width="10" style="1" customWidth="1"/>
    <col min="6436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691" width="10" style="1" customWidth="1"/>
    <col min="6692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47" width="10" style="1" customWidth="1"/>
    <col min="6948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203" width="10" style="1" customWidth="1"/>
    <col min="7204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59" width="10" style="1" customWidth="1"/>
    <col min="7460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715" width="10" style="1" customWidth="1"/>
    <col min="7716" max="7936" width="10.28515625" style="1"/>
    <col min="7937" max="7937" width="4" style="1" customWidth="1"/>
    <col min="7938" max="7938" width="10" style="1" customWidth="1"/>
    <col min="7939" max="7939" width="30" style="1" customWidth="1"/>
    <col min="7940" max="7971" width="10" style="1" customWidth="1"/>
    <col min="7972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27" width="10" style="1" customWidth="1"/>
    <col min="8228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483" width="10" style="1" customWidth="1"/>
    <col min="8484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39" width="10" style="1" customWidth="1"/>
    <col min="8740" max="8960" width="10.28515625" style="1"/>
    <col min="8961" max="8961" width="4" style="1" customWidth="1"/>
    <col min="8962" max="8962" width="10" style="1" customWidth="1"/>
    <col min="8963" max="8963" width="30" style="1" customWidth="1"/>
    <col min="8964" max="8995" width="10" style="1" customWidth="1"/>
    <col min="8996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51" width="10" style="1" customWidth="1"/>
    <col min="9252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507" width="10" style="1" customWidth="1"/>
    <col min="9508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63" width="10" style="1" customWidth="1"/>
    <col min="9764" max="9984" width="10.28515625" style="1"/>
    <col min="9985" max="9985" width="4" style="1" customWidth="1"/>
    <col min="9986" max="9986" width="10" style="1" customWidth="1"/>
    <col min="9987" max="9987" width="30" style="1" customWidth="1"/>
    <col min="9988" max="10019" width="10" style="1" customWidth="1"/>
    <col min="10020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275" width="10" style="1" customWidth="1"/>
    <col min="10276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31" width="10" style="1" customWidth="1"/>
    <col min="10532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787" width="10" style="1" customWidth="1"/>
    <col min="10788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43" width="10" style="1" customWidth="1"/>
    <col min="11044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299" width="10" style="1" customWidth="1"/>
    <col min="11300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55" width="10" style="1" customWidth="1"/>
    <col min="11556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811" width="10" style="1" customWidth="1"/>
    <col min="11812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67" width="10" style="1" customWidth="1"/>
    <col min="12068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23" width="10" style="1" customWidth="1"/>
    <col min="12324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579" width="10" style="1" customWidth="1"/>
    <col min="12580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35" width="10" style="1" customWidth="1"/>
    <col min="12836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091" width="10" style="1" customWidth="1"/>
    <col min="13092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47" width="10" style="1" customWidth="1"/>
    <col min="13348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603" width="10" style="1" customWidth="1"/>
    <col min="13604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59" width="10" style="1" customWidth="1"/>
    <col min="13860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115" width="10" style="1" customWidth="1"/>
    <col min="14116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371" width="10" style="1" customWidth="1"/>
    <col min="14372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27" width="10" style="1" customWidth="1"/>
    <col min="14628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883" width="10" style="1" customWidth="1"/>
    <col min="14884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39" width="10" style="1" customWidth="1"/>
    <col min="15140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395" width="10" style="1" customWidth="1"/>
    <col min="15396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51" width="10" style="1" customWidth="1"/>
    <col min="15652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907" width="10" style="1" customWidth="1"/>
    <col min="15908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63" width="10" style="1" customWidth="1"/>
    <col min="16164" max="16384" width="10.28515625" style="1"/>
  </cols>
  <sheetData>
    <row r="1" spans="1:35" ht="12.75" customHeight="1" x14ac:dyDescent="0.2">
      <c r="A1" s="1" t="s">
        <v>0</v>
      </c>
      <c r="B1" s="1" t="s">
        <v>1</v>
      </c>
      <c r="C1" s="1" t="s">
        <v>2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1996</v>
      </c>
      <c r="M1" s="6">
        <v>1999</v>
      </c>
      <c r="N1" s="6">
        <v>2000</v>
      </c>
      <c r="O1" s="6">
        <v>2001</v>
      </c>
      <c r="P1" s="6">
        <v>2002</v>
      </c>
      <c r="Q1" s="6">
        <v>2003</v>
      </c>
      <c r="R1" s="6">
        <v>2004</v>
      </c>
      <c r="S1" s="6">
        <v>2005</v>
      </c>
      <c r="T1" s="6">
        <v>2006</v>
      </c>
      <c r="U1" s="6">
        <v>2007</v>
      </c>
      <c r="V1" s="6">
        <v>2008</v>
      </c>
      <c r="W1" s="6">
        <v>2009</v>
      </c>
      <c r="X1" s="6">
        <v>2010</v>
      </c>
      <c r="Y1" s="6">
        <v>2011</v>
      </c>
      <c r="Z1" s="6">
        <v>2012</v>
      </c>
      <c r="AA1" s="6">
        <v>2013</v>
      </c>
      <c r="AB1" s="6">
        <v>2014</v>
      </c>
      <c r="AC1" s="6">
        <v>2015</v>
      </c>
      <c r="AD1" s="6">
        <v>2016</v>
      </c>
      <c r="AE1" s="6">
        <v>2017</v>
      </c>
      <c r="AF1" s="6">
        <v>2018</v>
      </c>
      <c r="AG1" s="6">
        <v>2019</v>
      </c>
      <c r="AH1" s="6">
        <v>2020</v>
      </c>
      <c r="AI1" s="6">
        <v>2021</v>
      </c>
    </row>
    <row r="2" spans="1:35" x14ac:dyDescent="0.2">
      <c r="A2" s="1" t="s">
        <v>23</v>
      </c>
      <c r="B2" s="1" t="s">
        <v>24</v>
      </c>
      <c r="C2" s="1" t="s">
        <v>25</v>
      </c>
      <c r="D2" s="2">
        <v>120.01074097060001</v>
      </c>
      <c r="E2" s="2">
        <v>206.7514038221</v>
      </c>
      <c r="F2" s="2">
        <v>970.78771554470006</v>
      </c>
      <c r="G2" s="2">
        <v>3076.3825336813002</v>
      </c>
      <c r="H2" s="2">
        <v>17543.186926992501</v>
      </c>
      <c r="I2" s="2">
        <v>7799.2103676598999</v>
      </c>
      <c r="J2" s="2">
        <v>45815.176803346709</v>
      </c>
      <c r="K2" s="2">
        <v>93717.619745842399</v>
      </c>
      <c r="L2" s="2">
        <v>19836.576829737402</v>
      </c>
      <c r="M2" s="2">
        <v>63747.655256532606</v>
      </c>
      <c r="N2" s="2">
        <v>63130.367272189105</v>
      </c>
      <c r="O2" s="2">
        <v>71441.966300357191</v>
      </c>
      <c r="P2" s="2">
        <v>68171.188324684001</v>
      </c>
      <c r="Q2" s="2">
        <v>50676.015270502896</v>
      </c>
      <c r="R2" s="2">
        <v>66532.943022157298</v>
      </c>
      <c r="S2" s="2">
        <v>47647.273487069207</v>
      </c>
      <c r="T2" s="2">
        <v>47420.656326519194</v>
      </c>
      <c r="U2" s="2">
        <v>53947.94940202398</v>
      </c>
      <c r="V2" s="2">
        <v>54710.891704823305</v>
      </c>
      <c r="W2" s="2">
        <v>114247.72297418531</v>
      </c>
      <c r="X2" s="2">
        <v>109957.97899999998</v>
      </c>
      <c r="Y2" s="2">
        <v>81485.755300154691</v>
      </c>
      <c r="Z2" s="2">
        <v>79188.580812686807</v>
      </c>
      <c r="AA2" s="2">
        <v>94578.8449775521</v>
      </c>
      <c r="AB2" s="2">
        <v>127384.20644936229</v>
      </c>
      <c r="AC2" s="2">
        <v>82554.158209456305</v>
      </c>
      <c r="AD2" s="2">
        <v>80906.314718448702</v>
      </c>
      <c r="AE2" s="2">
        <v>80846.025348602605</v>
      </c>
      <c r="AF2" s="2">
        <v>87465.216209055972</v>
      </c>
      <c r="AG2" s="2">
        <v>87347.04906264483</v>
      </c>
      <c r="AH2" s="2">
        <v>103683.44760046073</v>
      </c>
      <c r="AI2" s="2">
        <v>118122.54473454908</v>
      </c>
    </row>
    <row r="3" spans="1:35" x14ac:dyDescent="0.2">
      <c r="A3" s="1" t="s">
        <v>23</v>
      </c>
      <c r="B3" s="1" t="s">
        <v>26</v>
      </c>
      <c r="C3" s="1" t="s">
        <v>27</v>
      </c>
      <c r="D3" s="2">
        <v>307.85175869250003</v>
      </c>
      <c r="E3" s="2">
        <v>2678.3704586045997</v>
      </c>
      <c r="F3" s="2">
        <v>7403.0100481981999</v>
      </c>
      <c r="G3" s="2">
        <v>8511.2360906362992</v>
      </c>
      <c r="H3" s="2">
        <v>75199.683217079495</v>
      </c>
      <c r="I3" s="2">
        <v>70186.501781684405</v>
      </c>
      <c r="J3" s="2">
        <v>426312.10067158332</v>
      </c>
      <c r="K3" s="2">
        <v>513137.43875867524</v>
      </c>
      <c r="L3" s="2">
        <v>687436.48160897079</v>
      </c>
      <c r="M3" s="2">
        <v>334376.17743710248</v>
      </c>
      <c r="N3" s="2">
        <v>360348.01661833382</v>
      </c>
      <c r="O3" s="2">
        <v>415585.48660711158</v>
      </c>
      <c r="P3" s="2">
        <v>606316.79568269546</v>
      </c>
      <c r="Q3" s="2">
        <v>440700.4022117256</v>
      </c>
      <c r="R3" s="2">
        <v>582214.06272577669</v>
      </c>
      <c r="S3" s="2">
        <v>550596.85873417114</v>
      </c>
      <c r="T3" s="2">
        <v>541389.94636644609</v>
      </c>
      <c r="U3" s="2">
        <v>703522.37476981897</v>
      </c>
      <c r="V3" s="2">
        <v>627211.91585600039</v>
      </c>
      <c r="W3" s="2">
        <v>942163.93143597164</v>
      </c>
      <c r="X3" s="2">
        <v>981663.60499999998</v>
      </c>
      <c r="Y3" s="2">
        <v>788785.33546113607</v>
      </c>
      <c r="Z3" s="2">
        <v>809730.51327073819</v>
      </c>
      <c r="AA3" s="2">
        <v>786161.27809300506</v>
      </c>
      <c r="AB3" s="2">
        <v>906487.15659895644</v>
      </c>
      <c r="AC3" s="2">
        <v>773857.34510039375</v>
      </c>
      <c r="AD3" s="2">
        <v>601431.70821127878</v>
      </c>
      <c r="AE3" s="2">
        <v>545205.07366103225</v>
      </c>
      <c r="AF3" s="2">
        <v>552596.35708214808</v>
      </c>
      <c r="AG3" s="2">
        <v>473216.84515748092</v>
      </c>
      <c r="AH3" s="2">
        <v>525004.67814235331</v>
      </c>
      <c r="AI3" s="2">
        <v>531837.14714701951</v>
      </c>
    </row>
    <row r="4" spans="1:35" x14ac:dyDescent="0.2">
      <c r="A4" s="1" t="s">
        <v>28</v>
      </c>
      <c r="B4" s="1" t="s">
        <v>29</v>
      </c>
      <c r="C4" s="1" t="s">
        <v>30</v>
      </c>
      <c r="D4" s="2">
        <v>6673.8684872081012</v>
      </c>
      <c r="E4" s="2">
        <v>8129.0675764170992</v>
      </c>
      <c r="F4" s="2">
        <v>16737.513135389701</v>
      </c>
      <c r="G4" s="2">
        <v>42878.332950022101</v>
      </c>
      <c r="H4" s="2">
        <v>118649.0055749116</v>
      </c>
      <c r="I4" s="2">
        <v>170977.80755738827</v>
      </c>
      <c r="J4" s="2">
        <v>182224.73641447769</v>
      </c>
      <c r="K4" s="2">
        <v>214265.13609273359</v>
      </c>
      <c r="L4" s="2">
        <v>36958.284138002608</v>
      </c>
      <c r="M4" s="2">
        <v>222564.96294716067</v>
      </c>
      <c r="N4" s="2">
        <v>210981.18955637841</v>
      </c>
      <c r="O4" s="2">
        <v>185215.68817262308</v>
      </c>
      <c r="P4" s="2">
        <v>196898.38649332293</v>
      </c>
      <c r="Q4" s="2">
        <v>227955.09980321047</v>
      </c>
      <c r="R4" s="2">
        <v>312385.35351176374</v>
      </c>
      <c r="S4" s="2">
        <v>258796.38961614115</v>
      </c>
      <c r="T4" s="2">
        <v>265694.59416261659</v>
      </c>
      <c r="U4" s="2">
        <v>279448.46798177972</v>
      </c>
      <c r="V4" s="2">
        <v>238134.75357011645</v>
      </c>
      <c r="W4" s="2">
        <v>194521.00263889096</v>
      </c>
      <c r="X4" s="2">
        <v>173205.30599999998</v>
      </c>
      <c r="Y4" s="2">
        <v>284742.59652204975</v>
      </c>
      <c r="Z4" s="2">
        <v>289479.83572090341</v>
      </c>
      <c r="AA4" s="2">
        <v>192861.32732860337</v>
      </c>
      <c r="AB4" s="2">
        <v>162042.82950019269</v>
      </c>
      <c r="AC4" s="2">
        <v>101045.06115335182</v>
      </c>
      <c r="AD4" s="2">
        <v>121338.99066959399</v>
      </c>
      <c r="AE4" s="2">
        <v>117079.53982393777</v>
      </c>
      <c r="AF4" s="2">
        <v>103951.13782554606</v>
      </c>
      <c r="AG4" s="2">
        <v>141142.645721896</v>
      </c>
      <c r="AH4" s="2">
        <v>129330.82228976273</v>
      </c>
      <c r="AI4" s="2">
        <v>106940.57661811687</v>
      </c>
    </row>
    <row r="5" spans="1:35" x14ac:dyDescent="0.2">
      <c r="A5" s="1" t="s">
        <v>28</v>
      </c>
      <c r="B5" s="1" t="s">
        <v>31</v>
      </c>
      <c r="C5" s="1" t="s">
        <v>32</v>
      </c>
      <c r="D5" s="2">
        <v>1872.8805750244003</v>
      </c>
      <c r="E5" s="2">
        <v>3494.8785183497998</v>
      </c>
      <c r="F5" s="2">
        <v>5139.1458416645</v>
      </c>
      <c r="G5" s="2">
        <v>55945.228976956401</v>
      </c>
      <c r="H5" s="2">
        <v>52505.331228915893</v>
      </c>
      <c r="I5" s="2">
        <v>154504.54896107124</v>
      </c>
      <c r="J5" s="2">
        <v>231201.01106878612</v>
      </c>
      <c r="K5" s="2">
        <v>278363.50245815108</v>
      </c>
      <c r="L5" s="2">
        <v>93589.602929891262</v>
      </c>
      <c r="M5" s="2">
        <v>316220.90506810969</v>
      </c>
      <c r="N5" s="2">
        <v>313555.00749511807</v>
      </c>
      <c r="O5" s="2">
        <v>316573.18081377517</v>
      </c>
      <c r="P5" s="2">
        <v>260351.43267258233</v>
      </c>
      <c r="Q5" s="2">
        <v>224562.48459341322</v>
      </c>
      <c r="R5" s="2">
        <v>246109.56565211565</v>
      </c>
      <c r="S5" s="2">
        <v>254550.87438781845</v>
      </c>
      <c r="T5" s="2">
        <v>300096.90814208111</v>
      </c>
      <c r="U5" s="2">
        <v>340321.06270678143</v>
      </c>
      <c r="V5" s="2">
        <v>331606.80076435459</v>
      </c>
      <c r="W5" s="2">
        <v>320723.66938614316</v>
      </c>
      <c r="X5" s="2">
        <v>367318.17799999996</v>
      </c>
      <c r="Y5" s="2">
        <v>371827.29829646123</v>
      </c>
      <c r="Z5" s="2">
        <v>378838.85207139881</v>
      </c>
      <c r="AA5" s="2">
        <v>340570.31701534591</v>
      </c>
      <c r="AB5" s="2">
        <v>353333.71857476811</v>
      </c>
      <c r="AC5" s="2">
        <v>465735.65080646274</v>
      </c>
      <c r="AD5" s="2">
        <v>306107.39010585751</v>
      </c>
      <c r="AE5" s="2">
        <v>325825.65515383129</v>
      </c>
      <c r="AF5" s="2">
        <v>319727.4438139259</v>
      </c>
      <c r="AG5" s="2">
        <v>355748.55464570306</v>
      </c>
      <c r="AH5" s="2">
        <v>383122.20450827567</v>
      </c>
      <c r="AI5" s="2">
        <v>416720.75322050351</v>
      </c>
    </row>
    <row r="6" spans="1:35" x14ac:dyDescent="0.2">
      <c r="A6" s="1" t="s">
        <v>28</v>
      </c>
      <c r="B6" s="1" t="s">
        <v>33</v>
      </c>
      <c r="C6" s="1" t="s">
        <v>34</v>
      </c>
      <c r="D6" s="2">
        <v>59179.837011223695</v>
      </c>
      <c r="E6" s="2">
        <v>197078.38394881561</v>
      </c>
      <c r="F6" s="2">
        <v>336641.06407714443</v>
      </c>
      <c r="G6" s="2">
        <v>546369.45499402273</v>
      </c>
      <c r="H6" s="2">
        <v>933775.10729077051</v>
      </c>
      <c r="I6" s="2">
        <v>1670569.983999081</v>
      </c>
      <c r="J6" s="2">
        <v>2216619.6498013185</v>
      </c>
      <c r="K6" s="2">
        <v>3420563.0080137495</v>
      </c>
      <c r="L6" s="2">
        <v>2963781.043542813</v>
      </c>
      <c r="M6" s="2">
        <v>3117045.481192138</v>
      </c>
      <c r="N6" s="2">
        <v>2954773.0834147325</v>
      </c>
      <c r="O6" s="2">
        <v>2953190.2461954653</v>
      </c>
      <c r="P6" s="2">
        <v>3662473.355135065</v>
      </c>
      <c r="Q6" s="2">
        <v>3772167.5104464795</v>
      </c>
      <c r="R6" s="2">
        <v>3923421.4958612714</v>
      </c>
      <c r="S6" s="2">
        <v>3976074.2869921331</v>
      </c>
      <c r="T6" s="2">
        <v>4010645.2926358362</v>
      </c>
      <c r="U6" s="2">
        <v>4485072.5194108617</v>
      </c>
      <c r="V6" s="2">
        <v>4358018.8057366749</v>
      </c>
      <c r="W6" s="2">
        <v>3793547.7444156664</v>
      </c>
      <c r="X6" s="2">
        <v>4167761.2959999992</v>
      </c>
      <c r="Y6" s="2">
        <v>5353711.8062659074</v>
      </c>
      <c r="Z6" s="2">
        <v>4673530.740435916</v>
      </c>
      <c r="AA6" s="2">
        <v>4180238.4768885551</v>
      </c>
      <c r="AB6" s="2">
        <v>3870248.1281352169</v>
      </c>
      <c r="AC6" s="2">
        <v>3842963.3705828032</v>
      </c>
      <c r="AD6" s="2">
        <v>3087684.0134264855</v>
      </c>
      <c r="AE6" s="2">
        <v>3241938.5279537318</v>
      </c>
      <c r="AF6" s="2">
        <v>3013555.8476613774</v>
      </c>
      <c r="AG6" s="2">
        <v>3105615.2327613463</v>
      </c>
      <c r="AH6" s="2">
        <v>3388022.3653887105</v>
      </c>
      <c r="AI6" s="2">
        <v>3945254.3502681889</v>
      </c>
    </row>
    <row r="7" spans="1:35" x14ac:dyDescent="0.2">
      <c r="A7" s="1" t="s">
        <v>35</v>
      </c>
      <c r="B7" s="1" t="s">
        <v>36</v>
      </c>
      <c r="C7" s="1" t="s">
        <v>37</v>
      </c>
      <c r="D7" s="2">
        <v>224.6280266517</v>
      </c>
      <c r="F7" s="2">
        <v>7.5371717046000004</v>
      </c>
      <c r="G7" s="2">
        <v>1834.2922520897</v>
      </c>
      <c r="H7" s="2">
        <v>4981.9572895099</v>
      </c>
      <c r="I7" s="2">
        <v>11057.696819417301</v>
      </c>
      <c r="J7" s="2">
        <v>19528.625328944101</v>
      </c>
      <c r="K7" s="2">
        <v>24972.417367784899</v>
      </c>
      <c r="L7" s="2">
        <v>12333.516147038301</v>
      </c>
      <c r="M7" s="2">
        <v>32145.113115526699</v>
      </c>
      <c r="N7" s="2">
        <v>27633.162220307502</v>
      </c>
      <c r="O7" s="2">
        <v>28382.430846794203</v>
      </c>
      <c r="P7" s="2">
        <v>13097.1647129422</v>
      </c>
      <c r="Q7" s="2">
        <v>10898.172362117501</v>
      </c>
      <c r="R7" s="2">
        <v>11915.955100582301</v>
      </c>
      <c r="S7" s="2">
        <v>10286.183381839499</v>
      </c>
      <c r="T7" s="2">
        <v>8541.5234295841001</v>
      </c>
      <c r="U7" s="2">
        <v>12209.843529754602</v>
      </c>
      <c r="V7" s="2">
        <v>18290.8500140379</v>
      </c>
      <c r="W7" s="2">
        <v>24870.895637008802</v>
      </c>
      <c r="X7" s="2">
        <v>28757.069</v>
      </c>
      <c r="Y7" s="2">
        <v>33316.416194827398</v>
      </c>
      <c r="Z7" s="2">
        <v>31067.754804599903</v>
      </c>
      <c r="AA7" s="2">
        <v>29235.864457846201</v>
      </c>
      <c r="AB7" s="2">
        <v>27714.403759037603</v>
      </c>
      <c r="AC7" s="2">
        <v>21733.4362763957</v>
      </c>
      <c r="AD7" s="2">
        <v>19536.632516637299</v>
      </c>
      <c r="AE7" s="2">
        <v>20655.300037406283</v>
      </c>
      <c r="AF7" s="2">
        <v>26293.030500809487</v>
      </c>
      <c r="AG7" s="2">
        <v>39103.281140338659</v>
      </c>
      <c r="AH7" s="2">
        <v>31403.139297771319</v>
      </c>
      <c r="AI7" s="2">
        <v>36556.029350659104</v>
      </c>
    </row>
    <row r="8" spans="1:35" x14ac:dyDescent="0.2">
      <c r="A8" s="1" t="s">
        <v>35</v>
      </c>
      <c r="B8" s="1" t="s">
        <v>38</v>
      </c>
      <c r="C8" s="1" t="s">
        <v>39</v>
      </c>
      <c r="D8" s="2">
        <v>1150.4093448410999</v>
      </c>
      <c r="F8" s="2">
        <v>477.8566860679</v>
      </c>
      <c r="G8" s="2">
        <v>1416.4830915973998</v>
      </c>
      <c r="H8" s="2">
        <v>11389.9776964378</v>
      </c>
      <c r="I8" s="2">
        <v>27877.883913977304</v>
      </c>
      <c r="J8" s="2">
        <v>80158.303193234708</v>
      </c>
      <c r="K8" s="2">
        <v>146690.6116885301</v>
      </c>
      <c r="L8" s="2">
        <v>32786.820424302605</v>
      </c>
      <c r="M8" s="2">
        <v>100291.07200605929</v>
      </c>
      <c r="N8" s="2">
        <v>84521.363634116904</v>
      </c>
      <c r="O8" s="2">
        <v>88675.892435140282</v>
      </c>
      <c r="P8" s="2">
        <v>54035.151427626792</v>
      </c>
      <c r="Q8" s="2">
        <v>36814.539094402688</v>
      </c>
      <c r="R8" s="2">
        <v>38101.367633257694</v>
      </c>
      <c r="S8" s="2">
        <v>27135.2070332281</v>
      </c>
      <c r="T8" s="2">
        <v>30912.068216054104</v>
      </c>
      <c r="U8" s="2">
        <v>38961.724228945503</v>
      </c>
      <c r="V8" s="2">
        <v>40690.427866626094</v>
      </c>
      <c r="W8" s="2">
        <v>49554.604885780696</v>
      </c>
      <c r="X8" s="2">
        <v>60124.443999999996</v>
      </c>
      <c r="Y8" s="2">
        <v>68425.078725425308</v>
      </c>
      <c r="Z8" s="2">
        <v>86558.139114550489</v>
      </c>
      <c r="AA8" s="2">
        <v>90028.9352062619</v>
      </c>
      <c r="AB8" s="2">
        <v>97041.434452386689</v>
      </c>
      <c r="AC8" s="2">
        <v>75434.083049245804</v>
      </c>
      <c r="AD8" s="2">
        <v>69348.810072676686</v>
      </c>
      <c r="AE8" s="2">
        <v>74452.091706450083</v>
      </c>
      <c r="AF8" s="2">
        <v>93464.728391527591</v>
      </c>
      <c r="AG8" s="2">
        <v>122970.6747664993</v>
      </c>
      <c r="AH8" s="2">
        <v>100328.77669039933</v>
      </c>
      <c r="AI8" s="2">
        <v>109426.66575698015</v>
      </c>
    </row>
    <row r="9" spans="1:35" x14ac:dyDescent="0.2">
      <c r="A9" s="1" t="s">
        <v>35</v>
      </c>
      <c r="B9" s="1" t="s">
        <v>40</v>
      </c>
      <c r="C9" s="1" t="s">
        <v>41</v>
      </c>
      <c r="D9" s="2">
        <v>7242.2847603933997</v>
      </c>
      <c r="E9" s="2">
        <v>185907.1032004045</v>
      </c>
      <c r="F9" s="2">
        <v>141721.4395604473</v>
      </c>
      <c r="G9" s="2">
        <v>821143.71775422583</v>
      </c>
      <c r="H9" s="2">
        <v>1031505.8516558629</v>
      </c>
      <c r="I9" s="2">
        <v>3472696.3188150721</v>
      </c>
      <c r="J9" s="2">
        <v>10034188.591368679</v>
      </c>
      <c r="K9" s="2">
        <v>13897905.585860644</v>
      </c>
      <c r="L9" s="2">
        <v>16039288.828717494</v>
      </c>
      <c r="M9" s="2">
        <v>10352398.728940303</v>
      </c>
      <c r="N9" s="2">
        <v>12654118.996523319</v>
      </c>
      <c r="O9" s="2">
        <v>13547602.393236056</v>
      </c>
      <c r="P9" s="2">
        <v>14646840.654443804</v>
      </c>
      <c r="Q9" s="2">
        <v>15748353.264155341</v>
      </c>
      <c r="R9" s="2">
        <v>17328414.273950409</v>
      </c>
      <c r="S9" s="2">
        <v>17516903.637503792</v>
      </c>
      <c r="T9" s="2">
        <v>19900105.719064116</v>
      </c>
      <c r="U9" s="2">
        <v>19255446.284375578</v>
      </c>
      <c r="V9" s="2">
        <v>18657503.904374719</v>
      </c>
      <c r="W9" s="2">
        <v>17926543.528577186</v>
      </c>
      <c r="X9" s="2">
        <v>21335865.144999992</v>
      </c>
      <c r="Y9" s="2">
        <v>22962902.560395695</v>
      </c>
      <c r="Z9" s="2">
        <v>19379534.161402851</v>
      </c>
      <c r="AA9" s="2">
        <v>20008850.803726215</v>
      </c>
      <c r="AB9" s="2">
        <v>18051324.024696775</v>
      </c>
      <c r="AC9" s="2">
        <v>16433406.827862144</v>
      </c>
      <c r="AD9" s="2">
        <v>16533912.938169029</v>
      </c>
      <c r="AE9" s="2">
        <v>15744856.907150822</v>
      </c>
      <c r="AF9" s="2">
        <v>16704097.141747538</v>
      </c>
      <c r="AG9" s="2">
        <v>18215087.105764769</v>
      </c>
      <c r="AH9" s="2">
        <v>18655551.319685731</v>
      </c>
      <c r="AI9" s="2">
        <v>19551826.438430045</v>
      </c>
    </row>
    <row r="10" spans="1:35" x14ac:dyDescent="0.2">
      <c r="A10" s="1" t="s">
        <v>35</v>
      </c>
      <c r="B10" s="1" t="s">
        <v>42</v>
      </c>
      <c r="C10" s="1" t="s">
        <v>43</v>
      </c>
      <c r="D10" s="2">
        <v>1479.5821549202999</v>
      </c>
      <c r="F10" s="2">
        <v>1361.2132098398999</v>
      </c>
      <c r="G10" s="2">
        <v>2282.4450946289003</v>
      </c>
      <c r="H10" s="2">
        <v>8841.1429284552996</v>
      </c>
      <c r="I10" s="2">
        <v>30899.807768974999</v>
      </c>
      <c r="J10" s="2">
        <v>204935.9933596272</v>
      </c>
      <c r="K10" s="2">
        <v>103314.8195960383</v>
      </c>
      <c r="L10" s="2">
        <v>36393.957359985696</v>
      </c>
      <c r="M10" s="2">
        <v>78606.70429748419</v>
      </c>
      <c r="N10" s="2">
        <v>70622.682416510797</v>
      </c>
      <c r="O10" s="2">
        <v>72390.49330687779</v>
      </c>
      <c r="P10" s="2">
        <v>48017.7864367109</v>
      </c>
      <c r="Q10" s="2">
        <v>43028.405561669199</v>
      </c>
      <c r="R10" s="2">
        <v>56145.397524216001</v>
      </c>
      <c r="S10" s="2">
        <v>41412.488134226296</v>
      </c>
      <c r="T10" s="2">
        <v>42138.056696694402</v>
      </c>
      <c r="U10" s="2">
        <v>54164.718099100901</v>
      </c>
      <c r="V10" s="2">
        <v>53452.079415543296</v>
      </c>
      <c r="W10" s="2">
        <v>53229.41227126959</v>
      </c>
      <c r="X10" s="2">
        <v>71048.516999999993</v>
      </c>
      <c r="Y10" s="2">
        <v>88527.54364300071</v>
      </c>
      <c r="Z10" s="2">
        <v>95614.444974191487</v>
      </c>
      <c r="AA10" s="2">
        <v>94666.489075375706</v>
      </c>
      <c r="AB10" s="2">
        <v>107728.80078461939</v>
      </c>
      <c r="AC10" s="2">
        <v>86535.384942480901</v>
      </c>
      <c r="AD10" s="2">
        <v>92389.178998986114</v>
      </c>
      <c r="AE10" s="2">
        <v>104063.42703781219</v>
      </c>
      <c r="AF10" s="2">
        <v>120624.45269712557</v>
      </c>
      <c r="AG10" s="2">
        <v>154769.6573965369</v>
      </c>
      <c r="AH10" s="2">
        <v>125846.3340061171</v>
      </c>
      <c r="AI10" s="2">
        <v>134776.71031740951</v>
      </c>
    </row>
    <row r="11" spans="1:35" x14ac:dyDescent="0.2">
      <c r="A11" s="1" t="s">
        <v>44</v>
      </c>
      <c r="B11" s="1" t="s">
        <v>45</v>
      </c>
      <c r="C11" s="1" t="s">
        <v>46</v>
      </c>
      <c r="D11" s="2">
        <v>293.01117022019997</v>
      </c>
      <c r="F11" s="2">
        <v>726.859185486</v>
      </c>
      <c r="G11" s="2">
        <v>501.73468381869998</v>
      </c>
      <c r="H11" s="2">
        <v>10151.787669198799</v>
      </c>
      <c r="I11" s="2">
        <v>3736.2810013256999</v>
      </c>
      <c r="J11" s="2">
        <v>6261.7881767232002</v>
      </c>
      <c r="K11" s="2">
        <v>35756.545360296303</v>
      </c>
      <c r="L11" s="2">
        <v>4800.7617311207005</v>
      </c>
      <c r="M11" s="2">
        <v>18747.7334202491</v>
      </c>
      <c r="N11" s="2">
        <v>19438.366694960398</v>
      </c>
      <c r="O11" s="2">
        <v>32974.882158578795</v>
      </c>
      <c r="P11" s="2">
        <v>14487.106118998299</v>
      </c>
      <c r="Q11" s="2">
        <v>18593.0596580983</v>
      </c>
      <c r="R11" s="2">
        <v>21808.917829133497</v>
      </c>
      <c r="S11" s="2">
        <v>19199.353406462003</v>
      </c>
      <c r="T11" s="2">
        <v>17955.9380190269</v>
      </c>
      <c r="U11" s="2">
        <v>22057.665384911801</v>
      </c>
      <c r="V11" s="2">
        <v>34385.372238438897</v>
      </c>
      <c r="W11" s="2">
        <v>16918.637929958702</v>
      </c>
      <c r="X11" s="2">
        <v>16194.174999999999</v>
      </c>
      <c r="Y11" s="2">
        <v>29374.205617188301</v>
      </c>
      <c r="Z11" s="2">
        <v>39114.327509905197</v>
      </c>
      <c r="AA11" s="2">
        <v>64993.055695283503</v>
      </c>
      <c r="AB11" s="2">
        <v>16582.955352983699</v>
      </c>
      <c r="AC11" s="2">
        <v>27755.273704984895</v>
      </c>
      <c r="AD11" s="2">
        <v>33086.742716851302</v>
      </c>
      <c r="AE11" s="2">
        <v>25092.319162609456</v>
      </c>
      <c r="AF11" s="2">
        <v>33832.680998547119</v>
      </c>
      <c r="AG11" s="2">
        <v>17872.49471647435</v>
      </c>
      <c r="AH11" s="2">
        <v>28602.039220595641</v>
      </c>
      <c r="AI11" s="2">
        <v>23600.09987600784</v>
      </c>
    </row>
    <row r="12" spans="1:35" x14ac:dyDescent="0.2">
      <c r="A12" s="1" t="s">
        <v>44</v>
      </c>
      <c r="B12" s="1" t="s">
        <v>47</v>
      </c>
      <c r="C12" s="1" t="s">
        <v>48</v>
      </c>
      <c r="D12" s="2">
        <v>409.38988013669996</v>
      </c>
      <c r="F12" s="2">
        <v>1987.9021850674001</v>
      </c>
      <c r="G12" s="2">
        <v>355832.2267381032</v>
      </c>
      <c r="H12" s="2">
        <v>476479.14312066912</v>
      </c>
      <c r="I12" s="2">
        <v>218694.52209928128</v>
      </c>
      <c r="J12" s="2">
        <v>559687.49544279813</v>
      </c>
      <c r="K12" s="2">
        <v>976509.24445835431</v>
      </c>
      <c r="L12" s="2">
        <v>383490.44578618126</v>
      </c>
      <c r="M12" s="2">
        <v>624992.15388386429</v>
      </c>
      <c r="N12" s="2">
        <v>642416.87609504885</v>
      </c>
      <c r="O12" s="2">
        <v>685704.5001233042</v>
      </c>
      <c r="P12" s="2">
        <v>597356.74916445278</v>
      </c>
      <c r="Q12" s="2">
        <v>625781.6040639081</v>
      </c>
      <c r="R12" s="2">
        <v>532390.7533776178</v>
      </c>
      <c r="S12" s="2">
        <v>524151.0855790581</v>
      </c>
      <c r="T12" s="2">
        <v>512681.44786209485</v>
      </c>
      <c r="U12" s="2">
        <v>602247.92381328146</v>
      </c>
      <c r="V12" s="2">
        <v>744899.92075363034</v>
      </c>
      <c r="W12" s="2">
        <v>524939.00437306357</v>
      </c>
      <c r="X12" s="2">
        <v>566909.82200000004</v>
      </c>
      <c r="Y12" s="2">
        <v>708370.42402650754</v>
      </c>
      <c r="Z12" s="2">
        <v>1006821.8047553976</v>
      </c>
      <c r="AA12" s="2">
        <v>1167420.0154859913</v>
      </c>
      <c r="AB12" s="2">
        <v>937398.1283333475</v>
      </c>
      <c r="AC12" s="2">
        <v>1109117.8758537571</v>
      </c>
      <c r="AD12" s="2">
        <v>974242.74806462869</v>
      </c>
      <c r="AE12" s="2">
        <v>920350.11475516483</v>
      </c>
      <c r="AF12" s="2">
        <v>1036005.9531774445</v>
      </c>
      <c r="AG12" s="2">
        <v>838776.75830986677</v>
      </c>
      <c r="AH12" s="2">
        <v>1097987.9577950039</v>
      </c>
      <c r="AI12" s="2">
        <v>1097209.3259932993</v>
      </c>
    </row>
    <row r="13" spans="1:35" x14ac:dyDescent="0.2">
      <c r="A13" s="1" t="s">
        <v>49</v>
      </c>
      <c r="B13" s="1" t="s">
        <v>50</v>
      </c>
      <c r="C13" s="1" t="s">
        <v>51</v>
      </c>
      <c r="D13" s="2">
        <v>9592.1902554412991</v>
      </c>
      <c r="E13" s="2">
        <v>1401.5132284548001</v>
      </c>
      <c r="F13" s="2">
        <v>3932.5597656564</v>
      </c>
      <c r="G13" s="2">
        <v>12863.730010556101</v>
      </c>
      <c r="H13" s="2">
        <v>30457.856572207806</v>
      </c>
      <c r="I13" s="2">
        <v>48027.077828603105</v>
      </c>
      <c r="J13" s="2">
        <v>110214.5445371055</v>
      </c>
      <c r="K13" s="2">
        <v>149212.07958367324</v>
      </c>
      <c r="L13" s="2">
        <v>446159.39716555545</v>
      </c>
      <c r="M13" s="2">
        <v>555414.90740987367</v>
      </c>
      <c r="N13" s="2">
        <v>578796.73224937392</v>
      </c>
      <c r="O13" s="2">
        <v>586927.05872459034</v>
      </c>
      <c r="P13" s="2">
        <v>666832.33334240562</v>
      </c>
      <c r="Q13" s="2">
        <v>641679.2234972599</v>
      </c>
      <c r="R13" s="2">
        <v>890928.49148438638</v>
      </c>
      <c r="S13" s="2">
        <v>703849.29138764623</v>
      </c>
      <c r="T13" s="2">
        <v>662171.72099752876</v>
      </c>
      <c r="U13" s="2">
        <v>652051.81535565516</v>
      </c>
      <c r="V13" s="2">
        <v>836661.3598284102</v>
      </c>
      <c r="W13" s="2">
        <v>761428.38595974073</v>
      </c>
      <c r="X13" s="2">
        <v>941075.59299999976</v>
      </c>
      <c r="Y13" s="2">
        <v>1025457.1068982264</v>
      </c>
      <c r="Z13" s="2">
        <v>1159214.5523747883</v>
      </c>
      <c r="AA13" s="2">
        <v>1137595.8847918648</v>
      </c>
      <c r="AB13" s="2">
        <v>1197954.4945804896</v>
      </c>
      <c r="AC13" s="2">
        <v>1244685.5260823038</v>
      </c>
      <c r="AD13" s="2">
        <v>1086684.2542269533</v>
      </c>
      <c r="AE13" s="2">
        <v>1215075.6375107993</v>
      </c>
      <c r="AF13" s="2">
        <v>1373361.2462560614</v>
      </c>
      <c r="AG13" s="2">
        <v>1185253.3488004166</v>
      </c>
      <c r="AH13" s="2">
        <v>1431403.8287559298</v>
      </c>
      <c r="AI13" s="2">
        <v>1730352.8641150915</v>
      </c>
    </row>
    <row r="14" spans="1:35" x14ac:dyDescent="0.2">
      <c r="A14" s="1" t="s">
        <v>49</v>
      </c>
      <c r="B14" s="1" t="s">
        <v>52</v>
      </c>
      <c r="C14" s="1" t="s">
        <v>53</v>
      </c>
      <c r="D14" s="2">
        <v>15140.442827011202</v>
      </c>
      <c r="E14" s="2">
        <v>1992.6276513407001</v>
      </c>
      <c r="F14" s="2">
        <v>7645.3140325121003</v>
      </c>
      <c r="G14" s="2">
        <v>26129.198387492801</v>
      </c>
      <c r="H14" s="2">
        <v>116473.08763977392</v>
      </c>
      <c r="I14" s="2">
        <v>220050.20674492279</v>
      </c>
      <c r="J14" s="2">
        <v>442803.43878088385</v>
      </c>
      <c r="K14" s="2">
        <v>773244.9912602813</v>
      </c>
      <c r="L14" s="2">
        <v>249257.5347370136</v>
      </c>
      <c r="M14" s="2">
        <v>2084118.4239996406</v>
      </c>
      <c r="N14" s="2">
        <v>2383597.6931802295</v>
      </c>
      <c r="O14" s="2">
        <v>1420919.900617566</v>
      </c>
      <c r="P14" s="2">
        <v>2378580.0732305567</v>
      </c>
      <c r="Q14" s="2">
        <v>2312120.2102804431</v>
      </c>
      <c r="R14" s="2">
        <v>2141291.753088227</v>
      </c>
      <c r="S14" s="2">
        <v>1739058.8097353468</v>
      </c>
      <c r="T14" s="2">
        <v>1954135.8458712564</v>
      </c>
      <c r="U14" s="2">
        <v>2515562.2393001541</v>
      </c>
      <c r="V14" s="2">
        <v>2862989.0637178835</v>
      </c>
      <c r="W14" s="2">
        <v>1525877.0297799038</v>
      </c>
      <c r="X14" s="2">
        <v>2157201.3259999999</v>
      </c>
      <c r="Y14" s="2">
        <v>1880164.9580949261</v>
      </c>
      <c r="Z14" s="2">
        <v>2070953.4224557315</v>
      </c>
      <c r="AA14" s="2">
        <v>840481.25869508507</v>
      </c>
      <c r="AB14" s="2">
        <v>937523.03236415784</v>
      </c>
      <c r="AC14" s="2">
        <v>1303162.1434615918</v>
      </c>
      <c r="AD14" s="2">
        <v>1282269.8999354867</v>
      </c>
      <c r="AE14" s="2">
        <v>1667962.4427451275</v>
      </c>
      <c r="AF14" s="2">
        <v>2191106.1760034249</v>
      </c>
      <c r="AG14" s="2">
        <v>2536828.38402597</v>
      </c>
      <c r="AH14" s="2">
        <v>2623487.2184576862</v>
      </c>
      <c r="AI14" s="2">
        <v>2599893.2771791373</v>
      </c>
    </row>
    <row r="15" spans="1:35" x14ac:dyDescent="0.2">
      <c r="A15" s="1" t="s">
        <v>49</v>
      </c>
      <c r="B15" s="1" t="s">
        <v>54</v>
      </c>
      <c r="C15" s="1" t="s">
        <v>55</v>
      </c>
      <c r="D15" s="2">
        <v>9986.560402122901</v>
      </c>
      <c r="E15" s="2">
        <v>33693.522104487303</v>
      </c>
      <c r="F15" s="2">
        <v>44422.473678236092</v>
      </c>
      <c r="G15" s="2">
        <v>172200.93080816831</v>
      </c>
      <c r="H15" s="2">
        <v>425694.85344380228</v>
      </c>
      <c r="I15" s="2">
        <v>915571.79450683424</v>
      </c>
      <c r="J15" s="2">
        <v>1645990.6196298355</v>
      </c>
      <c r="K15" s="2">
        <v>2494738.0814586668</v>
      </c>
      <c r="L15" s="2">
        <v>1280025.6074869093</v>
      </c>
      <c r="M15" s="2">
        <v>1266915.4578367784</v>
      </c>
      <c r="N15" s="2">
        <v>1325857.5833651801</v>
      </c>
      <c r="O15" s="2">
        <v>1332571.0540933609</v>
      </c>
      <c r="P15" s="2">
        <v>1385324.3170882878</v>
      </c>
      <c r="Q15" s="2">
        <v>1325924.8999269418</v>
      </c>
      <c r="R15" s="2">
        <v>1736900.3778378356</v>
      </c>
      <c r="S15" s="2">
        <v>1748124.7119681418</v>
      </c>
      <c r="T15" s="2">
        <v>1936329.3086196282</v>
      </c>
      <c r="U15" s="2">
        <v>1663289.8743639472</v>
      </c>
      <c r="V15" s="2">
        <v>2143494.0000136485</v>
      </c>
      <c r="W15" s="2">
        <v>2696720.6975651137</v>
      </c>
      <c r="X15" s="2">
        <v>3223835.8680000002</v>
      </c>
      <c r="Y15" s="2">
        <v>3348281.7443502946</v>
      </c>
      <c r="Z15" s="2">
        <v>3399572.3071900099</v>
      </c>
      <c r="AA15" s="2">
        <v>3637516.2494964707</v>
      </c>
      <c r="AB15" s="2">
        <v>3713745.9631000967</v>
      </c>
      <c r="AC15" s="2">
        <v>3295219.6406592708</v>
      </c>
      <c r="AD15" s="2">
        <v>3721906.6814960646</v>
      </c>
      <c r="AE15" s="2">
        <v>4024769.1980664283</v>
      </c>
      <c r="AF15" s="2">
        <v>3918914.7370140222</v>
      </c>
      <c r="AG15" s="2">
        <v>3914592.7006256483</v>
      </c>
      <c r="AH15" s="2">
        <v>3816405.4499684274</v>
      </c>
      <c r="AI15" s="2">
        <v>4924907.9828315601</v>
      </c>
    </row>
    <row r="16" spans="1:35" x14ac:dyDescent="0.2">
      <c r="A16" s="1" t="s">
        <v>49</v>
      </c>
      <c r="B16" s="1" t="s">
        <v>56</v>
      </c>
      <c r="C16" s="1" t="s">
        <v>57</v>
      </c>
      <c r="D16" s="2">
        <v>8069.2547386267997</v>
      </c>
      <c r="E16" s="2">
        <v>25289.2097855549</v>
      </c>
      <c r="F16" s="2">
        <v>37294.029011713195</v>
      </c>
      <c r="G16" s="2">
        <v>180262.03056651499</v>
      </c>
      <c r="H16" s="2">
        <v>143702.45563987491</v>
      </c>
      <c r="I16" s="2">
        <v>368463.17135853064</v>
      </c>
      <c r="J16" s="2">
        <v>619913.03781595652</v>
      </c>
      <c r="K16" s="2">
        <v>864645.64444080263</v>
      </c>
      <c r="L16" s="2">
        <v>592173.07112016645</v>
      </c>
      <c r="M16" s="2">
        <v>835785.02075801848</v>
      </c>
      <c r="N16" s="2">
        <v>860997.91899003088</v>
      </c>
      <c r="O16" s="2">
        <v>1045296.2600384495</v>
      </c>
      <c r="P16" s="2">
        <v>1182504.8941139211</v>
      </c>
      <c r="Q16" s="2">
        <v>1134377.0506225734</v>
      </c>
      <c r="R16" s="2">
        <v>1408003.8251983866</v>
      </c>
      <c r="S16" s="2">
        <v>1594910.4537361437</v>
      </c>
      <c r="T16" s="2">
        <v>1735367.7363697272</v>
      </c>
      <c r="U16" s="2">
        <v>1667560.9016642014</v>
      </c>
      <c r="V16" s="2">
        <v>1874235.7696356894</v>
      </c>
      <c r="W16" s="2">
        <v>1299767.3038624434</v>
      </c>
      <c r="X16" s="2">
        <v>1801684.4100000004</v>
      </c>
      <c r="Y16" s="2">
        <v>1957281.3776208209</v>
      </c>
      <c r="Z16" s="2">
        <v>2152295.2094755466</v>
      </c>
      <c r="AA16" s="2">
        <v>2066290.478452947</v>
      </c>
      <c r="AB16" s="2">
        <v>1663857.2332422363</v>
      </c>
      <c r="AC16" s="2">
        <v>1328017.3725160221</v>
      </c>
      <c r="AD16" s="2">
        <v>1206408.6821533958</v>
      </c>
      <c r="AE16" s="2">
        <v>1325917.2828426221</v>
      </c>
      <c r="AF16" s="2">
        <v>1393214.3904249398</v>
      </c>
      <c r="AG16" s="2">
        <v>1400303.134326004</v>
      </c>
      <c r="AH16" s="2">
        <v>1316716.5117490503</v>
      </c>
      <c r="AI16" s="2">
        <v>1455078.571810991</v>
      </c>
    </row>
    <row r="17" spans="1:35" x14ac:dyDescent="0.2">
      <c r="A17" s="1" t="s">
        <v>49</v>
      </c>
      <c r="B17" s="1" t="s">
        <v>58</v>
      </c>
      <c r="C17" s="1" t="s">
        <v>59</v>
      </c>
      <c r="D17" s="2">
        <v>72994.616724546911</v>
      </c>
      <c r="E17" s="2">
        <v>372812.05287259875</v>
      </c>
      <c r="F17" s="2">
        <v>559964.3015068305</v>
      </c>
      <c r="G17" s="2">
        <v>2112606.693093305</v>
      </c>
      <c r="H17" s="2">
        <v>5246372.0712861326</v>
      </c>
      <c r="I17" s="2">
        <v>10618983.728784608</v>
      </c>
      <c r="J17" s="2">
        <v>22169236.240320772</v>
      </c>
      <c r="K17" s="2">
        <v>32151252.620717037</v>
      </c>
      <c r="L17" s="2">
        <v>20579033.962289102</v>
      </c>
      <c r="M17" s="2">
        <v>16065406.232435273</v>
      </c>
      <c r="N17" s="2">
        <v>18144765.379999496</v>
      </c>
      <c r="O17" s="2">
        <v>17355672.474198565</v>
      </c>
      <c r="P17" s="2">
        <v>13407672.627863573</v>
      </c>
      <c r="Q17" s="2">
        <v>14572234.363444014</v>
      </c>
      <c r="R17" s="2">
        <v>16125132.574701734</v>
      </c>
      <c r="S17" s="2">
        <v>18954137.745292146</v>
      </c>
      <c r="T17" s="2">
        <v>17281025.088043571</v>
      </c>
      <c r="U17" s="2">
        <v>16963884.937588517</v>
      </c>
      <c r="V17" s="2">
        <v>16316749.411523009</v>
      </c>
      <c r="W17" s="2">
        <v>21343674.680812001</v>
      </c>
      <c r="X17" s="2">
        <v>21398685.865000002</v>
      </c>
      <c r="Y17" s="2">
        <v>17048241.345026929</v>
      </c>
      <c r="Z17" s="2">
        <v>13987414.510321144</v>
      </c>
      <c r="AA17" s="2">
        <v>14126281.649984503</v>
      </c>
      <c r="AB17" s="2">
        <v>16247124.194582174</v>
      </c>
      <c r="AC17" s="2">
        <v>19343730.853695661</v>
      </c>
      <c r="AD17" s="2">
        <v>21092424.513513286</v>
      </c>
      <c r="AE17" s="2">
        <v>18354626.377576955</v>
      </c>
      <c r="AF17" s="2">
        <v>16389053.943706924</v>
      </c>
      <c r="AG17" s="2">
        <v>16445782.048080677</v>
      </c>
      <c r="AH17" s="2">
        <v>16694509.493518867</v>
      </c>
      <c r="AI17" s="2">
        <v>19420275.063168734</v>
      </c>
    </row>
    <row r="18" spans="1:35" x14ac:dyDescent="0.2">
      <c r="A18" s="1" t="s">
        <v>49</v>
      </c>
      <c r="B18" s="1" t="s">
        <v>60</v>
      </c>
      <c r="C18" s="1" t="s">
        <v>61</v>
      </c>
      <c r="D18" s="2">
        <v>18127.8327145357</v>
      </c>
      <c r="E18" s="2">
        <v>12208.4196533087</v>
      </c>
      <c r="F18" s="2">
        <v>33014.350661318895</v>
      </c>
      <c r="G18" s="2">
        <v>265064.27337571216</v>
      </c>
      <c r="H18" s="2">
        <v>496560.59155605029</v>
      </c>
      <c r="I18" s="2">
        <v>846183.44119550369</v>
      </c>
      <c r="J18" s="2">
        <v>1348427.3015209124</v>
      </c>
      <c r="K18" s="2">
        <v>1543143.0159060506</v>
      </c>
      <c r="L18" s="2">
        <v>549878.32431088702</v>
      </c>
      <c r="M18" s="2">
        <v>1163673.8909361837</v>
      </c>
      <c r="N18" s="2">
        <v>1189704.7616560038</v>
      </c>
      <c r="O18" s="2">
        <v>1215145.0977499434</v>
      </c>
      <c r="P18" s="2">
        <v>1070941.2095228678</v>
      </c>
      <c r="Q18" s="2">
        <v>953843.28227896465</v>
      </c>
      <c r="R18" s="2">
        <v>1238062.7103423839</v>
      </c>
      <c r="S18" s="2">
        <v>1255354.1271328335</v>
      </c>
      <c r="T18" s="2">
        <v>1338940.8345971231</v>
      </c>
      <c r="U18" s="2">
        <v>1171380.289142879</v>
      </c>
      <c r="V18" s="2">
        <v>1379875.1693993432</v>
      </c>
      <c r="W18" s="2">
        <v>1535370.6943818075</v>
      </c>
      <c r="X18" s="2">
        <v>2180758.3209999991</v>
      </c>
      <c r="Y18" s="2">
        <v>2149534.8871377357</v>
      </c>
      <c r="Z18" s="2">
        <v>2041026.6954939773</v>
      </c>
      <c r="AA18" s="2">
        <v>2043897.4400992738</v>
      </c>
      <c r="AB18" s="2">
        <v>2352709.845715364</v>
      </c>
      <c r="AC18" s="2">
        <v>2180084.4748642445</v>
      </c>
      <c r="AD18" s="2">
        <v>2358874.3978114291</v>
      </c>
      <c r="AE18" s="2">
        <v>2585111.0012924508</v>
      </c>
      <c r="AF18" s="2">
        <v>2657536.7719797771</v>
      </c>
      <c r="AG18" s="2">
        <v>2483958.1858010623</v>
      </c>
      <c r="AH18" s="2">
        <v>2225100.9182952456</v>
      </c>
      <c r="AI18" s="2">
        <v>2482307.3707830459</v>
      </c>
    </row>
    <row r="19" spans="1:35" x14ac:dyDescent="0.2">
      <c r="A19" s="1" t="s">
        <v>49</v>
      </c>
      <c r="B19" s="1" t="s">
        <v>62</v>
      </c>
      <c r="C19" s="1" t="s">
        <v>63</v>
      </c>
      <c r="D19" s="2">
        <v>13115.238561085602</v>
      </c>
      <c r="E19" s="2">
        <v>49820.458335313509</v>
      </c>
      <c r="F19" s="2">
        <v>74403.073197703299</v>
      </c>
      <c r="G19" s="2">
        <v>410767.35176606075</v>
      </c>
      <c r="H19" s="2">
        <v>474151.13726816321</v>
      </c>
      <c r="I19" s="2">
        <v>828998.06212441053</v>
      </c>
      <c r="J19" s="2">
        <v>1871399.5289532738</v>
      </c>
      <c r="K19" s="2">
        <v>3345462.1939904406</v>
      </c>
      <c r="L19" s="2">
        <v>1591870.4979239069</v>
      </c>
      <c r="M19" s="2">
        <v>2057915.4962829687</v>
      </c>
      <c r="N19" s="2">
        <v>2035220.2982094493</v>
      </c>
      <c r="O19" s="2">
        <v>2002483.0038271144</v>
      </c>
      <c r="P19" s="2">
        <v>2416196.527313584</v>
      </c>
      <c r="Q19" s="2">
        <v>2401115.6548859589</v>
      </c>
      <c r="R19" s="2">
        <v>2987890.3918887516</v>
      </c>
      <c r="S19" s="2">
        <v>2793487.7159046168</v>
      </c>
      <c r="T19" s="2">
        <v>2956000.2843320039</v>
      </c>
      <c r="U19" s="2">
        <v>3740454.9862570828</v>
      </c>
      <c r="V19" s="2">
        <v>4657691.0769533413</v>
      </c>
      <c r="W19" s="2">
        <v>3664755.9175066212</v>
      </c>
      <c r="X19" s="2">
        <v>5036653.6969999997</v>
      </c>
      <c r="Y19" s="2">
        <v>4564895.138233603</v>
      </c>
      <c r="Z19" s="2">
        <v>5245187.1513510933</v>
      </c>
      <c r="AA19" s="2">
        <v>5163226.6352464063</v>
      </c>
      <c r="AB19" s="2">
        <v>4237722.9341620812</v>
      </c>
      <c r="AC19" s="2">
        <v>4064240.3472422343</v>
      </c>
      <c r="AD19" s="2">
        <v>3577338.2627486666</v>
      </c>
      <c r="AE19" s="2">
        <v>3270320.5195500869</v>
      </c>
      <c r="AF19" s="2">
        <v>3681091.614564376</v>
      </c>
      <c r="AG19" s="2">
        <v>3505563.7833002289</v>
      </c>
      <c r="AH19" s="2">
        <v>3286880.3831182579</v>
      </c>
      <c r="AI19" s="2">
        <v>3629997.9465720211</v>
      </c>
    </row>
    <row r="20" spans="1:35" x14ac:dyDescent="0.2">
      <c r="A20" s="1" t="s">
        <v>64</v>
      </c>
      <c r="B20" s="1" t="s">
        <v>65</v>
      </c>
      <c r="C20" s="1" t="s">
        <v>66</v>
      </c>
      <c r="D20" s="2">
        <v>6446.3898181566001</v>
      </c>
      <c r="E20" s="2">
        <v>17949.632554656302</v>
      </c>
      <c r="F20" s="2">
        <v>19927.7143093716</v>
      </c>
      <c r="G20" s="2">
        <v>74687.938454462288</v>
      </c>
      <c r="H20" s="2">
        <v>161353.64834429289</v>
      </c>
      <c r="I20" s="2">
        <v>249872.78835654497</v>
      </c>
      <c r="J20" s="2">
        <v>481388.56601648004</v>
      </c>
      <c r="K20" s="2">
        <v>500225.55054183159</v>
      </c>
      <c r="L20" s="2">
        <v>661288.95908791258</v>
      </c>
      <c r="M20" s="2">
        <v>964921.05371099873</v>
      </c>
      <c r="N20" s="2">
        <v>1001610.7911960271</v>
      </c>
      <c r="O20" s="2">
        <v>985496.89871981973</v>
      </c>
      <c r="P20" s="2">
        <v>1042264.622858334</v>
      </c>
      <c r="Q20" s="2">
        <v>961846.41218324797</v>
      </c>
      <c r="R20" s="2">
        <v>1191303.6330997394</v>
      </c>
      <c r="S20" s="2">
        <v>1175387.1692112451</v>
      </c>
      <c r="T20" s="2">
        <v>1106269.5206669518</v>
      </c>
      <c r="U20" s="2">
        <v>1100151.8530453132</v>
      </c>
      <c r="V20" s="2">
        <v>1114254.7263300896</v>
      </c>
      <c r="W20" s="2">
        <v>1146709.0273325739</v>
      </c>
      <c r="X20" s="2">
        <v>1324915.844</v>
      </c>
      <c r="Y20" s="2">
        <v>1196330.8056867924</v>
      </c>
      <c r="Z20" s="2">
        <v>1294903.2822966613</v>
      </c>
      <c r="AA20" s="2">
        <v>1299705.1730296568</v>
      </c>
      <c r="AB20" s="2">
        <v>1285144.9837380049</v>
      </c>
      <c r="AC20" s="2">
        <v>1234140.4934660536</v>
      </c>
      <c r="AD20" s="2">
        <v>1257614.8413892058</v>
      </c>
      <c r="AE20" s="2">
        <v>1481691.4722848504</v>
      </c>
      <c r="AF20" s="2">
        <v>1421155.8959666134</v>
      </c>
      <c r="AG20" s="2">
        <v>1265804.5909029008</v>
      </c>
      <c r="AH20" s="2">
        <v>1257193.6628219686</v>
      </c>
      <c r="AI20" s="2">
        <v>1474782.5394185688</v>
      </c>
    </row>
    <row r="21" spans="1:35" x14ac:dyDescent="0.2">
      <c r="A21" s="1" t="s">
        <v>64</v>
      </c>
      <c r="B21" s="1" t="s">
        <v>67</v>
      </c>
      <c r="C21" s="1" t="s">
        <v>68</v>
      </c>
      <c r="D21" s="2">
        <v>1564.5317811474001</v>
      </c>
      <c r="E21" s="2">
        <v>10930.087482537099</v>
      </c>
      <c r="F21" s="2">
        <v>21182.3437419072</v>
      </c>
      <c r="G21" s="2">
        <v>35595.571809324108</v>
      </c>
      <c r="H21" s="2">
        <v>89309.532523369911</v>
      </c>
      <c r="I21" s="2">
        <v>204486.15081766655</v>
      </c>
      <c r="J21" s="2">
        <v>355053.43627369707</v>
      </c>
      <c r="K21" s="2">
        <v>432616.54667646217</v>
      </c>
      <c r="L21" s="2">
        <v>285887.73768983234</v>
      </c>
      <c r="M21" s="2">
        <v>724109.19869116042</v>
      </c>
      <c r="N21" s="2">
        <v>868521.10251960962</v>
      </c>
      <c r="O21" s="2">
        <v>850709.31836122612</v>
      </c>
      <c r="P21" s="2">
        <v>921440.19048714417</v>
      </c>
      <c r="Q21" s="2">
        <v>836105.22600625281</v>
      </c>
      <c r="R21" s="2">
        <v>1006735.4134869409</v>
      </c>
      <c r="S21" s="2">
        <v>1017536.9893270829</v>
      </c>
      <c r="T21" s="2">
        <v>952072.56159023987</v>
      </c>
      <c r="U21" s="2">
        <v>826370.86610928189</v>
      </c>
      <c r="V21" s="2">
        <v>949573.33228913439</v>
      </c>
      <c r="W21" s="2">
        <v>830813.01225647819</v>
      </c>
      <c r="X21" s="2">
        <v>1057578.8769999999</v>
      </c>
      <c r="Y21" s="2">
        <v>1104464.7594599531</v>
      </c>
      <c r="Z21" s="2">
        <v>1103234.2870581723</v>
      </c>
      <c r="AA21" s="2">
        <v>1162697.9210140118</v>
      </c>
      <c r="AB21" s="2">
        <v>1498958.2929360431</v>
      </c>
      <c r="AC21" s="2">
        <v>1474729.3724927641</v>
      </c>
      <c r="AD21" s="2">
        <v>1736539.0513191167</v>
      </c>
      <c r="AE21" s="2">
        <v>1893024.7459048955</v>
      </c>
      <c r="AF21" s="2">
        <v>2364059.0239764214</v>
      </c>
      <c r="AG21" s="2">
        <v>2023245.1759549843</v>
      </c>
      <c r="AH21" s="2">
        <v>1987584.7296487326</v>
      </c>
      <c r="AI21" s="2">
        <v>3436192.4015584053</v>
      </c>
    </row>
    <row r="22" spans="1:35" x14ac:dyDescent="0.2">
      <c r="A22" s="1" t="s">
        <v>64</v>
      </c>
      <c r="B22" s="1" t="s">
        <v>69</v>
      </c>
      <c r="C22" s="1" t="s">
        <v>70</v>
      </c>
      <c r="D22" s="2">
        <v>8970.8203705103006</v>
      </c>
      <c r="E22" s="2">
        <v>96082.755696492808</v>
      </c>
      <c r="F22" s="2">
        <v>176995.61073392318</v>
      </c>
      <c r="G22" s="2">
        <v>353500.80809694948</v>
      </c>
      <c r="H22" s="2">
        <v>1597939.3644642117</v>
      </c>
      <c r="I22" s="2">
        <v>2883046.5229697223</v>
      </c>
      <c r="J22" s="2">
        <v>5488740.33397354</v>
      </c>
      <c r="K22" s="2">
        <v>7000821.5149283176</v>
      </c>
      <c r="L22" s="2">
        <v>8059277.8115021558</v>
      </c>
      <c r="M22" s="2">
        <v>7588439.4198032422</v>
      </c>
      <c r="N22" s="2">
        <v>7597998.8425889537</v>
      </c>
      <c r="O22" s="2">
        <v>6947358.4698434733</v>
      </c>
      <c r="P22" s="2">
        <v>7401042.4392784871</v>
      </c>
      <c r="Q22" s="2">
        <v>7076871.32658449</v>
      </c>
      <c r="R22" s="2">
        <v>7976852.3645349359</v>
      </c>
      <c r="S22" s="2">
        <v>7698385.3003824521</v>
      </c>
      <c r="T22" s="2">
        <v>8354238.0305244625</v>
      </c>
      <c r="U22" s="2">
        <v>8616695.4311348386</v>
      </c>
      <c r="V22" s="2">
        <v>9610208.3273209427</v>
      </c>
      <c r="W22" s="2">
        <v>10594112.373494605</v>
      </c>
      <c r="X22" s="2">
        <v>10927315.863</v>
      </c>
      <c r="Y22" s="2">
        <v>11129333.185614871</v>
      </c>
      <c r="Z22" s="2">
        <v>10883754.052002462</v>
      </c>
      <c r="AA22" s="2">
        <v>11126631.112435821</v>
      </c>
      <c r="AB22" s="2">
        <v>10870556.938934105</v>
      </c>
      <c r="AC22" s="2">
        <v>10744347.455946585</v>
      </c>
      <c r="AD22" s="2">
        <v>10033751.242525678</v>
      </c>
      <c r="AE22" s="2">
        <v>8582382.1095196903</v>
      </c>
      <c r="AF22" s="2">
        <v>8963123.6284242123</v>
      </c>
      <c r="AG22" s="2">
        <v>8694567.7859503776</v>
      </c>
      <c r="AH22" s="2">
        <v>8202856.929583936</v>
      </c>
      <c r="AI22" s="2">
        <v>9341104.3656902332</v>
      </c>
    </row>
    <row r="23" spans="1:35" x14ac:dyDescent="0.2">
      <c r="A23" s="1" t="s">
        <v>64</v>
      </c>
      <c r="B23" s="1" t="s">
        <v>71</v>
      </c>
      <c r="C23" s="1" t="s">
        <v>72</v>
      </c>
      <c r="D23" s="2">
        <v>1138.4964230138003</v>
      </c>
      <c r="E23" s="2">
        <v>9982.8132340507</v>
      </c>
      <c r="F23" s="2">
        <v>17318.529206311097</v>
      </c>
      <c r="G23" s="2">
        <v>43254.173144076696</v>
      </c>
      <c r="H23" s="2">
        <v>91919.189540096602</v>
      </c>
      <c r="I23" s="2">
        <v>160800.5188024661</v>
      </c>
      <c r="J23" s="2">
        <v>308507.23546534486</v>
      </c>
      <c r="K23" s="2">
        <v>265814.17624030955</v>
      </c>
      <c r="L23" s="2">
        <v>79873.860336795799</v>
      </c>
      <c r="M23" s="2">
        <v>290817.84685473493</v>
      </c>
      <c r="N23" s="2">
        <v>268909.29932765441</v>
      </c>
      <c r="O23" s="2">
        <v>253608.0905863895</v>
      </c>
      <c r="P23" s="2">
        <v>212665.78069155387</v>
      </c>
      <c r="Q23" s="2">
        <v>226069.71598456465</v>
      </c>
      <c r="R23" s="2">
        <v>240254.77607482488</v>
      </c>
      <c r="S23" s="2">
        <v>239521.74604919838</v>
      </c>
      <c r="T23" s="2">
        <v>278974.6384255818</v>
      </c>
      <c r="U23" s="2">
        <v>275342.22959475208</v>
      </c>
      <c r="V23" s="2">
        <v>311405.23549082293</v>
      </c>
      <c r="W23" s="2">
        <v>341157.09486500733</v>
      </c>
      <c r="X23" s="2">
        <v>389657.58799999987</v>
      </c>
      <c r="Y23" s="2">
        <v>385984.66102235549</v>
      </c>
      <c r="Z23" s="2">
        <v>373625.29156996391</v>
      </c>
      <c r="AA23" s="2">
        <v>348850.32700371672</v>
      </c>
      <c r="AB23" s="2">
        <v>363403.40009874356</v>
      </c>
      <c r="AC23" s="2">
        <v>363893.1019255658</v>
      </c>
      <c r="AD23" s="2">
        <v>413291.47731512686</v>
      </c>
      <c r="AE23" s="2">
        <v>404296.21391244081</v>
      </c>
      <c r="AF23" s="2">
        <v>400799.03640090046</v>
      </c>
      <c r="AG23" s="2">
        <v>405899.30634831387</v>
      </c>
      <c r="AH23" s="2">
        <v>373592.23723364953</v>
      </c>
      <c r="AI23" s="2">
        <v>385685.9316493707</v>
      </c>
    </row>
    <row r="24" spans="1:35" x14ac:dyDescent="0.2">
      <c r="A24" s="1" t="s">
        <v>64</v>
      </c>
      <c r="B24" s="1" t="s">
        <v>73</v>
      </c>
      <c r="C24" s="1" t="s">
        <v>74</v>
      </c>
      <c r="D24" s="2">
        <v>1646.5171733326001</v>
      </c>
      <c r="E24" s="2">
        <v>18756.0301200346</v>
      </c>
      <c r="F24" s="2">
        <v>10885.903805225698</v>
      </c>
      <c r="G24" s="2">
        <v>38546.000241253205</v>
      </c>
      <c r="H24" s="2">
        <v>81591.7877425849</v>
      </c>
      <c r="I24" s="2">
        <v>127959.70529008101</v>
      </c>
      <c r="J24" s="2">
        <v>247818.57701808124</v>
      </c>
      <c r="K24" s="2">
        <v>351959.69830866298</v>
      </c>
      <c r="L24" s="2">
        <v>225055.01500664974</v>
      </c>
      <c r="M24" s="2">
        <v>481950.41887973039</v>
      </c>
      <c r="N24" s="2">
        <v>472588.72743783332</v>
      </c>
      <c r="O24" s="2">
        <v>462757.22546510288</v>
      </c>
      <c r="P24" s="2">
        <v>542904.17609378381</v>
      </c>
      <c r="Q24" s="2">
        <v>476225.32535335381</v>
      </c>
      <c r="R24" s="2">
        <v>524002.64957430022</v>
      </c>
      <c r="S24" s="2">
        <v>463024.24679759005</v>
      </c>
      <c r="T24" s="2">
        <v>469563.89602425089</v>
      </c>
      <c r="U24" s="2">
        <v>540665.17834245088</v>
      </c>
      <c r="V24" s="2">
        <v>526808.37854099181</v>
      </c>
      <c r="W24" s="2">
        <v>491532.73188346694</v>
      </c>
      <c r="X24" s="2">
        <v>548063.98700000008</v>
      </c>
      <c r="Y24" s="2">
        <v>641449.96880718169</v>
      </c>
      <c r="Z24" s="2">
        <v>700295.79043224978</v>
      </c>
      <c r="AA24" s="2">
        <v>663989.78291950398</v>
      </c>
      <c r="AB24" s="2">
        <v>693281.23419198452</v>
      </c>
      <c r="AC24" s="2">
        <v>683124.64513948385</v>
      </c>
      <c r="AD24" s="2">
        <v>554015.78847297851</v>
      </c>
      <c r="AE24" s="2">
        <v>570680.45363902929</v>
      </c>
      <c r="AF24" s="2">
        <v>685560.07002298825</v>
      </c>
      <c r="AG24" s="2">
        <v>669306.35735767463</v>
      </c>
      <c r="AH24" s="2">
        <v>734250.23126994108</v>
      </c>
      <c r="AI24" s="2">
        <v>901923.15848872683</v>
      </c>
    </row>
    <row r="25" spans="1:35" x14ac:dyDescent="0.2">
      <c r="A25" s="1" t="s">
        <v>64</v>
      </c>
      <c r="B25" s="1" t="s">
        <v>75</v>
      </c>
      <c r="C25" s="1" t="s">
        <v>76</v>
      </c>
      <c r="D25" s="2">
        <v>5516.9306192002005</v>
      </c>
      <c r="E25" s="2">
        <v>16589.4438901625</v>
      </c>
      <c r="F25" s="2">
        <v>27614.969142992402</v>
      </c>
      <c r="G25" s="2">
        <v>72198.382048438405</v>
      </c>
      <c r="H25" s="2">
        <v>133290.33586132969</v>
      </c>
      <c r="I25" s="2">
        <v>244317.4247114227</v>
      </c>
      <c r="J25" s="2">
        <v>350824.34698103252</v>
      </c>
      <c r="K25" s="2">
        <v>183206.00739701759</v>
      </c>
      <c r="L25" s="2">
        <v>44659.532970408909</v>
      </c>
      <c r="M25" s="2">
        <v>174932.36510102279</v>
      </c>
      <c r="N25" s="2">
        <v>161459.9763785653</v>
      </c>
      <c r="O25" s="2">
        <v>143418.8515542199</v>
      </c>
      <c r="P25" s="2">
        <v>133557.42911498778</v>
      </c>
      <c r="Q25" s="2">
        <v>117603.23031177589</v>
      </c>
      <c r="R25" s="2">
        <v>122264.83453819367</v>
      </c>
      <c r="S25" s="2">
        <v>115482.49692515547</v>
      </c>
      <c r="T25" s="2">
        <v>130085.23928003201</v>
      </c>
      <c r="U25" s="2">
        <v>135623.08549406592</v>
      </c>
      <c r="V25" s="2">
        <v>143258.54958387569</v>
      </c>
      <c r="W25" s="2">
        <v>157277.07849925791</v>
      </c>
      <c r="X25" s="2">
        <v>183587.63099999999</v>
      </c>
      <c r="Y25" s="2">
        <v>182230.12777090367</v>
      </c>
      <c r="Z25" s="2">
        <v>184427.15489620401</v>
      </c>
      <c r="AA25" s="2">
        <v>166815.38789660993</v>
      </c>
      <c r="AB25" s="2">
        <v>171750.57776782269</v>
      </c>
      <c r="AC25" s="2">
        <v>174490.40064820476</v>
      </c>
      <c r="AD25" s="2">
        <v>146012.55483465409</v>
      </c>
      <c r="AE25" s="2">
        <v>122037.30136750362</v>
      </c>
      <c r="AF25" s="2">
        <v>141167.43828630116</v>
      </c>
      <c r="AG25" s="2">
        <v>141698.8961469112</v>
      </c>
      <c r="AH25" s="2">
        <v>138795.88087759673</v>
      </c>
      <c r="AI25" s="2">
        <v>146518.61232994901</v>
      </c>
    </row>
    <row r="26" spans="1:35" x14ac:dyDescent="0.2">
      <c r="A26" s="1" t="s">
        <v>64</v>
      </c>
      <c r="B26" s="1" t="s">
        <v>77</v>
      </c>
      <c r="C26" s="1" t="s">
        <v>78</v>
      </c>
      <c r="D26" s="2">
        <v>5426.8621279747003</v>
      </c>
      <c r="E26" s="2">
        <v>18522.854920407</v>
      </c>
      <c r="F26" s="2">
        <v>40379.2843512338</v>
      </c>
      <c r="G26" s="2">
        <v>161708.25399151121</v>
      </c>
      <c r="H26" s="2">
        <v>161843.31171156908</v>
      </c>
      <c r="I26" s="2">
        <v>299678.47413770325</v>
      </c>
      <c r="J26" s="2">
        <v>598409.0794873907</v>
      </c>
      <c r="K26" s="2">
        <v>454931.98319866107</v>
      </c>
      <c r="L26" s="2">
        <v>206935.49058216019</v>
      </c>
      <c r="M26" s="2">
        <v>516659.10761450959</v>
      </c>
      <c r="N26" s="2">
        <v>510988.5291505747</v>
      </c>
      <c r="O26" s="2">
        <v>482343.05995615548</v>
      </c>
      <c r="P26" s="2">
        <v>520777.23659323331</v>
      </c>
      <c r="Q26" s="2">
        <v>449543.67214014701</v>
      </c>
      <c r="R26" s="2">
        <v>465407.94451206276</v>
      </c>
      <c r="S26" s="2">
        <v>431944.45359117462</v>
      </c>
      <c r="T26" s="2">
        <v>563655.81227258511</v>
      </c>
      <c r="U26" s="2">
        <v>557169.97412446933</v>
      </c>
      <c r="V26" s="2">
        <v>565927.96367122245</v>
      </c>
      <c r="W26" s="2">
        <v>646939.09470350947</v>
      </c>
      <c r="X26" s="2">
        <v>746775.95000000019</v>
      </c>
      <c r="Y26" s="2">
        <v>748487.24802678311</v>
      </c>
      <c r="Z26" s="2">
        <v>693446.7941501278</v>
      </c>
      <c r="AA26" s="2">
        <v>623549.41778951988</v>
      </c>
      <c r="AB26" s="2">
        <v>770317.67554102174</v>
      </c>
      <c r="AC26" s="2">
        <v>700362.30282418733</v>
      </c>
      <c r="AD26" s="2">
        <v>692723.48771302064</v>
      </c>
      <c r="AE26" s="2">
        <v>536556.83323950449</v>
      </c>
      <c r="AF26" s="2">
        <v>544963.59556078771</v>
      </c>
      <c r="AG26" s="2">
        <v>513427.57032580447</v>
      </c>
      <c r="AH26" s="2">
        <v>543058.79190277809</v>
      </c>
      <c r="AI26" s="2">
        <v>532137.19637433044</v>
      </c>
    </row>
    <row r="27" spans="1:35" x14ac:dyDescent="0.2">
      <c r="A27" s="1" t="s">
        <v>79</v>
      </c>
      <c r="B27" s="1" t="s">
        <v>80</v>
      </c>
      <c r="C27" s="1" t="s">
        <v>81</v>
      </c>
      <c r="H27" s="2">
        <v>894441.70832353295</v>
      </c>
      <c r="I27" s="2">
        <v>4270116.70322794</v>
      </c>
      <c r="J27" s="2">
        <v>3236071.10582479</v>
      </c>
      <c r="K27" s="2">
        <v>2560792.2129995199</v>
      </c>
      <c r="L27" s="2">
        <v>6570201.4692987204</v>
      </c>
      <c r="M27" s="2">
        <v>5663929.0041135401</v>
      </c>
      <c r="N27" s="2">
        <v>5788925.1205852199</v>
      </c>
      <c r="O27" s="2">
        <v>5647807.9537598398</v>
      </c>
      <c r="P27" s="2">
        <v>7769858.7140113702</v>
      </c>
      <c r="Q27" s="2">
        <v>6038624.7931431001</v>
      </c>
      <c r="R27" s="2">
        <v>7082152.6925691804</v>
      </c>
      <c r="S27" s="2">
        <v>7773817.0035463702</v>
      </c>
      <c r="T27" s="2">
        <v>6351392.1997041004</v>
      </c>
      <c r="U27" s="2">
        <v>6628609.0350872604</v>
      </c>
      <c r="V27" s="2">
        <v>6662689.3002480501</v>
      </c>
      <c r="W27" s="2">
        <v>8305282.5939246695</v>
      </c>
      <c r="X27" s="2">
        <v>9184148.9210000001</v>
      </c>
      <c r="Y27" s="2">
        <v>8656450.1688297</v>
      </c>
      <c r="Z27" s="2">
        <v>8301033.5296474099</v>
      </c>
      <c r="AA27" s="2">
        <v>7709261.8347233096</v>
      </c>
      <c r="AB27" s="2">
        <v>8370400.8281922899</v>
      </c>
      <c r="AC27" s="2">
        <v>6855852.4642914198</v>
      </c>
      <c r="AD27" s="2">
        <v>6129645.8574883398</v>
      </c>
      <c r="AE27" s="2">
        <v>5169955.2062342474</v>
      </c>
      <c r="AF27" s="2">
        <v>5587421.5312437369</v>
      </c>
      <c r="AG27" s="2">
        <v>5311690.3716438627</v>
      </c>
      <c r="AH27" s="2">
        <v>5774484.1681975806</v>
      </c>
      <c r="AI27" s="2">
        <v>4849524.8725846503</v>
      </c>
    </row>
    <row r="28" spans="1:35" x14ac:dyDescent="0.2">
      <c r="A28" s="1" t="s">
        <v>82</v>
      </c>
      <c r="B28" s="1" t="s">
        <v>83</v>
      </c>
      <c r="C28" s="1" t="s">
        <v>84</v>
      </c>
      <c r="D28" s="2">
        <v>692.93888932710001</v>
      </c>
      <c r="E28" s="2">
        <v>6000.3708133086002</v>
      </c>
      <c r="F28" s="2">
        <v>24764.1647506226</v>
      </c>
      <c r="G28" s="2">
        <v>45332.6884995992</v>
      </c>
      <c r="H28" s="2">
        <v>192757.06129040927</v>
      </c>
      <c r="I28" s="2">
        <v>357404.9958014494</v>
      </c>
      <c r="J28" s="2">
        <v>604985.07928402012</v>
      </c>
      <c r="K28" s="2">
        <v>555605.40027176426</v>
      </c>
      <c r="L28" s="2">
        <v>423928.23794825916</v>
      </c>
      <c r="M28" s="2">
        <v>589484.78049637051</v>
      </c>
      <c r="N28" s="2">
        <v>571537.67726158677</v>
      </c>
      <c r="O28" s="2">
        <v>585118.64439510694</v>
      </c>
      <c r="P28" s="2">
        <v>638968.82457647391</v>
      </c>
      <c r="Q28" s="2">
        <v>585388.89276479871</v>
      </c>
      <c r="R28" s="2">
        <v>631801.49905901426</v>
      </c>
      <c r="S28" s="2">
        <v>792736.55824842828</v>
      </c>
      <c r="T28" s="2">
        <v>928230.3869129651</v>
      </c>
      <c r="U28" s="2">
        <v>819882.03891703521</v>
      </c>
      <c r="V28" s="2">
        <v>709027.41468073847</v>
      </c>
      <c r="W28" s="2">
        <v>761472.97180493164</v>
      </c>
      <c r="X28" s="2">
        <v>971090.19699999981</v>
      </c>
      <c r="Y28" s="2">
        <v>986371.81033669692</v>
      </c>
      <c r="Z28" s="2">
        <v>1218536.8971190494</v>
      </c>
      <c r="AA28" s="2">
        <v>1088745.7158021908</v>
      </c>
      <c r="AB28" s="2">
        <v>1226197.4374325275</v>
      </c>
      <c r="AC28" s="2">
        <v>1107853.1380908079</v>
      </c>
      <c r="AD28" s="2">
        <v>1028636.9221590842</v>
      </c>
      <c r="AE28" s="2">
        <v>881275.46391266386</v>
      </c>
      <c r="AF28" s="2">
        <v>1093008.6389599517</v>
      </c>
      <c r="AG28" s="2">
        <v>947642.27078385837</v>
      </c>
      <c r="AH28" s="2">
        <v>1184484.8516438711</v>
      </c>
      <c r="AI28" s="2">
        <v>1192358.6444153527</v>
      </c>
    </row>
    <row r="29" spans="1:35" x14ac:dyDescent="0.2">
      <c r="A29" s="1" t="s">
        <v>82</v>
      </c>
      <c r="B29" s="1" t="s">
        <v>85</v>
      </c>
      <c r="C29" s="1" t="s">
        <v>86</v>
      </c>
      <c r="D29" s="2">
        <v>1961.7130402659002</v>
      </c>
      <c r="E29" s="2">
        <v>4650.0840238699002</v>
      </c>
      <c r="F29" s="2">
        <v>21395.146541181603</v>
      </c>
      <c r="G29" s="2">
        <v>26259.439795069298</v>
      </c>
      <c r="H29" s="2">
        <v>176988.73701798799</v>
      </c>
      <c r="I29" s="2">
        <v>357010.61467335396</v>
      </c>
      <c r="J29" s="2">
        <v>1503579.793761255</v>
      </c>
      <c r="K29" s="2">
        <v>1583300.7870428471</v>
      </c>
      <c r="L29" s="2">
        <v>1684502.9104151055</v>
      </c>
      <c r="M29" s="2">
        <v>2005293.9598995515</v>
      </c>
      <c r="N29" s="2">
        <v>2087580.9761728679</v>
      </c>
      <c r="O29" s="2">
        <v>2113465.3213712131</v>
      </c>
      <c r="P29" s="2">
        <v>2932585.7747822134</v>
      </c>
      <c r="Q29" s="2">
        <v>3314378.4825759712</v>
      </c>
      <c r="R29" s="2">
        <v>3104858.8258834872</v>
      </c>
      <c r="S29" s="2">
        <v>3793258.5835019355</v>
      </c>
      <c r="T29" s="2">
        <v>5354706.6236622417</v>
      </c>
      <c r="U29" s="2">
        <v>5617897.3845096482</v>
      </c>
      <c r="V29" s="2">
        <v>6523332.5728650447</v>
      </c>
      <c r="W29" s="2">
        <v>4334788.4167226944</v>
      </c>
      <c r="X29" s="2">
        <v>4684835.5650000004</v>
      </c>
      <c r="Y29" s="2">
        <v>6035090.0977313435</v>
      </c>
      <c r="Z29" s="2">
        <v>5426859.5801040018</v>
      </c>
      <c r="AA29" s="2">
        <v>5185836.4019261776</v>
      </c>
      <c r="AB29" s="2">
        <v>4371338.4855649071</v>
      </c>
      <c r="AC29" s="2">
        <v>3899393.9073888524</v>
      </c>
      <c r="AD29" s="2">
        <v>2979829.8224789319</v>
      </c>
      <c r="AE29" s="2">
        <v>3063376.5034235762</v>
      </c>
      <c r="AF29" s="2">
        <v>3624946.2529239021</v>
      </c>
      <c r="AG29" s="2">
        <v>2853716.9468586389</v>
      </c>
      <c r="AH29" s="2">
        <v>2797167.0329263946</v>
      </c>
      <c r="AI29" s="2">
        <v>3366818.7032512277</v>
      </c>
    </row>
    <row r="30" spans="1:35" x14ac:dyDescent="0.2">
      <c r="A30" s="1" t="s">
        <v>82</v>
      </c>
      <c r="B30" s="1" t="s">
        <v>87</v>
      </c>
      <c r="C30" s="1" t="s">
        <v>88</v>
      </c>
      <c r="D30" s="2">
        <v>10970.908322751699</v>
      </c>
      <c r="E30" s="2">
        <v>31807.659290973999</v>
      </c>
      <c r="F30" s="2">
        <v>74558.446351496619</v>
      </c>
      <c r="G30" s="2">
        <v>153947.03279892739</v>
      </c>
      <c r="H30" s="2">
        <v>916933.38332426723</v>
      </c>
      <c r="I30" s="2">
        <v>1998085.0924000437</v>
      </c>
      <c r="J30" s="2">
        <v>6144795.5879983492</v>
      </c>
      <c r="K30" s="2">
        <v>8701531.2941607442</v>
      </c>
      <c r="L30" s="2">
        <v>7856435.735033704</v>
      </c>
      <c r="M30" s="2">
        <v>7549443.4577084454</v>
      </c>
      <c r="N30" s="2">
        <v>8624608.2693956997</v>
      </c>
      <c r="O30" s="2">
        <v>8341683.6744797332</v>
      </c>
      <c r="P30" s="2">
        <v>10777301.69943331</v>
      </c>
      <c r="Q30" s="2">
        <v>10109056.092364825</v>
      </c>
      <c r="R30" s="2">
        <v>12629870.83618517</v>
      </c>
      <c r="S30" s="2">
        <v>13741591.780345177</v>
      </c>
      <c r="T30" s="2">
        <v>14540381.887577079</v>
      </c>
      <c r="U30" s="2">
        <v>14257031.801959487</v>
      </c>
      <c r="V30" s="2">
        <v>14901738.578936182</v>
      </c>
      <c r="W30" s="2">
        <v>11344247.044083985</v>
      </c>
      <c r="X30" s="2">
        <v>16213115.610000001</v>
      </c>
      <c r="Y30" s="2">
        <v>16437239.266396686</v>
      </c>
      <c r="Z30" s="2">
        <v>15229758.682201367</v>
      </c>
      <c r="AA30" s="2">
        <v>11910329.166230602</v>
      </c>
      <c r="AB30" s="2">
        <v>12432016.75373859</v>
      </c>
      <c r="AC30" s="2">
        <v>8764802.0261710882</v>
      </c>
      <c r="AD30" s="2">
        <v>7545257.7597626951</v>
      </c>
      <c r="AE30" s="2">
        <v>5269160.6144008702</v>
      </c>
      <c r="AF30" s="2">
        <v>10073152.25977766</v>
      </c>
      <c r="AG30" s="2">
        <v>6609270.9085430391</v>
      </c>
      <c r="AH30" s="2">
        <v>8098008.8196115224</v>
      </c>
      <c r="AI30" s="2">
        <v>15766887.028295523</v>
      </c>
    </row>
    <row r="31" spans="1:35" x14ac:dyDescent="0.2">
      <c r="A31" s="1" t="s">
        <v>82</v>
      </c>
      <c r="B31" s="1" t="s">
        <v>89</v>
      </c>
      <c r="C31" s="1" t="s">
        <v>90</v>
      </c>
      <c r="D31" s="2">
        <v>7672.8945604888004</v>
      </c>
      <c r="E31" s="2">
        <v>33480.604971863897</v>
      </c>
      <c r="F31" s="2">
        <v>107336.16778829921</v>
      </c>
      <c r="G31" s="2">
        <v>107328.7773707812</v>
      </c>
      <c r="H31" s="2">
        <v>346068.8519493874</v>
      </c>
      <c r="I31" s="2">
        <v>602027.59986780642</v>
      </c>
      <c r="J31" s="2">
        <v>942351.3710810584</v>
      </c>
      <c r="K31" s="2">
        <v>948888.47756879753</v>
      </c>
      <c r="L31" s="2">
        <v>842164.16151766083</v>
      </c>
      <c r="M31" s="2">
        <v>934262.94476436346</v>
      </c>
      <c r="N31" s="2">
        <v>997435.44590705424</v>
      </c>
      <c r="O31" s="2">
        <v>1005524.8073366373</v>
      </c>
      <c r="P31" s="2">
        <v>1161014.1870764126</v>
      </c>
      <c r="Q31" s="2">
        <v>1491282.7992425552</v>
      </c>
      <c r="R31" s="2">
        <v>1556572.6199507937</v>
      </c>
      <c r="S31" s="2">
        <v>1990582.191713071</v>
      </c>
      <c r="T31" s="2">
        <v>1803984.9478691532</v>
      </c>
      <c r="U31" s="2">
        <v>3083558.6168234702</v>
      </c>
      <c r="V31" s="2">
        <v>3753873.510537677</v>
      </c>
      <c r="W31" s="2">
        <v>2996248.6874557203</v>
      </c>
      <c r="X31" s="2">
        <v>5080509.0270000007</v>
      </c>
      <c r="Y31" s="2">
        <v>10853237.149953846</v>
      </c>
      <c r="Z31" s="2">
        <v>13142387.317927506</v>
      </c>
      <c r="AA31" s="2">
        <v>13263466.422763254</v>
      </c>
      <c r="AB31" s="2">
        <v>13479367.634828854</v>
      </c>
      <c r="AC31" s="2">
        <v>7631318.255175028</v>
      </c>
      <c r="AD31" s="2">
        <v>2777735.4199415212</v>
      </c>
      <c r="AE31" s="2">
        <v>3826237.2219225643</v>
      </c>
      <c r="AF31" s="2">
        <v>7235115.3764761612</v>
      </c>
      <c r="AG31" s="2">
        <v>6716132.2338796258</v>
      </c>
      <c r="AH31" s="2">
        <v>4526849.4968597796</v>
      </c>
      <c r="AI31" s="2">
        <v>7932354.3575172601</v>
      </c>
    </row>
    <row r="32" spans="1:35" x14ac:dyDescent="0.2">
      <c r="A32" s="1" t="s">
        <v>91</v>
      </c>
      <c r="B32" s="1" t="s">
        <v>92</v>
      </c>
      <c r="C32" s="1" t="s">
        <v>93</v>
      </c>
      <c r="D32" s="2">
        <v>511.35859516379998</v>
      </c>
      <c r="E32" s="2">
        <v>1589.0499472591</v>
      </c>
      <c r="F32" s="2">
        <v>1397.7491736853999</v>
      </c>
      <c r="G32" s="2">
        <v>6990.8081055032007</v>
      </c>
      <c r="H32" s="2">
        <v>25827.617170428101</v>
      </c>
      <c r="I32" s="2">
        <v>18832.650712405797</v>
      </c>
      <c r="J32" s="2">
        <v>122882.75322493078</v>
      </c>
      <c r="K32" s="2">
        <v>116239.6244218396</v>
      </c>
      <c r="L32" s="2">
        <v>197900.70414501554</v>
      </c>
      <c r="M32" s="2">
        <v>252225.40863141319</v>
      </c>
      <c r="N32" s="2">
        <v>349438.60012118198</v>
      </c>
      <c r="O32" s="2">
        <v>361883.60312662274</v>
      </c>
      <c r="P32" s="2">
        <v>305846.45929046528</v>
      </c>
      <c r="Q32" s="2">
        <v>296513.07106657658</v>
      </c>
      <c r="R32" s="2">
        <v>430142.73519963952</v>
      </c>
      <c r="S32" s="2">
        <v>415199.16787650471</v>
      </c>
      <c r="T32" s="2">
        <v>391443.79746832221</v>
      </c>
      <c r="U32" s="2">
        <v>431650.42003850586</v>
      </c>
      <c r="V32" s="2">
        <v>332011.01409223978</v>
      </c>
      <c r="W32" s="2">
        <v>393940.03609250905</v>
      </c>
      <c r="X32" s="2">
        <v>386798.43299999996</v>
      </c>
      <c r="Y32" s="2">
        <v>447371.64052230294</v>
      </c>
      <c r="Z32" s="2">
        <v>550819.06557529257</v>
      </c>
      <c r="AA32" s="2">
        <v>581782.70594892011</v>
      </c>
      <c r="AB32" s="2">
        <v>424723.50481350103</v>
      </c>
      <c r="AC32" s="2">
        <v>445722.53151872178</v>
      </c>
      <c r="AD32" s="2">
        <v>354907.73643051146</v>
      </c>
      <c r="AE32" s="2">
        <v>409864.66985497985</v>
      </c>
      <c r="AF32" s="2">
        <v>458705.30903529195</v>
      </c>
      <c r="AG32" s="2">
        <v>520925.71368118667</v>
      </c>
      <c r="AH32" s="2">
        <v>629070.71759585699</v>
      </c>
      <c r="AI32" s="2">
        <v>599533.13462366711</v>
      </c>
    </row>
    <row r="33" spans="1:35" x14ac:dyDescent="0.2">
      <c r="A33" s="1" t="s">
        <v>91</v>
      </c>
      <c r="B33" s="1" t="s">
        <v>94</v>
      </c>
      <c r="C33" s="1" t="s">
        <v>95</v>
      </c>
      <c r="D33" s="2">
        <v>239.16576624050001</v>
      </c>
      <c r="F33" s="2">
        <v>160.95293515180001</v>
      </c>
      <c r="G33" s="2">
        <v>2030.8800654678998</v>
      </c>
      <c r="H33" s="2">
        <v>127550.20085866228</v>
      </c>
      <c r="I33" s="2">
        <v>74725.188178171476</v>
      </c>
      <c r="J33" s="2">
        <v>704121.05804980837</v>
      </c>
      <c r="K33" s="2">
        <v>1162740.7039048255</v>
      </c>
      <c r="L33" s="2">
        <v>772785.5079411706</v>
      </c>
      <c r="M33" s="2">
        <v>746769.09655788017</v>
      </c>
      <c r="N33" s="2">
        <v>918829.62431546045</v>
      </c>
      <c r="O33" s="2">
        <v>1173159.0108703482</v>
      </c>
      <c r="P33" s="2">
        <v>1363299.6959960775</v>
      </c>
      <c r="Q33" s="2">
        <v>1517502.6746635041</v>
      </c>
      <c r="R33" s="2">
        <v>1581576.4993248503</v>
      </c>
      <c r="S33" s="2">
        <v>1528428.9759219117</v>
      </c>
      <c r="T33" s="2">
        <v>1568628.1423470343</v>
      </c>
      <c r="U33" s="2">
        <v>2446384.4840836683</v>
      </c>
      <c r="V33" s="2">
        <v>1946893.3686814718</v>
      </c>
      <c r="W33" s="2">
        <v>1719977.5829762276</v>
      </c>
      <c r="X33" s="2">
        <v>1946243.6640000003</v>
      </c>
      <c r="Y33" s="2">
        <v>2168158.5976077248</v>
      </c>
      <c r="Z33" s="2">
        <v>2219821.1814171718</v>
      </c>
      <c r="AA33" s="2">
        <v>1528308.9267243983</v>
      </c>
      <c r="AB33" s="2">
        <v>1145371.7823827858</v>
      </c>
      <c r="AC33" s="2">
        <v>1610294.9543723809</v>
      </c>
      <c r="AD33" s="2">
        <v>1001983.0353846577</v>
      </c>
      <c r="AE33" s="2">
        <v>1004586.1671281263</v>
      </c>
      <c r="AF33" s="2">
        <v>1136659.5553173388</v>
      </c>
      <c r="AG33" s="2">
        <v>1058842.911304682</v>
      </c>
      <c r="AH33" s="2">
        <v>983023.06380233099</v>
      </c>
      <c r="AI33" s="2">
        <v>1271071.9656858644</v>
      </c>
    </row>
    <row r="34" spans="1:35" x14ac:dyDescent="0.2">
      <c r="A34" s="1" t="s">
        <v>91</v>
      </c>
      <c r="B34" s="1" t="s">
        <v>96</v>
      </c>
      <c r="C34" s="1" t="s">
        <v>97</v>
      </c>
      <c r="D34" s="2">
        <v>368.74763565299997</v>
      </c>
      <c r="E34" s="2">
        <v>16934.229696251503</v>
      </c>
      <c r="F34" s="2">
        <v>68894.20965024922</v>
      </c>
      <c r="G34" s="2">
        <v>283784.16467484052</v>
      </c>
      <c r="H34" s="2">
        <v>1131046.0645406437</v>
      </c>
      <c r="I34" s="2">
        <v>630168.54882215918</v>
      </c>
      <c r="J34" s="2">
        <v>4371146.2495382354</v>
      </c>
      <c r="K34" s="2">
        <v>5151817.835669334</v>
      </c>
      <c r="L34" s="2">
        <v>7320539.6944449106</v>
      </c>
      <c r="M34" s="2">
        <v>4967990.5553958761</v>
      </c>
      <c r="N34" s="2">
        <v>6099644.7425087206</v>
      </c>
      <c r="O34" s="2">
        <v>5904087.2808388788</v>
      </c>
      <c r="P34" s="2">
        <v>7800244.8496139171</v>
      </c>
      <c r="Q34" s="2">
        <v>7389947.5648905858</v>
      </c>
      <c r="R34" s="2">
        <v>8213025.415703821</v>
      </c>
      <c r="S34" s="2">
        <v>8547818.7297775559</v>
      </c>
      <c r="T34" s="2">
        <v>9425680.8299120609</v>
      </c>
      <c r="U34" s="2">
        <v>10371242.585479444</v>
      </c>
      <c r="V34" s="2">
        <v>10665645.640157895</v>
      </c>
      <c r="W34" s="2">
        <v>12182001.875756685</v>
      </c>
      <c r="X34" s="2">
        <v>13659166.232000001</v>
      </c>
      <c r="Y34" s="2">
        <v>13132277.381581847</v>
      </c>
      <c r="Z34" s="2">
        <v>12996396.318960758</v>
      </c>
      <c r="AA34" s="2">
        <v>13689189.615817726</v>
      </c>
      <c r="AB34" s="2">
        <v>13898706.426697174</v>
      </c>
      <c r="AC34" s="2">
        <v>12547939.104890354</v>
      </c>
      <c r="AD34" s="2">
        <v>11175317.723475097</v>
      </c>
      <c r="AE34" s="2">
        <v>11106012.461860627</v>
      </c>
      <c r="AF34" s="2">
        <v>10509558.357061237</v>
      </c>
      <c r="AG34" s="2">
        <v>10827353.279187884</v>
      </c>
      <c r="AH34" s="2">
        <v>11802632.012091694</v>
      </c>
      <c r="AI34" s="2">
        <v>11769893.087187296</v>
      </c>
    </row>
    <row r="35" spans="1:35" x14ac:dyDescent="0.2">
      <c r="A35" s="1" t="s">
        <v>91</v>
      </c>
      <c r="B35" s="1" t="s">
        <v>98</v>
      </c>
      <c r="C35" s="1" t="s">
        <v>99</v>
      </c>
      <c r="D35" s="2">
        <v>766.90794669899992</v>
      </c>
      <c r="E35" s="2">
        <v>1061.3211824868001</v>
      </c>
      <c r="F35" s="2">
        <v>2559.3634490891</v>
      </c>
      <c r="G35" s="2">
        <v>7292.1938696132001</v>
      </c>
      <c r="H35" s="2">
        <v>47850.007273900002</v>
      </c>
      <c r="I35" s="2">
        <v>63621.859267527012</v>
      </c>
      <c r="J35" s="2">
        <v>457234.45853909483</v>
      </c>
      <c r="K35" s="2">
        <v>419529.40610442043</v>
      </c>
      <c r="L35" s="2">
        <v>196667.60402579303</v>
      </c>
      <c r="M35" s="2">
        <v>592671.86645055038</v>
      </c>
      <c r="N35" s="2">
        <v>757429.09565207886</v>
      </c>
      <c r="O35" s="2">
        <v>821027.91722480871</v>
      </c>
      <c r="P35" s="2">
        <v>778570.26261704112</v>
      </c>
      <c r="Q35" s="2">
        <v>881902.59324453771</v>
      </c>
      <c r="R35" s="2">
        <v>1089714.3601296223</v>
      </c>
      <c r="S35" s="2">
        <v>1111091.8174863935</v>
      </c>
      <c r="T35" s="2">
        <v>1054700.2151879435</v>
      </c>
      <c r="U35" s="2">
        <v>1418675.5783484143</v>
      </c>
      <c r="V35" s="2">
        <v>1441636.3730931145</v>
      </c>
      <c r="W35" s="2">
        <v>1639617.392247746</v>
      </c>
      <c r="X35" s="2">
        <v>1551678.3320000002</v>
      </c>
      <c r="Y35" s="2">
        <v>1721789.7184560706</v>
      </c>
      <c r="Z35" s="2">
        <v>1685485.0460205986</v>
      </c>
      <c r="AA35" s="2">
        <v>1918458.3927477559</v>
      </c>
      <c r="AB35" s="2">
        <v>1698146.5255785277</v>
      </c>
      <c r="AC35" s="2">
        <v>1704230.5941455602</v>
      </c>
      <c r="AD35" s="2">
        <v>1685087.7495704661</v>
      </c>
      <c r="AE35" s="2">
        <v>1549336.5855402234</v>
      </c>
      <c r="AF35" s="2">
        <v>1571722.8628074145</v>
      </c>
      <c r="AG35" s="2">
        <v>1741485.2321348176</v>
      </c>
      <c r="AH35" s="2">
        <v>2045569.2954701316</v>
      </c>
      <c r="AI35" s="2">
        <v>2002288.9287824363</v>
      </c>
    </row>
    <row r="36" spans="1:35" x14ac:dyDescent="0.2">
      <c r="A36" s="1" t="s">
        <v>91</v>
      </c>
      <c r="B36" s="1" t="s">
        <v>100</v>
      </c>
      <c r="C36" s="1" t="s">
        <v>101</v>
      </c>
      <c r="D36" s="2">
        <v>3614.2429617201001</v>
      </c>
      <c r="E36" s="2">
        <v>52163.056571277899</v>
      </c>
      <c r="F36" s="2">
        <v>83631.992225518392</v>
      </c>
      <c r="G36" s="2">
        <v>157850.19501417116</v>
      </c>
      <c r="H36" s="2">
        <v>307395.61956689734</v>
      </c>
      <c r="I36" s="2">
        <v>171306.94384495358</v>
      </c>
      <c r="J36" s="2">
        <v>1645672.3030585926</v>
      </c>
      <c r="K36" s="2">
        <v>2579543.4318323145</v>
      </c>
      <c r="L36" s="2">
        <v>2393535.2112489627</v>
      </c>
      <c r="M36" s="2">
        <v>3633605.4451825703</v>
      </c>
      <c r="N36" s="2">
        <v>4407274.9648272516</v>
      </c>
      <c r="O36" s="2">
        <v>5050961.6670228578</v>
      </c>
      <c r="P36" s="2">
        <v>6350481.1193363145</v>
      </c>
      <c r="Q36" s="2">
        <v>6715478.1351899104</v>
      </c>
      <c r="R36" s="2">
        <v>7374795.7341913227</v>
      </c>
      <c r="S36" s="2">
        <v>7266051.5004883371</v>
      </c>
      <c r="T36" s="2">
        <v>7413250.3134310739</v>
      </c>
      <c r="U36" s="2">
        <v>8118253.8163561868</v>
      </c>
      <c r="V36" s="2">
        <v>9060362.7095472626</v>
      </c>
      <c r="W36" s="2">
        <v>8775256.2947684601</v>
      </c>
      <c r="X36" s="2">
        <v>8882204.5079999994</v>
      </c>
      <c r="Y36" s="2">
        <v>8674100.1138745528</v>
      </c>
      <c r="Z36" s="2">
        <v>9705518.2131686043</v>
      </c>
      <c r="AA36" s="2">
        <v>9708651.8435922209</v>
      </c>
      <c r="AB36" s="2">
        <v>8521527.0579402559</v>
      </c>
      <c r="AC36" s="2">
        <v>9619485.681809403</v>
      </c>
      <c r="AD36" s="2">
        <v>9376977.615105398</v>
      </c>
      <c r="AE36" s="2">
        <v>8630752.410276819</v>
      </c>
      <c r="AF36" s="2">
        <v>7459185.5908140149</v>
      </c>
      <c r="AG36" s="2">
        <v>7864226.9305507941</v>
      </c>
      <c r="AH36" s="2">
        <v>9408098.8404658642</v>
      </c>
      <c r="AI36" s="2">
        <v>9471301.5956945214</v>
      </c>
    </row>
    <row r="37" spans="1:35" x14ac:dyDescent="0.2">
      <c r="A37" s="1" t="s">
        <v>102</v>
      </c>
      <c r="B37" s="1" t="s">
        <v>103</v>
      </c>
      <c r="C37" s="1" t="s">
        <v>104</v>
      </c>
      <c r="D37" s="2">
        <v>8864.1280824182977</v>
      </c>
      <c r="E37" s="2">
        <v>124717.00632395622</v>
      </c>
      <c r="F37" s="2">
        <v>133729.24502244155</v>
      </c>
      <c r="G37" s="2">
        <v>311284.55577410263</v>
      </c>
      <c r="H37" s="2">
        <v>499446.27871231461</v>
      </c>
      <c r="I37" s="2">
        <v>480792.25900112366</v>
      </c>
      <c r="J37" s="2">
        <v>1186999.1075406664</v>
      </c>
      <c r="K37" s="2">
        <v>3677478.8349909396</v>
      </c>
      <c r="L37" s="2">
        <v>2519926.5452137068</v>
      </c>
      <c r="M37" s="2">
        <v>2229776.2280334313</v>
      </c>
      <c r="N37" s="2">
        <v>2443318.1671406999</v>
      </c>
      <c r="O37" s="2">
        <v>2380062.4828306716</v>
      </c>
      <c r="P37" s="2">
        <v>3091563.1228502295</v>
      </c>
      <c r="Q37" s="2">
        <v>3403490.7549231602</v>
      </c>
      <c r="R37" s="2">
        <v>3083031.5434710002</v>
      </c>
      <c r="S37" s="2">
        <v>3156251.3922771886</v>
      </c>
      <c r="T37" s="2">
        <v>5274924.7049401477</v>
      </c>
      <c r="U37" s="2">
        <v>3710706.5050022248</v>
      </c>
      <c r="V37" s="2">
        <v>4483453.8947470514</v>
      </c>
      <c r="W37" s="2">
        <v>3930676.5768374926</v>
      </c>
      <c r="X37" s="2">
        <v>4548282.4220000012</v>
      </c>
      <c r="Y37" s="2">
        <v>5150878.451899413</v>
      </c>
      <c r="Z37" s="2">
        <v>5430929.0834049108</v>
      </c>
      <c r="AA37" s="2">
        <v>4677296.5342087355</v>
      </c>
      <c r="AB37" s="2">
        <v>5322938.4522749539</v>
      </c>
      <c r="AC37" s="2">
        <v>5085648.0187055636</v>
      </c>
      <c r="AD37" s="2">
        <v>4342898.9949649945</v>
      </c>
      <c r="AE37" s="2">
        <v>4322335.8571892297</v>
      </c>
      <c r="AF37" s="2">
        <v>5124245.1362627959</v>
      </c>
      <c r="AG37" s="2">
        <v>4031592.3922945345</v>
      </c>
      <c r="AH37" s="2">
        <v>4493565.0610708389</v>
      </c>
      <c r="AI37" s="2">
        <v>4410026.1013722541</v>
      </c>
    </row>
    <row r="38" spans="1:35" x14ac:dyDescent="0.2">
      <c r="A38" s="1" t="s">
        <v>102</v>
      </c>
      <c r="B38" s="1" t="s">
        <v>105</v>
      </c>
      <c r="C38" s="1" t="s">
        <v>106</v>
      </c>
      <c r="D38" s="2">
        <v>341.66723650099999</v>
      </c>
      <c r="E38" s="2">
        <v>4152.7267089439001</v>
      </c>
      <c r="F38" s="2">
        <v>770.81186658679997</v>
      </c>
      <c r="G38" s="2">
        <v>51528.386197814594</v>
      </c>
      <c r="H38" s="2">
        <v>101162.64132210311</v>
      </c>
      <c r="I38" s="2">
        <v>185659.94176931618</v>
      </c>
      <c r="J38" s="2">
        <v>815710.02496065211</v>
      </c>
      <c r="K38" s="2">
        <v>915380.52831869933</v>
      </c>
      <c r="L38" s="2">
        <v>336369.64366550988</v>
      </c>
      <c r="M38" s="2">
        <v>776416.06069274934</v>
      </c>
      <c r="N38" s="2">
        <v>795961.51132504211</v>
      </c>
      <c r="O38" s="2">
        <v>858938.01583554852</v>
      </c>
      <c r="P38" s="2">
        <v>1006171.2253686538</v>
      </c>
      <c r="Q38" s="2">
        <v>1187979.9203574788</v>
      </c>
      <c r="R38" s="2">
        <v>902236.41105421446</v>
      </c>
      <c r="S38" s="2">
        <v>803126.43353731476</v>
      </c>
      <c r="T38" s="2">
        <v>1409494.3999397662</v>
      </c>
      <c r="U38" s="2">
        <v>988745.26148555917</v>
      </c>
      <c r="V38" s="2">
        <v>1017633.7553516115</v>
      </c>
      <c r="W38" s="2">
        <v>958713.38898313022</v>
      </c>
      <c r="X38" s="2">
        <v>955724.69999999972</v>
      </c>
      <c r="Y38" s="2">
        <v>1107722.3627279811</v>
      </c>
      <c r="Z38" s="2">
        <v>1484273.9452525878</v>
      </c>
      <c r="AA38" s="2">
        <v>1445663.1423795603</v>
      </c>
      <c r="AB38" s="2">
        <v>1738951.2959326105</v>
      </c>
      <c r="AC38" s="2">
        <v>2307300.9488998102</v>
      </c>
      <c r="AD38" s="2">
        <v>1968303.0396378278</v>
      </c>
      <c r="AE38" s="2">
        <v>1728665.3436193906</v>
      </c>
      <c r="AF38" s="2">
        <v>1875875.5847077225</v>
      </c>
      <c r="AG38" s="2">
        <v>1825113.2695174869</v>
      </c>
      <c r="AH38" s="2">
        <v>2033360.6575113044</v>
      </c>
      <c r="AI38" s="2">
        <v>2553028.5328887287</v>
      </c>
    </row>
    <row r="39" spans="1:35" x14ac:dyDescent="0.2">
      <c r="A39" s="1" t="s">
        <v>102</v>
      </c>
      <c r="B39" s="1" t="s">
        <v>107</v>
      </c>
      <c r="C39" s="1" t="s">
        <v>108</v>
      </c>
      <c r="D39" s="2">
        <v>355.83794407020002</v>
      </c>
      <c r="E39" s="2">
        <v>5028.3404026127</v>
      </c>
      <c r="F39" s="2">
        <v>7275.2134053822992</v>
      </c>
      <c r="G39" s="2">
        <v>97174.016367289587</v>
      </c>
      <c r="H39" s="2">
        <v>132991.78494964971</v>
      </c>
      <c r="I39" s="2">
        <v>199835.7796823066</v>
      </c>
      <c r="J39" s="2">
        <v>341920.10048265982</v>
      </c>
      <c r="K39" s="2">
        <v>356172.39727655723</v>
      </c>
      <c r="L39" s="2">
        <v>32256.284394833208</v>
      </c>
      <c r="M39" s="2">
        <v>240530.49711062515</v>
      </c>
      <c r="N39" s="2">
        <v>229031.66181900588</v>
      </c>
      <c r="O39" s="2">
        <v>240894.72156470479</v>
      </c>
      <c r="P39" s="2">
        <v>254092.34972696949</v>
      </c>
      <c r="Q39" s="2">
        <v>296450.48608469713</v>
      </c>
      <c r="R39" s="2">
        <v>230152.36993999404</v>
      </c>
      <c r="S39" s="2">
        <v>188517.77449350528</v>
      </c>
      <c r="T39" s="2">
        <v>311501.83132179553</v>
      </c>
      <c r="U39" s="2">
        <v>225199.51450966531</v>
      </c>
      <c r="V39" s="2">
        <v>268266.33969531913</v>
      </c>
      <c r="W39" s="2">
        <v>273319.99379210692</v>
      </c>
      <c r="X39" s="2">
        <v>231706.56399999995</v>
      </c>
      <c r="Y39" s="2">
        <v>261305.20089128567</v>
      </c>
      <c r="Z39" s="2">
        <v>296474.99722854461</v>
      </c>
      <c r="AA39" s="2">
        <v>1316366.4173808021</v>
      </c>
      <c r="AB39" s="2">
        <v>687372.81986129039</v>
      </c>
      <c r="AC39" s="2">
        <v>781676.15941426216</v>
      </c>
      <c r="AD39" s="2">
        <v>965529.84395706572</v>
      </c>
      <c r="AE39" s="2">
        <v>1135682.9179713759</v>
      </c>
      <c r="AF39" s="2">
        <v>1316441.7162305003</v>
      </c>
      <c r="AG39" s="2">
        <v>1224814.5532704401</v>
      </c>
      <c r="AH39" s="2">
        <v>1423253.8307167629</v>
      </c>
      <c r="AI39" s="2">
        <v>1882022.5829698155</v>
      </c>
    </row>
    <row r="40" spans="1:35" x14ac:dyDescent="0.2">
      <c r="A40" s="1" t="s">
        <v>102</v>
      </c>
      <c r="B40" s="1" t="s">
        <v>109</v>
      </c>
      <c r="C40" s="1" t="s">
        <v>110</v>
      </c>
      <c r="D40" s="2">
        <v>11236.675090981296</v>
      </c>
      <c r="E40" s="2">
        <v>9638.1889663396996</v>
      </c>
      <c r="F40" s="2">
        <v>22833.347461388697</v>
      </c>
      <c r="G40" s="2">
        <v>60938.57485379139</v>
      </c>
      <c r="H40" s="2">
        <v>137103.78387315883</v>
      </c>
      <c r="I40" s="2">
        <v>248179.88319762988</v>
      </c>
      <c r="J40" s="2">
        <v>765792.19781376293</v>
      </c>
      <c r="K40" s="2">
        <v>986902.47320977657</v>
      </c>
      <c r="L40" s="2">
        <v>233253.96701006635</v>
      </c>
      <c r="M40" s="2">
        <v>459494.01731252519</v>
      </c>
      <c r="N40" s="2">
        <v>468580.94145088276</v>
      </c>
      <c r="O40" s="2">
        <v>481832.92340247112</v>
      </c>
      <c r="P40" s="2">
        <v>687251.5723575867</v>
      </c>
      <c r="Q40" s="2">
        <v>878716.44053828414</v>
      </c>
      <c r="R40" s="2">
        <v>959398.78369664715</v>
      </c>
      <c r="S40" s="2">
        <v>969842.66776067053</v>
      </c>
      <c r="T40" s="2">
        <v>1295787.8482382251</v>
      </c>
      <c r="U40" s="2">
        <v>930726.82126803428</v>
      </c>
      <c r="V40" s="2">
        <v>740311.74117349612</v>
      </c>
      <c r="W40" s="2">
        <v>650884.50071988301</v>
      </c>
      <c r="X40" s="2">
        <v>642035.87199999997</v>
      </c>
      <c r="Y40" s="2">
        <v>595513.92220542871</v>
      </c>
      <c r="Z40" s="2">
        <v>660028.01231823466</v>
      </c>
      <c r="AA40" s="2">
        <v>606898.20549974975</v>
      </c>
      <c r="AB40" s="2">
        <v>635855.80416869838</v>
      </c>
      <c r="AC40" s="2">
        <v>615310.71752454154</v>
      </c>
      <c r="AD40" s="2">
        <v>610698.84897194931</v>
      </c>
      <c r="AE40" s="2">
        <v>546368.33022661076</v>
      </c>
      <c r="AF40" s="2">
        <v>526560.99230708636</v>
      </c>
      <c r="AG40" s="2">
        <v>529531.30106455355</v>
      </c>
      <c r="AH40" s="2">
        <v>582512.71921437595</v>
      </c>
      <c r="AI40" s="2">
        <v>735730.00501749024</v>
      </c>
    </row>
    <row r="41" spans="1:35" x14ac:dyDescent="0.2">
      <c r="A41" s="1" t="s">
        <v>102</v>
      </c>
      <c r="B41" s="1" t="s">
        <v>111</v>
      </c>
      <c r="C41" s="1" t="s">
        <v>112</v>
      </c>
      <c r="D41" s="2">
        <v>10547.4883666725</v>
      </c>
      <c r="E41" s="2">
        <v>592.32691042290003</v>
      </c>
      <c r="F41" s="2">
        <v>2394.2065934077</v>
      </c>
      <c r="G41" s="2">
        <v>14092.1775300728</v>
      </c>
      <c r="H41" s="2">
        <v>17178.759654892598</v>
      </c>
      <c r="I41" s="2">
        <v>17696.756741891902</v>
      </c>
      <c r="J41" s="2">
        <v>58777.5204249323</v>
      </c>
      <c r="K41" s="2">
        <v>89827.395958619803</v>
      </c>
      <c r="L41" s="2">
        <v>204726.26812427666</v>
      </c>
      <c r="M41" s="2">
        <v>108197.29624549183</v>
      </c>
      <c r="N41" s="2">
        <v>117235.64627610671</v>
      </c>
      <c r="O41" s="2">
        <v>135222.41020571347</v>
      </c>
      <c r="P41" s="2">
        <v>151410.8030794345</v>
      </c>
      <c r="Q41" s="2">
        <v>214776.04736556738</v>
      </c>
      <c r="R41" s="2">
        <v>150465.11105949071</v>
      </c>
      <c r="S41" s="2">
        <v>143248.59672321897</v>
      </c>
      <c r="T41" s="2">
        <v>247543.62415173519</v>
      </c>
      <c r="U41" s="2">
        <v>419827.28412856412</v>
      </c>
      <c r="V41" s="2">
        <v>579846.11960273096</v>
      </c>
      <c r="W41" s="2">
        <v>782522.01957769948</v>
      </c>
      <c r="X41" s="2">
        <v>505619.83100000012</v>
      </c>
      <c r="Y41" s="2">
        <v>550862.33284365607</v>
      </c>
      <c r="Z41" s="2">
        <v>1042350.2006622902</v>
      </c>
      <c r="AA41" s="2">
        <v>1004614.1521405607</v>
      </c>
      <c r="AB41" s="2">
        <v>677473.93198511295</v>
      </c>
      <c r="AC41" s="2">
        <v>612100.62078607245</v>
      </c>
      <c r="AD41" s="2">
        <v>470847.03292027256</v>
      </c>
      <c r="AE41" s="2">
        <v>517265.49894890253</v>
      </c>
      <c r="AF41" s="2">
        <v>584781.14864375256</v>
      </c>
      <c r="AG41" s="2">
        <v>574598.26100399508</v>
      </c>
      <c r="AH41" s="2">
        <v>638491.97601292876</v>
      </c>
      <c r="AI41" s="2">
        <v>716275.39577289566</v>
      </c>
    </row>
    <row r="42" spans="1:35" x14ac:dyDescent="0.2">
      <c r="A42" s="1" t="s">
        <v>113</v>
      </c>
      <c r="B42" s="1" t="s">
        <v>114</v>
      </c>
      <c r="C42" s="1" t="s">
        <v>115</v>
      </c>
      <c r="D42" s="2">
        <v>3130.1484482833002</v>
      </c>
      <c r="E42" s="2">
        <v>619.92069484080002</v>
      </c>
      <c r="F42" s="2">
        <v>5347.8367165643012</v>
      </c>
      <c r="G42" s="2">
        <v>11763.365875979502</v>
      </c>
      <c r="H42" s="2">
        <v>60464.509259825994</v>
      </c>
      <c r="I42" s="2">
        <v>136144.7015853677</v>
      </c>
      <c r="J42" s="2">
        <v>257697.9723955036</v>
      </c>
      <c r="K42" s="2">
        <v>315903.6544819533</v>
      </c>
      <c r="L42" s="2">
        <v>319278.64679807564</v>
      </c>
      <c r="M42" s="2">
        <v>439607.68539472728</v>
      </c>
      <c r="N42" s="2">
        <v>557340.37139313691</v>
      </c>
      <c r="O42" s="2">
        <v>486235.32138733048</v>
      </c>
      <c r="P42" s="2">
        <v>520339.5769583215</v>
      </c>
      <c r="Q42" s="2">
        <v>523007.26628558047</v>
      </c>
      <c r="R42" s="2">
        <v>581403.94260277157</v>
      </c>
      <c r="S42" s="2">
        <v>675849.38098957413</v>
      </c>
      <c r="T42" s="2">
        <v>570845.45679075434</v>
      </c>
      <c r="U42" s="2">
        <v>653265.32922052091</v>
      </c>
      <c r="V42" s="2">
        <v>741340.39819652156</v>
      </c>
      <c r="W42" s="2">
        <v>722690.16052882792</v>
      </c>
      <c r="X42" s="2">
        <v>1193447.5030000003</v>
      </c>
      <c r="Y42" s="2">
        <v>1401872.6895309174</v>
      </c>
      <c r="Z42" s="2">
        <v>1585048.1030828143</v>
      </c>
      <c r="AA42" s="2">
        <v>1601682.7497864203</v>
      </c>
      <c r="AB42" s="2">
        <v>1473980.1011131273</v>
      </c>
      <c r="AC42" s="2">
        <v>1341375.3301853254</v>
      </c>
      <c r="AD42" s="2">
        <v>1382084.7593260612</v>
      </c>
      <c r="AE42" s="2">
        <v>1333624.3930180375</v>
      </c>
      <c r="AF42" s="2">
        <v>1625307.9641002289</v>
      </c>
      <c r="AG42" s="2">
        <v>1775747.4489701753</v>
      </c>
      <c r="AH42" s="2">
        <v>1890430.6737692393</v>
      </c>
      <c r="AI42" s="2">
        <v>2303291.1579883946</v>
      </c>
    </row>
    <row r="43" spans="1:35" x14ac:dyDescent="0.2">
      <c r="A43" s="1" t="s">
        <v>113</v>
      </c>
      <c r="B43" s="1" t="s">
        <v>116</v>
      </c>
      <c r="C43" s="1" t="s">
        <v>117</v>
      </c>
      <c r="D43" s="2">
        <v>45328.997925830496</v>
      </c>
      <c r="E43" s="2">
        <v>10525.405643605</v>
      </c>
      <c r="F43" s="2">
        <v>28321.4687166726</v>
      </c>
      <c r="G43" s="2">
        <v>140402.7043302276</v>
      </c>
      <c r="H43" s="2">
        <v>292166.6864605078</v>
      </c>
      <c r="I43" s="2">
        <v>684743.92096099514</v>
      </c>
      <c r="J43" s="2">
        <v>1488630.8476293031</v>
      </c>
      <c r="K43" s="2">
        <v>2426242.0531451586</v>
      </c>
      <c r="L43" s="2">
        <v>2015044.3985515791</v>
      </c>
      <c r="M43" s="2">
        <v>1845176.8687360771</v>
      </c>
      <c r="N43" s="2">
        <v>2088823.2379249495</v>
      </c>
      <c r="O43" s="2">
        <v>1855892.6517203094</v>
      </c>
      <c r="P43" s="2">
        <v>1706778.4418509596</v>
      </c>
      <c r="Q43" s="2">
        <v>1813371.7195248026</v>
      </c>
      <c r="R43" s="2">
        <v>2104598.8148643989</v>
      </c>
      <c r="S43" s="2">
        <v>2196172.1474655676</v>
      </c>
      <c r="T43" s="2">
        <v>2105964.020081067</v>
      </c>
      <c r="U43" s="2">
        <v>2551780.8550732858</v>
      </c>
      <c r="V43" s="2">
        <v>2556304.213744916</v>
      </c>
      <c r="W43" s="2">
        <v>2246184.5158893964</v>
      </c>
      <c r="X43" s="2">
        <v>2503799.6510000001</v>
      </c>
      <c r="Y43" s="2">
        <v>2705205.454554338</v>
      </c>
      <c r="Z43" s="2">
        <v>2463228.3875864376</v>
      </c>
      <c r="AA43" s="2">
        <v>2534665.0775066293</v>
      </c>
      <c r="AB43" s="2">
        <v>2701515.5335098011</v>
      </c>
      <c r="AC43" s="2">
        <v>2055313.1410729443</v>
      </c>
      <c r="AD43" s="2">
        <v>2124409.7792556207</v>
      </c>
      <c r="AE43" s="2">
        <v>2079260.8370257525</v>
      </c>
      <c r="AF43" s="2">
        <v>2413818.3748458005</v>
      </c>
      <c r="AG43" s="2">
        <v>2497135.1403136444</v>
      </c>
      <c r="AH43" s="2">
        <v>2407635.7552385228</v>
      </c>
      <c r="AI43" s="2">
        <v>2833926.0457960865</v>
      </c>
    </row>
    <row r="44" spans="1:35" x14ac:dyDescent="0.2">
      <c r="A44" s="1" t="s">
        <v>113</v>
      </c>
      <c r="B44" s="1" t="s">
        <v>118</v>
      </c>
      <c r="C44" s="1" t="s">
        <v>119</v>
      </c>
      <c r="D44" s="2">
        <v>13237.432447633999</v>
      </c>
      <c r="E44" s="2">
        <v>8464.3017949453988</v>
      </c>
      <c r="F44" s="2">
        <v>15805.808584800001</v>
      </c>
      <c r="G44" s="2">
        <v>51150.444562928984</v>
      </c>
      <c r="H44" s="2">
        <v>118893.48139321862</v>
      </c>
      <c r="I44" s="2">
        <v>182323.43116222243</v>
      </c>
      <c r="J44" s="2">
        <v>442334.15475146275</v>
      </c>
      <c r="K44" s="2">
        <v>285151.3800229819</v>
      </c>
      <c r="L44" s="2">
        <v>186747.26049370272</v>
      </c>
      <c r="M44" s="2">
        <v>311858.07781542954</v>
      </c>
      <c r="N44" s="2">
        <v>359403.70002434618</v>
      </c>
      <c r="O44" s="2">
        <v>318975.47372249467</v>
      </c>
      <c r="P44" s="2">
        <v>238903.71308274139</v>
      </c>
      <c r="Q44" s="2">
        <v>257560.77345647058</v>
      </c>
      <c r="R44" s="2">
        <v>263791.38952425675</v>
      </c>
      <c r="S44" s="2">
        <v>243508.90391604806</v>
      </c>
      <c r="T44" s="2">
        <v>255099.23992751935</v>
      </c>
      <c r="U44" s="2">
        <v>252593.42761806343</v>
      </c>
      <c r="V44" s="2">
        <v>302175.25395127374</v>
      </c>
      <c r="W44" s="2">
        <v>322270.66658832197</v>
      </c>
      <c r="X44" s="2">
        <v>408941.39600000001</v>
      </c>
      <c r="Y44" s="2">
        <v>431398.49256535195</v>
      </c>
      <c r="Z44" s="2">
        <v>425098.01633252052</v>
      </c>
      <c r="AA44" s="2">
        <v>425852.10225867177</v>
      </c>
      <c r="AB44" s="2">
        <v>425073.40797928214</v>
      </c>
      <c r="AC44" s="2">
        <v>364251.50304125744</v>
      </c>
      <c r="AD44" s="2">
        <v>326618.8794106032</v>
      </c>
      <c r="AE44" s="2">
        <v>334874.70201957459</v>
      </c>
      <c r="AF44" s="2">
        <v>345541.45030641311</v>
      </c>
      <c r="AG44" s="2">
        <v>390241.13781869313</v>
      </c>
      <c r="AH44" s="2">
        <v>359734.49645998102</v>
      </c>
      <c r="AI44" s="2">
        <v>431645.65243244043</v>
      </c>
    </row>
    <row r="45" spans="1:35" x14ac:dyDescent="0.2">
      <c r="A45" s="1" t="s">
        <v>113</v>
      </c>
      <c r="B45" s="1" t="s">
        <v>120</v>
      </c>
      <c r="C45" s="1" t="s">
        <v>121</v>
      </c>
      <c r="D45" s="2">
        <v>1596.8101943393999</v>
      </c>
      <c r="E45" s="2">
        <v>7799.3441265474003</v>
      </c>
      <c r="F45" s="2">
        <v>16516.222318366403</v>
      </c>
      <c r="G45" s="2">
        <v>90473.423042378505</v>
      </c>
      <c r="H45" s="2">
        <v>184048.93941566371</v>
      </c>
      <c r="I45" s="2">
        <v>349033.33288423379</v>
      </c>
      <c r="J45" s="2">
        <v>341079.91056289099</v>
      </c>
      <c r="K45" s="2">
        <v>295867.9606399262</v>
      </c>
      <c r="L45" s="2">
        <v>531610.80440105626</v>
      </c>
      <c r="M45" s="2">
        <v>286826.45237958262</v>
      </c>
      <c r="N45" s="2">
        <v>340771.69709148811</v>
      </c>
      <c r="O45" s="2">
        <v>321825.53730894404</v>
      </c>
      <c r="P45" s="2">
        <v>224712.1314183643</v>
      </c>
      <c r="Q45" s="2">
        <v>210650.45055521422</v>
      </c>
      <c r="R45" s="2">
        <v>226363.74125004589</v>
      </c>
      <c r="S45" s="2">
        <v>244164.67140376801</v>
      </c>
      <c r="T45" s="2">
        <v>243889.98999092539</v>
      </c>
      <c r="U45" s="2">
        <v>275424.0703209269</v>
      </c>
      <c r="V45" s="2">
        <v>360500.90091607423</v>
      </c>
      <c r="W45" s="2">
        <v>369665.85371920042</v>
      </c>
      <c r="X45" s="2">
        <v>512216.18199999997</v>
      </c>
      <c r="Y45" s="2">
        <v>534804.95004009956</v>
      </c>
      <c r="Z45" s="2">
        <v>410983.44432287017</v>
      </c>
      <c r="AA45" s="2">
        <v>383656.6307754154</v>
      </c>
      <c r="AB45" s="2">
        <v>363781.78878985945</v>
      </c>
      <c r="AC45" s="2">
        <v>346746.58395156759</v>
      </c>
      <c r="AD45" s="2">
        <v>337169.01444841101</v>
      </c>
      <c r="AE45" s="2">
        <v>310803.06247368536</v>
      </c>
      <c r="AF45" s="2">
        <v>314751.56728738023</v>
      </c>
      <c r="AG45" s="2">
        <v>350928.84136713663</v>
      </c>
      <c r="AH45" s="2">
        <v>416446.74647767411</v>
      </c>
      <c r="AI45" s="2">
        <v>349748.77772708156</v>
      </c>
    </row>
    <row r="46" spans="1:35" x14ac:dyDescent="0.2">
      <c r="A46" s="1" t="s">
        <v>113</v>
      </c>
      <c r="B46" s="1" t="s">
        <v>122</v>
      </c>
      <c r="C46" s="1" t="s">
        <v>123</v>
      </c>
      <c r="D46" s="2">
        <v>18965.297459167901</v>
      </c>
      <c r="E46" s="2">
        <v>86012.671792328023</v>
      </c>
      <c r="F46" s="2">
        <v>234660.77883603281</v>
      </c>
      <c r="G46" s="2">
        <v>545266.35085266549</v>
      </c>
      <c r="H46" s="2">
        <v>1298102.9887399138</v>
      </c>
      <c r="I46" s="2">
        <v>2661986.1562621249</v>
      </c>
      <c r="J46" s="2">
        <v>6394718.5728283217</v>
      </c>
      <c r="K46" s="2">
        <v>6799937.3766560173</v>
      </c>
      <c r="L46" s="2">
        <v>8388833.5709948335</v>
      </c>
      <c r="M46" s="2">
        <v>8029549.6673847651</v>
      </c>
      <c r="N46" s="2">
        <v>9591323.0418361053</v>
      </c>
      <c r="O46" s="2">
        <v>8747388.5323766023</v>
      </c>
      <c r="P46" s="2">
        <v>9897720.4981176201</v>
      </c>
      <c r="Q46" s="2">
        <v>11390509.23744477</v>
      </c>
      <c r="R46" s="2">
        <v>12654418.620530754</v>
      </c>
      <c r="S46" s="2">
        <v>12019902.366904726</v>
      </c>
      <c r="T46" s="2">
        <v>13089647.337635612</v>
      </c>
      <c r="U46" s="2">
        <v>12793622.02851364</v>
      </c>
      <c r="V46" s="2">
        <v>14273007.489158548</v>
      </c>
      <c r="W46" s="2">
        <v>13194142.92474829</v>
      </c>
      <c r="X46" s="2">
        <v>15450433.927999999</v>
      </c>
      <c r="Y46" s="2">
        <v>14945784.116447544</v>
      </c>
      <c r="Z46" s="2">
        <v>15357822.872049285</v>
      </c>
      <c r="AA46" s="2">
        <v>14493657.260286111</v>
      </c>
      <c r="AB46" s="2">
        <v>14358232.314438812</v>
      </c>
      <c r="AC46" s="2">
        <v>14661482.853948522</v>
      </c>
      <c r="AD46" s="2">
        <v>13671426.311820801</v>
      </c>
      <c r="AE46" s="2">
        <v>13218334.629229173</v>
      </c>
      <c r="AF46" s="2">
        <v>14993876.608934922</v>
      </c>
      <c r="AG46" s="2">
        <v>15340513.015444523</v>
      </c>
      <c r="AH46" s="2">
        <v>15536776.519665563</v>
      </c>
      <c r="AI46" s="2">
        <v>15799059.258501185</v>
      </c>
    </row>
    <row r="47" spans="1:35" x14ac:dyDescent="0.2">
      <c r="A47" s="1" t="s">
        <v>113</v>
      </c>
      <c r="B47" s="1" t="s">
        <v>124</v>
      </c>
      <c r="C47" s="1" t="s">
        <v>125</v>
      </c>
      <c r="D47" s="2">
        <v>8567.7223724457999</v>
      </c>
      <c r="E47" s="2">
        <v>11235.400285559899</v>
      </c>
      <c r="F47" s="2">
        <v>72050.48377357221</v>
      </c>
      <c r="G47" s="2">
        <v>105489.8201267602</v>
      </c>
      <c r="H47" s="2">
        <v>226277.73414267605</v>
      </c>
      <c r="I47" s="2">
        <v>336986.07220230444</v>
      </c>
      <c r="J47" s="2">
        <v>708809.3482651466</v>
      </c>
      <c r="K47" s="2">
        <v>948047.23693425208</v>
      </c>
      <c r="L47" s="2">
        <v>521422.70193931297</v>
      </c>
      <c r="M47" s="2">
        <v>791762.87242876878</v>
      </c>
      <c r="N47" s="2">
        <v>890790.31053728273</v>
      </c>
      <c r="O47" s="2">
        <v>787001.3860765181</v>
      </c>
      <c r="P47" s="2">
        <v>961738.80255925772</v>
      </c>
      <c r="Q47" s="2">
        <v>960001.50229517568</v>
      </c>
      <c r="R47" s="2">
        <v>1272519.3371252436</v>
      </c>
      <c r="S47" s="2">
        <v>1301482.517791051</v>
      </c>
      <c r="T47" s="2">
        <v>1512675.6756615622</v>
      </c>
      <c r="U47" s="2">
        <v>1381438.4478907792</v>
      </c>
      <c r="V47" s="2">
        <v>1212053.5780386857</v>
      </c>
      <c r="W47" s="2">
        <v>1243813.338869863</v>
      </c>
      <c r="X47" s="2">
        <v>1173019.5139999997</v>
      </c>
      <c r="Y47" s="2">
        <v>1166806.8612328274</v>
      </c>
      <c r="Z47" s="2">
        <v>1105068.2253072723</v>
      </c>
      <c r="AA47" s="2">
        <v>1163809.2291763497</v>
      </c>
      <c r="AB47" s="2">
        <v>1106578.1019202387</v>
      </c>
      <c r="AC47" s="2">
        <v>1168718.581897307</v>
      </c>
      <c r="AD47" s="2">
        <v>1023011.1525151226</v>
      </c>
      <c r="AE47" s="2">
        <v>1190280.0986923797</v>
      </c>
      <c r="AF47" s="2">
        <v>1583971.9400471179</v>
      </c>
      <c r="AG47" s="2">
        <v>1592506.197849601</v>
      </c>
      <c r="AH47" s="2">
        <v>1886827.9777958256</v>
      </c>
      <c r="AI47" s="2">
        <v>1910041.2116456951</v>
      </c>
    </row>
    <row r="48" spans="1:35" x14ac:dyDescent="0.2">
      <c r="A48" s="1" t="s">
        <v>113</v>
      </c>
      <c r="B48" s="1" t="s">
        <v>126</v>
      </c>
      <c r="C48" s="1" t="s">
        <v>127</v>
      </c>
      <c r="D48" s="2">
        <v>57898.020168973693</v>
      </c>
      <c r="E48" s="2">
        <v>813749.23209469812</v>
      </c>
      <c r="F48" s="2">
        <v>1302015.2551278253</v>
      </c>
      <c r="G48" s="2">
        <v>3594857.624425625</v>
      </c>
      <c r="H48" s="2">
        <v>9196436.2722794786</v>
      </c>
      <c r="I48" s="2">
        <v>17584070.574122835</v>
      </c>
      <c r="J48" s="2">
        <v>31071840.133395713</v>
      </c>
      <c r="K48" s="2">
        <v>35724391.09738116</v>
      </c>
      <c r="L48" s="2">
        <v>35951130.482009873</v>
      </c>
      <c r="M48" s="2">
        <v>25357347.64581351</v>
      </c>
      <c r="N48" s="2">
        <v>29629461.137260653</v>
      </c>
      <c r="O48" s="2">
        <v>27485897.669696633</v>
      </c>
      <c r="P48" s="2">
        <v>25363457.375990957</v>
      </c>
      <c r="Q48" s="2">
        <v>27591670.393660128</v>
      </c>
      <c r="R48" s="2">
        <v>33337448.89189053</v>
      </c>
      <c r="S48" s="2">
        <v>34593304.574691728</v>
      </c>
      <c r="T48" s="2">
        <v>34006636.839177892</v>
      </c>
      <c r="U48" s="2">
        <v>37593151.785662994</v>
      </c>
      <c r="V48" s="2">
        <v>43167485.727171242</v>
      </c>
      <c r="W48" s="2">
        <v>40502981.055710852</v>
      </c>
      <c r="X48" s="2">
        <v>53371797.547999993</v>
      </c>
      <c r="Y48" s="2">
        <v>58769522.82522323</v>
      </c>
      <c r="Z48" s="2">
        <v>55233222.217963561</v>
      </c>
      <c r="AA48" s="2">
        <v>57723757.189231679</v>
      </c>
      <c r="AB48" s="2">
        <v>51234726.962575302</v>
      </c>
      <c r="AC48" s="2">
        <v>39448377.664136931</v>
      </c>
      <c r="AD48" s="2">
        <v>34826548.376875982</v>
      </c>
      <c r="AE48" s="2">
        <v>37495379.828800954</v>
      </c>
      <c r="AF48" s="2">
        <v>39552677.401727378</v>
      </c>
      <c r="AG48" s="2">
        <v>40232016.074742824</v>
      </c>
      <c r="AH48" s="2">
        <v>41163293.884278387</v>
      </c>
      <c r="AI48" s="2">
        <v>69116920.446485519</v>
      </c>
    </row>
    <row r="49" spans="1:35" x14ac:dyDescent="0.2">
      <c r="A49" s="1" t="s">
        <v>113</v>
      </c>
      <c r="B49" s="1" t="s">
        <v>128</v>
      </c>
      <c r="C49" s="1" t="s">
        <v>129</v>
      </c>
      <c r="D49" s="2">
        <v>5390.8111045222995</v>
      </c>
      <c r="E49" s="2">
        <v>20597.7923179028</v>
      </c>
      <c r="F49" s="2">
        <v>122403.74810115759</v>
      </c>
      <c r="G49" s="2">
        <v>345601.37502262631</v>
      </c>
      <c r="H49" s="2">
        <v>2014865.9962646323</v>
      </c>
      <c r="I49" s="2">
        <v>2143211.1050280221</v>
      </c>
      <c r="J49" s="2">
        <v>8557147.8297081813</v>
      </c>
      <c r="K49" s="2">
        <v>10289727.043218471</v>
      </c>
      <c r="L49" s="2">
        <v>5492954.5581452642</v>
      </c>
      <c r="M49" s="2">
        <v>4094809.0516931</v>
      </c>
      <c r="N49" s="2">
        <v>4747616.1411770973</v>
      </c>
      <c r="O49" s="2">
        <v>4550754.5204688078</v>
      </c>
      <c r="P49" s="2">
        <v>5762852.3604283053</v>
      </c>
      <c r="Q49" s="2">
        <v>5953142.3698194465</v>
      </c>
      <c r="R49" s="2">
        <v>7862611.6274834061</v>
      </c>
      <c r="S49" s="2">
        <v>7141316.8796583833</v>
      </c>
      <c r="T49" s="2">
        <v>7185313.6041212156</v>
      </c>
      <c r="U49" s="2">
        <v>8095730.2390150111</v>
      </c>
      <c r="V49" s="2">
        <v>8030640.3201705534</v>
      </c>
      <c r="W49" s="2">
        <v>6011709.8039764399</v>
      </c>
      <c r="X49" s="2">
        <v>6445912.2910000002</v>
      </c>
      <c r="Y49" s="2">
        <v>6282708.1672665933</v>
      </c>
      <c r="Z49" s="2">
        <v>5929258.9729366526</v>
      </c>
      <c r="AA49" s="2">
        <v>6162805.4133571163</v>
      </c>
      <c r="AB49" s="2">
        <v>5556463.8084453046</v>
      </c>
      <c r="AC49" s="2">
        <v>4843611.0670604687</v>
      </c>
      <c r="AD49" s="2">
        <v>4347777.9067375883</v>
      </c>
      <c r="AE49" s="2">
        <v>4733231.6092709294</v>
      </c>
      <c r="AF49" s="2">
        <v>5476614.7283015279</v>
      </c>
      <c r="AG49" s="2">
        <v>5452947.6386654582</v>
      </c>
      <c r="AH49" s="2">
        <v>5330652.8161613401</v>
      </c>
      <c r="AI49" s="2">
        <v>8323122.9024498509</v>
      </c>
    </row>
    <row r="50" spans="1:35" x14ac:dyDescent="0.2">
      <c r="A50" s="1" t="s">
        <v>113</v>
      </c>
      <c r="B50" s="1" t="s">
        <v>130</v>
      </c>
      <c r="C50" s="1" t="s">
        <v>131</v>
      </c>
      <c r="D50" s="2">
        <v>26243.082422681597</v>
      </c>
      <c r="E50" s="2">
        <v>50573.872070580102</v>
      </c>
      <c r="F50" s="2">
        <v>146106.63056261561</v>
      </c>
      <c r="G50" s="2">
        <v>392917.97531055158</v>
      </c>
      <c r="H50" s="2">
        <v>633907.11115467199</v>
      </c>
      <c r="I50" s="2">
        <v>1333249.7463569071</v>
      </c>
      <c r="J50" s="2">
        <v>1922579.5928139938</v>
      </c>
      <c r="K50" s="2">
        <v>2684939.8515327247</v>
      </c>
      <c r="L50" s="2">
        <v>1917517.920931702</v>
      </c>
      <c r="M50" s="2">
        <v>1659216.2743992857</v>
      </c>
      <c r="N50" s="2">
        <v>1933805.6429932544</v>
      </c>
      <c r="O50" s="2">
        <v>1821603.5597962178</v>
      </c>
      <c r="P50" s="2">
        <v>1987741.2348301585</v>
      </c>
      <c r="Q50" s="2">
        <v>2133815.4020868652</v>
      </c>
      <c r="R50" s="2">
        <v>2843082.5985946218</v>
      </c>
      <c r="S50" s="2">
        <v>2671800.524086806</v>
      </c>
      <c r="T50" s="2">
        <v>2775421.5153583414</v>
      </c>
      <c r="U50" s="2">
        <v>2863135.3646584083</v>
      </c>
      <c r="V50" s="2">
        <v>3421416.6357746786</v>
      </c>
      <c r="W50" s="2">
        <v>2712284.6878005047</v>
      </c>
      <c r="X50" s="2">
        <v>3182165.8110000002</v>
      </c>
      <c r="Y50" s="2">
        <v>3674985.1280917632</v>
      </c>
      <c r="Z50" s="2">
        <v>3734859.120372416</v>
      </c>
      <c r="AA50" s="2">
        <v>3912393.8147115363</v>
      </c>
      <c r="AB50" s="2">
        <v>3889102.6423972603</v>
      </c>
      <c r="AC50" s="2">
        <v>3357022.5245272564</v>
      </c>
      <c r="AD50" s="2">
        <v>3211404.0531892474</v>
      </c>
      <c r="AE50" s="2">
        <v>3408248.7255738326</v>
      </c>
      <c r="AF50" s="2">
        <v>3377543.8215156537</v>
      </c>
      <c r="AG50" s="2">
        <v>3753251.4220463065</v>
      </c>
      <c r="AH50" s="2">
        <v>3731227.838371431</v>
      </c>
      <c r="AI50" s="2">
        <v>4853967.7246037573</v>
      </c>
    </row>
    <row r="51" spans="1:35" x14ac:dyDescent="0.2">
      <c r="A51" s="1" t="s">
        <v>113</v>
      </c>
      <c r="B51" s="1" t="s">
        <v>132</v>
      </c>
      <c r="C51" s="1" t="s">
        <v>133</v>
      </c>
      <c r="D51" s="2">
        <v>43867.118989135604</v>
      </c>
      <c r="E51" s="2">
        <v>180396.92219874833</v>
      </c>
      <c r="F51" s="2">
        <v>389083.37622173846</v>
      </c>
      <c r="G51" s="2">
        <v>710675.30663948343</v>
      </c>
      <c r="H51" s="2">
        <v>1724973.8046199637</v>
      </c>
      <c r="I51" s="2">
        <v>3310806.1708315043</v>
      </c>
      <c r="J51" s="2">
        <v>6383083.9859869024</v>
      </c>
      <c r="K51" s="2">
        <v>7182859.1131339408</v>
      </c>
      <c r="L51" s="2">
        <v>6241503.8805198437</v>
      </c>
      <c r="M51" s="2">
        <v>6532357.0613123039</v>
      </c>
      <c r="N51" s="2">
        <v>7439000.1131370682</v>
      </c>
      <c r="O51" s="2">
        <v>6899567.9135650694</v>
      </c>
      <c r="P51" s="2">
        <v>6451352.6204937082</v>
      </c>
      <c r="Q51" s="2">
        <v>6625307.5578925209</v>
      </c>
      <c r="R51" s="2">
        <v>8055213.1825060453</v>
      </c>
      <c r="S51" s="2">
        <v>8370118.2649917258</v>
      </c>
      <c r="T51" s="2">
        <v>8552348.5174734127</v>
      </c>
      <c r="U51" s="2">
        <v>8865516.5900657568</v>
      </c>
      <c r="V51" s="2">
        <v>8721420.1669378206</v>
      </c>
      <c r="W51" s="2">
        <v>8022420.8205058016</v>
      </c>
      <c r="X51" s="2">
        <v>9274266.4119999949</v>
      </c>
      <c r="Y51" s="2">
        <v>9581535.676750375</v>
      </c>
      <c r="Z51" s="2">
        <v>9153883.0213558916</v>
      </c>
      <c r="AA51" s="2">
        <v>8683253.2555547971</v>
      </c>
      <c r="AB51" s="2">
        <v>8582678.2346007377</v>
      </c>
      <c r="AC51" s="2">
        <v>8117716.9463133337</v>
      </c>
      <c r="AD51" s="2">
        <v>8120429.1435836367</v>
      </c>
      <c r="AE51" s="2">
        <v>8584622.9540978875</v>
      </c>
      <c r="AF51" s="2">
        <v>8269632.7244834891</v>
      </c>
      <c r="AG51" s="2">
        <v>9186148.1994318645</v>
      </c>
      <c r="AH51" s="2">
        <v>8972197.4301891793</v>
      </c>
      <c r="AI51" s="2">
        <v>9600219.8300307449</v>
      </c>
    </row>
    <row r="52" spans="1:35" x14ac:dyDescent="0.2">
      <c r="A52" s="1" t="s">
        <v>113</v>
      </c>
      <c r="B52" s="1" t="s">
        <v>134</v>
      </c>
      <c r="C52" s="1" t="s">
        <v>135</v>
      </c>
      <c r="D52" s="2">
        <v>10994.278741382601</v>
      </c>
      <c r="E52" s="2">
        <v>79659.809287076016</v>
      </c>
      <c r="F52" s="2">
        <v>143546.62955807458</v>
      </c>
      <c r="G52" s="2">
        <v>279252.44532824808</v>
      </c>
      <c r="H52" s="2">
        <v>586311.30668622558</v>
      </c>
      <c r="I52" s="2">
        <v>969705.28988684167</v>
      </c>
      <c r="J52" s="2">
        <v>1655526.9945158076</v>
      </c>
      <c r="K52" s="2">
        <v>1312341.3608314272</v>
      </c>
      <c r="L52" s="2">
        <v>868958.79337731982</v>
      </c>
      <c r="M52" s="2">
        <v>1044117.1341570133</v>
      </c>
      <c r="N52" s="2">
        <v>1143891.2943925068</v>
      </c>
      <c r="O52" s="2">
        <v>1047260.8842105432</v>
      </c>
      <c r="P52" s="2">
        <v>1167606.6982045872</v>
      </c>
      <c r="Q52" s="2">
        <v>1235143.5071267679</v>
      </c>
      <c r="R52" s="2">
        <v>1475257.1716979961</v>
      </c>
      <c r="S52" s="2">
        <v>1324853.6094908477</v>
      </c>
      <c r="T52" s="2">
        <v>1186401.7740848414</v>
      </c>
      <c r="U52" s="2">
        <v>1231611.9310748237</v>
      </c>
      <c r="V52" s="2">
        <v>1346782.5135101995</v>
      </c>
      <c r="W52" s="2">
        <v>1282832.0381293173</v>
      </c>
      <c r="X52" s="2">
        <v>1597836.24</v>
      </c>
      <c r="Y52" s="2">
        <v>1675273.2239486312</v>
      </c>
      <c r="Z52" s="2">
        <v>1554671.2257134891</v>
      </c>
      <c r="AA52" s="2">
        <v>1604564.4701568116</v>
      </c>
      <c r="AB52" s="2">
        <v>1416276.6969184629</v>
      </c>
      <c r="AC52" s="2">
        <v>1166948.8947364609</v>
      </c>
      <c r="AD52" s="2">
        <v>1145855.7644139803</v>
      </c>
      <c r="AE52" s="2">
        <v>1122105.0642451125</v>
      </c>
      <c r="AF52" s="2">
        <v>1184020.2725215741</v>
      </c>
      <c r="AG52" s="2">
        <v>1296991.136196305</v>
      </c>
      <c r="AH52" s="2">
        <v>1407639.8614094013</v>
      </c>
      <c r="AI52" s="2">
        <v>1626606.5558080883</v>
      </c>
    </row>
    <row r="53" spans="1:35" x14ac:dyDescent="0.2">
      <c r="A53" s="1" t="s">
        <v>113</v>
      </c>
      <c r="B53" s="1" t="s">
        <v>136</v>
      </c>
      <c r="C53" s="1" t="s">
        <v>137</v>
      </c>
      <c r="D53" s="2">
        <v>95693.444934066225</v>
      </c>
      <c r="E53" s="2">
        <v>336185.11219929665</v>
      </c>
      <c r="F53" s="2">
        <v>688375.65904558101</v>
      </c>
      <c r="G53" s="2">
        <v>1025834.7326095399</v>
      </c>
      <c r="H53" s="2">
        <v>1710941.4918260083</v>
      </c>
      <c r="I53" s="2">
        <v>2509287.9591128947</v>
      </c>
      <c r="J53" s="2">
        <v>4346073.6189721031</v>
      </c>
      <c r="K53" s="2">
        <v>5092201.1973741762</v>
      </c>
      <c r="L53" s="2">
        <v>3848341.2131417026</v>
      </c>
      <c r="M53" s="2">
        <v>3785720.4703297238</v>
      </c>
      <c r="N53" s="2">
        <v>4029978.9450438889</v>
      </c>
      <c r="O53" s="2">
        <v>3545209.9139116341</v>
      </c>
      <c r="P53" s="2">
        <v>3261954.1493056174</v>
      </c>
      <c r="Q53" s="2">
        <v>3279671.7349372231</v>
      </c>
      <c r="R53" s="2">
        <v>4021322.5983065898</v>
      </c>
      <c r="S53" s="2">
        <v>4065377.7786079347</v>
      </c>
      <c r="T53" s="2">
        <v>4107805.7564995717</v>
      </c>
      <c r="U53" s="2">
        <v>4836268.6467147004</v>
      </c>
      <c r="V53" s="2">
        <v>4735848.9584513605</v>
      </c>
      <c r="W53" s="2">
        <v>4511356.2829177901</v>
      </c>
      <c r="X53" s="2">
        <v>6156717.8759999992</v>
      </c>
      <c r="Y53" s="2">
        <v>5875264.8918698421</v>
      </c>
      <c r="Z53" s="2">
        <v>5790272.977041319</v>
      </c>
      <c r="AA53" s="2">
        <v>5663791.0261033252</v>
      </c>
      <c r="AB53" s="2">
        <v>5452003.8911749246</v>
      </c>
      <c r="AC53" s="2">
        <v>4943876.7790011279</v>
      </c>
      <c r="AD53" s="2">
        <v>4614516.3853442026</v>
      </c>
      <c r="AE53" s="2">
        <v>4799253.9153659111</v>
      </c>
      <c r="AF53" s="2">
        <v>4497603.8480556058</v>
      </c>
      <c r="AG53" s="2">
        <v>5127783.8674897375</v>
      </c>
      <c r="AH53" s="2">
        <v>4523376.6182599496</v>
      </c>
      <c r="AI53" s="2">
        <v>5388881.6900460906</v>
      </c>
    </row>
    <row r="54" spans="1:35" x14ac:dyDescent="0.2">
      <c r="A54" s="1" t="s">
        <v>138</v>
      </c>
      <c r="B54" s="1" t="s">
        <v>139</v>
      </c>
      <c r="C54" s="1" t="s">
        <v>140</v>
      </c>
      <c r="D54" s="2">
        <v>3204.8426285575001</v>
      </c>
      <c r="E54" s="2">
        <v>25804.999551363802</v>
      </c>
      <c r="F54" s="2">
        <v>53436.313018945504</v>
      </c>
      <c r="G54" s="2">
        <v>156885.06815793799</v>
      </c>
      <c r="H54" s="2">
        <v>217847.80607092127</v>
      </c>
      <c r="I54" s="2">
        <v>259993.28162333183</v>
      </c>
      <c r="J54" s="2">
        <v>405589.5548470387</v>
      </c>
      <c r="K54" s="2">
        <v>526545.93814364856</v>
      </c>
      <c r="L54" s="2">
        <v>216300.8543449784</v>
      </c>
      <c r="M54" s="2">
        <v>210958.14757037742</v>
      </c>
      <c r="N54" s="2">
        <v>278490.65964668331</v>
      </c>
      <c r="O54" s="2">
        <v>242308.95577416761</v>
      </c>
      <c r="P54" s="2">
        <v>141572.95622337129</v>
      </c>
      <c r="Q54" s="2">
        <v>171206.70947847317</v>
      </c>
      <c r="R54" s="2">
        <v>185443.80567396863</v>
      </c>
      <c r="S54" s="2">
        <v>209323.67711758253</v>
      </c>
      <c r="T54" s="2">
        <v>327584.45211354643</v>
      </c>
      <c r="U54" s="2">
        <v>261702.63888128646</v>
      </c>
      <c r="V54" s="2">
        <v>451540.40772450494</v>
      </c>
      <c r="W54" s="2">
        <v>271631.48244873219</v>
      </c>
      <c r="X54" s="2">
        <v>588169.38299999991</v>
      </c>
      <c r="Y54" s="2">
        <v>593177.71292855067</v>
      </c>
      <c r="Z54" s="2">
        <v>701062.43259934604</v>
      </c>
      <c r="AA54" s="2">
        <v>676892.51746501005</v>
      </c>
      <c r="AB54" s="2">
        <v>775636.973208991</v>
      </c>
      <c r="AC54" s="2">
        <v>468222.31096092082</v>
      </c>
      <c r="AD54" s="2">
        <v>331138.95308197156</v>
      </c>
      <c r="AE54" s="2">
        <v>407231.58568786498</v>
      </c>
      <c r="AF54" s="2">
        <v>394117.88125304109</v>
      </c>
      <c r="AG54" s="2">
        <v>358055.02736760961</v>
      </c>
      <c r="AH54" s="2">
        <v>326484.88972248882</v>
      </c>
      <c r="AI54" s="2">
        <v>582430.93844122381</v>
      </c>
    </row>
    <row r="55" spans="1:35" x14ac:dyDescent="0.2">
      <c r="A55" s="1" t="s">
        <v>138</v>
      </c>
      <c r="B55" s="1" t="s">
        <v>141</v>
      </c>
      <c r="C55" s="1" t="s">
        <v>142</v>
      </c>
      <c r="D55" s="2">
        <v>675.62023829550003</v>
      </c>
      <c r="E55" s="2">
        <v>14593.1721600817</v>
      </c>
      <c r="F55" s="2">
        <v>18455.874837155799</v>
      </c>
      <c r="G55" s="2">
        <v>81730.9275987664</v>
      </c>
      <c r="H55" s="2">
        <v>375267.46834339073</v>
      </c>
      <c r="I55" s="2">
        <v>581627.07389485452</v>
      </c>
      <c r="J55" s="2">
        <v>1119619.7991262751</v>
      </c>
      <c r="K55" s="2">
        <v>1403376.9453123063</v>
      </c>
      <c r="L55" s="2">
        <v>1925678.4915147929</v>
      </c>
      <c r="M55" s="2">
        <v>1639051.4692185596</v>
      </c>
      <c r="N55" s="2">
        <v>1862842.3270198503</v>
      </c>
      <c r="O55" s="2">
        <v>1823692.6612422548</v>
      </c>
      <c r="P55" s="2">
        <v>1606005.902251102</v>
      </c>
      <c r="Q55" s="2">
        <v>1771069.233814413</v>
      </c>
      <c r="R55" s="2">
        <v>1886224.7985473587</v>
      </c>
      <c r="S55" s="2">
        <v>1701124.5351291671</v>
      </c>
      <c r="T55" s="2">
        <v>1872988.7732588225</v>
      </c>
      <c r="U55" s="2">
        <v>1749340.2415981647</v>
      </c>
      <c r="V55" s="2">
        <v>1986446.5415827411</v>
      </c>
      <c r="W55" s="2">
        <v>2302437.6393044074</v>
      </c>
      <c r="X55" s="2">
        <v>2990530.2039999999</v>
      </c>
      <c r="Y55" s="2">
        <v>3475217.6195158903</v>
      </c>
      <c r="Z55" s="2">
        <v>3310212.0507015516</v>
      </c>
      <c r="AA55" s="2">
        <v>2885373.6788007487</v>
      </c>
      <c r="AB55" s="2">
        <v>3313050.5562241301</v>
      </c>
      <c r="AC55" s="2">
        <v>2954758.3775126836</v>
      </c>
      <c r="AD55" s="2">
        <v>2904216.3056807816</v>
      </c>
      <c r="AE55" s="2">
        <v>2668063.249207451</v>
      </c>
      <c r="AF55" s="2">
        <v>2725469.754969296</v>
      </c>
      <c r="AG55" s="2">
        <v>2750861.7483203919</v>
      </c>
      <c r="AH55" s="2">
        <v>2715824.3109791423</v>
      </c>
      <c r="AI55" s="2">
        <v>2574128.8324693711</v>
      </c>
    </row>
    <row r="56" spans="1:35" x14ac:dyDescent="0.2">
      <c r="A56" s="1" t="s">
        <v>138</v>
      </c>
      <c r="B56" s="1" t="s">
        <v>143</v>
      </c>
      <c r="C56" s="1" t="s">
        <v>144</v>
      </c>
      <c r="D56" s="2">
        <v>797.52314380140001</v>
      </c>
      <c r="E56" s="2">
        <v>1023.3017063471</v>
      </c>
      <c r="F56" s="2">
        <v>6343.5766516781005</v>
      </c>
      <c r="G56" s="2">
        <v>25580.259780393397</v>
      </c>
      <c r="H56" s="2">
        <v>167729.67758844202</v>
      </c>
      <c r="I56" s="2">
        <v>246297.4848377865</v>
      </c>
      <c r="J56" s="2">
        <v>217193.89130393788</v>
      </c>
      <c r="K56" s="2">
        <v>386354.56539167324</v>
      </c>
      <c r="L56" s="2">
        <v>520643.63370297092</v>
      </c>
      <c r="M56" s="2">
        <v>761756.58626276581</v>
      </c>
      <c r="N56" s="2">
        <v>893294.74927433964</v>
      </c>
      <c r="O56" s="2">
        <v>910128.43535759463</v>
      </c>
      <c r="P56" s="2">
        <v>1839848.2081221768</v>
      </c>
      <c r="Q56" s="2">
        <v>2155320.2336050496</v>
      </c>
      <c r="R56" s="2">
        <v>2592007.9381983527</v>
      </c>
      <c r="S56" s="2">
        <v>2407052.3481769613</v>
      </c>
      <c r="T56" s="2">
        <v>2560478.3645729995</v>
      </c>
      <c r="U56" s="2">
        <v>2217310.8714410621</v>
      </c>
      <c r="V56" s="2">
        <v>2380557.8441829882</v>
      </c>
      <c r="W56" s="2">
        <v>2758960.9186906428</v>
      </c>
      <c r="X56" s="2">
        <v>3858267.1689999998</v>
      </c>
      <c r="Y56" s="2">
        <v>3848687.1252705078</v>
      </c>
      <c r="Z56" s="2">
        <v>4139951.1636019405</v>
      </c>
      <c r="AA56" s="2">
        <v>4629953.1203748835</v>
      </c>
      <c r="AB56" s="2">
        <v>4742334.9102831082</v>
      </c>
      <c r="AC56" s="2">
        <v>5085508.0560847502</v>
      </c>
      <c r="AD56" s="2">
        <v>5718037.5242789946</v>
      </c>
      <c r="AE56" s="2">
        <v>5561183.2943105511</v>
      </c>
      <c r="AF56" s="2">
        <v>6318546.2712417133</v>
      </c>
      <c r="AG56" s="2">
        <v>5461726.8436057242</v>
      </c>
      <c r="AH56" s="2">
        <v>5785271.1476017907</v>
      </c>
      <c r="AI56" s="2">
        <v>5200444.2103896625</v>
      </c>
    </row>
    <row r="57" spans="1:35" x14ac:dyDescent="0.2">
      <c r="A57" s="1" t="s">
        <v>138</v>
      </c>
      <c r="B57" s="1" t="s">
        <v>145</v>
      </c>
      <c r="C57" s="1" t="s">
        <v>146</v>
      </c>
      <c r="D57" s="2">
        <v>519.97223631379995</v>
      </c>
      <c r="E57" s="2">
        <v>62440.471820837003</v>
      </c>
      <c r="F57" s="2">
        <v>12092.127830464102</v>
      </c>
      <c r="G57" s="2">
        <v>92188.50000362561</v>
      </c>
      <c r="H57" s="2">
        <v>233450.38782064198</v>
      </c>
      <c r="I57" s="2">
        <v>548360.32708144956</v>
      </c>
      <c r="J57" s="2">
        <v>1248492.2477073753</v>
      </c>
      <c r="K57" s="2">
        <v>1054051.4396455511</v>
      </c>
      <c r="L57" s="2">
        <v>1036808.7674216555</v>
      </c>
      <c r="M57" s="2">
        <v>1145670.4844661802</v>
      </c>
      <c r="N57" s="2">
        <v>1241292.6215794962</v>
      </c>
      <c r="O57" s="2">
        <v>1284846.9895714456</v>
      </c>
      <c r="P57" s="2">
        <v>999147.50614225876</v>
      </c>
      <c r="Q57" s="2">
        <v>1196671.2752580494</v>
      </c>
      <c r="R57" s="2">
        <v>1314401.9437280183</v>
      </c>
      <c r="S57" s="2">
        <v>1050619.4890072055</v>
      </c>
      <c r="T57" s="2">
        <v>1175743.1461324939</v>
      </c>
      <c r="U57" s="2">
        <v>1177301.0585156751</v>
      </c>
      <c r="V57" s="2">
        <v>1354488.2900304198</v>
      </c>
      <c r="W57" s="2">
        <v>1403225.0918339815</v>
      </c>
      <c r="X57" s="2">
        <v>1943796.2000000004</v>
      </c>
      <c r="Y57" s="2">
        <v>2188864.2959929942</v>
      </c>
      <c r="Z57" s="2">
        <v>2384036.3155715824</v>
      </c>
      <c r="AA57" s="2">
        <v>2514067.3429658017</v>
      </c>
      <c r="AB57" s="2">
        <v>2347200.7716720724</v>
      </c>
      <c r="AC57" s="2">
        <v>2629128.0930840396</v>
      </c>
      <c r="AD57" s="2">
        <v>2802733.3358189957</v>
      </c>
      <c r="AE57" s="2">
        <v>2900499.1671043164</v>
      </c>
      <c r="AF57" s="2">
        <v>2942664.9792610561</v>
      </c>
      <c r="AG57" s="2">
        <v>2794959.4840344284</v>
      </c>
      <c r="AH57" s="2">
        <v>3354487.7936848151</v>
      </c>
      <c r="AI57" s="2">
        <v>3709792.5952458447</v>
      </c>
    </row>
    <row r="58" spans="1:35" x14ac:dyDescent="0.2">
      <c r="A58" s="1" t="s">
        <v>147</v>
      </c>
      <c r="B58" s="1" t="s">
        <v>148</v>
      </c>
      <c r="C58" s="1" t="s">
        <v>149</v>
      </c>
      <c r="E58" s="2">
        <v>7477.7295497980003</v>
      </c>
      <c r="F58" s="2">
        <v>1935.3455635247999</v>
      </c>
      <c r="G58" s="2">
        <v>509.03201541980002</v>
      </c>
      <c r="H58" s="2">
        <v>10460.8578460682</v>
      </c>
      <c r="I58" s="2">
        <v>110207.45083394391</v>
      </c>
      <c r="J58" s="2">
        <v>644081.19892436662</v>
      </c>
      <c r="K58" s="2">
        <v>887415.59897113615</v>
      </c>
      <c r="L58" s="2">
        <v>571986.67509390239</v>
      </c>
      <c r="M58" s="2">
        <v>855068.42584175151</v>
      </c>
      <c r="N58" s="2">
        <v>1007662.1279472583</v>
      </c>
      <c r="O58" s="2">
        <v>1206759.6627041008</v>
      </c>
      <c r="P58" s="2">
        <v>1566399.4283610561</v>
      </c>
      <c r="Q58" s="2">
        <v>1619551.6337526587</v>
      </c>
      <c r="R58" s="2">
        <v>2218240.7187660211</v>
      </c>
      <c r="S58" s="2">
        <v>1929776.1078298828</v>
      </c>
      <c r="T58" s="2">
        <v>1482998.266703431</v>
      </c>
      <c r="U58" s="2">
        <v>1749783.0753353648</v>
      </c>
      <c r="V58" s="2">
        <v>2069746.3550121256</v>
      </c>
      <c r="W58" s="2">
        <v>2091489.1456158916</v>
      </c>
      <c r="X58" s="2">
        <v>2912162.4440000006</v>
      </c>
      <c r="Y58" s="2">
        <v>3268825.076536403</v>
      </c>
      <c r="Z58" s="2">
        <v>3191213.6097223726</v>
      </c>
      <c r="AA58" s="2">
        <v>3622267.2671933114</v>
      </c>
      <c r="AB58" s="2">
        <v>3919445.2557929661</v>
      </c>
      <c r="AC58" s="2">
        <v>3784587.6325334078</v>
      </c>
      <c r="AD58" s="2">
        <v>3789923.903469028</v>
      </c>
      <c r="AE58" s="2">
        <v>3511546.6428991039</v>
      </c>
      <c r="AF58" s="2">
        <v>3997040.1562686386</v>
      </c>
      <c r="AG58" s="2">
        <v>4280813.9337277757</v>
      </c>
      <c r="AH58" s="2">
        <v>5798193.2534024296</v>
      </c>
      <c r="AI58" s="2">
        <v>6045276.6901811194</v>
      </c>
    </row>
    <row r="59" spans="1:35" x14ac:dyDescent="0.2">
      <c r="A59" s="1" t="s">
        <v>147</v>
      </c>
      <c r="B59" s="1" t="s">
        <v>150</v>
      </c>
      <c r="C59" s="1" t="s">
        <v>151</v>
      </c>
      <c r="D59" s="2">
        <v>14.8804885177</v>
      </c>
      <c r="F59" s="2">
        <v>42.357745528000002</v>
      </c>
      <c r="G59" s="2">
        <v>733.1929029442</v>
      </c>
      <c r="H59" s="2">
        <v>4064.3797436530003</v>
      </c>
      <c r="I59" s="2">
        <v>57591.835036880002</v>
      </c>
      <c r="J59" s="2">
        <v>67578.479835089995</v>
      </c>
      <c r="K59" s="2">
        <v>115117.78436827241</v>
      </c>
      <c r="L59" s="2">
        <v>132601.200235775</v>
      </c>
      <c r="M59" s="2">
        <v>253708.85824855609</v>
      </c>
      <c r="N59" s="2">
        <v>266378.62449483335</v>
      </c>
      <c r="O59" s="2">
        <v>309143.40650118946</v>
      </c>
      <c r="P59" s="2">
        <v>245052.48538948689</v>
      </c>
      <c r="Q59" s="2">
        <v>235721.03419137551</v>
      </c>
      <c r="R59" s="2">
        <v>325523.74330177845</v>
      </c>
      <c r="S59" s="2">
        <v>263262.78973697021</v>
      </c>
      <c r="T59" s="2">
        <v>242630.955101937</v>
      </c>
      <c r="U59" s="2">
        <v>228291.84398377192</v>
      </c>
      <c r="V59" s="2">
        <v>281252.32188629446</v>
      </c>
      <c r="W59" s="2">
        <v>255536.38374320508</v>
      </c>
      <c r="X59" s="2">
        <v>366784.24</v>
      </c>
      <c r="Y59" s="2">
        <v>446993.91035463905</v>
      </c>
      <c r="Z59" s="2">
        <v>400465.59568226733</v>
      </c>
      <c r="AA59" s="2">
        <v>489212.7983665553</v>
      </c>
      <c r="AB59" s="2">
        <v>510076.83360629511</v>
      </c>
      <c r="AC59" s="2">
        <v>536864.11923702736</v>
      </c>
      <c r="AD59" s="2">
        <v>541401.02879062365</v>
      </c>
      <c r="AE59" s="2">
        <v>479457.51885377051</v>
      </c>
      <c r="AF59" s="2">
        <v>564793.31557277916</v>
      </c>
      <c r="AG59" s="2">
        <v>597675.34934361686</v>
      </c>
      <c r="AH59" s="2">
        <v>733192.16690393933</v>
      </c>
      <c r="AI59" s="2">
        <v>758261.82012179424</v>
      </c>
    </row>
    <row r="60" spans="1:35" x14ac:dyDescent="0.2">
      <c r="A60" s="1" t="s">
        <v>147</v>
      </c>
      <c r="B60" s="1" t="s">
        <v>152</v>
      </c>
      <c r="C60" s="1" t="s">
        <v>153</v>
      </c>
      <c r="D60" s="2">
        <v>5.6523160585000003</v>
      </c>
      <c r="F60" s="2">
        <v>6.0511065039999998</v>
      </c>
      <c r="G60" s="2">
        <v>46.466683976500001</v>
      </c>
      <c r="H60" s="2">
        <v>5628.1519265761999</v>
      </c>
      <c r="I60" s="2">
        <v>63501.845507689803</v>
      </c>
      <c r="J60" s="2">
        <v>176976.37617975866</v>
      </c>
      <c r="K60" s="2">
        <v>283389.04192693694</v>
      </c>
      <c r="L60" s="2">
        <v>411996.00186873152</v>
      </c>
      <c r="M60" s="2">
        <v>603669.72107611911</v>
      </c>
      <c r="N60" s="2">
        <v>668563.69192910078</v>
      </c>
      <c r="O60" s="2">
        <v>784183.89567040734</v>
      </c>
      <c r="P60" s="2">
        <v>815944.08496764686</v>
      </c>
      <c r="Q60" s="2">
        <v>817229.83624685137</v>
      </c>
      <c r="R60" s="2">
        <v>960459.94569608208</v>
      </c>
      <c r="S60" s="2">
        <v>891511.83312149195</v>
      </c>
      <c r="T60" s="2">
        <v>788187.28606814553</v>
      </c>
      <c r="U60" s="2">
        <v>805140.66511760221</v>
      </c>
      <c r="V60" s="2">
        <v>946316.57849144656</v>
      </c>
      <c r="W60" s="2">
        <v>987898.19662614726</v>
      </c>
      <c r="X60" s="2">
        <v>1191784.193</v>
      </c>
      <c r="Y60" s="2">
        <v>1001262.8845923663</v>
      </c>
      <c r="Z60" s="2">
        <v>914765.57387322455</v>
      </c>
      <c r="AA60" s="2">
        <v>964069.55938227137</v>
      </c>
      <c r="AB60" s="2">
        <v>910159.50403355435</v>
      </c>
      <c r="AC60" s="2">
        <v>1086188.7343314681</v>
      </c>
      <c r="AD60" s="2">
        <v>1173063.7742867575</v>
      </c>
      <c r="AE60" s="2">
        <v>1062380.6206293243</v>
      </c>
      <c r="AF60" s="2">
        <v>1144480.8813016328</v>
      </c>
      <c r="AG60" s="2">
        <v>1203120.7866948454</v>
      </c>
      <c r="AH60" s="2">
        <v>1389315.5586437928</v>
      </c>
      <c r="AI60" s="2">
        <v>1439091.4452977495</v>
      </c>
    </row>
    <row r="61" spans="1:35" x14ac:dyDescent="0.2">
      <c r="A61" s="1" t="s">
        <v>147</v>
      </c>
      <c r="B61" s="1" t="s">
        <v>154</v>
      </c>
      <c r="C61" s="1" t="s">
        <v>155</v>
      </c>
      <c r="D61" s="2">
        <v>3791.0366891499998</v>
      </c>
      <c r="E61" s="2">
        <v>12057.163583482201</v>
      </c>
      <c r="F61" s="2">
        <v>25447.928402511101</v>
      </c>
      <c r="G61" s="2">
        <v>53424.077522933396</v>
      </c>
      <c r="H61" s="2">
        <v>159980.96631953621</v>
      </c>
      <c r="I61" s="2">
        <v>1111796.6805600589</v>
      </c>
      <c r="J61" s="2">
        <v>971890.68729433126</v>
      </c>
      <c r="K61" s="2">
        <v>1936934.7284239533</v>
      </c>
      <c r="L61" s="2">
        <v>1747730.8683267555</v>
      </c>
      <c r="M61" s="2">
        <v>2132589.1832405315</v>
      </c>
      <c r="N61" s="2">
        <v>2327393.133718682</v>
      </c>
      <c r="O61" s="2">
        <v>2039158.8300436209</v>
      </c>
      <c r="P61" s="2">
        <v>2146831.8818371566</v>
      </c>
      <c r="Q61" s="2">
        <v>2147951.6104482207</v>
      </c>
      <c r="R61" s="2">
        <v>3252980.973694142</v>
      </c>
      <c r="S61" s="2">
        <v>2821090.3111126409</v>
      </c>
      <c r="T61" s="2">
        <v>2111925.4016879555</v>
      </c>
      <c r="U61" s="2">
        <v>2132435.0493711042</v>
      </c>
      <c r="V61" s="2">
        <v>2237550.8820622652</v>
      </c>
      <c r="W61" s="2">
        <v>2386300.8915977599</v>
      </c>
      <c r="X61" s="2">
        <v>3035111.1780000003</v>
      </c>
      <c r="Y61" s="2">
        <v>2949829.6308589214</v>
      </c>
      <c r="Z61" s="2">
        <v>3055841.7247855295</v>
      </c>
      <c r="AA61" s="2">
        <v>3543308.0752643975</v>
      </c>
      <c r="AB61" s="2">
        <v>3781904.9655374638</v>
      </c>
      <c r="AC61" s="2">
        <v>3607025.5807954557</v>
      </c>
      <c r="AD61" s="2">
        <v>3130265.0704870271</v>
      </c>
      <c r="AE61" s="2">
        <v>2817945.2779605901</v>
      </c>
      <c r="AF61" s="2">
        <v>2803953.5638242709</v>
      </c>
      <c r="AG61" s="2">
        <v>2732068.91199162</v>
      </c>
      <c r="AH61" s="2">
        <v>3317092.4743990391</v>
      </c>
      <c r="AI61" s="2">
        <v>3592418.0858014463</v>
      </c>
    </row>
    <row r="62" spans="1:35" x14ac:dyDescent="0.2">
      <c r="A62" s="1" t="s">
        <v>147</v>
      </c>
      <c r="B62" s="1" t="s">
        <v>156</v>
      </c>
      <c r="C62" s="1" t="s">
        <v>157</v>
      </c>
      <c r="E62" s="2">
        <v>584.74383219840001</v>
      </c>
      <c r="F62" s="2">
        <v>1364.5245166487</v>
      </c>
      <c r="G62" s="2">
        <v>21540.460285540907</v>
      </c>
      <c r="H62" s="2">
        <v>41217.386034058101</v>
      </c>
      <c r="I62" s="2">
        <v>176459.40742215861</v>
      </c>
      <c r="J62" s="2">
        <v>301295.86518379574</v>
      </c>
      <c r="K62" s="2">
        <v>361405.92192892265</v>
      </c>
      <c r="L62" s="2">
        <v>558629.19172002457</v>
      </c>
      <c r="M62" s="2">
        <v>644524.77571876079</v>
      </c>
      <c r="N62" s="2">
        <v>748111.68553621368</v>
      </c>
      <c r="O62" s="2">
        <v>896219.49753807136</v>
      </c>
      <c r="P62" s="2">
        <v>1010147.792247406</v>
      </c>
      <c r="Q62" s="2">
        <v>1197166.6767011106</v>
      </c>
      <c r="R62" s="2">
        <v>1709068.7652277956</v>
      </c>
      <c r="S62" s="2">
        <v>1571984.3754748614</v>
      </c>
      <c r="T62" s="2">
        <v>1345734.1925694107</v>
      </c>
      <c r="U62" s="2">
        <v>1635782.3775363865</v>
      </c>
      <c r="V62" s="2">
        <v>2017334.3689422633</v>
      </c>
      <c r="W62" s="2">
        <v>2008957.043511227</v>
      </c>
      <c r="X62" s="2">
        <v>2264991.3580000005</v>
      </c>
      <c r="Y62" s="2">
        <v>2488176.663665799</v>
      </c>
      <c r="Z62" s="2">
        <v>1900795.3120084836</v>
      </c>
      <c r="AA62" s="2">
        <v>2380704.7698750752</v>
      </c>
      <c r="AB62" s="2">
        <v>2551906.6531538167</v>
      </c>
      <c r="AC62" s="2">
        <v>2729066.2364353496</v>
      </c>
      <c r="AD62" s="2">
        <v>2992124.1401581154</v>
      </c>
      <c r="AE62" s="2">
        <v>2558846.2467907309</v>
      </c>
      <c r="AF62" s="2">
        <v>2849534.045105157</v>
      </c>
      <c r="AG62" s="2">
        <v>2752444.5336206635</v>
      </c>
      <c r="AH62" s="2">
        <v>3360734.3312909808</v>
      </c>
      <c r="AI62" s="2">
        <v>3410718.6490964456</v>
      </c>
    </row>
    <row r="63" spans="1:35" x14ac:dyDescent="0.2">
      <c r="A63" s="1" t="s">
        <v>158</v>
      </c>
      <c r="B63" s="1" t="s">
        <v>159</v>
      </c>
      <c r="C63" s="1" t="s">
        <v>160</v>
      </c>
      <c r="D63" s="2">
        <v>3421.7490920713003</v>
      </c>
      <c r="E63" s="2">
        <v>5110.9235855297993</v>
      </c>
      <c r="F63" s="2">
        <v>8730.3864390047002</v>
      </c>
      <c r="G63" s="2">
        <v>43889.273547272693</v>
      </c>
      <c r="H63" s="2">
        <v>65786.658839263997</v>
      </c>
      <c r="I63" s="2">
        <v>174875.19887359461</v>
      </c>
      <c r="J63" s="2">
        <v>2231926.0620933305</v>
      </c>
      <c r="K63" s="2">
        <v>3578540.3978791754</v>
      </c>
      <c r="L63" s="2">
        <v>1417071.3245591989</v>
      </c>
      <c r="M63" s="2">
        <v>1027696.9860656804</v>
      </c>
      <c r="N63" s="2">
        <v>1262370.7532895412</v>
      </c>
      <c r="O63" s="2">
        <v>1255457.5727048011</v>
      </c>
      <c r="P63" s="2">
        <v>1143030.7451169144</v>
      </c>
      <c r="Q63" s="2">
        <v>1097116.6955205214</v>
      </c>
      <c r="R63" s="2">
        <v>1401638.4387001335</v>
      </c>
      <c r="S63" s="2">
        <v>1288747.7701401769</v>
      </c>
      <c r="T63" s="2">
        <v>1085710.2480063788</v>
      </c>
      <c r="U63" s="2">
        <v>1051072.6611205535</v>
      </c>
      <c r="V63" s="2">
        <v>1440715.8823433027</v>
      </c>
      <c r="W63" s="2">
        <v>866794.47564496088</v>
      </c>
      <c r="X63" s="2">
        <v>1802515.358</v>
      </c>
      <c r="Y63" s="2">
        <v>1671138.758287417</v>
      </c>
      <c r="Z63" s="2">
        <v>1288539.2458116806</v>
      </c>
      <c r="AA63" s="2">
        <v>1201623.8991432204</v>
      </c>
      <c r="AB63" s="2">
        <v>1221271.4207458582</v>
      </c>
      <c r="AC63" s="2">
        <v>1288987.1042990875</v>
      </c>
      <c r="AD63" s="2">
        <v>1280321.2635434836</v>
      </c>
      <c r="AE63" s="2">
        <v>1343860.5612605419</v>
      </c>
      <c r="AF63" s="2">
        <v>1142514.4233310386</v>
      </c>
      <c r="AG63" s="2">
        <v>1460669.7902989448</v>
      </c>
      <c r="AH63" s="2">
        <v>1592355.2080585724</v>
      </c>
      <c r="AI63" s="2">
        <v>1295615.0580612214</v>
      </c>
    </row>
    <row r="64" spans="1:35" x14ac:dyDescent="0.2">
      <c r="A64" s="1" t="s">
        <v>158</v>
      </c>
      <c r="B64" s="1" t="s">
        <v>161</v>
      </c>
      <c r="C64" s="1" t="s">
        <v>162</v>
      </c>
      <c r="D64" s="2">
        <v>6446.9965816414006</v>
      </c>
      <c r="E64" s="2">
        <v>6065.9951646442014</v>
      </c>
      <c r="F64" s="2">
        <v>19814.412145297698</v>
      </c>
      <c r="G64" s="2">
        <v>33669.476985625697</v>
      </c>
      <c r="H64" s="2">
        <v>100726.05442080309</v>
      </c>
      <c r="I64" s="2">
        <v>187897.8492246549</v>
      </c>
      <c r="J64" s="2">
        <v>401035.74741793348</v>
      </c>
      <c r="K64" s="2">
        <v>394514.47920699144</v>
      </c>
      <c r="L64" s="2">
        <v>145553.04426804499</v>
      </c>
      <c r="M64" s="2">
        <v>97169.131377862519</v>
      </c>
      <c r="N64" s="2">
        <v>100031.81747414809</v>
      </c>
      <c r="O64" s="2">
        <v>171460.34241002492</v>
      </c>
      <c r="P64" s="2">
        <v>203979.69081401359</v>
      </c>
      <c r="Q64" s="2">
        <v>178685.66476652212</v>
      </c>
      <c r="R64" s="2">
        <v>247124.57357792134</v>
      </c>
      <c r="S64" s="2">
        <v>196919.44697091091</v>
      </c>
      <c r="T64" s="2">
        <v>179278.50001174031</v>
      </c>
      <c r="U64" s="2">
        <v>199843.64077460792</v>
      </c>
      <c r="V64" s="2">
        <v>163234.05753889919</v>
      </c>
      <c r="W64" s="2">
        <v>104517.41142556249</v>
      </c>
      <c r="X64" s="2">
        <v>115897.70300000001</v>
      </c>
      <c r="Y64" s="2">
        <v>113465.6687115306</v>
      </c>
      <c r="Z64" s="2">
        <v>142526.78220033128</v>
      </c>
      <c r="AA64" s="2">
        <v>117386.04437544692</v>
      </c>
      <c r="AB64" s="2">
        <v>118982.00627726241</v>
      </c>
      <c r="AC64" s="2">
        <v>123663.55600598882</v>
      </c>
      <c r="AD64" s="2">
        <v>120179.74950646929</v>
      </c>
      <c r="AE64" s="2">
        <v>108613.65103657247</v>
      </c>
      <c r="AF64" s="2">
        <v>111007.07948358418</v>
      </c>
      <c r="AG64" s="2">
        <v>92365.102139221664</v>
      </c>
      <c r="AH64" s="2">
        <v>83665.714136349008</v>
      </c>
      <c r="AI64" s="2">
        <v>81872.162974144536</v>
      </c>
    </row>
    <row r="65" spans="1:35" x14ac:dyDescent="0.2">
      <c r="A65" s="1" t="s">
        <v>158</v>
      </c>
      <c r="B65" s="1" t="s">
        <v>163</v>
      </c>
      <c r="C65" s="1" t="s">
        <v>164</v>
      </c>
      <c r="D65" s="2">
        <v>33631.169725913896</v>
      </c>
      <c r="E65" s="2">
        <v>243263.61459915302</v>
      </c>
      <c r="F65" s="2">
        <v>236518.82521242372</v>
      </c>
      <c r="G65" s="2">
        <v>596347.9223703543</v>
      </c>
      <c r="H65" s="2">
        <v>1121607.7175227448</v>
      </c>
      <c r="I65" s="2">
        <v>2124047.8853349141</v>
      </c>
      <c r="J65" s="2">
        <v>4679484.8511118554</v>
      </c>
      <c r="K65" s="2">
        <v>6502664.3172116391</v>
      </c>
      <c r="L65" s="2">
        <v>3777161.3983639465</v>
      </c>
      <c r="M65" s="2">
        <v>4611833.1218950395</v>
      </c>
      <c r="N65" s="2">
        <v>4996412.5384149533</v>
      </c>
      <c r="O65" s="2">
        <v>5308992.9706406202</v>
      </c>
      <c r="P65" s="2">
        <v>4639127.7837712541</v>
      </c>
      <c r="Q65" s="2">
        <v>4706004.5073628109</v>
      </c>
      <c r="R65" s="2">
        <v>5755441.469612116</v>
      </c>
      <c r="S65" s="2">
        <v>5256489.1285328548</v>
      </c>
      <c r="T65" s="2">
        <v>5665615.4942503069</v>
      </c>
      <c r="U65" s="2">
        <v>5293725.7087080386</v>
      </c>
      <c r="V65" s="2">
        <v>5333556.967650352</v>
      </c>
      <c r="W65" s="2">
        <v>4411179.0360411461</v>
      </c>
      <c r="X65" s="2">
        <v>5017470.9539999999</v>
      </c>
      <c r="Y65" s="2">
        <v>5598481.0656968262</v>
      </c>
      <c r="Z65" s="2">
        <v>6012490.7173752831</v>
      </c>
      <c r="AA65" s="2">
        <v>5415506.2001724774</v>
      </c>
      <c r="AB65" s="2">
        <v>5966894.7402034542</v>
      </c>
      <c r="AC65" s="2">
        <v>6593262.1976764826</v>
      </c>
      <c r="AD65" s="2">
        <v>5264110.0908726892</v>
      </c>
      <c r="AE65" s="2">
        <v>4950776.4969082726</v>
      </c>
      <c r="AF65" s="2">
        <v>4725799.642025033</v>
      </c>
      <c r="AG65" s="2">
        <v>4559799.9297213759</v>
      </c>
      <c r="AH65" s="2">
        <v>5289560.868005815</v>
      </c>
      <c r="AI65" s="2">
        <v>5114466.3181429822</v>
      </c>
    </row>
    <row r="66" spans="1:35" x14ac:dyDescent="0.2">
      <c r="A66" s="1" t="s">
        <v>158</v>
      </c>
      <c r="B66" s="1" t="s">
        <v>165</v>
      </c>
      <c r="C66" s="1" t="s">
        <v>166</v>
      </c>
      <c r="D66" s="2">
        <v>14182.2888858529</v>
      </c>
      <c r="E66" s="2">
        <v>17131.058684832198</v>
      </c>
      <c r="F66" s="2">
        <v>24732.825967085901</v>
      </c>
      <c r="G66" s="2">
        <v>95454.381992071707</v>
      </c>
      <c r="H66" s="2">
        <v>154013.59302326888</v>
      </c>
      <c r="I66" s="2">
        <v>318383.02511856216</v>
      </c>
      <c r="J66" s="2">
        <v>786926.97040300886</v>
      </c>
      <c r="K66" s="2">
        <v>868285.5207188233</v>
      </c>
      <c r="L66" s="2">
        <v>307787.33586085535</v>
      </c>
      <c r="M66" s="2">
        <v>554674.74293270463</v>
      </c>
      <c r="N66" s="2">
        <v>487413.71756263415</v>
      </c>
      <c r="O66" s="2">
        <v>649033.91573582811</v>
      </c>
      <c r="P66" s="2">
        <v>685673.72899548709</v>
      </c>
      <c r="Q66" s="2">
        <v>668779.58465913043</v>
      </c>
      <c r="R66" s="2">
        <v>843541.29882238898</v>
      </c>
      <c r="S66" s="2">
        <v>737579.3365051779</v>
      </c>
      <c r="T66" s="2">
        <v>743710.82984546886</v>
      </c>
      <c r="U66" s="2">
        <v>748724.00948668399</v>
      </c>
      <c r="V66" s="2">
        <v>809518.69019724755</v>
      </c>
      <c r="W66" s="2">
        <v>670662.41821136919</v>
      </c>
      <c r="X66" s="2">
        <v>885836.02499999991</v>
      </c>
      <c r="Y66" s="2">
        <v>947579.02773192141</v>
      </c>
      <c r="Z66" s="2">
        <v>684762.65882326034</v>
      </c>
      <c r="AA66" s="2">
        <v>854925.89402492193</v>
      </c>
      <c r="AB66" s="2">
        <v>898944.30973214458</v>
      </c>
      <c r="AC66" s="2">
        <v>833915.72409288283</v>
      </c>
      <c r="AD66" s="2">
        <v>790446.93114945118</v>
      </c>
      <c r="AE66" s="2">
        <v>773572.34721043182</v>
      </c>
      <c r="AF66" s="2">
        <v>731307.44842168875</v>
      </c>
      <c r="AG66" s="2">
        <v>741271.67749585758</v>
      </c>
      <c r="AH66" s="2">
        <v>809242.98388248053</v>
      </c>
      <c r="AI66" s="2">
        <v>790256.67281178921</v>
      </c>
    </row>
    <row r="67" spans="1:35" x14ac:dyDescent="0.2">
      <c r="A67" s="1" t="s">
        <v>158</v>
      </c>
      <c r="B67" s="1" t="s">
        <v>167</v>
      </c>
      <c r="C67" s="1" t="s">
        <v>168</v>
      </c>
      <c r="D67" s="2">
        <v>801.25016821199995</v>
      </c>
      <c r="E67" s="2">
        <v>172.08496920979999</v>
      </c>
      <c r="F67" s="2">
        <v>3191.2579477054001</v>
      </c>
      <c r="G67" s="2">
        <v>785.64465516109999</v>
      </c>
      <c r="H67" s="2">
        <v>8363.9250947583005</v>
      </c>
      <c r="I67" s="2">
        <v>25305.8136910625</v>
      </c>
      <c r="J67" s="2">
        <v>87680.605054793705</v>
      </c>
      <c r="K67" s="2">
        <v>333287.95230877248</v>
      </c>
      <c r="L67" s="2">
        <v>61500.260458424396</v>
      </c>
      <c r="M67" s="2">
        <v>138236.49837123358</v>
      </c>
      <c r="N67" s="2">
        <v>124412.34945065262</v>
      </c>
      <c r="O67" s="2">
        <v>203238.3708655973</v>
      </c>
      <c r="P67" s="2">
        <v>271182.47612480458</v>
      </c>
      <c r="Q67" s="2">
        <v>254200.77616850683</v>
      </c>
      <c r="R67" s="2">
        <v>382176.26541282807</v>
      </c>
      <c r="S67" s="2">
        <v>391586.17730012583</v>
      </c>
      <c r="T67" s="2">
        <v>421692.78762746247</v>
      </c>
      <c r="U67" s="2">
        <v>553479.99041352619</v>
      </c>
      <c r="V67" s="2">
        <v>469870.95849806693</v>
      </c>
      <c r="W67" s="2">
        <v>359446.36642654095</v>
      </c>
      <c r="X67" s="2">
        <v>618234.00800000003</v>
      </c>
      <c r="Y67" s="2">
        <v>793932.75926510862</v>
      </c>
      <c r="Z67" s="2">
        <v>1072399.6106235217</v>
      </c>
      <c r="AA67" s="2">
        <v>1576520.4440263044</v>
      </c>
      <c r="AB67" s="2">
        <v>1899266.4205977467</v>
      </c>
      <c r="AC67" s="2">
        <v>1363322.7713107702</v>
      </c>
      <c r="AD67" s="2">
        <v>1049122.9568015449</v>
      </c>
      <c r="AE67" s="2">
        <v>2359154.6855906993</v>
      </c>
      <c r="AF67" s="2">
        <v>3168976.299808993</v>
      </c>
      <c r="AG67" s="2">
        <v>2850197.9605840221</v>
      </c>
      <c r="AH67" s="2">
        <v>2627878.8452177187</v>
      </c>
      <c r="AI67" s="2">
        <v>2693867.9063989324</v>
      </c>
    </row>
    <row r="68" spans="1:35" x14ac:dyDescent="0.2">
      <c r="A68" s="1" t="s">
        <v>158</v>
      </c>
      <c r="B68" s="1" t="s">
        <v>169</v>
      </c>
      <c r="C68" s="1" t="s">
        <v>170</v>
      </c>
      <c r="D68" s="2">
        <v>512.94516863859997</v>
      </c>
      <c r="E68" s="2">
        <v>240.91895689379999</v>
      </c>
      <c r="F68" s="2">
        <v>504.18645088479997</v>
      </c>
      <c r="G68" s="2">
        <v>5819.0316047245005</v>
      </c>
      <c r="H68" s="2">
        <v>18887.5749865529</v>
      </c>
      <c r="I68" s="2">
        <v>135468.73946776331</v>
      </c>
      <c r="J68" s="2">
        <v>1130778.4476695692</v>
      </c>
      <c r="K68" s="2">
        <v>1501492.1887994988</v>
      </c>
      <c r="L68" s="2">
        <v>1966416.7435710279</v>
      </c>
      <c r="M68" s="2">
        <v>2953726.0845853151</v>
      </c>
      <c r="N68" s="2">
        <v>4067509.4633196816</v>
      </c>
      <c r="O68" s="2">
        <v>4894855.1236914257</v>
      </c>
      <c r="P68" s="2">
        <v>4698202.3737502713</v>
      </c>
      <c r="Q68" s="2">
        <v>4617715.1877311077</v>
      </c>
      <c r="R68" s="2">
        <v>6354739.7114112293</v>
      </c>
      <c r="S68" s="2">
        <v>6660183.6547976583</v>
      </c>
      <c r="T68" s="2">
        <v>7226566.9711736431</v>
      </c>
      <c r="U68" s="2">
        <v>7273270.7298196862</v>
      </c>
      <c r="V68" s="2">
        <v>11590416.630069159</v>
      </c>
      <c r="W68" s="2">
        <v>7379861.7576127192</v>
      </c>
      <c r="X68" s="2">
        <v>18352428.287999999</v>
      </c>
      <c r="Y68" s="2">
        <v>22851513.060653806</v>
      </c>
      <c r="Z68" s="2">
        <v>18585383.14807171</v>
      </c>
      <c r="AA68" s="2">
        <v>19966699.189296655</v>
      </c>
      <c r="AB68" s="2">
        <v>14459265.95008398</v>
      </c>
      <c r="AC68" s="2">
        <v>12551010.79095551</v>
      </c>
      <c r="AD68" s="2">
        <v>11493053.725706873</v>
      </c>
      <c r="AE68" s="2">
        <v>17263066.435890492</v>
      </c>
      <c r="AF68" s="2">
        <v>16762046.163468247</v>
      </c>
      <c r="AG68" s="2">
        <v>21461865.77340531</v>
      </c>
      <c r="AH68" s="2">
        <v>34011426.801548734</v>
      </c>
      <c r="AI68" s="2">
        <v>42767329.696482033</v>
      </c>
    </row>
    <row r="69" spans="1:35" x14ac:dyDescent="0.2">
      <c r="A69" s="1" t="s">
        <v>171</v>
      </c>
      <c r="B69" s="1" t="s">
        <v>172</v>
      </c>
      <c r="C69" s="1" t="s">
        <v>173</v>
      </c>
      <c r="D69" s="2">
        <v>6692.5553523544995</v>
      </c>
      <c r="E69" s="2">
        <v>30745.699414467203</v>
      </c>
      <c r="F69" s="2">
        <v>31592.311660965701</v>
      </c>
      <c r="G69" s="2">
        <v>123943.16271562441</v>
      </c>
      <c r="H69" s="2">
        <v>136088.66508544059</v>
      </c>
      <c r="I69" s="2">
        <v>297120.33064745076</v>
      </c>
      <c r="J69" s="2">
        <v>289917.16485143889</v>
      </c>
      <c r="K69" s="2">
        <v>261899.9053137101</v>
      </c>
      <c r="L69" s="2">
        <v>67761.511620468911</v>
      </c>
      <c r="M69" s="2">
        <v>326616.04980408616</v>
      </c>
      <c r="N69" s="2">
        <v>340062.1508887682</v>
      </c>
      <c r="O69" s="2">
        <v>413991.09242333518</v>
      </c>
      <c r="P69" s="2">
        <v>236559.1893133921</v>
      </c>
      <c r="Q69" s="2">
        <v>252886.77461844572</v>
      </c>
      <c r="R69" s="2">
        <v>280453.14763810113</v>
      </c>
      <c r="S69" s="2">
        <v>245526.75559054257</v>
      </c>
      <c r="T69" s="2">
        <v>254953.6462527214</v>
      </c>
      <c r="U69" s="2">
        <v>275361.53611847729</v>
      </c>
      <c r="V69" s="2">
        <v>287901.38289118482</v>
      </c>
      <c r="W69" s="2">
        <v>336896.58677429473</v>
      </c>
      <c r="X69" s="2">
        <v>407432.8890000002</v>
      </c>
      <c r="Y69" s="2">
        <v>398045.51385693456</v>
      </c>
      <c r="Z69" s="2">
        <v>432612.03616693057</v>
      </c>
      <c r="AA69" s="2">
        <v>380487.42700813542</v>
      </c>
      <c r="AB69" s="2">
        <v>385564.84152419091</v>
      </c>
      <c r="AC69" s="2">
        <v>449624.03355029458</v>
      </c>
      <c r="AD69" s="2">
        <v>404469.40077785956</v>
      </c>
      <c r="AE69" s="2">
        <v>415547.55450754648</v>
      </c>
      <c r="AF69" s="2">
        <v>424520.09447560791</v>
      </c>
      <c r="AG69" s="2">
        <v>482361.26502326166</v>
      </c>
      <c r="AH69" s="2">
        <v>545605.53436179261</v>
      </c>
      <c r="AI69" s="2">
        <v>482599.13333399652</v>
      </c>
    </row>
    <row r="70" spans="1:35" x14ac:dyDescent="0.2">
      <c r="A70" s="1" t="s">
        <v>171</v>
      </c>
      <c r="B70" s="1" t="s">
        <v>174</v>
      </c>
      <c r="C70" s="1" t="s">
        <v>175</v>
      </c>
      <c r="D70" s="2">
        <v>3265.8476704154</v>
      </c>
      <c r="E70" s="2">
        <v>8804.8249602729011</v>
      </c>
      <c r="F70" s="2">
        <v>12491.7877078447</v>
      </c>
      <c r="G70" s="2">
        <v>11080.6825085727</v>
      </c>
      <c r="H70" s="2">
        <v>32628.258606571995</v>
      </c>
      <c r="I70" s="2">
        <v>55524.444432524106</v>
      </c>
      <c r="J70" s="2">
        <v>78024.835172000574</v>
      </c>
      <c r="K70" s="2">
        <v>91110.424730904895</v>
      </c>
      <c r="L70" s="2">
        <v>13426.3851455003</v>
      </c>
      <c r="M70" s="2">
        <v>72040.696259022487</v>
      </c>
      <c r="N70" s="2">
        <v>76527.551230608617</v>
      </c>
      <c r="O70" s="2">
        <v>129509.1169266209</v>
      </c>
      <c r="P70" s="2">
        <v>66143.029221240111</v>
      </c>
      <c r="Q70" s="2">
        <v>73070.302499740006</v>
      </c>
      <c r="R70" s="2">
        <v>86214.905528259987</v>
      </c>
      <c r="S70" s="2">
        <v>76393.060211140095</v>
      </c>
      <c r="T70" s="2">
        <v>86294.141901390365</v>
      </c>
      <c r="U70" s="2">
        <v>88392.339437054325</v>
      </c>
      <c r="V70" s="2">
        <v>81377.667664875102</v>
      </c>
      <c r="W70" s="2">
        <v>85316.169480617886</v>
      </c>
      <c r="X70" s="2">
        <v>103568.12199999999</v>
      </c>
      <c r="Y70" s="2">
        <v>95939.320176970199</v>
      </c>
      <c r="Z70" s="2">
        <v>113752.12030923709</v>
      </c>
      <c r="AA70" s="2">
        <v>107903.77417202102</v>
      </c>
      <c r="AB70" s="2">
        <v>105206.33762099741</v>
      </c>
      <c r="AC70" s="2">
        <v>133305.22488366853</v>
      </c>
      <c r="AD70" s="2">
        <v>106738.65821500382</v>
      </c>
      <c r="AE70" s="2">
        <v>113485.13210894076</v>
      </c>
      <c r="AF70" s="2">
        <v>148115.6288226629</v>
      </c>
      <c r="AG70" s="2">
        <v>157784.6470739427</v>
      </c>
      <c r="AH70" s="2">
        <v>182991.30860242445</v>
      </c>
      <c r="AI70" s="2">
        <v>203839.85299085532</v>
      </c>
    </row>
    <row r="71" spans="1:35" x14ac:dyDescent="0.2">
      <c r="A71" s="1" t="s">
        <v>171</v>
      </c>
      <c r="B71" s="1" t="s">
        <v>176</v>
      </c>
      <c r="C71" s="1" t="s">
        <v>177</v>
      </c>
      <c r="D71" s="2">
        <v>8830.3412911562991</v>
      </c>
      <c r="E71" s="2">
        <v>26282.0902785787</v>
      </c>
      <c r="F71" s="2">
        <v>97662.991704928805</v>
      </c>
      <c r="G71" s="2">
        <v>157920.0664815639</v>
      </c>
      <c r="H71" s="2">
        <v>386905.31347151072</v>
      </c>
      <c r="I71" s="2">
        <v>771795.20726247865</v>
      </c>
      <c r="J71" s="2">
        <v>926194.50342295424</v>
      </c>
      <c r="K71" s="2">
        <v>894492.62013248831</v>
      </c>
      <c r="L71" s="2">
        <v>724108.44470711797</v>
      </c>
      <c r="M71" s="2">
        <v>902602.18521647423</v>
      </c>
      <c r="N71" s="2">
        <v>1058487.4908968851</v>
      </c>
      <c r="O71" s="2">
        <v>1138635.7136912921</v>
      </c>
      <c r="P71" s="2">
        <v>1010814.1546786278</v>
      </c>
      <c r="Q71" s="2">
        <v>1271830.4035628424</v>
      </c>
      <c r="R71" s="2">
        <v>1274178.5611598971</v>
      </c>
      <c r="S71" s="2">
        <v>1261809.1098099449</v>
      </c>
      <c r="T71" s="2">
        <v>1345884.2170748953</v>
      </c>
      <c r="U71" s="2">
        <v>1373251.3933558394</v>
      </c>
      <c r="V71" s="2">
        <v>1456807.6935460514</v>
      </c>
      <c r="W71" s="2">
        <v>1512061.5707952927</v>
      </c>
      <c r="X71" s="2">
        <v>1592588.0340000005</v>
      </c>
      <c r="Y71" s="2">
        <v>1601282.6260666992</v>
      </c>
      <c r="Z71" s="2">
        <v>1681409.978348963</v>
      </c>
      <c r="AA71" s="2">
        <v>1605283.4467540761</v>
      </c>
      <c r="AB71" s="2">
        <v>1518344.3759441355</v>
      </c>
      <c r="AC71" s="2">
        <v>1543545.6695921964</v>
      </c>
      <c r="AD71" s="2">
        <v>1487748.0210221803</v>
      </c>
      <c r="AE71" s="2">
        <v>1461030.6649833249</v>
      </c>
      <c r="AF71" s="2">
        <v>1604062.8394083898</v>
      </c>
      <c r="AG71" s="2">
        <v>1572925.6210199485</v>
      </c>
      <c r="AH71" s="2">
        <v>1530267.1467209491</v>
      </c>
      <c r="AI71" s="2">
        <v>1372857.549237971</v>
      </c>
    </row>
    <row r="72" spans="1:35" x14ac:dyDescent="0.2">
      <c r="A72" s="1" t="s">
        <v>171</v>
      </c>
      <c r="B72" s="1" t="s">
        <v>178</v>
      </c>
      <c r="C72" s="1" t="s">
        <v>179</v>
      </c>
      <c r="D72" s="2">
        <v>19569.593956752302</v>
      </c>
      <c r="E72" s="2">
        <v>113940.67954263851</v>
      </c>
      <c r="F72" s="2">
        <v>254111.45553178989</v>
      </c>
      <c r="G72" s="2">
        <v>433952.14127213095</v>
      </c>
      <c r="H72" s="2">
        <v>506218.56956088648</v>
      </c>
      <c r="I72" s="2">
        <v>1288098.2282493738</v>
      </c>
      <c r="J72" s="2">
        <v>1711978.9241257631</v>
      </c>
      <c r="K72" s="2">
        <v>1966075.4758826846</v>
      </c>
      <c r="L72" s="2">
        <v>2439739.2020592936</v>
      </c>
      <c r="M72" s="2">
        <v>2113881.6417638748</v>
      </c>
      <c r="N72" s="2">
        <v>2224705.975936526</v>
      </c>
      <c r="O72" s="2">
        <v>2639070.1516763205</v>
      </c>
      <c r="P72" s="2">
        <v>2912050.5885824212</v>
      </c>
      <c r="Q72" s="2">
        <v>2935070.5490901568</v>
      </c>
      <c r="R72" s="2">
        <v>2766948.7737846402</v>
      </c>
      <c r="S72" s="2">
        <v>2548541.5613460555</v>
      </c>
      <c r="T72" s="2">
        <v>2861309.5606472283</v>
      </c>
      <c r="U72" s="2">
        <v>2778155.7361667654</v>
      </c>
      <c r="V72" s="2">
        <v>3022189.367710941</v>
      </c>
      <c r="W72" s="2">
        <v>3270756.3906125971</v>
      </c>
      <c r="X72" s="2">
        <v>3332916.2249999996</v>
      </c>
      <c r="Y72" s="2">
        <v>3596746.1828986821</v>
      </c>
      <c r="Z72" s="2">
        <v>4007485.3512447844</v>
      </c>
      <c r="AA72" s="2">
        <v>3740355.3490184532</v>
      </c>
      <c r="AB72" s="2">
        <v>3780824.1141279675</v>
      </c>
      <c r="AC72" s="2">
        <v>3776164.5963026001</v>
      </c>
      <c r="AD72" s="2">
        <v>3216487.8202776001</v>
      </c>
      <c r="AE72" s="2">
        <v>3172622.8779155975</v>
      </c>
      <c r="AF72" s="2">
        <v>3005639.6538416944</v>
      </c>
      <c r="AG72" s="2">
        <v>2987424.3785661645</v>
      </c>
      <c r="AH72" s="2">
        <v>3018682.4387092977</v>
      </c>
      <c r="AI72" s="2">
        <v>2712557.9321117988</v>
      </c>
    </row>
    <row r="73" spans="1:35" x14ac:dyDescent="0.2">
      <c r="A73" s="1" t="s">
        <v>180</v>
      </c>
      <c r="B73" s="1" t="s">
        <v>181</v>
      </c>
      <c r="C73" s="1" t="s">
        <v>182</v>
      </c>
      <c r="D73" s="2">
        <v>4530.1011487573005</v>
      </c>
      <c r="E73" s="2">
        <v>6725.0871763388996</v>
      </c>
      <c r="F73" s="2">
        <v>28491.662031040396</v>
      </c>
      <c r="G73" s="2">
        <v>57965.10171757749</v>
      </c>
      <c r="H73" s="2">
        <v>138170.96759841609</v>
      </c>
      <c r="I73" s="2">
        <v>326427.48622088809</v>
      </c>
      <c r="J73" s="2">
        <v>374541.72670873301</v>
      </c>
      <c r="K73" s="2">
        <v>369652.70122145244</v>
      </c>
      <c r="L73" s="2">
        <v>137818.91552147295</v>
      </c>
      <c r="M73" s="2">
        <v>411875.5423131673</v>
      </c>
      <c r="N73" s="2">
        <v>412194.42014979414</v>
      </c>
      <c r="O73" s="2">
        <v>425394.56946147821</v>
      </c>
      <c r="P73" s="2">
        <v>408663.52430371422</v>
      </c>
      <c r="Q73" s="2">
        <v>292271.63725748967</v>
      </c>
      <c r="R73" s="2">
        <v>372717.96103316202</v>
      </c>
      <c r="S73" s="2">
        <v>332470.79926076502</v>
      </c>
      <c r="T73" s="2">
        <v>359244.58438661299</v>
      </c>
      <c r="U73" s="2">
        <v>334934.47424154828</v>
      </c>
      <c r="V73" s="2">
        <v>338445.00032512267</v>
      </c>
      <c r="W73" s="2">
        <v>467124.29647992941</v>
      </c>
      <c r="X73" s="2">
        <v>926006.12899999984</v>
      </c>
      <c r="Y73" s="2">
        <v>801002.49294899136</v>
      </c>
      <c r="Z73" s="2">
        <v>713389.49969084281</v>
      </c>
      <c r="AA73" s="2">
        <v>560245.77793681307</v>
      </c>
      <c r="AB73" s="2">
        <v>540643.6435407924</v>
      </c>
      <c r="AC73" s="2">
        <v>508428.5349832896</v>
      </c>
      <c r="AD73" s="2">
        <v>474706.73049924901</v>
      </c>
      <c r="AE73" s="2">
        <v>553729.70659900014</v>
      </c>
      <c r="AF73" s="2">
        <v>624264.90749108943</v>
      </c>
      <c r="AG73" s="2">
        <v>653057.10251783568</v>
      </c>
      <c r="AH73" s="2">
        <v>600839.66054448788</v>
      </c>
      <c r="AI73" s="2">
        <v>561299.11348198215</v>
      </c>
    </row>
    <row r="74" spans="1:35" x14ac:dyDescent="0.2">
      <c r="A74" s="1" t="s">
        <v>180</v>
      </c>
      <c r="B74" s="1" t="s">
        <v>183</v>
      </c>
      <c r="C74" s="1" t="s">
        <v>184</v>
      </c>
      <c r="D74" s="2">
        <v>4297.241862592</v>
      </c>
      <c r="E74" s="2">
        <v>650.65825388370001</v>
      </c>
      <c r="F74" s="2">
        <v>2944.9590126129001</v>
      </c>
      <c r="G74" s="2">
        <v>10838.6770596389</v>
      </c>
      <c r="H74" s="2">
        <v>65845.024561144499</v>
      </c>
      <c r="I74" s="2">
        <v>180451.81772912748</v>
      </c>
      <c r="J74" s="2">
        <v>373917.11257912748</v>
      </c>
      <c r="K74" s="2">
        <v>423422.85608483903</v>
      </c>
      <c r="L74" s="2">
        <v>246788.6803454805</v>
      </c>
      <c r="M74" s="2">
        <v>823021.78644484363</v>
      </c>
      <c r="N74" s="2">
        <v>823425.38052094204</v>
      </c>
      <c r="O74" s="2">
        <v>989841.46971450886</v>
      </c>
      <c r="P74" s="2">
        <v>1140626.7327079934</v>
      </c>
      <c r="Q74" s="2">
        <v>1226637.4311470385</v>
      </c>
      <c r="R74" s="2">
        <v>1295095.8185088048</v>
      </c>
      <c r="S74" s="2">
        <v>1120567.8944490775</v>
      </c>
      <c r="T74" s="2">
        <v>999576.74628267996</v>
      </c>
      <c r="U74" s="2">
        <v>1020858.3160048819</v>
      </c>
      <c r="V74" s="2">
        <v>970254.95666618331</v>
      </c>
      <c r="W74" s="2">
        <v>999588.96693536069</v>
      </c>
      <c r="X74" s="2">
        <v>1405020.2050000001</v>
      </c>
      <c r="Y74" s="2">
        <v>1295966.5042213302</v>
      </c>
      <c r="Z74" s="2">
        <v>1489750.0438149795</v>
      </c>
      <c r="AA74" s="2">
        <v>798436.11220193678</v>
      </c>
      <c r="AB74" s="2">
        <v>791700.79341761954</v>
      </c>
      <c r="AC74" s="2">
        <v>1085821.1772056522</v>
      </c>
      <c r="AD74" s="2">
        <v>796052.63268657879</v>
      </c>
      <c r="AE74" s="2">
        <v>856571.10091132578</v>
      </c>
      <c r="AF74" s="2">
        <v>1008551.6700990028</v>
      </c>
      <c r="AG74" s="2">
        <v>1020196.9916249112</v>
      </c>
      <c r="AH74" s="2">
        <v>1176130.1009992131</v>
      </c>
      <c r="AI74" s="2">
        <v>1055740.1683962555</v>
      </c>
    </row>
    <row r="75" spans="1:35" x14ac:dyDescent="0.2">
      <c r="A75" s="1" t="s">
        <v>180</v>
      </c>
      <c r="B75" s="1" t="s">
        <v>185</v>
      </c>
      <c r="C75" s="1" t="s">
        <v>186</v>
      </c>
      <c r="D75" s="2">
        <v>20062.380066653401</v>
      </c>
      <c r="E75" s="2">
        <v>86707.495817968666</v>
      </c>
      <c r="F75" s="2">
        <v>140485.51418314831</v>
      </c>
      <c r="G75" s="2">
        <v>251854.33953686888</v>
      </c>
      <c r="H75" s="2">
        <v>303620.30654310132</v>
      </c>
      <c r="I75" s="2">
        <v>799332.18738647562</v>
      </c>
      <c r="J75" s="2">
        <v>1286181.7371982983</v>
      </c>
      <c r="K75" s="2">
        <v>1473803.7821895033</v>
      </c>
      <c r="L75" s="2">
        <v>548097.61808188271</v>
      </c>
      <c r="M75" s="2">
        <v>1059362.3586636249</v>
      </c>
      <c r="N75" s="2">
        <v>1031212.8322157483</v>
      </c>
      <c r="O75" s="2">
        <v>1119737.0218701034</v>
      </c>
      <c r="P75" s="2">
        <v>808392.19271832029</v>
      </c>
      <c r="Q75" s="2">
        <v>682042.30408939009</v>
      </c>
      <c r="R75" s="2">
        <v>1012262.7219320299</v>
      </c>
      <c r="S75" s="2">
        <v>907748.2809409789</v>
      </c>
      <c r="T75" s="2">
        <v>1066273.4264097016</v>
      </c>
      <c r="U75" s="2">
        <v>1231048.0600903304</v>
      </c>
      <c r="V75" s="2">
        <v>1327151.4065316021</v>
      </c>
      <c r="W75" s="2">
        <v>1115745.7744397298</v>
      </c>
      <c r="X75" s="2">
        <v>1547378.706</v>
      </c>
      <c r="Y75" s="2">
        <v>1575321.7578316377</v>
      </c>
      <c r="Z75" s="2">
        <v>1934698.3198179556</v>
      </c>
      <c r="AA75" s="2">
        <v>1896087.3676485103</v>
      </c>
      <c r="AB75" s="2">
        <v>1741461.1263208496</v>
      </c>
      <c r="AC75" s="2">
        <v>1719229.1200993422</v>
      </c>
      <c r="AD75" s="2">
        <v>1775483.0295058163</v>
      </c>
      <c r="AE75" s="2">
        <v>2228655.7788634775</v>
      </c>
      <c r="AF75" s="2">
        <v>2249189.8866262301</v>
      </c>
      <c r="AG75" s="2">
        <v>2081008.1304435614</v>
      </c>
      <c r="AH75" s="2">
        <v>2146043.1932082367</v>
      </c>
      <c r="AI75" s="2">
        <v>2185521.3409159495</v>
      </c>
    </row>
    <row r="76" spans="1:35" x14ac:dyDescent="0.2">
      <c r="A76" s="1" t="s">
        <v>180</v>
      </c>
      <c r="B76" s="1" t="s">
        <v>187</v>
      </c>
      <c r="C76" s="1" t="s">
        <v>188</v>
      </c>
      <c r="D76" s="2">
        <v>65729.501973791397</v>
      </c>
      <c r="E76" s="2">
        <v>312163.0086181048</v>
      </c>
      <c r="F76" s="2">
        <v>487534.32206673973</v>
      </c>
      <c r="G76" s="2">
        <v>644635.56016855256</v>
      </c>
      <c r="H76" s="2">
        <v>612254.0299714742</v>
      </c>
      <c r="I76" s="2">
        <v>1412274.620736303</v>
      </c>
      <c r="J76" s="2">
        <v>1891884.6364253005</v>
      </c>
      <c r="K76" s="2">
        <v>2143157.9050524831</v>
      </c>
      <c r="L76" s="2">
        <v>1528885.9991767376</v>
      </c>
      <c r="M76" s="2">
        <v>1311880.2036763974</v>
      </c>
      <c r="N76" s="2">
        <v>1238658.9257118874</v>
      </c>
      <c r="O76" s="2">
        <v>1313216.636029006</v>
      </c>
      <c r="P76" s="2">
        <v>1083242.2686660662</v>
      </c>
      <c r="Q76" s="2">
        <v>1147124.5404300203</v>
      </c>
      <c r="R76" s="2">
        <v>1117628.7060839473</v>
      </c>
      <c r="S76" s="2">
        <v>1029304.9858284449</v>
      </c>
      <c r="T76" s="2">
        <v>1097391.5558699335</v>
      </c>
      <c r="U76" s="2">
        <v>1070745.192438727</v>
      </c>
      <c r="V76" s="2">
        <v>1079390.4515355667</v>
      </c>
      <c r="W76" s="2">
        <v>1131182.1233000632</v>
      </c>
      <c r="X76" s="2">
        <v>1599890.3419999999</v>
      </c>
      <c r="Y76" s="2">
        <v>1613887.6587949831</v>
      </c>
      <c r="Z76" s="2">
        <v>1801060.2991286188</v>
      </c>
      <c r="AA76" s="2">
        <v>1783076.8653161933</v>
      </c>
      <c r="AB76" s="2">
        <v>1963209.2480830017</v>
      </c>
      <c r="AC76" s="2">
        <v>2318486.7369489432</v>
      </c>
      <c r="AD76" s="2">
        <v>2888329.2722427216</v>
      </c>
      <c r="AE76" s="2">
        <v>4761574.4381002206</v>
      </c>
      <c r="AF76" s="2">
        <v>4448628.6208379893</v>
      </c>
      <c r="AG76" s="2">
        <v>4525614.6889549345</v>
      </c>
      <c r="AH76" s="2">
        <v>3152078.7611864307</v>
      </c>
      <c r="AI76" s="2">
        <v>3970189.9027630333</v>
      </c>
    </row>
    <row r="77" spans="1:35" x14ac:dyDescent="0.2">
      <c r="A77" s="1" t="s">
        <v>180</v>
      </c>
      <c r="B77" s="1" t="s">
        <v>189</v>
      </c>
      <c r="C77" s="1" t="s">
        <v>190</v>
      </c>
      <c r="D77" s="2">
        <v>101941.17810972899</v>
      </c>
      <c r="E77" s="2">
        <v>522065.84688696428</v>
      </c>
      <c r="F77" s="2">
        <v>1207012.0082553872</v>
      </c>
      <c r="G77" s="2">
        <v>2048283.6612865215</v>
      </c>
      <c r="H77" s="2">
        <v>4566518.1074699247</v>
      </c>
      <c r="I77" s="2">
        <v>8953197.55488801</v>
      </c>
      <c r="J77" s="2">
        <v>10688864.859006578</v>
      </c>
      <c r="K77" s="2">
        <v>11546476.02669253</v>
      </c>
      <c r="L77" s="2">
        <v>11531261.51127841</v>
      </c>
      <c r="M77" s="2">
        <v>8156732.5206408165</v>
      </c>
      <c r="N77" s="2">
        <v>8149398.214664395</v>
      </c>
      <c r="O77" s="2">
        <v>8362328.0559822293</v>
      </c>
      <c r="P77" s="2">
        <v>10080998.296239531</v>
      </c>
      <c r="Q77" s="2">
        <v>8103022.2674184851</v>
      </c>
      <c r="R77" s="2">
        <v>9734713.180599561</v>
      </c>
      <c r="S77" s="2">
        <v>9280936.0231581386</v>
      </c>
      <c r="T77" s="2">
        <v>8678540.1558614019</v>
      </c>
      <c r="U77" s="2">
        <v>9243638.3707046751</v>
      </c>
      <c r="V77" s="2">
        <v>9695958.0921781715</v>
      </c>
      <c r="W77" s="2">
        <v>10890201.123049995</v>
      </c>
      <c r="X77" s="2">
        <v>12713434.362</v>
      </c>
      <c r="Y77" s="2">
        <v>13363911.4010613</v>
      </c>
      <c r="Z77" s="2">
        <v>14484333.345226344</v>
      </c>
      <c r="AA77" s="2">
        <v>15647803.413031854</v>
      </c>
      <c r="AB77" s="2">
        <v>13253881.728962146</v>
      </c>
      <c r="AC77" s="2">
        <v>12812751.951644251</v>
      </c>
      <c r="AD77" s="2">
        <v>12065931.500133602</v>
      </c>
      <c r="AE77" s="2">
        <v>11550594.924721749</v>
      </c>
      <c r="AF77" s="2">
        <v>10618581.410456562</v>
      </c>
      <c r="AG77" s="2">
        <v>10463299.175266851</v>
      </c>
      <c r="AH77" s="2">
        <v>10892654.440298138</v>
      </c>
      <c r="AI77" s="2">
        <v>11507898.314568682</v>
      </c>
    </row>
    <row r="78" spans="1:35" x14ac:dyDescent="0.2">
      <c r="A78" s="1" t="s">
        <v>191</v>
      </c>
      <c r="B78" s="1" t="s">
        <v>192</v>
      </c>
      <c r="C78" s="1" t="s">
        <v>193</v>
      </c>
      <c r="D78" s="2">
        <v>2412.0049098555996</v>
      </c>
      <c r="E78" s="2">
        <v>23968.775059418702</v>
      </c>
      <c r="F78" s="2">
        <v>14978.840456342201</v>
      </c>
      <c r="G78" s="2">
        <v>31294.127616423702</v>
      </c>
      <c r="H78" s="2">
        <v>80294.215215803386</v>
      </c>
      <c r="I78" s="2">
        <v>98934.644587538191</v>
      </c>
      <c r="J78" s="2">
        <v>254770.6008703041</v>
      </c>
      <c r="K78" s="2">
        <v>315484.99140894058</v>
      </c>
      <c r="L78" s="2">
        <v>127766.1655792274</v>
      </c>
      <c r="M78" s="2">
        <v>207718.96633465664</v>
      </c>
      <c r="N78" s="2">
        <v>218619.68142665349</v>
      </c>
      <c r="O78" s="2">
        <v>203456.62118610457</v>
      </c>
      <c r="P78" s="2">
        <v>104986.76467655181</v>
      </c>
      <c r="Q78" s="2">
        <v>72464.142656219003</v>
      </c>
      <c r="R78" s="2">
        <v>113555.19599418763</v>
      </c>
      <c r="S78" s="2">
        <v>118504.5333805945</v>
      </c>
      <c r="T78" s="2">
        <v>208132.99634084501</v>
      </c>
      <c r="U78" s="2">
        <v>147501.74253133297</v>
      </c>
      <c r="V78" s="2">
        <v>127589.4459961822</v>
      </c>
      <c r="W78" s="2">
        <v>153594.1371949272</v>
      </c>
      <c r="X78" s="2">
        <v>241854.54899999997</v>
      </c>
      <c r="Y78" s="2">
        <v>223526.92648633954</v>
      </c>
      <c r="Z78" s="2">
        <v>233228.5720366571</v>
      </c>
      <c r="AA78" s="2">
        <v>190377.71033971963</v>
      </c>
      <c r="AB78" s="2">
        <v>263170.1889046437</v>
      </c>
      <c r="AC78" s="2">
        <v>250134.38408087191</v>
      </c>
      <c r="AD78" s="2">
        <v>239084.63754004962</v>
      </c>
      <c r="AE78" s="2">
        <v>236106.81539129323</v>
      </c>
      <c r="AF78" s="2">
        <v>250459.28388189519</v>
      </c>
      <c r="AG78" s="2">
        <v>260336.43628945344</v>
      </c>
      <c r="AH78" s="2">
        <v>371419.64322126581</v>
      </c>
      <c r="AI78" s="2">
        <v>357553.31450471602</v>
      </c>
    </row>
    <row r="79" spans="1:35" x14ac:dyDescent="0.2">
      <c r="A79" s="1" t="s">
        <v>191</v>
      </c>
      <c r="B79" s="1" t="s">
        <v>194</v>
      </c>
      <c r="C79" s="1" t="s">
        <v>195</v>
      </c>
      <c r="D79" s="2">
        <v>3622.5508894487998</v>
      </c>
      <c r="E79" s="2">
        <v>25640.546765243696</v>
      </c>
      <c r="F79" s="2">
        <v>13655.475203434698</v>
      </c>
      <c r="G79" s="2">
        <v>48442.563893152001</v>
      </c>
      <c r="H79" s="2">
        <v>187748.91394429395</v>
      </c>
      <c r="I79" s="2">
        <v>296820.77981751901</v>
      </c>
      <c r="J79" s="2">
        <v>768599.12915482267</v>
      </c>
      <c r="K79" s="2">
        <v>1144168.8799142831</v>
      </c>
      <c r="L79" s="2">
        <v>1547937.8452056095</v>
      </c>
      <c r="M79" s="2">
        <v>1184756.1685965203</v>
      </c>
      <c r="N79" s="2">
        <v>1257197.5243513051</v>
      </c>
      <c r="O79" s="2">
        <v>1270492.7799644319</v>
      </c>
      <c r="P79" s="2">
        <v>1342718.4333619629</v>
      </c>
      <c r="Q79" s="2">
        <v>1121551.6467920218</v>
      </c>
      <c r="R79" s="2">
        <v>1196412.8366642005</v>
      </c>
      <c r="S79" s="2">
        <v>1462985.242835403</v>
      </c>
      <c r="T79" s="2">
        <v>2537910.1096276212</v>
      </c>
      <c r="U79" s="2">
        <v>1522580.1919390699</v>
      </c>
      <c r="V79" s="2">
        <v>1375493.8430980959</v>
      </c>
      <c r="W79" s="2">
        <v>1778615.5026553094</v>
      </c>
      <c r="X79" s="2">
        <v>2168691.8520000004</v>
      </c>
      <c r="Y79" s="2">
        <v>2417281.0746196695</v>
      </c>
      <c r="Z79" s="2">
        <v>2292348.8957312205</v>
      </c>
      <c r="AA79" s="2">
        <v>2024544.640619189</v>
      </c>
      <c r="AB79" s="2">
        <v>2915449.2129554418</v>
      </c>
      <c r="AC79" s="2">
        <v>2309505.7560510868</v>
      </c>
      <c r="AD79" s="2">
        <v>2032139.6145213633</v>
      </c>
      <c r="AE79" s="2">
        <v>1746235.3519136889</v>
      </c>
      <c r="AF79" s="2">
        <v>1834642.0413409884</v>
      </c>
      <c r="AG79" s="2">
        <v>1836495.6140730011</v>
      </c>
      <c r="AH79" s="2">
        <v>2002662.0149360315</v>
      </c>
      <c r="AI79" s="2">
        <v>1890902.5048125766</v>
      </c>
    </row>
    <row r="80" spans="1:35" x14ac:dyDescent="0.2">
      <c r="A80" s="1" t="s">
        <v>191</v>
      </c>
      <c r="B80" s="1" t="s">
        <v>196</v>
      </c>
      <c r="C80" s="1" t="s">
        <v>197</v>
      </c>
      <c r="D80" s="2">
        <v>3930.5821221916995</v>
      </c>
      <c r="E80" s="2">
        <v>3444.2525505550998</v>
      </c>
      <c r="F80" s="2">
        <v>2684.5409416114999</v>
      </c>
      <c r="G80" s="2">
        <v>32812.934512890999</v>
      </c>
      <c r="H80" s="2">
        <v>46030.876306116501</v>
      </c>
      <c r="I80" s="2">
        <v>48376.797775753708</v>
      </c>
      <c r="J80" s="2">
        <v>98070.651789688782</v>
      </c>
      <c r="K80" s="2">
        <v>106981.01521743911</v>
      </c>
      <c r="L80" s="2">
        <v>40076.83487801491</v>
      </c>
      <c r="M80" s="2">
        <v>179723.62669546495</v>
      </c>
      <c r="N80" s="2">
        <v>195106.66981785969</v>
      </c>
      <c r="O80" s="2">
        <v>220561.66882957518</v>
      </c>
      <c r="P80" s="2">
        <v>172306.95427697772</v>
      </c>
      <c r="Q80" s="2">
        <v>170714.26860843983</v>
      </c>
      <c r="R80" s="2">
        <v>281086.97765096062</v>
      </c>
      <c r="S80" s="2">
        <v>229115.34035405613</v>
      </c>
      <c r="T80" s="2">
        <v>309780.78297943866</v>
      </c>
      <c r="U80" s="2">
        <v>235770.69057567714</v>
      </c>
      <c r="V80" s="2">
        <v>203203.20704225198</v>
      </c>
      <c r="W80" s="2">
        <v>284111.61477766425</v>
      </c>
      <c r="X80" s="2">
        <v>486675.14399999991</v>
      </c>
      <c r="Y80" s="2">
        <v>529215.77474157873</v>
      </c>
      <c r="Z80" s="2">
        <v>531497.91888961568</v>
      </c>
      <c r="AA80" s="2">
        <v>333268.3359523422</v>
      </c>
      <c r="AB80" s="2">
        <v>499888.74185131624</v>
      </c>
      <c r="AC80" s="2">
        <v>460671.14209560538</v>
      </c>
      <c r="AD80" s="2">
        <v>444214.90108001913</v>
      </c>
      <c r="AE80" s="2">
        <v>511759.45866637898</v>
      </c>
      <c r="AF80" s="2">
        <v>713690.14002759638</v>
      </c>
      <c r="AG80" s="2">
        <v>563229.40130726923</v>
      </c>
      <c r="AH80" s="2">
        <v>640779.61143767543</v>
      </c>
      <c r="AI80" s="2">
        <v>786244.85209775169</v>
      </c>
    </row>
    <row r="81" spans="1:35" x14ac:dyDescent="0.2">
      <c r="A81" s="1" t="s">
        <v>191</v>
      </c>
      <c r="B81" s="1" t="s">
        <v>198</v>
      </c>
      <c r="C81" s="1" t="s">
        <v>199</v>
      </c>
      <c r="D81" s="2">
        <v>2041.1579342665002</v>
      </c>
      <c r="E81" s="2">
        <v>1188.3678390803</v>
      </c>
      <c r="F81" s="2">
        <v>1325.7284051445001</v>
      </c>
      <c r="G81" s="2">
        <v>9804.1835025331002</v>
      </c>
      <c r="H81" s="2">
        <v>47833.687057557487</v>
      </c>
      <c r="I81" s="2">
        <v>88517.055922023617</v>
      </c>
      <c r="J81" s="2">
        <v>248087.30400873427</v>
      </c>
      <c r="K81" s="2">
        <v>252714.50266561747</v>
      </c>
      <c r="L81" s="2">
        <v>54566.001293525296</v>
      </c>
      <c r="M81" s="2">
        <v>117071.12144178679</v>
      </c>
      <c r="N81" s="2">
        <v>118577.2990817284</v>
      </c>
      <c r="O81" s="2">
        <v>157135.29764724142</v>
      </c>
      <c r="P81" s="2">
        <v>147360.58875575979</v>
      </c>
      <c r="Q81" s="2">
        <v>133230.91974918349</v>
      </c>
      <c r="R81" s="2">
        <v>129129.20796795111</v>
      </c>
      <c r="S81" s="2">
        <v>147141.92885570857</v>
      </c>
      <c r="T81" s="2">
        <v>247738.1805938085</v>
      </c>
      <c r="U81" s="2">
        <v>173696.04642083627</v>
      </c>
      <c r="V81" s="2">
        <v>160856.29840686193</v>
      </c>
      <c r="W81" s="2">
        <v>180711.73896383215</v>
      </c>
      <c r="X81" s="2">
        <v>303614.35200000001</v>
      </c>
      <c r="Y81" s="2">
        <v>319275.53702079173</v>
      </c>
      <c r="Z81" s="2">
        <v>256057.32577772852</v>
      </c>
      <c r="AA81" s="2">
        <v>181020.38902317311</v>
      </c>
      <c r="AB81" s="2">
        <v>301918.39580189798</v>
      </c>
      <c r="AC81" s="2">
        <v>233936.60733611882</v>
      </c>
      <c r="AD81" s="2">
        <v>256236.97101374465</v>
      </c>
      <c r="AE81" s="2">
        <v>510799.35895496776</v>
      </c>
      <c r="AF81" s="2">
        <v>449066.26847663091</v>
      </c>
      <c r="AG81" s="2">
        <v>582245.86154427996</v>
      </c>
      <c r="AH81" s="2">
        <v>703018.07095201232</v>
      </c>
      <c r="AI81" s="2">
        <v>861299.77774271683</v>
      </c>
    </row>
    <row r="82" spans="1:35" x14ac:dyDescent="0.2">
      <c r="A82" s="1" t="s">
        <v>200</v>
      </c>
      <c r="B82" s="1" t="s">
        <v>201</v>
      </c>
      <c r="C82" s="1" t="s">
        <v>202</v>
      </c>
      <c r="G82" s="2">
        <v>199961.75231194112</v>
      </c>
      <c r="H82" s="2">
        <v>541596.41831916443</v>
      </c>
      <c r="I82" s="2">
        <v>1121226.0506543273</v>
      </c>
      <c r="J82" s="2">
        <v>962494.52853956248</v>
      </c>
      <c r="K82" s="2">
        <v>1368774.3354532393</v>
      </c>
      <c r="L82" s="2">
        <v>651001.13910902012</v>
      </c>
      <c r="M82" s="2">
        <v>1066023.810350104</v>
      </c>
      <c r="N82" s="2">
        <v>1062241.3903973212</v>
      </c>
      <c r="O82" s="2">
        <v>1061892.8106338524</v>
      </c>
      <c r="P82" s="2">
        <v>1171549.795362063</v>
      </c>
      <c r="Q82" s="2">
        <v>1262988.4773815705</v>
      </c>
      <c r="R82" s="2">
        <v>1345987.0660847719</v>
      </c>
      <c r="S82" s="2">
        <v>1270098.9647046197</v>
      </c>
      <c r="T82" s="2">
        <v>1323720.2319842242</v>
      </c>
      <c r="U82" s="2">
        <v>1365399.2033491884</v>
      </c>
      <c r="V82" s="2">
        <v>1483452.3170849998</v>
      </c>
      <c r="W82" s="2">
        <v>1678297.2631537339</v>
      </c>
      <c r="X82" s="2">
        <v>1822348.9780000001</v>
      </c>
      <c r="Y82" s="2">
        <v>2242377.9530786625</v>
      </c>
      <c r="Z82" s="2">
        <v>2259276.732458557</v>
      </c>
      <c r="AA82" s="2">
        <v>2457218.7347533875</v>
      </c>
      <c r="AB82" s="2">
        <v>2603152.7439481183</v>
      </c>
      <c r="AC82" s="2">
        <v>2450735.4778662878</v>
      </c>
      <c r="AD82" s="2">
        <v>2290674.6502088853</v>
      </c>
      <c r="AE82" s="2">
        <v>2461233.0498727313</v>
      </c>
      <c r="AF82" s="2">
        <v>2217083.5659901924</v>
      </c>
      <c r="AG82" s="2">
        <v>2297439.5521258274</v>
      </c>
      <c r="AH82" s="2">
        <v>2175588.2553824708</v>
      </c>
      <c r="AI82" s="2">
        <v>2096455.2029098591</v>
      </c>
    </row>
    <row r="83" spans="1:35" x14ac:dyDescent="0.2">
      <c r="A83" s="1" t="s">
        <v>200</v>
      </c>
      <c r="B83" s="1" t="s">
        <v>203</v>
      </c>
      <c r="C83" s="1" t="s">
        <v>204</v>
      </c>
      <c r="F83" s="2">
        <v>1385.0652145674001</v>
      </c>
      <c r="G83" s="2">
        <v>122969.06839504659</v>
      </c>
      <c r="H83" s="2">
        <v>278121.72602220473</v>
      </c>
      <c r="I83" s="2">
        <v>420722.89361729496</v>
      </c>
      <c r="J83" s="2">
        <v>576865.13812126627</v>
      </c>
      <c r="K83" s="2">
        <v>727259.93467576429</v>
      </c>
      <c r="L83" s="2">
        <v>191381.37371299701</v>
      </c>
      <c r="M83" s="2">
        <v>581481.42711724737</v>
      </c>
      <c r="N83" s="2">
        <v>546040.70256565523</v>
      </c>
      <c r="O83" s="2">
        <v>615822.86550449417</v>
      </c>
      <c r="P83" s="2">
        <v>730875.2087941129</v>
      </c>
      <c r="Q83" s="2">
        <v>683495.38929736917</v>
      </c>
      <c r="R83" s="2">
        <v>677590.02259743982</v>
      </c>
      <c r="S83" s="2">
        <v>562229.84301297716</v>
      </c>
      <c r="T83" s="2">
        <v>561381.38160177658</v>
      </c>
      <c r="U83" s="2">
        <v>625023.32889880729</v>
      </c>
      <c r="V83" s="2">
        <v>702988.26955283084</v>
      </c>
      <c r="W83" s="2">
        <v>777315.38992046728</v>
      </c>
      <c r="X83" s="2">
        <v>720574.27300000016</v>
      </c>
      <c r="Y83" s="2">
        <v>837840.12458972738</v>
      </c>
      <c r="Z83" s="2">
        <v>827121.73673991079</v>
      </c>
      <c r="AA83" s="2">
        <v>864505.04800585599</v>
      </c>
      <c r="AB83" s="2">
        <v>941467.39720159746</v>
      </c>
      <c r="AC83" s="2">
        <v>863562.15382437268</v>
      </c>
      <c r="AD83" s="2">
        <v>818584.60745849053</v>
      </c>
      <c r="AE83" s="2">
        <v>828248.46538380859</v>
      </c>
      <c r="AF83" s="2">
        <v>883816.86347227555</v>
      </c>
      <c r="AG83" s="2">
        <v>840469.10808779218</v>
      </c>
      <c r="AH83" s="2">
        <v>1034964.2614843526</v>
      </c>
      <c r="AI83" s="2">
        <v>1066343.4327497596</v>
      </c>
    </row>
    <row r="84" spans="1:35" x14ac:dyDescent="0.2">
      <c r="A84" s="1" t="s">
        <v>200</v>
      </c>
      <c r="B84" s="1" t="s">
        <v>205</v>
      </c>
      <c r="C84" s="1" t="s">
        <v>206</v>
      </c>
      <c r="D84" s="2">
        <v>717.28751740860002</v>
      </c>
      <c r="E84" s="2">
        <v>13628.670136373901</v>
      </c>
      <c r="F84" s="2">
        <v>240359.70370496658</v>
      </c>
      <c r="G84" s="2">
        <v>1008347.5437887765</v>
      </c>
      <c r="H84" s="2">
        <v>1759972.3225053642</v>
      </c>
      <c r="I84" s="2">
        <v>4329534.3228190616</v>
      </c>
      <c r="J84" s="2">
        <v>5613818.7236215957</v>
      </c>
      <c r="K84" s="2">
        <v>6350074.3230965966</v>
      </c>
      <c r="L84" s="2">
        <v>5477118.8790887697</v>
      </c>
      <c r="M84" s="2">
        <v>5603408.1046576547</v>
      </c>
      <c r="N84" s="2">
        <v>5611350.3030048031</v>
      </c>
      <c r="O84" s="2">
        <v>5499448.6793844718</v>
      </c>
      <c r="P84" s="2">
        <v>6126672.9173593204</v>
      </c>
      <c r="Q84" s="2">
        <v>6647671.1953648916</v>
      </c>
      <c r="R84" s="2">
        <v>7035559.4884342812</v>
      </c>
      <c r="S84" s="2">
        <v>6591645.9854683187</v>
      </c>
      <c r="T84" s="2">
        <v>6456679.1020898744</v>
      </c>
      <c r="U84" s="2">
        <v>6996507.9430680061</v>
      </c>
      <c r="V84" s="2">
        <v>7037312.9752360573</v>
      </c>
      <c r="W84" s="2">
        <v>7411360.6044491902</v>
      </c>
      <c r="X84" s="2">
        <v>7618421.7880000025</v>
      </c>
      <c r="Y84" s="2">
        <v>8497525.2673204169</v>
      </c>
      <c r="Z84" s="2">
        <v>8901253.7901192978</v>
      </c>
      <c r="AA84" s="2">
        <v>9105219.0637310427</v>
      </c>
      <c r="AB84" s="2">
        <v>9164623.3537323233</v>
      </c>
      <c r="AC84" s="2">
        <v>8507514.0879320186</v>
      </c>
      <c r="AD84" s="2">
        <v>8317559.3686838057</v>
      </c>
      <c r="AE84" s="2">
        <v>8348484.3189583495</v>
      </c>
      <c r="AF84" s="2">
        <v>7778956.369318177</v>
      </c>
      <c r="AG84" s="2">
        <v>8187701.1612941734</v>
      </c>
      <c r="AH84" s="2">
        <v>8560876.3591164816</v>
      </c>
      <c r="AI84" s="2">
        <v>8625504.3567828778</v>
      </c>
    </row>
    <row r="85" spans="1:35" x14ac:dyDescent="0.2">
      <c r="A85" s="1" t="s">
        <v>200</v>
      </c>
      <c r="B85" s="1" t="s">
        <v>207</v>
      </c>
      <c r="C85" s="1" t="s">
        <v>208</v>
      </c>
      <c r="D85" s="2">
        <v>8998.1169636416998</v>
      </c>
      <c r="E85" s="2">
        <v>16615.603565450201</v>
      </c>
      <c r="F85" s="2">
        <v>188994.58234837919</v>
      </c>
      <c r="G85" s="2">
        <v>262937.75333268876</v>
      </c>
      <c r="H85" s="2">
        <v>496155.61756350467</v>
      </c>
      <c r="I85" s="2">
        <v>958195.42041156709</v>
      </c>
      <c r="J85" s="2">
        <v>1570338.7482671777</v>
      </c>
      <c r="K85" s="2">
        <v>1744309.718953596</v>
      </c>
      <c r="L85" s="2">
        <v>553434.61767397262</v>
      </c>
      <c r="M85" s="2">
        <v>878259.1200813303</v>
      </c>
      <c r="N85" s="2">
        <v>917132.59454033058</v>
      </c>
      <c r="O85" s="2">
        <v>897987.06189549272</v>
      </c>
      <c r="P85" s="2">
        <v>989216.62493551627</v>
      </c>
      <c r="Q85" s="2">
        <v>1001251.6708059836</v>
      </c>
      <c r="R85" s="2">
        <v>1051924.7870848409</v>
      </c>
      <c r="S85" s="2">
        <v>993394.78841001028</v>
      </c>
      <c r="T85" s="2">
        <v>1005825.223894441</v>
      </c>
      <c r="U85" s="2">
        <v>1009184.387350007</v>
      </c>
      <c r="V85" s="2">
        <v>1050584.6282990908</v>
      </c>
      <c r="W85" s="2">
        <v>1034187.8896412537</v>
      </c>
      <c r="X85" s="2">
        <v>1069756.4829999998</v>
      </c>
      <c r="Y85" s="2">
        <v>1250087.7220270347</v>
      </c>
      <c r="Z85" s="2">
        <v>1254445.7682066946</v>
      </c>
      <c r="AA85" s="2">
        <v>1293072.0687198979</v>
      </c>
      <c r="AB85" s="2">
        <v>1269625.6911055048</v>
      </c>
      <c r="AC85" s="2">
        <v>1263429.7681660689</v>
      </c>
      <c r="AD85" s="2">
        <v>1273829.5323152631</v>
      </c>
      <c r="AE85" s="2">
        <v>1279107.9855041117</v>
      </c>
      <c r="AF85" s="2">
        <v>1282942.8294675814</v>
      </c>
      <c r="AG85" s="2">
        <v>1238378.6356040689</v>
      </c>
      <c r="AH85" s="2">
        <v>1290154.08288985</v>
      </c>
      <c r="AI85" s="2">
        <v>1165059.2002243891</v>
      </c>
    </row>
    <row r="86" spans="1:35" x14ac:dyDescent="0.2">
      <c r="A86" s="1" t="s">
        <v>200</v>
      </c>
      <c r="B86" s="1" t="s">
        <v>209</v>
      </c>
      <c r="C86" s="1" t="s">
        <v>210</v>
      </c>
      <c r="D86" s="2">
        <v>26347.821121776502</v>
      </c>
      <c r="E86" s="2">
        <v>68208.776350914093</v>
      </c>
      <c r="F86" s="2">
        <v>247741.70303704703</v>
      </c>
      <c r="G86" s="2">
        <v>352616.72455721878</v>
      </c>
      <c r="H86" s="2">
        <v>887840.03601425001</v>
      </c>
      <c r="I86" s="2">
        <v>2416419.0589691382</v>
      </c>
      <c r="J86" s="2">
        <v>3599757.0157256918</v>
      </c>
      <c r="K86" s="2">
        <v>4103609.5214338684</v>
      </c>
      <c r="L86" s="2">
        <v>3047458.3317725286</v>
      </c>
      <c r="M86" s="2">
        <v>2733392.6577817346</v>
      </c>
      <c r="N86" s="2">
        <v>2924864.0471157813</v>
      </c>
      <c r="O86" s="2">
        <v>3204183.9489993006</v>
      </c>
      <c r="P86" s="2">
        <v>3764052.6711767451</v>
      </c>
      <c r="Q86" s="2">
        <v>4441290.7913252078</v>
      </c>
      <c r="R86" s="2">
        <v>4784507.7248347541</v>
      </c>
      <c r="S86" s="2">
        <v>4442528.7915908163</v>
      </c>
      <c r="T86" s="2">
        <v>4184416.7469920297</v>
      </c>
      <c r="U86" s="2">
        <v>4502269.1744819852</v>
      </c>
      <c r="V86" s="2">
        <v>4247329.9594564084</v>
      </c>
      <c r="W86" s="2">
        <v>4113228.7759479685</v>
      </c>
      <c r="X86" s="2">
        <v>4153084.5580000002</v>
      </c>
      <c r="Y86" s="2">
        <v>4670511.2468411531</v>
      </c>
      <c r="Z86" s="2">
        <v>4732820.2061294764</v>
      </c>
      <c r="AA86" s="2">
        <v>4791848.9938104209</v>
      </c>
      <c r="AB86" s="2">
        <v>5127953.8429540284</v>
      </c>
      <c r="AC86" s="2">
        <v>5077987.5050928518</v>
      </c>
      <c r="AD86" s="2">
        <v>5485733.6782573219</v>
      </c>
      <c r="AE86" s="2">
        <v>6103430.3552214466</v>
      </c>
      <c r="AF86" s="2">
        <v>5896120.8819956519</v>
      </c>
      <c r="AG86" s="2">
        <v>6063157.1642527524</v>
      </c>
      <c r="AH86" s="2">
        <v>6251935.0537147392</v>
      </c>
      <c r="AI86" s="2">
        <v>6513152.585713082</v>
      </c>
    </row>
    <row r="87" spans="1:35" x14ac:dyDescent="0.2">
      <c r="A87" s="1" t="s">
        <v>200</v>
      </c>
      <c r="B87" s="1" t="s">
        <v>211</v>
      </c>
      <c r="C87" s="1" t="s">
        <v>212</v>
      </c>
      <c r="D87" s="2">
        <v>1940.266410099</v>
      </c>
      <c r="E87" s="2">
        <v>1064.4253079182999</v>
      </c>
      <c r="F87" s="2">
        <v>11695.614575404201</v>
      </c>
      <c r="G87" s="2">
        <v>33497.9582786596</v>
      </c>
      <c r="H87" s="2">
        <v>393311.36920432979</v>
      </c>
      <c r="I87" s="2">
        <v>1309455.836201407</v>
      </c>
      <c r="J87" s="2">
        <v>2696011.3032526481</v>
      </c>
      <c r="K87" s="2">
        <v>2579647.6713368664</v>
      </c>
      <c r="L87" s="2">
        <v>2402449.3043815573</v>
      </c>
      <c r="M87" s="2">
        <v>6119628.0236829538</v>
      </c>
      <c r="N87" s="2">
        <v>7075382.4518665886</v>
      </c>
      <c r="O87" s="2">
        <v>6795368.0409508804</v>
      </c>
      <c r="P87" s="2">
        <v>6779605.9563251669</v>
      </c>
      <c r="Q87" s="2">
        <v>6196728.8123205919</v>
      </c>
      <c r="R87" s="2">
        <v>6480515.2086518863</v>
      </c>
      <c r="S87" s="2">
        <v>6345634.6697581634</v>
      </c>
      <c r="T87" s="2">
        <v>7090389.8664316423</v>
      </c>
      <c r="U87" s="2">
        <v>7411856.99966125</v>
      </c>
      <c r="V87" s="2">
        <v>7121599.0036555631</v>
      </c>
      <c r="W87" s="2">
        <v>7421824.5289054429</v>
      </c>
      <c r="X87" s="2">
        <v>6640710.2620000001</v>
      </c>
      <c r="Y87" s="2">
        <v>6992332.7010190133</v>
      </c>
      <c r="Z87" s="2">
        <v>7580396.6979412939</v>
      </c>
      <c r="AA87" s="2">
        <v>7738693.2034522612</v>
      </c>
      <c r="AB87" s="2">
        <v>7353990.8826730922</v>
      </c>
      <c r="AC87" s="2">
        <v>8849733.6314596981</v>
      </c>
      <c r="AD87" s="2">
        <v>9220037.4019822348</v>
      </c>
      <c r="AE87" s="2">
        <v>8823703.6921134368</v>
      </c>
      <c r="AF87" s="2">
        <v>9207213.2984448373</v>
      </c>
      <c r="AG87" s="2">
        <v>9169361.7977169678</v>
      </c>
      <c r="AH87" s="2">
        <v>11048744.528359078</v>
      </c>
      <c r="AI87" s="2">
        <v>10460705.119403474</v>
      </c>
    </row>
    <row r="88" spans="1:35" x14ac:dyDescent="0.2">
      <c r="A88" s="1" t="s">
        <v>200</v>
      </c>
      <c r="B88" s="1" t="s">
        <v>213</v>
      </c>
      <c r="C88" s="1" t="s">
        <v>214</v>
      </c>
      <c r="G88" s="2">
        <v>84621.440074946993</v>
      </c>
      <c r="H88" s="2">
        <v>218576.75319740921</v>
      </c>
      <c r="I88" s="2">
        <v>540696.70096300216</v>
      </c>
      <c r="J88" s="2">
        <v>692852.83297671948</v>
      </c>
      <c r="K88" s="2">
        <v>840498.10191035818</v>
      </c>
      <c r="L88" s="2">
        <v>699865.42468072241</v>
      </c>
      <c r="M88" s="2">
        <v>863815.74618632998</v>
      </c>
      <c r="N88" s="2">
        <v>832185.29504759656</v>
      </c>
      <c r="O88" s="2">
        <v>904597.62572872045</v>
      </c>
      <c r="P88" s="2">
        <v>1786174.3104536545</v>
      </c>
      <c r="Q88" s="2">
        <v>1643233.4921744463</v>
      </c>
      <c r="R88" s="2">
        <v>1772963.7310429544</v>
      </c>
      <c r="S88" s="2">
        <v>1717199.1454958322</v>
      </c>
      <c r="T88" s="2">
        <v>1463026.256262193</v>
      </c>
      <c r="U88" s="2">
        <v>1940825.7067797238</v>
      </c>
      <c r="V88" s="2">
        <v>2012878.4534762786</v>
      </c>
      <c r="W88" s="2">
        <v>2096454.7144123018</v>
      </c>
      <c r="X88" s="2">
        <v>2231818.8000000003</v>
      </c>
      <c r="Y88" s="2">
        <v>2290241.9678687216</v>
      </c>
      <c r="Z88" s="2">
        <v>2425977.3348581125</v>
      </c>
      <c r="AA88" s="2">
        <v>2464690.620430809</v>
      </c>
      <c r="AB88" s="2">
        <v>2144390.3590201191</v>
      </c>
      <c r="AC88" s="2">
        <v>2112925.6227067099</v>
      </c>
      <c r="AD88" s="2">
        <v>2301562.5541829676</v>
      </c>
      <c r="AE88" s="2">
        <v>2426801.6346007786</v>
      </c>
      <c r="AF88" s="2">
        <v>2262316.1985413195</v>
      </c>
      <c r="AG88" s="2">
        <v>2203515.2631892143</v>
      </c>
      <c r="AH88" s="2">
        <v>2089301.3912681015</v>
      </c>
      <c r="AI88" s="2">
        <v>2151149.3686443344</v>
      </c>
    </row>
    <row r="89" spans="1:35" x14ac:dyDescent="0.2">
      <c r="A89" s="1" t="s">
        <v>200</v>
      </c>
      <c r="B89" s="1" t="s">
        <v>215</v>
      </c>
      <c r="C89" s="1" t="s">
        <v>216</v>
      </c>
      <c r="D89" s="2">
        <v>2414.1409726695001</v>
      </c>
      <c r="E89" s="2">
        <v>2835.9511158961</v>
      </c>
      <c r="F89" s="2">
        <v>69101.036308619397</v>
      </c>
      <c r="G89" s="2">
        <v>266138.26517160563</v>
      </c>
      <c r="H89" s="2">
        <v>490533.70757225843</v>
      </c>
      <c r="I89" s="2">
        <v>1319942.6957348397</v>
      </c>
      <c r="J89" s="2">
        <v>1776203.9078765437</v>
      </c>
      <c r="K89" s="2">
        <v>1331717.5617055087</v>
      </c>
      <c r="L89" s="2">
        <v>621270.36326467653</v>
      </c>
      <c r="M89" s="2">
        <v>1894132.7253542265</v>
      </c>
      <c r="N89" s="2">
        <v>1774728.031430342</v>
      </c>
      <c r="O89" s="2">
        <v>2338682.737693246</v>
      </c>
      <c r="P89" s="2">
        <v>2660300.4601329067</v>
      </c>
      <c r="Q89" s="2">
        <v>2405201.8784062164</v>
      </c>
      <c r="R89" s="2">
        <v>2836546.5763122491</v>
      </c>
      <c r="S89" s="2">
        <v>2523341.0246148072</v>
      </c>
      <c r="T89" s="2">
        <v>1971903.9727109957</v>
      </c>
      <c r="U89" s="2">
        <v>2879287.0791299306</v>
      </c>
      <c r="V89" s="2">
        <v>2562838.9394479278</v>
      </c>
      <c r="W89" s="2">
        <v>2373636.730168201</v>
      </c>
      <c r="X89" s="2">
        <v>2555023.4909999999</v>
      </c>
      <c r="Y89" s="2">
        <v>2588499.7345015747</v>
      </c>
      <c r="Z89" s="2">
        <v>2908620.898111288</v>
      </c>
      <c r="AA89" s="2">
        <v>2846952.5973750907</v>
      </c>
      <c r="AB89" s="2">
        <v>2180984.2303116964</v>
      </c>
      <c r="AC89" s="2">
        <v>2550777.3925327165</v>
      </c>
      <c r="AD89" s="2">
        <v>3159899.3762650038</v>
      </c>
      <c r="AE89" s="2">
        <v>2741601.1350701475</v>
      </c>
      <c r="AF89" s="2">
        <v>2615652.6226555295</v>
      </c>
      <c r="AG89" s="2">
        <v>2575071.4435494412</v>
      </c>
      <c r="AH89" s="2">
        <v>2580161.4615932931</v>
      </c>
      <c r="AI89" s="2">
        <v>2675541.8074430381</v>
      </c>
    </row>
    <row r="90" spans="1:35" x14ac:dyDescent="0.2">
      <c r="A90" s="1" t="s">
        <v>200</v>
      </c>
      <c r="B90" s="1" t="s">
        <v>217</v>
      </c>
      <c r="C90" s="1" t="s">
        <v>218</v>
      </c>
      <c r="D90" s="2">
        <v>17768.248791116701</v>
      </c>
      <c r="E90" s="2">
        <v>70075.924290572206</v>
      </c>
      <c r="F90" s="2">
        <v>167988.49744885438</v>
      </c>
      <c r="G90" s="2">
        <v>198209.29727823587</v>
      </c>
      <c r="H90" s="2">
        <v>342360.98039854725</v>
      </c>
      <c r="I90" s="2">
        <v>680310.77092883165</v>
      </c>
      <c r="J90" s="2">
        <v>1081608.6454052499</v>
      </c>
      <c r="K90" s="2">
        <v>774375.53410359006</v>
      </c>
      <c r="L90" s="2">
        <v>488913.4124621228</v>
      </c>
      <c r="M90" s="2">
        <v>638604.51601569192</v>
      </c>
      <c r="N90" s="2">
        <v>717216.81360409618</v>
      </c>
      <c r="O90" s="2">
        <v>649248.92250514147</v>
      </c>
      <c r="P90" s="2">
        <v>856457.54499004665</v>
      </c>
      <c r="Q90" s="2">
        <v>912247.35780230898</v>
      </c>
      <c r="R90" s="2">
        <v>1044097.8276209894</v>
      </c>
      <c r="S90" s="2">
        <v>877548.7778973683</v>
      </c>
      <c r="T90" s="2">
        <v>923312.80744119128</v>
      </c>
      <c r="U90" s="2">
        <v>992509.7551644881</v>
      </c>
      <c r="V90" s="2">
        <v>800641.71509168681</v>
      </c>
      <c r="W90" s="2">
        <v>811718.73427173495</v>
      </c>
      <c r="X90" s="2">
        <v>788318.25200000009</v>
      </c>
      <c r="Y90" s="2">
        <v>905769.29860572191</v>
      </c>
      <c r="Z90" s="2">
        <v>914862.84858410514</v>
      </c>
      <c r="AA90" s="2">
        <v>976134.20549631107</v>
      </c>
      <c r="AB90" s="2">
        <v>1008415.1750368127</v>
      </c>
      <c r="AC90" s="2">
        <v>971998.74927627132</v>
      </c>
      <c r="AD90" s="2">
        <v>946540.62783000129</v>
      </c>
      <c r="AE90" s="2">
        <v>1022383.8090060098</v>
      </c>
      <c r="AF90" s="2">
        <v>1025561.7072258211</v>
      </c>
      <c r="AG90" s="2">
        <v>941713.98973907495</v>
      </c>
      <c r="AH90" s="2">
        <v>969057.14188400877</v>
      </c>
      <c r="AI90" s="2">
        <v>1034789.703674328</v>
      </c>
    </row>
    <row r="91" spans="1:35" x14ac:dyDescent="0.2">
      <c r="A91" s="1" t="s">
        <v>200</v>
      </c>
      <c r="B91" s="1" t="s">
        <v>219</v>
      </c>
      <c r="C91" s="1" t="s">
        <v>220</v>
      </c>
      <c r="D91" s="2">
        <v>124194.83518968338</v>
      </c>
      <c r="E91" s="2">
        <v>256340.28768874987</v>
      </c>
      <c r="F91" s="2">
        <v>540938.32583139627</v>
      </c>
      <c r="G91" s="2">
        <v>1162058.0871289736</v>
      </c>
      <c r="H91" s="2">
        <v>3434358.5862967814</v>
      </c>
      <c r="I91" s="2">
        <v>7603927.5811735122</v>
      </c>
      <c r="J91" s="2">
        <v>16252400.138994167</v>
      </c>
      <c r="K91" s="2">
        <v>20521083.437274311</v>
      </c>
      <c r="L91" s="2">
        <v>23289923.533195172</v>
      </c>
      <c r="M91" s="2">
        <v>16895398.792856753</v>
      </c>
      <c r="N91" s="2">
        <v>18557514.875751</v>
      </c>
      <c r="O91" s="2">
        <v>20534443.24549298</v>
      </c>
      <c r="P91" s="2">
        <v>19414389.157994911</v>
      </c>
      <c r="Q91" s="2">
        <v>21930716.08402174</v>
      </c>
      <c r="R91" s="2">
        <v>24661343.874650605</v>
      </c>
      <c r="S91" s="2">
        <v>23348327.243225534</v>
      </c>
      <c r="T91" s="2">
        <v>22831693.067942273</v>
      </c>
      <c r="U91" s="2">
        <v>24663265.084761765</v>
      </c>
      <c r="V91" s="2">
        <v>24852581.917575095</v>
      </c>
      <c r="W91" s="2">
        <v>24830632.930650283</v>
      </c>
      <c r="X91" s="2">
        <v>26621334.104999993</v>
      </c>
      <c r="Y91" s="2">
        <v>26967879.255657945</v>
      </c>
      <c r="Z91" s="2">
        <v>23762404.064779874</v>
      </c>
      <c r="AA91" s="2">
        <v>27126030.683359463</v>
      </c>
      <c r="AB91" s="2">
        <v>24090928.099669188</v>
      </c>
      <c r="AC91" s="2">
        <v>24327182.535728</v>
      </c>
      <c r="AD91" s="2">
        <v>23476829.929983176</v>
      </c>
      <c r="AE91" s="2">
        <v>22773014.428265564</v>
      </c>
      <c r="AF91" s="2">
        <v>21695945.429666139</v>
      </c>
      <c r="AG91" s="2">
        <v>25917711.488597192</v>
      </c>
      <c r="AH91" s="2">
        <v>22651559.106007963</v>
      </c>
      <c r="AI91" s="2">
        <v>25835846.381413575</v>
      </c>
    </row>
    <row r="92" spans="1:35" x14ac:dyDescent="0.2">
      <c r="A92" s="1" t="s">
        <v>221</v>
      </c>
      <c r="B92" s="1" t="s">
        <v>222</v>
      </c>
      <c r="C92" s="1" t="s">
        <v>223</v>
      </c>
      <c r="D92" s="2">
        <v>10739.6312128723</v>
      </c>
      <c r="E92" s="2">
        <v>22374.482565393697</v>
      </c>
      <c r="F92" s="2">
        <v>84183.070871788805</v>
      </c>
      <c r="G92" s="2">
        <v>93357.40138804201</v>
      </c>
      <c r="H92" s="2">
        <v>192651.07342723588</v>
      </c>
      <c r="I92" s="2">
        <v>373970.048449739</v>
      </c>
      <c r="J92" s="2">
        <v>304384.48549101752</v>
      </c>
      <c r="K92" s="2">
        <v>479901.24336753594</v>
      </c>
      <c r="L92" s="2">
        <v>224568.69036241909</v>
      </c>
      <c r="M92" s="2">
        <v>480556.25502518291</v>
      </c>
      <c r="N92" s="2">
        <v>490354.83762516628</v>
      </c>
      <c r="O92" s="2">
        <v>351011.80357667693</v>
      </c>
      <c r="P92" s="2">
        <v>319396.65828097326</v>
      </c>
      <c r="Q92" s="2">
        <v>353864.81718254124</v>
      </c>
      <c r="R92" s="2">
        <v>334503.33689418447</v>
      </c>
      <c r="S92" s="2">
        <v>693792.20919491374</v>
      </c>
      <c r="T92" s="2">
        <v>625008.09419987665</v>
      </c>
      <c r="U92" s="2">
        <v>347147.87556848291</v>
      </c>
      <c r="V92" s="2">
        <v>629427.41045234411</v>
      </c>
      <c r="W92" s="2">
        <v>469286.5733582637</v>
      </c>
      <c r="X92" s="2">
        <v>511336.28899999999</v>
      </c>
      <c r="Y92" s="2">
        <v>483312.28764718067</v>
      </c>
      <c r="Z92" s="2">
        <v>599545.41759278765</v>
      </c>
      <c r="AA92" s="2">
        <v>566765.52870422287</v>
      </c>
      <c r="AB92" s="2">
        <v>610979.27133220807</v>
      </c>
      <c r="AC92" s="2">
        <v>589003.99580660404</v>
      </c>
      <c r="AD92" s="2">
        <v>565423.70027130132</v>
      </c>
      <c r="AE92" s="2">
        <v>546960.05516028497</v>
      </c>
      <c r="AF92" s="2">
        <v>520095.33940257982</v>
      </c>
      <c r="AG92" s="2">
        <v>583562.88275259908</v>
      </c>
      <c r="AH92" s="2">
        <v>589850.56709929078</v>
      </c>
      <c r="AI92" s="2">
        <v>584103.90421379171</v>
      </c>
    </row>
    <row r="93" spans="1:35" x14ac:dyDescent="0.2">
      <c r="A93" s="1" t="s">
        <v>221</v>
      </c>
      <c r="B93" s="1" t="s">
        <v>224</v>
      </c>
      <c r="C93" s="1" t="s">
        <v>225</v>
      </c>
      <c r="D93" s="2">
        <v>29100.826431773799</v>
      </c>
      <c r="E93" s="2">
        <v>155491.92650675011</v>
      </c>
      <c r="F93" s="2">
        <v>344670.66905443266</v>
      </c>
      <c r="G93" s="2">
        <v>680621.02641046373</v>
      </c>
      <c r="H93" s="2">
        <v>700766.96071616642</v>
      </c>
      <c r="I93" s="2">
        <v>1077955.4416239411</v>
      </c>
      <c r="J93" s="2">
        <v>1420997.6315537211</v>
      </c>
      <c r="K93" s="2">
        <v>1807608.4763369379</v>
      </c>
      <c r="L93" s="2">
        <v>5558673.6556625636</v>
      </c>
      <c r="M93" s="2">
        <v>6455701.0025141994</v>
      </c>
      <c r="N93" s="2">
        <v>12487810.028896684</v>
      </c>
      <c r="O93" s="2">
        <v>12123449.921524573</v>
      </c>
      <c r="P93" s="2">
        <v>21942645.080066424</v>
      </c>
      <c r="Q93" s="2">
        <v>23790226.502542239</v>
      </c>
      <c r="R93" s="2">
        <v>26554681.673168868</v>
      </c>
      <c r="S93" s="2">
        <v>36892108.939829588</v>
      </c>
      <c r="T93" s="2">
        <v>45665582.029441349</v>
      </c>
      <c r="U93" s="2">
        <v>39112193.856520928</v>
      </c>
      <c r="V93" s="2">
        <v>54731387.447360873</v>
      </c>
      <c r="W93" s="2">
        <v>31903680.082982142</v>
      </c>
      <c r="X93" s="2">
        <v>37724970.520999998</v>
      </c>
      <c r="Y93" s="2">
        <v>46306032.271609537</v>
      </c>
      <c r="Z93" s="2">
        <v>48492598.400125965</v>
      </c>
      <c r="AA93" s="2">
        <v>42879286.450843036</v>
      </c>
      <c r="AB93" s="2">
        <v>41170281.695594549</v>
      </c>
      <c r="AC93" s="2">
        <v>21081669.459250037</v>
      </c>
      <c r="AD93" s="2">
        <v>7609030.5320990831</v>
      </c>
      <c r="AE93" s="2">
        <v>8951880.9810553826</v>
      </c>
      <c r="AF93" s="2">
        <v>15505977.869196175</v>
      </c>
      <c r="AG93" s="2">
        <v>13410020.069449807</v>
      </c>
      <c r="AH93" s="2">
        <v>9149941.6894194577</v>
      </c>
      <c r="AI93" s="2">
        <v>16799684.291844524</v>
      </c>
    </row>
    <row r="94" spans="1:35" x14ac:dyDescent="0.2">
      <c r="A94" s="1" t="s">
        <v>221</v>
      </c>
      <c r="B94" s="1" t="s">
        <v>226</v>
      </c>
      <c r="C94" s="1" t="s">
        <v>227</v>
      </c>
      <c r="D94" s="2">
        <v>12992.8900277386</v>
      </c>
      <c r="E94" s="2">
        <v>171656.89214283117</v>
      </c>
      <c r="F94" s="2">
        <v>174301.17708987647</v>
      </c>
      <c r="G94" s="2">
        <v>328116.52438211994</v>
      </c>
      <c r="H94" s="2">
        <v>633844.52754568111</v>
      </c>
      <c r="I94" s="2">
        <v>1349151.2337618007</v>
      </c>
      <c r="J94" s="2">
        <v>2200116.0522485757</v>
      </c>
      <c r="K94" s="2">
        <v>2395718.4924728377</v>
      </c>
      <c r="L94" s="2">
        <v>1335427.4146932105</v>
      </c>
      <c r="M94" s="2">
        <v>1286282.2458862413</v>
      </c>
      <c r="N94" s="2">
        <v>1296267.5519848873</v>
      </c>
      <c r="O94" s="2">
        <v>1052621.1873409373</v>
      </c>
      <c r="P94" s="2">
        <v>1328687.3859158221</v>
      </c>
      <c r="Q94" s="2">
        <v>1353072.4903876493</v>
      </c>
      <c r="R94" s="2">
        <v>1328303.8467886364</v>
      </c>
      <c r="S94" s="2">
        <v>1082160.6261170052</v>
      </c>
      <c r="T94" s="2">
        <v>1143673.1128486656</v>
      </c>
      <c r="U94" s="2">
        <v>1103872.4077392127</v>
      </c>
      <c r="V94" s="2">
        <v>1414985.8888605849</v>
      </c>
      <c r="W94" s="2">
        <v>1621434.1728061391</v>
      </c>
      <c r="X94" s="2">
        <v>1892222.8290000004</v>
      </c>
      <c r="Y94" s="2">
        <v>1629591.2085287515</v>
      </c>
      <c r="Z94" s="2">
        <v>1990766.6939430446</v>
      </c>
      <c r="AA94" s="2">
        <v>2020657.6981521535</v>
      </c>
      <c r="AB94" s="2">
        <v>2018666.3825251446</v>
      </c>
      <c r="AC94" s="2">
        <v>1986929.4128173888</v>
      </c>
      <c r="AD94" s="2">
        <v>1803808.2564009507</v>
      </c>
      <c r="AE94" s="2">
        <v>1654454.9596159407</v>
      </c>
      <c r="AF94" s="2">
        <v>1790743.4145245296</v>
      </c>
      <c r="AG94" s="2">
        <v>1715475.1870087518</v>
      </c>
      <c r="AH94" s="2">
        <v>2071178.1471176785</v>
      </c>
      <c r="AI94" s="2">
        <v>2492210.1845100312</v>
      </c>
    </row>
    <row r="95" spans="1:35" x14ac:dyDescent="0.2">
      <c r="A95" s="1" t="s">
        <v>221</v>
      </c>
      <c r="B95" s="1" t="s">
        <v>228</v>
      </c>
      <c r="C95" s="1" t="s">
        <v>229</v>
      </c>
      <c r="D95" s="2">
        <v>5510.6198596641998</v>
      </c>
      <c r="E95" s="2">
        <v>14998.523417030799</v>
      </c>
      <c r="F95" s="2">
        <v>32573.415553390598</v>
      </c>
      <c r="G95" s="2">
        <v>160087.03040351579</v>
      </c>
      <c r="H95" s="2">
        <v>437303.87936286547</v>
      </c>
      <c r="I95" s="2">
        <v>452840.74690877157</v>
      </c>
      <c r="J95" s="2">
        <v>771840.42649888911</v>
      </c>
      <c r="K95" s="2">
        <v>947873.28008629545</v>
      </c>
      <c r="L95" s="2">
        <v>576928.576945932</v>
      </c>
      <c r="M95" s="2">
        <v>2520032.9253611551</v>
      </c>
      <c r="N95" s="2">
        <v>4649404.1565561537</v>
      </c>
      <c r="O95" s="2">
        <v>4869750.148012259</v>
      </c>
      <c r="P95" s="2">
        <v>9688699.2182399742</v>
      </c>
      <c r="Q95" s="2">
        <v>9986542.007382201</v>
      </c>
      <c r="R95" s="2">
        <v>11473194.317301713</v>
      </c>
      <c r="S95" s="2">
        <v>19409457.912249964</v>
      </c>
      <c r="T95" s="2">
        <v>23447250.584214561</v>
      </c>
      <c r="U95" s="2">
        <v>18369209.459916875</v>
      </c>
      <c r="V95" s="2">
        <v>20987329.903610781</v>
      </c>
      <c r="W95" s="2">
        <v>11962992.100357488</v>
      </c>
      <c r="X95" s="2">
        <v>13809074.817</v>
      </c>
      <c r="Y95" s="2">
        <v>18390539.320117638</v>
      </c>
      <c r="Z95" s="2">
        <v>22938480.819163334</v>
      </c>
      <c r="AA95" s="2">
        <v>20232704.15360149</v>
      </c>
      <c r="AB95" s="2">
        <v>18451756.261169963</v>
      </c>
      <c r="AC95" s="2">
        <v>8384999.9455204001</v>
      </c>
      <c r="AD95" s="2">
        <v>3117434.0575096649</v>
      </c>
      <c r="AE95" s="2">
        <v>3970515.9153937446</v>
      </c>
      <c r="AF95" s="2">
        <v>7400739.9769673171</v>
      </c>
      <c r="AG95" s="2">
        <v>10858827.50146877</v>
      </c>
      <c r="AH95" s="2">
        <v>9507315.7260743901</v>
      </c>
      <c r="AI95" s="2">
        <v>22205538.233606592</v>
      </c>
    </row>
    <row r="96" spans="1:35" x14ac:dyDescent="0.2">
      <c r="A96" s="1" t="s">
        <v>221</v>
      </c>
      <c r="B96" s="1" t="s">
        <v>230</v>
      </c>
      <c r="C96" s="1" t="s">
        <v>231</v>
      </c>
      <c r="D96" s="2">
        <v>17936.461970015898</v>
      </c>
      <c r="E96" s="2">
        <v>151689.27555162742</v>
      </c>
      <c r="F96" s="2">
        <v>783202.26736095711</v>
      </c>
      <c r="G96" s="2">
        <v>3804801.9341944726</v>
      </c>
      <c r="H96" s="2">
        <v>4141012.2910970589</v>
      </c>
      <c r="I96" s="2">
        <v>6292792.295770023</v>
      </c>
      <c r="J96" s="2">
        <v>10003651.809743244</v>
      </c>
      <c r="K96" s="2">
        <v>13488149.50627498</v>
      </c>
      <c r="L96" s="2">
        <v>10110803.146643184</v>
      </c>
      <c r="M96" s="2">
        <v>7965179.4506273521</v>
      </c>
      <c r="N96" s="2">
        <v>8557039.6495737452</v>
      </c>
      <c r="O96" s="2">
        <v>8543403.29369561</v>
      </c>
      <c r="P96" s="2">
        <v>8113366.0871355087</v>
      </c>
      <c r="Q96" s="2">
        <v>8804342.6658034753</v>
      </c>
      <c r="R96" s="2">
        <v>11663715.672204433</v>
      </c>
      <c r="S96" s="2">
        <v>9382265.3220343906</v>
      </c>
      <c r="T96" s="2">
        <v>9184810.3075657841</v>
      </c>
      <c r="U96" s="2">
        <v>9502768.6399560422</v>
      </c>
      <c r="V96" s="2">
        <v>11631077.223898832</v>
      </c>
      <c r="W96" s="2">
        <v>9893358.6732358113</v>
      </c>
      <c r="X96" s="2">
        <v>13167383.976</v>
      </c>
      <c r="Y96" s="2">
        <v>12241754.509892978</v>
      </c>
      <c r="Z96" s="2">
        <v>12623919.849286867</v>
      </c>
      <c r="AA96" s="2">
        <v>12489194.756373534</v>
      </c>
      <c r="AB96" s="2">
        <v>10531707.734144043</v>
      </c>
      <c r="AC96" s="2">
        <v>8159287.1641586777</v>
      </c>
      <c r="AD96" s="2">
        <v>6834874.6653782986</v>
      </c>
      <c r="AE96" s="2">
        <v>7838808.4418836571</v>
      </c>
      <c r="AF96" s="2">
        <v>8991831.1038960665</v>
      </c>
      <c r="AG96" s="2">
        <v>7394339.1599066611</v>
      </c>
      <c r="AH96" s="2">
        <v>7174758.7406512275</v>
      </c>
      <c r="AI96" s="2">
        <v>11767139.444058297</v>
      </c>
    </row>
    <row r="97" spans="1:35" x14ac:dyDescent="0.2">
      <c r="A97" s="1" t="s">
        <v>221</v>
      </c>
      <c r="B97" s="1" t="s">
        <v>232</v>
      </c>
      <c r="C97" s="1" t="s">
        <v>233</v>
      </c>
      <c r="D97" s="2">
        <v>1134917.5054484319</v>
      </c>
      <c r="E97" s="2">
        <v>4858132.193401535</v>
      </c>
      <c r="F97" s="2">
        <v>8353712.7269900152</v>
      </c>
      <c r="G97" s="2">
        <v>14977728.464498935</v>
      </c>
      <c r="H97" s="2">
        <v>33085143.66975389</v>
      </c>
      <c r="I97" s="2">
        <v>53399661.705235638</v>
      </c>
      <c r="J97" s="2">
        <v>69461327.511052668</v>
      </c>
      <c r="K97" s="2">
        <v>82638167.983594716</v>
      </c>
      <c r="L97" s="2">
        <v>63346275.105611317</v>
      </c>
      <c r="M97" s="2">
        <v>36199722.482757278</v>
      </c>
      <c r="N97" s="2">
        <v>36967648.004965402</v>
      </c>
      <c r="O97" s="2">
        <v>34881639.838017121</v>
      </c>
      <c r="P97" s="2">
        <v>40719522.524202712</v>
      </c>
      <c r="Q97" s="2">
        <v>38796429.471292637</v>
      </c>
      <c r="R97" s="2">
        <v>42425471.97579845</v>
      </c>
      <c r="S97" s="2">
        <v>39708270.626600496</v>
      </c>
      <c r="T97" s="2">
        <v>39420443.539649829</v>
      </c>
      <c r="U97" s="2">
        <v>43054448.45944196</v>
      </c>
      <c r="V97" s="2">
        <v>36606174.286802426</v>
      </c>
      <c r="W97" s="2">
        <v>45158751.768345624</v>
      </c>
      <c r="X97" s="2">
        <v>46088379.410999998</v>
      </c>
      <c r="Y97" s="2">
        <v>46078609.785816595</v>
      </c>
      <c r="Z97" s="2">
        <v>49468068.01545582</v>
      </c>
      <c r="AA97" s="2">
        <v>51287332.518354677</v>
      </c>
      <c r="AB97" s="2">
        <v>53864315.884390406</v>
      </c>
      <c r="AC97" s="2">
        <v>49827957.740233287</v>
      </c>
      <c r="AD97" s="2">
        <v>42745411.668997176</v>
      </c>
      <c r="AE97" s="2">
        <v>41112351.416811712</v>
      </c>
      <c r="AF97" s="2">
        <v>53606948.418338157</v>
      </c>
      <c r="AG97" s="2">
        <v>59185484.041400723</v>
      </c>
      <c r="AH97" s="2">
        <v>54610668.747224696</v>
      </c>
      <c r="AI97" s="2">
        <v>84851731.545799166</v>
      </c>
    </row>
    <row r="98" spans="1:35" x14ac:dyDescent="0.2">
      <c r="A98" s="1" t="s">
        <v>234</v>
      </c>
      <c r="B98" s="1" t="s">
        <v>235</v>
      </c>
      <c r="C98" s="1" t="s">
        <v>236</v>
      </c>
      <c r="D98" s="2">
        <v>10599.145941854898</v>
      </c>
      <c r="E98" s="2">
        <v>36107.145837335593</v>
      </c>
      <c r="F98" s="2">
        <v>61786.219054679808</v>
      </c>
      <c r="G98" s="2">
        <v>166991.92759726697</v>
      </c>
      <c r="H98" s="2">
        <v>187395.94057824041</v>
      </c>
      <c r="I98" s="2">
        <v>582477.3313973943</v>
      </c>
      <c r="J98" s="2">
        <v>833766.45065216976</v>
      </c>
      <c r="K98" s="2">
        <v>2033014.8358707882</v>
      </c>
      <c r="L98" s="2">
        <v>562240.13466994441</v>
      </c>
      <c r="M98" s="2">
        <v>1331824.340568179</v>
      </c>
      <c r="N98" s="2">
        <v>1983677.9891326556</v>
      </c>
      <c r="O98" s="2">
        <v>1850831.8316163067</v>
      </c>
      <c r="P98" s="2">
        <v>2986968.2947269883</v>
      </c>
      <c r="Q98" s="2">
        <v>2583516.6856104927</v>
      </c>
      <c r="R98" s="2">
        <v>2967852.145030221</v>
      </c>
      <c r="S98" s="2">
        <v>3663212.3685754491</v>
      </c>
      <c r="T98" s="2">
        <v>3611651.5051591182</v>
      </c>
      <c r="U98" s="2">
        <v>3459694.6555559756</v>
      </c>
      <c r="V98" s="2">
        <v>3728935.087671835</v>
      </c>
      <c r="W98" s="2">
        <v>2259948.7025615354</v>
      </c>
      <c r="X98" s="2">
        <v>2886151.9400000004</v>
      </c>
      <c r="Y98" s="2">
        <v>3514384.4800990541</v>
      </c>
      <c r="Z98" s="2">
        <v>3733877.5956526482</v>
      </c>
      <c r="AA98" s="2">
        <v>3570645.2372587351</v>
      </c>
      <c r="AB98" s="2">
        <v>3028861.3168083807</v>
      </c>
      <c r="AC98" s="2">
        <v>2098442.3700648677</v>
      </c>
      <c r="AD98" s="2">
        <v>1353305.652171592</v>
      </c>
      <c r="AE98" s="2">
        <v>1393224.6172320317</v>
      </c>
      <c r="AF98" s="2">
        <v>1778610.2868614127</v>
      </c>
      <c r="AG98" s="2">
        <v>1807473.3886151095</v>
      </c>
      <c r="AH98" s="2">
        <v>1628632.8314205622</v>
      </c>
      <c r="AI98" s="2">
        <v>2095064.8402813026</v>
      </c>
    </row>
    <row r="99" spans="1:35" x14ac:dyDescent="0.2">
      <c r="A99" s="1" t="s">
        <v>234</v>
      </c>
      <c r="B99" s="1" t="s">
        <v>237</v>
      </c>
      <c r="C99" s="1" t="s">
        <v>238</v>
      </c>
      <c r="D99" s="2">
        <v>5945.2564156059998</v>
      </c>
      <c r="E99" s="2">
        <v>28116.1706854277</v>
      </c>
      <c r="F99" s="2">
        <v>54733.943744653203</v>
      </c>
      <c r="G99" s="2">
        <v>119136.2822448892</v>
      </c>
      <c r="H99" s="2">
        <v>195354.67134764264</v>
      </c>
      <c r="I99" s="2">
        <v>544754.88470582757</v>
      </c>
      <c r="J99" s="2">
        <v>562561.34954091988</v>
      </c>
      <c r="K99" s="2">
        <v>1185998.3883118336</v>
      </c>
      <c r="L99" s="2">
        <v>150071.11015450879</v>
      </c>
      <c r="M99" s="2">
        <v>371150.17278517084</v>
      </c>
      <c r="N99" s="2">
        <v>518305.18751606258</v>
      </c>
      <c r="O99" s="2">
        <v>524105.50033072074</v>
      </c>
      <c r="P99" s="2">
        <v>662419.23717748572</v>
      </c>
      <c r="Q99" s="2">
        <v>560432.24290185329</v>
      </c>
      <c r="R99" s="2">
        <v>727623.89725422603</v>
      </c>
      <c r="S99" s="2">
        <v>793712.24634660955</v>
      </c>
      <c r="T99" s="2">
        <v>906729.72506350907</v>
      </c>
      <c r="U99" s="2">
        <v>993878.15407814365</v>
      </c>
      <c r="V99" s="2">
        <v>1191933.078130106</v>
      </c>
      <c r="W99" s="2">
        <v>788261.69848282821</v>
      </c>
      <c r="X99" s="2">
        <v>948215.67899999977</v>
      </c>
      <c r="Y99" s="2">
        <v>614714.04156996694</v>
      </c>
      <c r="Z99" s="2">
        <v>445324.25418691407</v>
      </c>
      <c r="AA99" s="2">
        <v>413964.33149035228</v>
      </c>
      <c r="AB99" s="2">
        <v>724065.46507158445</v>
      </c>
      <c r="AC99" s="2">
        <v>1033382.3604373123</v>
      </c>
      <c r="AD99" s="2">
        <v>1248446.5903262508</v>
      </c>
      <c r="AE99" s="2">
        <v>1301605.1594302042</v>
      </c>
      <c r="AF99" s="2">
        <v>1196920.5413227137</v>
      </c>
      <c r="AG99" s="2">
        <v>1351817.200814625</v>
      </c>
      <c r="AH99" s="2">
        <v>1313121.2037562483</v>
      </c>
      <c r="AI99" s="2">
        <v>1600463.9306894615</v>
      </c>
    </row>
    <row r="100" spans="1:35" x14ac:dyDescent="0.2">
      <c r="A100" s="1" t="s">
        <v>234</v>
      </c>
      <c r="B100" s="1" t="s">
        <v>239</v>
      </c>
      <c r="C100" s="1" t="s">
        <v>240</v>
      </c>
      <c r="D100" s="2">
        <v>890.47921674240001</v>
      </c>
      <c r="E100" s="2">
        <v>8533.7583697728005</v>
      </c>
      <c r="F100" s="2">
        <v>20487.051777550903</v>
      </c>
      <c r="G100" s="2">
        <v>55227.931866353501</v>
      </c>
      <c r="H100" s="2">
        <v>56386.8649323262</v>
      </c>
      <c r="I100" s="2">
        <v>129358.7558702712</v>
      </c>
      <c r="J100" s="2">
        <v>149808.70843670273</v>
      </c>
      <c r="K100" s="2">
        <v>182458.1705908654</v>
      </c>
      <c r="L100" s="2">
        <v>7516.0485065301018</v>
      </c>
      <c r="M100" s="2">
        <v>128065.98414083461</v>
      </c>
      <c r="N100" s="2">
        <v>141534.23503800484</v>
      </c>
      <c r="O100" s="2">
        <v>148951.12338848718</v>
      </c>
      <c r="P100" s="2">
        <v>138786.38440634299</v>
      </c>
      <c r="Q100" s="2">
        <v>96254.396681433311</v>
      </c>
      <c r="R100" s="2">
        <v>111217.95042949532</v>
      </c>
      <c r="S100" s="2">
        <v>115243.79279555398</v>
      </c>
      <c r="T100" s="2">
        <v>109364.18539172101</v>
      </c>
      <c r="U100" s="2">
        <v>135193.1008344143</v>
      </c>
      <c r="V100" s="2">
        <v>119468.1024359508</v>
      </c>
      <c r="W100" s="2">
        <v>121817.4327850515</v>
      </c>
      <c r="X100" s="2">
        <v>151306.19199999998</v>
      </c>
      <c r="Y100" s="2">
        <v>195091.84958118733</v>
      </c>
      <c r="Z100" s="2">
        <v>426797.94869495946</v>
      </c>
      <c r="AA100" s="2">
        <v>347126.09012272907</v>
      </c>
      <c r="AB100" s="2">
        <v>360119.79174774967</v>
      </c>
      <c r="AC100" s="2">
        <v>546584.3037647137</v>
      </c>
      <c r="AD100" s="2">
        <v>706413.04315251228</v>
      </c>
      <c r="AE100" s="2">
        <v>690946.2517149233</v>
      </c>
      <c r="AF100" s="2">
        <v>611201.25519566936</v>
      </c>
      <c r="AG100" s="2">
        <v>519887.37955449155</v>
      </c>
      <c r="AH100" s="2">
        <v>589606.76373914466</v>
      </c>
      <c r="AI100" s="2">
        <v>794327.92401463666</v>
      </c>
    </row>
    <row r="101" spans="1:35" x14ac:dyDescent="0.2">
      <c r="A101" s="1" t="s">
        <v>234</v>
      </c>
      <c r="B101" s="1" t="s">
        <v>241</v>
      </c>
      <c r="C101" s="1" t="s">
        <v>242</v>
      </c>
      <c r="D101" s="2">
        <v>7569.3757570427006</v>
      </c>
      <c r="E101" s="2">
        <v>23586.946278573301</v>
      </c>
      <c r="F101" s="2">
        <v>55538.565759891295</v>
      </c>
      <c r="G101" s="2">
        <v>131765.32957752468</v>
      </c>
      <c r="H101" s="2">
        <v>427790.59795908281</v>
      </c>
      <c r="I101" s="2">
        <v>992100.00869525352</v>
      </c>
      <c r="J101" s="2">
        <v>2313075.4465392553</v>
      </c>
      <c r="K101" s="2">
        <v>4234661.9904096602</v>
      </c>
      <c r="L101" s="2">
        <v>2895109.583705219</v>
      </c>
      <c r="M101" s="2">
        <v>2113556.5921914447</v>
      </c>
      <c r="N101" s="2">
        <v>2163461.298136191</v>
      </c>
      <c r="O101" s="2">
        <v>2203577.0911586923</v>
      </c>
      <c r="P101" s="2">
        <v>3019200.0333615877</v>
      </c>
      <c r="Q101" s="2">
        <v>2303993.0443551652</v>
      </c>
      <c r="R101" s="2">
        <v>2569906.0153271053</v>
      </c>
      <c r="S101" s="2">
        <v>2757447.1077924822</v>
      </c>
      <c r="T101" s="2">
        <v>2907251.0914484058</v>
      </c>
      <c r="U101" s="2">
        <v>3871715.6226060209</v>
      </c>
      <c r="V101" s="2">
        <v>3438718.8983637807</v>
      </c>
      <c r="W101" s="2">
        <v>3148789.2078495673</v>
      </c>
      <c r="X101" s="2">
        <v>3697402.2760000005</v>
      </c>
      <c r="Y101" s="2">
        <v>3943965.696461244</v>
      </c>
      <c r="Z101" s="2">
        <v>4170456.0967615317</v>
      </c>
      <c r="AA101" s="2">
        <v>4209911.411450047</v>
      </c>
      <c r="AB101" s="2">
        <v>3676569.4991904963</v>
      </c>
      <c r="AC101" s="2">
        <v>3688286.6972310301</v>
      </c>
      <c r="AD101" s="2">
        <v>3096727.571218187</v>
      </c>
      <c r="AE101" s="2">
        <v>3158564.0564562762</v>
      </c>
      <c r="AF101" s="2">
        <v>3073058.4765875605</v>
      </c>
      <c r="AG101" s="2">
        <v>2923614.5886492901</v>
      </c>
      <c r="AH101" s="2">
        <v>2701602.9760168581</v>
      </c>
      <c r="AI101" s="2">
        <v>2488243.0066658258</v>
      </c>
    </row>
    <row r="102" spans="1:35" x14ac:dyDescent="0.2">
      <c r="A102" s="1" t="s">
        <v>243</v>
      </c>
      <c r="B102" s="1" t="s">
        <v>244</v>
      </c>
      <c r="C102" s="1" t="s">
        <v>245</v>
      </c>
      <c r="D102" s="2">
        <v>1450.7285270512</v>
      </c>
      <c r="E102" s="2">
        <v>4670.7021681632996</v>
      </c>
      <c r="F102" s="2">
        <v>8548.6601472881994</v>
      </c>
      <c r="G102" s="2">
        <v>31006.574793187399</v>
      </c>
      <c r="H102" s="2">
        <v>140031.22238811609</v>
      </c>
      <c r="I102" s="2">
        <v>278078.1460233379</v>
      </c>
      <c r="J102" s="2">
        <v>1225504.8731559983</v>
      </c>
      <c r="K102" s="2">
        <v>1258766.2777752378</v>
      </c>
      <c r="L102" s="2">
        <v>529606.82806426403</v>
      </c>
      <c r="M102" s="2">
        <v>335357.16935115162</v>
      </c>
      <c r="N102" s="2">
        <v>370524.92863588361</v>
      </c>
      <c r="O102" s="2">
        <v>455432.74245612015</v>
      </c>
      <c r="P102" s="2">
        <v>976649.4949963782</v>
      </c>
      <c r="Q102" s="2">
        <v>769523.92012133438</v>
      </c>
      <c r="R102" s="2">
        <v>1101328.1387136548</v>
      </c>
      <c r="S102" s="2">
        <v>940125.25218019309</v>
      </c>
      <c r="T102" s="2">
        <v>1182701.3582193491</v>
      </c>
      <c r="U102" s="2">
        <v>1057182.992357203</v>
      </c>
      <c r="V102" s="2">
        <v>1175168.8590925368</v>
      </c>
      <c r="W102" s="2">
        <v>1943105.6269728066</v>
      </c>
      <c r="X102" s="2">
        <v>2924676.06</v>
      </c>
      <c r="Y102" s="2">
        <v>3736481.1664315416</v>
      </c>
      <c r="Z102" s="2">
        <v>3052783.5548445559</v>
      </c>
      <c r="AA102" s="2">
        <v>2470108.9956517611</v>
      </c>
      <c r="AB102" s="2">
        <v>2324213.6144259861</v>
      </c>
      <c r="AC102" s="2">
        <v>2548255.0122117214</v>
      </c>
      <c r="AD102" s="2">
        <v>2377031.3920729561</v>
      </c>
      <c r="AE102" s="2">
        <v>3363330.8675010782</v>
      </c>
      <c r="AF102" s="2">
        <v>2503860.2483123364</v>
      </c>
      <c r="AG102" s="2">
        <v>2597148.4048622684</v>
      </c>
      <c r="AH102" s="2">
        <v>2814448.5750001222</v>
      </c>
      <c r="AI102" s="2">
        <v>2348752.2719659675</v>
      </c>
    </row>
    <row r="103" spans="1:35" x14ac:dyDescent="0.2">
      <c r="A103" s="1" t="s">
        <v>243</v>
      </c>
      <c r="B103" s="1" t="s">
        <v>246</v>
      </c>
      <c r="C103" s="1" t="s">
        <v>247</v>
      </c>
      <c r="J103" s="2">
        <v>475791.25970481307</v>
      </c>
      <c r="K103" s="2">
        <v>1146231.8044378906</v>
      </c>
      <c r="L103" s="2">
        <v>755278.76496284932</v>
      </c>
      <c r="M103" s="2">
        <v>883515.78478610725</v>
      </c>
      <c r="N103" s="2">
        <v>1052505.735558467</v>
      </c>
      <c r="O103" s="2">
        <v>1147354.9967190872</v>
      </c>
      <c r="P103" s="2">
        <v>1286119.5351001523</v>
      </c>
      <c r="Q103" s="2">
        <v>1256262.4284504519</v>
      </c>
      <c r="R103" s="2">
        <v>1486980.6540969769</v>
      </c>
      <c r="S103" s="2">
        <v>1775527.8059435445</v>
      </c>
      <c r="T103" s="2">
        <v>1795469.0946976636</v>
      </c>
      <c r="U103" s="2">
        <v>1727351.319790653</v>
      </c>
      <c r="V103" s="2">
        <v>1691611.825541479</v>
      </c>
      <c r="W103" s="2">
        <v>1542692.4226701648</v>
      </c>
      <c r="X103" s="2">
        <v>1854577.8869999999</v>
      </c>
      <c r="Y103" s="2">
        <v>1729449.3841053771</v>
      </c>
      <c r="Z103" s="2">
        <v>1698341.3655054874</v>
      </c>
      <c r="AA103" s="2">
        <v>1778878.9703158136</v>
      </c>
      <c r="AB103" s="2">
        <v>1695971.3497662905</v>
      </c>
      <c r="AC103" s="2">
        <v>1593348.6129358313</v>
      </c>
      <c r="AD103" s="2">
        <v>1792553.9245541871</v>
      </c>
      <c r="AE103" s="2">
        <v>1650716.1391973787</v>
      </c>
      <c r="AF103" s="2">
        <v>1632287.777248387</v>
      </c>
      <c r="AG103" s="2">
        <v>1300297.7359450071</v>
      </c>
      <c r="AH103" s="2">
        <v>1558009.0139133246</v>
      </c>
      <c r="AI103" s="2">
        <v>1303446.7920991834</v>
      </c>
    </row>
    <row r="104" spans="1:35" x14ac:dyDescent="0.2">
      <c r="A104" s="1" t="s">
        <v>248</v>
      </c>
      <c r="B104" s="1" t="s">
        <v>249</v>
      </c>
      <c r="C104" s="1" t="s">
        <v>250</v>
      </c>
      <c r="D104" s="2">
        <v>82.649789011500005</v>
      </c>
      <c r="F104" s="2">
        <v>7543.2014419027</v>
      </c>
      <c r="G104" s="2">
        <v>1190.7394350505001</v>
      </c>
      <c r="H104" s="2">
        <v>23754.883348657298</v>
      </c>
      <c r="I104" s="2">
        <v>26336.252966825199</v>
      </c>
      <c r="J104" s="2">
        <v>95588.038859313994</v>
      </c>
      <c r="K104" s="2">
        <v>224341.42036710971</v>
      </c>
      <c r="L104" s="2">
        <v>229018.94487840118</v>
      </c>
      <c r="M104" s="2">
        <v>413320.16840569442</v>
      </c>
      <c r="N104" s="2">
        <v>328788.51724390988</v>
      </c>
      <c r="O104" s="2">
        <v>350815.77836096496</v>
      </c>
      <c r="P104" s="2">
        <v>591603.25316411024</v>
      </c>
      <c r="Q104" s="2">
        <v>352772.98848839011</v>
      </c>
      <c r="R104" s="2">
        <v>407012.10823107336</v>
      </c>
      <c r="S104" s="2">
        <v>411921.23520866141</v>
      </c>
      <c r="T104" s="2">
        <v>602495.6469748813</v>
      </c>
      <c r="U104" s="2">
        <v>423114.04702872713</v>
      </c>
      <c r="V104" s="2">
        <v>468221.69975135254</v>
      </c>
      <c r="W104" s="2">
        <v>564677.29523402022</v>
      </c>
      <c r="X104" s="2">
        <v>766805.26100000006</v>
      </c>
      <c r="Y104" s="2">
        <v>675462.72898557596</v>
      </c>
      <c r="Z104" s="2">
        <v>594189.71675495605</v>
      </c>
      <c r="AA104" s="2">
        <v>780788.88487707835</v>
      </c>
      <c r="AB104" s="2">
        <v>684478.34672823071</v>
      </c>
      <c r="AC104" s="2">
        <v>561520.35405956185</v>
      </c>
      <c r="AD104" s="2">
        <v>497786.23394672107</v>
      </c>
      <c r="AE104" s="2">
        <v>532126.5452148912</v>
      </c>
      <c r="AF104" s="2">
        <v>729589.87211800949</v>
      </c>
      <c r="AG104" s="2">
        <v>526182.56113213848</v>
      </c>
      <c r="AH104" s="2">
        <v>820473.24212331977</v>
      </c>
      <c r="AI104" s="2">
        <v>660848.70395718399</v>
      </c>
    </row>
    <row r="105" spans="1:35" x14ac:dyDescent="0.2">
      <c r="A105" s="1" t="s">
        <v>248</v>
      </c>
      <c r="B105" s="1" t="s">
        <v>251</v>
      </c>
      <c r="C105" s="1" t="s">
        <v>252</v>
      </c>
      <c r="D105" s="2">
        <v>26.490889228299999</v>
      </c>
      <c r="H105" s="2">
        <v>1943.3671842785</v>
      </c>
      <c r="I105" s="2">
        <v>6149.0324713945001</v>
      </c>
      <c r="J105" s="2">
        <v>27544.364304416002</v>
      </c>
      <c r="K105" s="2">
        <v>44924.404541473705</v>
      </c>
      <c r="L105" s="2">
        <v>10083.521313485802</v>
      </c>
      <c r="M105" s="2">
        <v>53992.701739837801</v>
      </c>
      <c r="N105" s="2">
        <v>54512.222927095398</v>
      </c>
      <c r="O105" s="2">
        <v>57867.8443134298</v>
      </c>
      <c r="P105" s="2">
        <v>43339.785919764792</v>
      </c>
      <c r="Q105" s="2">
        <v>22435.9716978254</v>
      </c>
      <c r="R105" s="2">
        <v>29088.959169806301</v>
      </c>
      <c r="S105" s="2">
        <v>32070.876791731796</v>
      </c>
      <c r="T105" s="2">
        <v>45848.521077272409</v>
      </c>
      <c r="U105" s="2">
        <v>30578.090958023204</v>
      </c>
      <c r="V105" s="2">
        <v>45268.385847967998</v>
      </c>
      <c r="W105" s="2">
        <v>53757.287557459102</v>
      </c>
      <c r="X105" s="2">
        <v>51927.903999999995</v>
      </c>
      <c r="Y105" s="2">
        <v>77650.338946508404</v>
      </c>
      <c r="Z105" s="2">
        <v>57968.372385036004</v>
      </c>
      <c r="AA105" s="2">
        <v>77372.095156730982</v>
      </c>
      <c r="AB105" s="2">
        <v>60602.417012378995</v>
      </c>
      <c r="AC105" s="2">
        <v>55782.910422275098</v>
      </c>
      <c r="AD105" s="2">
        <v>55698.110025340793</v>
      </c>
      <c r="AE105" s="2">
        <v>55623.367601843609</v>
      </c>
      <c r="AF105" s="2">
        <v>64193.901946563077</v>
      </c>
      <c r="AG105" s="2">
        <v>40953.51613990953</v>
      </c>
      <c r="AH105" s="2">
        <v>80074.100133851316</v>
      </c>
      <c r="AI105" s="2">
        <v>66772.122085627139</v>
      </c>
    </row>
    <row r="106" spans="1:35" x14ac:dyDescent="0.2">
      <c r="A106" s="1" t="s">
        <v>253</v>
      </c>
      <c r="B106" s="1" t="s">
        <v>254</v>
      </c>
      <c r="C106" s="1" t="s">
        <v>255</v>
      </c>
      <c r="D106" s="2">
        <v>41557.500694470502</v>
      </c>
      <c r="E106" s="2">
        <v>169788.5836541786</v>
      </c>
      <c r="F106" s="2">
        <v>380589.81762194674</v>
      </c>
      <c r="G106" s="2">
        <v>804696.46775951143</v>
      </c>
      <c r="H106" s="2">
        <v>1738076.3814349726</v>
      </c>
      <c r="I106" s="2">
        <v>3765926.2649625838</v>
      </c>
      <c r="J106" s="2">
        <v>4327122.4998107161</v>
      </c>
      <c r="K106" s="2">
        <v>3997791.8210525708</v>
      </c>
      <c r="L106" s="2">
        <v>4691911.4979816955</v>
      </c>
      <c r="M106" s="2">
        <v>4385632.0336950319</v>
      </c>
      <c r="N106" s="2">
        <v>4880069.6666111276</v>
      </c>
      <c r="O106" s="2">
        <v>4886355.0692642266</v>
      </c>
      <c r="P106" s="2">
        <v>5032369.4909336166</v>
      </c>
      <c r="Q106" s="2">
        <v>5711033.7477975413</v>
      </c>
      <c r="R106" s="2">
        <v>6269027.7241086569</v>
      </c>
      <c r="S106" s="2">
        <v>5082405.2942549838</v>
      </c>
      <c r="T106" s="2">
        <v>5119942.2022865871</v>
      </c>
      <c r="U106" s="2">
        <v>5321671.9131899802</v>
      </c>
      <c r="V106" s="2">
        <v>6040828.969052122</v>
      </c>
      <c r="W106" s="2">
        <v>6071427.1528007668</v>
      </c>
      <c r="X106" s="2">
        <v>7327683.587000004</v>
      </c>
      <c r="Y106" s="2">
        <v>7945261.2942145513</v>
      </c>
      <c r="Z106" s="2">
        <v>7622197.2403868269</v>
      </c>
      <c r="AA106" s="2">
        <v>8060862.1279565357</v>
      </c>
      <c r="AB106" s="2">
        <v>7586850.9426723523</v>
      </c>
      <c r="AC106" s="2">
        <v>7551259.3713544197</v>
      </c>
      <c r="AD106" s="2">
        <v>7097121.2020767657</v>
      </c>
      <c r="AE106" s="2">
        <v>7303116.2491108347</v>
      </c>
      <c r="AF106" s="2">
        <v>7687815.317289752</v>
      </c>
      <c r="AG106" s="2">
        <v>8308219.2773685604</v>
      </c>
      <c r="AH106" s="2">
        <v>8046107.7281099521</v>
      </c>
      <c r="AI106" s="2">
        <v>9112314.648749629</v>
      </c>
    </row>
    <row r="107" spans="1:35" x14ac:dyDescent="0.2">
      <c r="A107" s="1" t="s">
        <v>253</v>
      </c>
      <c r="B107" s="1" t="s">
        <v>256</v>
      </c>
      <c r="C107" s="1" t="s">
        <v>257</v>
      </c>
      <c r="D107" s="2">
        <v>39430.764942900394</v>
      </c>
      <c r="E107" s="2">
        <v>168601.832683963</v>
      </c>
      <c r="F107" s="2">
        <v>480553.17228514963</v>
      </c>
      <c r="G107" s="2">
        <v>984310.9393372417</v>
      </c>
      <c r="H107" s="2">
        <v>1954361.4000090663</v>
      </c>
      <c r="I107" s="2">
        <v>5157262.2695994256</v>
      </c>
      <c r="J107" s="2">
        <v>6842161.8346284917</v>
      </c>
      <c r="K107" s="2">
        <v>7807874.2328471141</v>
      </c>
      <c r="L107" s="2">
        <v>8805074.5311066713</v>
      </c>
      <c r="M107" s="2">
        <v>6231745.1561036455</v>
      </c>
      <c r="N107" s="2">
        <v>7122265.7003369071</v>
      </c>
      <c r="O107" s="2">
        <v>6734673.1695650714</v>
      </c>
      <c r="P107" s="2">
        <v>7223750.0068294592</v>
      </c>
      <c r="Q107" s="2">
        <v>7473538.9863003036</v>
      </c>
      <c r="R107" s="2">
        <v>9193658.7047722768</v>
      </c>
      <c r="S107" s="2">
        <v>8796326.7122033071</v>
      </c>
      <c r="T107" s="2">
        <v>8405234.5625600889</v>
      </c>
      <c r="U107" s="2">
        <v>8576568.5087114535</v>
      </c>
      <c r="V107" s="2">
        <v>9340898.470015265</v>
      </c>
      <c r="W107" s="2">
        <v>9052595.8572246023</v>
      </c>
      <c r="X107" s="2">
        <v>11180218.085999999</v>
      </c>
      <c r="Y107" s="2">
        <v>11817441.327284852</v>
      </c>
      <c r="Z107" s="2">
        <v>12014439.299077155</v>
      </c>
      <c r="AA107" s="2">
        <v>11442677.834250551</v>
      </c>
      <c r="AB107" s="2">
        <v>10641766.27025803</v>
      </c>
      <c r="AC107" s="2">
        <v>8946682.3165884335</v>
      </c>
      <c r="AD107" s="2">
        <v>7984875.194213477</v>
      </c>
      <c r="AE107" s="2">
        <v>8161300.3664907888</v>
      </c>
      <c r="AF107" s="2">
        <v>8801416.1325683463</v>
      </c>
      <c r="AG107" s="2">
        <v>9419596.3891666736</v>
      </c>
      <c r="AH107" s="2">
        <v>8943448.6867821794</v>
      </c>
      <c r="AI107" s="2">
        <v>10615361.184430903</v>
      </c>
    </row>
    <row r="108" spans="1:35" x14ac:dyDescent="0.2">
      <c r="A108" s="1" t="s">
        <v>253</v>
      </c>
      <c r="B108" s="1" t="s">
        <v>258</v>
      </c>
      <c r="C108" s="1" t="s">
        <v>259</v>
      </c>
      <c r="D108" s="2">
        <v>22182.0987657482</v>
      </c>
      <c r="E108" s="2">
        <v>49691.8323775967</v>
      </c>
      <c r="F108" s="2">
        <v>88011.981999857395</v>
      </c>
      <c r="G108" s="2">
        <v>175201.64662705336</v>
      </c>
      <c r="H108" s="2">
        <v>354033.72454141261</v>
      </c>
      <c r="I108" s="2">
        <v>660669.73321506078</v>
      </c>
      <c r="J108" s="2">
        <v>788165.70067517168</v>
      </c>
      <c r="K108" s="2">
        <v>737662.29409870645</v>
      </c>
      <c r="L108" s="2">
        <v>624696.79132237518</v>
      </c>
      <c r="M108" s="2">
        <v>790537.80844677042</v>
      </c>
      <c r="N108" s="2">
        <v>887004.99183353817</v>
      </c>
      <c r="O108" s="2">
        <v>861584.4156953746</v>
      </c>
      <c r="P108" s="2">
        <v>1086641.0943548118</v>
      </c>
      <c r="Q108" s="2">
        <v>1007694.4088835415</v>
      </c>
      <c r="R108" s="2">
        <v>1010179.2071006391</v>
      </c>
      <c r="S108" s="2">
        <v>902249.50574144826</v>
      </c>
      <c r="T108" s="2">
        <v>945839.36892984749</v>
      </c>
      <c r="U108" s="2">
        <v>1051938.238621752</v>
      </c>
      <c r="V108" s="2">
        <v>1085994.2803659458</v>
      </c>
      <c r="W108" s="2">
        <v>1144040.3690106419</v>
      </c>
      <c r="X108" s="2">
        <v>1140612.6299999999</v>
      </c>
      <c r="Y108" s="2">
        <v>1136879.5446605138</v>
      </c>
      <c r="Z108" s="2">
        <v>1078913.8577495669</v>
      </c>
      <c r="AA108" s="2">
        <v>965526.77874891739</v>
      </c>
      <c r="AB108" s="2">
        <v>1005230.9064053382</v>
      </c>
      <c r="AC108" s="2">
        <v>1082196.7063731062</v>
      </c>
      <c r="AD108" s="2">
        <v>1070706.8927390792</v>
      </c>
      <c r="AE108" s="2">
        <v>1088652.106231634</v>
      </c>
      <c r="AF108" s="2">
        <v>1225654.3689710628</v>
      </c>
      <c r="AG108" s="2">
        <v>1335929.7896856044</v>
      </c>
      <c r="AH108" s="2">
        <v>1384279.5944319451</v>
      </c>
      <c r="AI108" s="2">
        <v>1366282.8154042165</v>
      </c>
    </row>
    <row r="109" spans="1:35" x14ac:dyDescent="0.2">
      <c r="A109" s="1" t="s">
        <v>253</v>
      </c>
      <c r="B109" s="1" t="s">
        <v>260</v>
      </c>
      <c r="C109" s="1" t="s">
        <v>261</v>
      </c>
      <c r="D109" s="2">
        <v>33348.3564337235</v>
      </c>
      <c r="E109" s="2">
        <v>119732.16180325842</v>
      </c>
      <c r="F109" s="2">
        <v>263665.64118293871</v>
      </c>
      <c r="G109" s="2">
        <v>522854.11533094005</v>
      </c>
      <c r="H109" s="2">
        <v>925049.40478027787</v>
      </c>
      <c r="I109" s="2">
        <v>2473902.6738612251</v>
      </c>
      <c r="J109" s="2">
        <v>3621043.6113313739</v>
      </c>
      <c r="K109" s="2">
        <v>4243715.0832270784</v>
      </c>
      <c r="L109" s="2">
        <v>4226136.0360879926</v>
      </c>
      <c r="M109" s="2">
        <v>4275812.9821549514</v>
      </c>
      <c r="N109" s="2">
        <v>4359168.889000684</v>
      </c>
      <c r="O109" s="2">
        <v>4302935.4616462644</v>
      </c>
      <c r="P109" s="2">
        <v>4709082.5446285503</v>
      </c>
      <c r="Q109" s="2">
        <v>3995223.947544924</v>
      </c>
      <c r="R109" s="2">
        <v>4203424.5350407306</v>
      </c>
      <c r="S109" s="2">
        <v>3597030.8201094018</v>
      </c>
      <c r="T109" s="2">
        <v>3510732.74172591</v>
      </c>
      <c r="U109" s="2">
        <v>3162958.8042451292</v>
      </c>
      <c r="V109" s="2">
        <v>3569115.1267403243</v>
      </c>
      <c r="W109" s="2">
        <v>3613508.3960372289</v>
      </c>
      <c r="X109" s="2">
        <v>4161098.9940000004</v>
      </c>
      <c r="Y109" s="2">
        <v>4390022.5506935539</v>
      </c>
      <c r="Z109" s="2">
        <v>4668590.5362747675</v>
      </c>
      <c r="AA109" s="2">
        <v>5144481.6434398526</v>
      </c>
      <c r="AB109" s="2">
        <v>5141485.1830380522</v>
      </c>
      <c r="AC109" s="2">
        <v>4655577.8644591561</v>
      </c>
      <c r="AD109" s="2">
        <v>4346496.9761119504</v>
      </c>
      <c r="AE109" s="2">
        <v>3994443.7541543031</v>
      </c>
      <c r="AF109" s="2">
        <v>4755127.2720504487</v>
      </c>
      <c r="AG109" s="2">
        <v>4509787.3978213435</v>
      </c>
      <c r="AH109" s="2">
        <v>4902053.8970052162</v>
      </c>
      <c r="AI109" s="2">
        <v>4578783.4486313723</v>
      </c>
    </row>
    <row r="110" spans="1:35" x14ac:dyDescent="0.2">
      <c r="A110" s="1" t="s">
        <v>253</v>
      </c>
      <c r="B110" s="1" t="s">
        <v>262</v>
      </c>
      <c r="C110" s="1" t="s">
        <v>263</v>
      </c>
      <c r="D110" s="2">
        <v>166237.18948060894</v>
      </c>
      <c r="E110" s="2">
        <v>790593.92108376417</v>
      </c>
      <c r="F110" s="2">
        <v>1653164.710506595</v>
      </c>
      <c r="G110" s="2">
        <v>3909109.6539553818</v>
      </c>
      <c r="H110" s="2">
        <v>10200830.958556434</v>
      </c>
      <c r="I110" s="2">
        <v>21629097.037224598</v>
      </c>
      <c r="J110" s="2">
        <v>30471704.871440753</v>
      </c>
      <c r="K110" s="2">
        <v>32264839.790652011</v>
      </c>
      <c r="L110" s="2">
        <v>33621064.646642298</v>
      </c>
      <c r="M110" s="2">
        <v>22617473.268881008</v>
      </c>
      <c r="N110" s="2">
        <v>27045588.019592255</v>
      </c>
      <c r="O110" s="2">
        <v>26116054.739401199</v>
      </c>
      <c r="P110" s="2">
        <v>21754523.127761338</v>
      </c>
      <c r="Q110" s="2">
        <v>24129906.505015183</v>
      </c>
      <c r="R110" s="2">
        <v>26551845.470033806</v>
      </c>
      <c r="S110" s="2">
        <v>25982787.768866248</v>
      </c>
      <c r="T110" s="2">
        <v>23829067.766811401</v>
      </c>
      <c r="U110" s="2">
        <v>24737140.033413038</v>
      </c>
      <c r="V110" s="2">
        <v>24778400.499801468</v>
      </c>
      <c r="W110" s="2">
        <v>29123577.534914412</v>
      </c>
      <c r="X110" s="2">
        <v>30270586.991999995</v>
      </c>
      <c r="Y110" s="2">
        <v>28300534.970093347</v>
      </c>
      <c r="Z110" s="2">
        <v>27245720.001738973</v>
      </c>
      <c r="AA110" s="2">
        <v>26246422.538793761</v>
      </c>
      <c r="AB110" s="2">
        <v>25658431.591342192</v>
      </c>
      <c r="AC110" s="2">
        <v>27244511.274834577</v>
      </c>
      <c r="AD110" s="2">
        <v>27075688.368625946</v>
      </c>
      <c r="AE110" s="2">
        <v>25719209.813438118</v>
      </c>
      <c r="AF110" s="2">
        <v>25083222.573971916</v>
      </c>
      <c r="AG110" s="2">
        <v>25226499.540007126</v>
      </c>
      <c r="AH110" s="2">
        <v>22581285.162153929</v>
      </c>
      <c r="AI110" s="2">
        <v>26012783.971227374</v>
      </c>
    </row>
    <row r="111" spans="1:35" x14ac:dyDescent="0.2">
      <c r="A111" s="1" t="s">
        <v>253</v>
      </c>
      <c r="B111" s="1" t="s">
        <v>264</v>
      </c>
      <c r="C111" s="1" t="s">
        <v>265</v>
      </c>
      <c r="D111" s="2">
        <v>83272.638021421299</v>
      </c>
      <c r="E111" s="2">
        <v>143134.40155406261</v>
      </c>
      <c r="F111" s="2">
        <v>201375.20398123877</v>
      </c>
      <c r="G111" s="2">
        <v>420790.17974592518</v>
      </c>
      <c r="H111" s="2">
        <v>637171.83894720208</v>
      </c>
      <c r="I111" s="2">
        <v>1442909.1054001285</v>
      </c>
      <c r="J111" s="2">
        <v>1786609.564742438</v>
      </c>
      <c r="K111" s="2">
        <v>2136886.3293303996</v>
      </c>
      <c r="L111" s="2">
        <v>961191.92838648614</v>
      </c>
      <c r="M111" s="2">
        <v>1371078.6882981167</v>
      </c>
      <c r="N111" s="2">
        <v>1352143.4085181938</v>
      </c>
      <c r="O111" s="2">
        <v>1449402.3100188409</v>
      </c>
      <c r="P111" s="2">
        <v>988721.15603630699</v>
      </c>
      <c r="Q111" s="2">
        <v>979784.44589174225</v>
      </c>
      <c r="R111" s="2">
        <v>1015609.0321216545</v>
      </c>
      <c r="S111" s="2">
        <v>973730.62880571</v>
      </c>
      <c r="T111" s="2">
        <v>868160.92948829115</v>
      </c>
      <c r="U111" s="2">
        <v>817431.2571006862</v>
      </c>
      <c r="V111" s="2">
        <v>966091.47084443294</v>
      </c>
      <c r="W111" s="2">
        <v>1029879.5256574637</v>
      </c>
      <c r="X111" s="2">
        <v>1045741.2860000001</v>
      </c>
      <c r="Y111" s="2">
        <v>1041660.9908672328</v>
      </c>
      <c r="Z111" s="2">
        <v>1045724.9307841987</v>
      </c>
      <c r="AA111" s="2">
        <v>1047921.839524619</v>
      </c>
      <c r="AB111" s="2">
        <v>1065231.4102145776</v>
      </c>
      <c r="AC111" s="2">
        <v>1268647.881273892</v>
      </c>
      <c r="AD111" s="2">
        <v>1360634.5483863126</v>
      </c>
      <c r="AE111" s="2">
        <v>1465711.8394844702</v>
      </c>
      <c r="AF111" s="2">
        <v>1522430.8238679143</v>
      </c>
      <c r="AG111" s="2">
        <v>1431103.6755365946</v>
      </c>
      <c r="AH111" s="2">
        <v>1291619.5416152303</v>
      </c>
      <c r="AI111" s="2">
        <v>1255852.1655042106</v>
      </c>
    </row>
    <row r="112" spans="1:35" x14ac:dyDescent="0.2">
      <c r="A112" s="1" t="s">
        <v>253</v>
      </c>
      <c r="B112" s="1" t="s">
        <v>266</v>
      </c>
      <c r="C112" s="1" t="s">
        <v>267</v>
      </c>
      <c r="D112" s="2">
        <v>134753.68769246741</v>
      </c>
      <c r="E112" s="2">
        <v>289550.10836803942</v>
      </c>
      <c r="F112" s="2">
        <v>445082.27672162687</v>
      </c>
      <c r="G112" s="2">
        <v>1256180.2357302471</v>
      </c>
      <c r="H112" s="2">
        <v>1276086.24941084</v>
      </c>
      <c r="I112" s="2">
        <v>2918073.5422860566</v>
      </c>
      <c r="J112" s="2">
        <v>4615302.9084331561</v>
      </c>
      <c r="K112" s="2">
        <v>3414339.1135198111</v>
      </c>
      <c r="L112" s="2">
        <v>2515176.9784425385</v>
      </c>
      <c r="M112" s="2">
        <v>2447772.657455578</v>
      </c>
      <c r="N112" s="2">
        <v>2737939.6417126474</v>
      </c>
      <c r="O112" s="2">
        <v>2894889.839391924</v>
      </c>
      <c r="P112" s="2">
        <v>1843215.1465778879</v>
      </c>
      <c r="Q112" s="2">
        <v>2270314.989275896</v>
      </c>
      <c r="R112" s="2">
        <v>2111883.6188814337</v>
      </c>
      <c r="S112" s="2">
        <v>1684130.3712887787</v>
      </c>
      <c r="T112" s="2">
        <v>1762330.242396384</v>
      </c>
      <c r="U112" s="2">
        <v>1991999.6451375422</v>
      </c>
      <c r="V112" s="2">
        <v>2091410.3698607599</v>
      </c>
      <c r="W112" s="2">
        <v>2188248.8183930027</v>
      </c>
      <c r="X112" s="2">
        <v>2373467.895</v>
      </c>
      <c r="Y112" s="2">
        <v>2095893.8428721137</v>
      </c>
      <c r="Z112" s="2">
        <v>2253450.7037409525</v>
      </c>
      <c r="AA112" s="2">
        <v>2338234.7110865233</v>
      </c>
      <c r="AB112" s="2">
        <v>2347560.9145782911</v>
      </c>
      <c r="AC112" s="2">
        <v>2354688.3912473004</v>
      </c>
      <c r="AD112" s="2">
        <v>2931056.1564466562</v>
      </c>
      <c r="AE112" s="2">
        <v>2504835.2837392814</v>
      </c>
      <c r="AF112" s="2">
        <v>3024939.4023041362</v>
      </c>
      <c r="AG112" s="2">
        <v>2941729.2489548372</v>
      </c>
      <c r="AH112" s="2">
        <v>3104566.1301674941</v>
      </c>
      <c r="AI112" s="2">
        <v>4446298.8287311187</v>
      </c>
    </row>
    <row r="113" spans="1:35" x14ac:dyDescent="0.2">
      <c r="A113" s="1" t="s">
        <v>268</v>
      </c>
      <c r="B113" s="1" t="s">
        <v>269</v>
      </c>
      <c r="C113" s="1" t="s">
        <v>270</v>
      </c>
      <c r="D113" s="2">
        <v>4502.6273307506999</v>
      </c>
      <c r="E113" s="2">
        <v>16993.5201821829</v>
      </c>
      <c r="F113" s="2">
        <v>147263.67350983919</v>
      </c>
      <c r="G113" s="2">
        <v>370579.41394714359</v>
      </c>
      <c r="H113" s="2">
        <v>934576.90644247399</v>
      </c>
      <c r="I113" s="2">
        <v>2240318.1114641153</v>
      </c>
      <c r="J113" s="2">
        <v>3867467.7311208588</v>
      </c>
      <c r="K113" s="2">
        <v>4446126.7215474825</v>
      </c>
      <c r="L113" s="2">
        <v>11939692.521670494</v>
      </c>
      <c r="M113" s="2">
        <v>6232798.1878867196</v>
      </c>
      <c r="N113" s="2">
        <v>6518960.2016057894</v>
      </c>
      <c r="O113" s="2">
        <v>7059846.2144038649</v>
      </c>
      <c r="P113" s="2">
        <v>4651241.7730470691</v>
      </c>
      <c r="Q113" s="2">
        <v>4773743.8418866592</v>
      </c>
      <c r="R113" s="2">
        <v>5462831.3525787424</v>
      </c>
      <c r="S113" s="2">
        <v>5230685.7382996604</v>
      </c>
      <c r="T113" s="2">
        <v>5476336.2254200298</v>
      </c>
      <c r="U113" s="2">
        <v>6495901.700441963</v>
      </c>
      <c r="V113" s="2">
        <v>6452233.3446925441</v>
      </c>
      <c r="W113" s="2">
        <v>6203681.782604917</v>
      </c>
      <c r="X113" s="2">
        <v>6987678.1630000025</v>
      </c>
      <c r="Y113" s="2">
        <v>7988690.31229572</v>
      </c>
      <c r="Z113" s="2">
        <v>7531971.2529978966</v>
      </c>
      <c r="AA113" s="2">
        <v>7830010.241019058</v>
      </c>
      <c r="AB113" s="2">
        <v>8145771.5683441088</v>
      </c>
      <c r="AC113" s="2">
        <v>7558098.2539292229</v>
      </c>
      <c r="AD113" s="2">
        <v>6825780.2661411334</v>
      </c>
      <c r="AE113" s="2">
        <v>7100552.9556318652</v>
      </c>
      <c r="AF113" s="2">
        <v>7181646.2247599326</v>
      </c>
      <c r="AG113" s="2">
        <v>7968344.0871239696</v>
      </c>
      <c r="AH113" s="2">
        <v>8577200.1022753492</v>
      </c>
      <c r="AI113" s="2">
        <v>8815569.7703562547</v>
      </c>
    </row>
    <row r="114" spans="1:35" x14ac:dyDescent="0.2">
      <c r="A114" s="1" t="s">
        <v>268</v>
      </c>
      <c r="B114" s="1" t="s">
        <v>271</v>
      </c>
      <c r="C114" s="1" t="s">
        <v>272</v>
      </c>
      <c r="D114" s="2">
        <v>28982.595263132203</v>
      </c>
      <c r="E114" s="2">
        <v>152378.06193346801</v>
      </c>
      <c r="F114" s="2">
        <v>306272.31309005187</v>
      </c>
      <c r="G114" s="2">
        <v>680629.84956438467</v>
      </c>
      <c r="H114" s="2">
        <v>1895199.3910558575</v>
      </c>
      <c r="I114" s="2">
        <v>5089621.0752851525</v>
      </c>
      <c r="J114" s="2">
        <v>8655962.8561637215</v>
      </c>
      <c r="K114" s="2">
        <v>8232327.9289652919</v>
      </c>
      <c r="L114" s="2">
        <v>10971965.225415684</v>
      </c>
      <c r="M114" s="2">
        <v>7405357.0015633693</v>
      </c>
      <c r="N114" s="2">
        <v>8907604.979618663</v>
      </c>
      <c r="O114" s="2">
        <v>9062705.3679609504</v>
      </c>
      <c r="P114" s="2">
        <v>9531662.2059274204</v>
      </c>
      <c r="Q114" s="2">
        <v>10096188.964102946</v>
      </c>
      <c r="R114" s="2">
        <v>11582103.292251315</v>
      </c>
      <c r="S114" s="2">
        <v>11138658.651956921</v>
      </c>
      <c r="T114" s="2">
        <v>11687581.607275872</v>
      </c>
      <c r="U114" s="2">
        <v>12988239.758841485</v>
      </c>
      <c r="V114" s="2">
        <v>13288048.527014127</v>
      </c>
      <c r="W114" s="2">
        <v>12211026.435874127</v>
      </c>
      <c r="X114" s="2">
        <v>13667341.080000002</v>
      </c>
      <c r="Y114" s="2">
        <v>14129391.851845752</v>
      </c>
      <c r="Z114" s="2">
        <v>13684167.813326485</v>
      </c>
      <c r="AA114" s="2">
        <v>13397593.672031071</v>
      </c>
      <c r="AB114" s="2">
        <v>12197479.314930696</v>
      </c>
      <c r="AC114" s="2">
        <v>11760417.790719723</v>
      </c>
      <c r="AD114" s="2">
        <v>10418207.596569708</v>
      </c>
      <c r="AE114" s="2">
        <v>11114496.708195057</v>
      </c>
      <c r="AF114" s="2">
        <v>11300543.529981833</v>
      </c>
      <c r="AG114" s="2">
        <v>11781823.383471526</v>
      </c>
      <c r="AH114" s="2">
        <v>12089000.167099241</v>
      </c>
      <c r="AI114" s="2">
        <v>14249172.69689385</v>
      </c>
    </row>
    <row r="115" spans="1:35" x14ac:dyDescent="0.2">
      <c r="A115" s="1" t="s">
        <v>268</v>
      </c>
      <c r="B115" s="1" t="s">
        <v>273</v>
      </c>
      <c r="C115" s="1" t="s">
        <v>274</v>
      </c>
      <c r="D115" s="2">
        <v>2917.1320519880001</v>
      </c>
      <c r="E115" s="2">
        <v>23041.494198256398</v>
      </c>
      <c r="F115" s="2">
        <v>62644.389289989602</v>
      </c>
      <c r="G115" s="2">
        <v>364315.59659146116</v>
      </c>
      <c r="H115" s="2">
        <v>844179.68963038921</v>
      </c>
      <c r="I115" s="2">
        <v>1368704.7423064052</v>
      </c>
      <c r="J115" s="2">
        <v>1703076.2805887992</v>
      </c>
      <c r="K115" s="2">
        <v>1307530.9164778849</v>
      </c>
      <c r="L115" s="2">
        <v>1079798.469016545</v>
      </c>
      <c r="M115" s="2">
        <v>1110516.0725839569</v>
      </c>
      <c r="N115" s="2">
        <v>1353793.3659246361</v>
      </c>
      <c r="O115" s="2">
        <v>1357409.7144037078</v>
      </c>
      <c r="P115" s="2">
        <v>1320971.5911989778</v>
      </c>
      <c r="Q115" s="2">
        <v>1317043.6603996851</v>
      </c>
      <c r="R115" s="2">
        <v>1473556.7463404401</v>
      </c>
      <c r="S115" s="2">
        <v>1385922.9528956651</v>
      </c>
      <c r="T115" s="2">
        <v>1437657.0791085227</v>
      </c>
      <c r="U115" s="2">
        <v>1888963.3315033349</v>
      </c>
      <c r="V115" s="2">
        <v>1961477.8204320336</v>
      </c>
      <c r="W115" s="2">
        <v>1649103.2698854906</v>
      </c>
      <c r="X115" s="2">
        <v>2087321.3790000002</v>
      </c>
      <c r="Y115" s="2">
        <v>2027725.8825178675</v>
      </c>
      <c r="Z115" s="2">
        <v>2063483.0665959229</v>
      </c>
      <c r="AA115" s="2">
        <v>2057124.9445327506</v>
      </c>
      <c r="AB115" s="2">
        <v>2176803.1040266752</v>
      </c>
      <c r="AC115" s="2">
        <v>2176403.8225725228</v>
      </c>
      <c r="AD115" s="2">
        <v>1939860.6787924566</v>
      </c>
      <c r="AE115" s="2">
        <v>2059074.8782749316</v>
      </c>
      <c r="AF115" s="2">
        <v>1889025.9063836215</v>
      </c>
      <c r="AG115" s="2">
        <v>1895917.7680616486</v>
      </c>
      <c r="AH115" s="2">
        <v>2014027.3676794632</v>
      </c>
      <c r="AI115" s="2">
        <v>1879013.7424269766</v>
      </c>
    </row>
    <row r="116" spans="1:35" x14ac:dyDescent="0.2">
      <c r="A116" s="1" t="s">
        <v>268</v>
      </c>
      <c r="B116" s="1" t="s">
        <v>275</v>
      </c>
      <c r="C116" s="1" t="s">
        <v>276</v>
      </c>
      <c r="D116" s="2">
        <v>18861.837485538501</v>
      </c>
      <c r="E116" s="2">
        <v>157031.14151689759</v>
      </c>
      <c r="F116" s="2">
        <v>372546.62185137469</v>
      </c>
      <c r="G116" s="2">
        <v>879717.92770712276</v>
      </c>
      <c r="H116" s="2">
        <v>1832386.2320865819</v>
      </c>
      <c r="I116" s="2">
        <v>4657524.2869296083</v>
      </c>
      <c r="J116" s="2">
        <v>8569422.5549808014</v>
      </c>
      <c r="K116" s="2">
        <v>8954495.9433438368</v>
      </c>
      <c r="L116" s="2">
        <v>8529887.0774210598</v>
      </c>
      <c r="M116" s="2">
        <v>6379313.580573584</v>
      </c>
      <c r="N116" s="2">
        <v>7534881.6814052416</v>
      </c>
      <c r="O116" s="2">
        <v>7534896.6657598875</v>
      </c>
      <c r="P116" s="2">
        <v>7061601.4036205225</v>
      </c>
      <c r="Q116" s="2">
        <v>7237336.1912813</v>
      </c>
      <c r="R116" s="2">
        <v>8263089.5600895472</v>
      </c>
      <c r="S116" s="2">
        <v>8412381.7986238115</v>
      </c>
      <c r="T116" s="2">
        <v>9046972.6692016311</v>
      </c>
      <c r="U116" s="2">
        <v>10145456.955842482</v>
      </c>
      <c r="V116" s="2">
        <v>10241208.676024688</v>
      </c>
      <c r="W116" s="2">
        <v>9772094.911817614</v>
      </c>
      <c r="X116" s="2">
        <v>11132736.837999998</v>
      </c>
      <c r="Y116" s="2">
        <v>11822541.674221443</v>
      </c>
      <c r="Z116" s="2">
        <v>11732816.91587824</v>
      </c>
      <c r="AA116" s="2">
        <v>11267621.959186897</v>
      </c>
      <c r="AB116" s="2">
        <v>13328601.004316702</v>
      </c>
      <c r="AC116" s="2">
        <v>11052899.964142445</v>
      </c>
      <c r="AD116" s="2">
        <v>10420546.689401191</v>
      </c>
      <c r="AE116" s="2">
        <v>10942088.133440524</v>
      </c>
      <c r="AF116" s="2">
        <v>10843470.299077587</v>
      </c>
      <c r="AG116" s="2">
        <v>10592763.933278121</v>
      </c>
      <c r="AH116" s="2">
        <v>10529820.685972057</v>
      </c>
      <c r="AI116" s="2">
        <v>11721301.747782754</v>
      </c>
    </row>
    <row r="117" spans="1:35" x14ac:dyDescent="0.2">
      <c r="A117" s="1" t="s">
        <v>268</v>
      </c>
      <c r="B117" s="1" t="s">
        <v>277</v>
      </c>
      <c r="C117" s="1" t="s">
        <v>278</v>
      </c>
      <c r="D117" s="2">
        <v>23882.873228430199</v>
      </c>
      <c r="E117" s="2">
        <v>17137.642116183</v>
      </c>
      <c r="F117" s="2">
        <v>36607.686453112896</v>
      </c>
      <c r="G117" s="2">
        <v>95435.08600708381</v>
      </c>
      <c r="H117" s="2">
        <v>428729.4872996381</v>
      </c>
      <c r="I117" s="2">
        <v>1020595.5688737308</v>
      </c>
      <c r="J117" s="2">
        <v>1962231.2446452051</v>
      </c>
      <c r="K117" s="2">
        <v>1648290.1823325511</v>
      </c>
      <c r="L117" s="2">
        <v>2337598.0210965122</v>
      </c>
      <c r="M117" s="2">
        <v>1725816.4157127421</v>
      </c>
      <c r="N117" s="2">
        <v>2100199.2785779154</v>
      </c>
      <c r="O117" s="2">
        <v>2018418.1035983388</v>
      </c>
      <c r="P117" s="2">
        <v>2178021.3211462474</v>
      </c>
      <c r="Q117" s="2">
        <v>2125026.2283881917</v>
      </c>
      <c r="R117" s="2">
        <v>2409777.8372560688</v>
      </c>
      <c r="S117" s="2">
        <v>2373226.4922954277</v>
      </c>
      <c r="T117" s="2">
        <v>2560195.9351529707</v>
      </c>
      <c r="U117" s="2">
        <v>3281732.7774084974</v>
      </c>
      <c r="V117" s="2">
        <v>3068896.5043833908</v>
      </c>
      <c r="W117" s="2">
        <v>3268683.1249581026</v>
      </c>
      <c r="X117" s="2">
        <v>3878317.2880000006</v>
      </c>
      <c r="Y117" s="2">
        <v>4370422.2673395015</v>
      </c>
      <c r="Z117" s="2">
        <v>4385028.758626421</v>
      </c>
      <c r="AA117" s="2">
        <v>4313123.2294991044</v>
      </c>
      <c r="AB117" s="2">
        <v>4249634.7126074294</v>
      </c>
      <c r="AC117" s="2">
        <v>3762158.1947853533</v>
      </c>
      <c r="AD117" s="2">
        <v>3506930.1980606969</v>
      </c>
      <c r="AE117" s="2">
        <v>3295409.77912152</v>
      </c>
      <c r="AF117" s="2">
        <v>3235711.7227777061</v>
      </c>
      <c r="AG117" s="2">
        <v>3215070.1459382074</v>
      </c>
      <c r="AH117" s="2">
        <v>3240909.7291953107</v>
      </c>
      <c r="AI117" s="2">
        <v>3332222.3672035229</v>
      </c>
    </row>
    <row r="118" spans="1:35" x14ac:dyDescent="0.2">
      <c r="A118" s="1" t="s">
        <v>268</v>
      </c>
      <c r="B118" s="1" t="s">
        <v>279</v>
      </c>
      <c r="C118" s="1" t="s">
        <v>280</v>
      </c>
      <c r="D118" s="2">
        <v>14023.335919320099</v>
      </c>
      <c r="E118" s="2">
        <v>38941.231845617105</v>
      </c>
      <c r="F118" s="2">
        <v>236697.99963465281</v>
      </c>
      <c r="G118" s="2">
        <v>352329.25604529766</v>
      </c>
      <c r="H118" s="2">
        <v>786229.64786699042</v>
      </c>
      <c r="I118" s="2">
        <v>1933685.8552362076</v>
      </c>
      <c r="J118" s="2">
        <v>3810549.7343835966</v>
      </c>
      <c r="K118" s="2">
        <v>3559607.2429617518</v>
      </c>
      <c r="L118" s="2">
        <v>3384910.2347096987</v>
      </c>
      <c r="M118" s="2">
        <v>3488908.0185698927</v>
      </c>
      <c r="N118" s="2">
        <v>4630712.6743038082</v>
      </c>
      <c r="O118" s="2">
        <v>4391032.1684761886</v>
      </c>
      <c r="P118" s="2">
        <v>3295226.6769678332</v>
      </c>
      <c r="Q118" s="2">
        <v>3245021.013395573</v>
      </c>
      <c r="R118" s="2">
        <v>3631795.6627006689</v>
      </c>
      <c r="S118" s="2">
        <v>3566282.2219064361</v>
      </c>
      <c r="T118" s="2">
        <v>3949099.1642232295</v>
      </c>
      <c r="U118" s="2">
        <v>4409298.061452751</v>
      </c>
      <c r="V118" s="2">
        <v>4537970.2421420971</v>
      </c>
      <c r="W118" s="2">
        <v>4209050.8839284331</v>
      </c>
      <c r="X118" s="2">
        <v>4858477.5200000005</v>
      </c>
      <c r="Y118" s="2">
        <v>5427676.4778507706</v>
      </c>
      <c r="Z118" s="2">
        <v>5386560.0963663785</v>
      </c>
      <c r="AA118" s="2">
        <v>5456459.9896559538</v>
      </c>
      <c r="AB118" s="2">
        <v>5716749.9098161645</v>
      </c>
      <c r="AC118" s="2">
        <v>5005936.0304668183</v>
      </c>
      <c r="AD118" s="2">
        <v>4361345.7733489498</v>
      </c>
      <c r="AE118" s="2">
        <v>4159207.0224752016</v>
      </c>
      <c r="AF118" s="2">
        <v>4349858.9065156644</v>
      </c>
      <c r="AG118" s="2">
        <v>4513140.6327066887</v>
      </c>
      <c r="AH118" s="2">
        <v>4760545.5718177715</v>
      </c>
      <c r="AI118" s="2">
        <v>5212408.9197613765</v>
      </c>
    </row>
    <row r="119" spans="1:35" x14ac:dyDescent="0.2">
      <c r="A119" s="1" t="s">
        <v>281</v>
      </c>
      <c r="B119" s="1" t="s">
        <v>282</v>
      </c>
      <c r="C119" s="1" t="s">
        <v>283</v>
      </c>
      <c r="D119" s="2">
        <v>964.79877038080008</v>
      </c>
      <c r="E119" s="2">
        <v>110.0635635045</v>
      </c>
      <c r="F119" s="2">
        <v>1585.2921544317001</v>
      </c>
      <c r="G119" s="2">
        <v>5038.1118996970999</v>
      </c>
      <c r="H119" s="2">
        <v>18474.362217703198</v>
      </c>
      <c r="I119" s="2">
        <v>37539.431491182491</v>
      </c>
      <c r="J119" s="2">
        <v>41284.370314018</v>
      </c>
      <c r="K119" s="2">
        <v>170071.1637865995</v>
      </c>
      <c r="L119" s="2">
        <v>202873.67724767068</v>
      </c>
      <c r="M119" s="2">
        <v>191314.43109335389</v>
      </c>
      <c r="N119" s="2">
        <v>194047.75372279677</v>
      </c>
      <c r="O119" s="2">
        <v>1206738.5034865385</v>
      </c>
      <c r="P119" s="2">
        <v>1697463.2435570725</v>
      </c>
      <c r="Q119" s="2">
        <v>1848581.7845594613</v>
      </c>
      <c r="R119" s="2">
        <v>1927994.8363118328</v>
      </c>
      <c r="S119" s="2">
        <v>1607410.8355540822</v>
      </c>
      <c r="T119" s="2">
        <v>1340256.1082997716</v>
      </c>
      <c r="U119" s="2">
        <v>1429210.0335429874</v>
      </c>
      <c r="V119" s="2">
        <v>1642561.5179518301</v>
      </c>
      <c r="W119" s="2">
        <v>1306558.9331019383</v>
      </c>
      <c r="X119" s="2">
        <v>1744894.7849999997</v>
      </c>
      <c r="Y119" s="2">
        <v>1518759.4366779162</v>
      </c>
      <c r="Z119" s="2">
        <v>1641163.5340288996</v>
      </c>
      <c r="AA119" s="2">
        <v>440634.83476372395</v>
      </c>
      <c r="AB119" s="2">
        <v>479111.2277924685</v>
      </c>
      <c r="AC119" s="2">
        <v>842633.89849113172</v>
      </c>
      <c r="AD119" s="2">
        <v>776214.91195710725</v>
      </c>
      <c r="AE119" s="2">
        <v>950427.11986369977</v>
      </c>
      <c r="AF119" s="2">
        <v>1190142.7615276987</v>
      </c>
      <c r="AG119" s="2">
        <v>1400729.0311160663</v>
      </c>
      <c r="AH119" s="2">
        <v>1612399.3271677219</v>
      </c>
      <c r="AI119" s="2">
        <v>1283379.7316140253</v>
      </c>
    </row>
    <row r="120" spans="1:35" x14ac:dyDescent="0.2">
      <c r="A120" s="1" t="s">
        <v>281</v>
      </c>
      <c r="B120" s="1" t="s">
        <v>284</v>
      </c>
      <c r="C120" s="1" t="s">
        <v>285</v>
      </c>
      <c r="D120" s="2">
        <v>10430.1603281107</v>
      </c>
      <c r="E120" s="2">
        <v>2901.9198084958998</v>
      </c>
      <c r="F120" s="2">
        <v>12079.069302091699</v>
      </c>
      <c r="G120" s="2">
        <v>50303.999320313698</v>
      </c>
      <c r="H120" s="2">
        <v>69168.388826287308</v>
      </c>
      <c r="I120" s="2">
        <v>120695.9838531783</v>
      </c>
      <c r="J120" s="2">
        <v>168824.75654231841</v>
      </c>
      <c r="K120" s="2">
        <v>455877.87597028888</v>
      </c>
      <c r="L120" s="2">
        <v>189573.61167981703</v>
      </c>
      <c r="M120" s="2">
        <v>243160.56263479192</v>
      </c>
      <c r="N120" s="2">
        <v>250513.7779339393</v>
      </c>
      <c r="O120" s="2">
        <v>261996.77544108153</v>
      </c>
      <c r="P120" s="2">
        <v>240234.8820533852</v>
      </c>
      <c r="Q120" s="2">
        <v>230147.11772985247</v>
      </c>
      <c r="R120" s="2">
        <v>242699.10922763741</v>
      </c>
      <c r="S120" s="2">
        <v>187500.18357034761</v>
      </c>
      <c r="T120" s="2">
        <v>207298.41724973219</v>
      </c>
      <c r="U120" s="2">
        <v>247812.09373547483</v>
      </c>
      <c r="V120" s="2">
        <v>287364.4132765503</v>
      </c>
      <c r="W120" s="2">
        <v>262938.3236172637</v>
      </c>
      <c r="X120" s="2">
        <v>307932.26900000003</v>
      </c>
      <c r="Y120" s="2">
        <v>347119.6895177816</v>
      </c>
      <c r="Z120" s="2">
        <v>385138.68362086074</v>
      </c>
      <c r="AA120" s="2">
        <v>425888.48578467552</v>
      </c>
      <c r="AB120" s="2">
        <v>446838.38090679148</v>
      </c>
      <c r="AC120" s="2">
        <v>389493.99888602318</v>
      </c>
      <c r="AD120" s="2">
        <v>347441.99404819589</v>
      </c>
      <c r="AE120" s="2">
        <v>337654.64656319586</v>
      </c>
      <c r="AF120" s="2">
        <v>331668.49339057587</v>
      </c>
      <c r="AG120" s="2">
        <v>353884.27291822771</v>
      </c>
      <c r="AH120" s="2">
        <v>359631.59244433482</v>
      </c>
      <c r="AI120" s="2">
        <v>318976.91054322023</v>
      </c>
    </row>
    <row r="121" spans="1:35" x14ac:dyDescent="0.2">
      <c r="A121" s="1" t="s">
        <v>281</v>
      </c>
      <c r="B121" s="1" t="s">
        <v>286</v>
      </c>
      <c r="C121" s="1" t="s">
        <v>287</v>
      </c>
      <c r="D121" s="2">
        <v>35137.397065036304</v>
      </c>
      <c r="E121" s="2">
        <v>111929.27512972499</v>
      </c>
      <c r="F121" s="2">
        <v>185983.0478992167</v>
      </c>
      <c r="G121" s="2">
        <v>248886.26996971568</v>
      </c>
      <c r="H121" s="2">
        <v>860258.59182318696</v>
      </c>
      <c r="I121" s="2">
        <v>1648114.237432766</v>
      </c>
      <c r="J121" s="2">
        <v>1739414.9001334815</v>
      </c>
      <c r="K121" s="2">
        <v>5841181.7586191539</v>
      </c>
      <c r="L121" s="2">
        <v>3314028.8440067153</v>
      </c>
      <c r="M121" s="2">
        <v>2770559.2439534436</v>
      </c>
      <c r="N121" s="2">
        <v>2811276.6380876275</v>
      </c>
      <c r="O121" s="2">
        <v>3188759.1630819808</v>
      </c>
      <c r="P121" s="2">
        <v>3720164.1398869236</v>
      </c>
      <c r="Q121" s="2">
        <v>3785776.5669674366</v>
      </c>
      <c r="R121" s="2">
        <v>4098118.2249674662</v>
      </c>
      <c r="S121" s="2">
        <v>4130446.7611130779</v>
      </c>
      <c r="T121" s="2">
        <v>4423881.4269774873</v>
      </c>
      <c r="U121" s="2">
        <v>4640472.1540115895</v>
      </c>
      <c r="V121" s="2">
        <v>5412697.3571363436</v>
      </c>
      <c r="W121" s="2">
        <v>4113610.7589585581</v>
      </c>
      <c r="X121" s="2">
        <v>4805765.3949999996</v>
      </c>
      <c r="Y121" s="2">
        <v>5273168.0702249538</v>
      </c>
      <c r="Z121" s="2">
        <v>5634273.2890266478</v>
      </c>
      <c r="AA121" s="2">
        <v>5558842.9677044367</v>
      </c>
      <c r="AB121" s="2">
        <v>5195206.571192042</v>
      </c>
      <c r="AC121" s="2">
        <v>4150787.937226444</v>
      </c>
      <c r="AD121" s="2">
        <v>3300586.5010952791</v>
      </c>
      <c r="AE121" s="2">
        <v>2975981.7291192543</v>
      </c>
      <c r="AF121" s="2">
        <v>2845519.7302187895</v>
      </c>
      <c r="AG121" s="2">
        <v>2663474.2446813826</v>
      </c>
      <c r="AH121" s="2">
        <v>2727913.1581095001</v>
      </c>
      <c r="AI121" s="2">
        <v>3241589.3049283698</v>
      </c>
    </row>
    <row r="122" spans="1:35" x14ac:dyDescent="0.2">
      <c r="A122" s="1" t="s">
        <v>288</v>
      </c>
      <c r="B122" s="1" t="s">
        <v>289</v>
      </c>
      <c r="C122" s="1" t="s">
        <v>290</v>
      </c>
      <c r="D122" s="2">
        <v>31980.363312857902</v>
      </c>
      <c r="E122" s="2">
        <v>88985.709100221473</v>
      </c>
      <c r="F122" s="2">
        <v>213325.6068860621</v>
      </c>
      <c r="G122" s="2">
        <v>391030.1276994861</v>
      </c>
      <c r="H122" s="2">
        <v>1058150.084548864</v>
      </c>
      <c r="I122" s="2">
        <v>2429467.1877787933</v>
      </c>
      <c r="J122" s="2">
        <v>3618585.4068658617</v>
      </c>
      <c r="K122" s="2">
        <v>4569140.3386183009</v>
      </c>
      <c r="L122" s="2">
        <v>3402891.6165962191</v>
      </c>
      <c r="M122" s="2">
        <v>4884489.8722560927</v>
      </c>
      <c r="N122" s="2">
        <v>5028297.3635708932</v>
      </c>
      <c r="O122" s="2">
        <v>4536381.8737241756</v>
      </c>
      <c r="P122" s="2">
        <v>5240573.384289193</v>
      </c>
      <c r="Q122" s="2">
        <v>5330141.1417899029</v>
      </c>
      <c r="R122" s="2">
        <v>4915438.0635766126</v>
      </c>
      <c r="S122" s="2">
        <v>5172365.7803369667</v>
      </c>
      <c r="T122" s="2">
        <v>5125600.0187778734</v>
      </c>
      <c r="U122" s="2">
        <v>5356584.3149270928</v>
      </c>
      <c r="V122" s="2">
        <v>5384146.2861608239</v>
      </c>
      <c r="W122" s="2">
        <v>5458441.6201560032</v>
      </c>
      <c r="X122" s="2">
        <v>6176240.6490000011</v>
      </c>
      <c r="Y122" s="2">
        <v>6381321.4605267225</v>
      </c>
      <c r="Z122" s="2">
        <v>6460945.2166107511</v>
      </c>
      <c r="AA122" s="2">
        <v>6408554.4667178169</v>
      </c>
      <c r="AB122" s="2">
        <v>6119269.0011128681</v>
      </c>
      <c r="AC122" s="2">
        <v>7922430.5014447654</v>
      </c>
      <c r="AD122" s="2">
        <v>5685213.0410269508</v>
      </c>
      <c r="AE122" s="2">
        <v>6311005.8709669365</v>
      </c>
      <c r="AF122" s="2">
        <v>5039659.9201428937</v>
      </c>
      <c r="AG122" s="2">
        <v>4913815.6800127877</v>
      </c>
      <c r="AH122" s="2">
        <v>5700868.2185430918</v>
      </c>
      <c r="AI122" s="2">
        <v>5641761.4740144666</v>
      </c>
    </row>
    <row r="123" spans="1:35" x14ac:dyDescent="0.2">
      <c r="A123" s="1" t="s">
        <v>288</v>
      </c>
      <c r="B123" s="1" t="s">
        <v>291</v>
      </c>
      <c r="C123" s="1" t="s">
        <v>292</v>
      </c>
      <c r="D123" s="2">
        <v>103431.62551896348</v>
      </c>
      <c r="E123" s="2">
        <v>319876.79673120758</v>
      </c>
      <c r="F123" s="2">
        <v>590754.88296635868</v>
      </c>
      <c r="G123" s="2">
        <v>1265578.2253229728</v>
      </c>
      <c r="H123" s="2">
        <v>3103994.2971518827</v>
      </c>
      <c r="I123" s="2">
        <v>5649120.491033596</v>
      </c>
      <c r="J123" s="2">
        <v>9747183.0951761901</v>
      </c>
      <c r="K123" s="2">
        <v>13089919.215666573</v>
      </c>
      <c r="L123" s="2">
        <v>8607854.4361105636</v>
      </c>
      <c r="M123" s="2">
        <v>9723114.9079748131</v>
      </c>
      <c r="N123" s="2">
        <v>10359346.714063808</v>
      </c>
      <c r="O123" s="2">
        <v>9550174.0585543104</v>
      </c>
      <c r="P123" s="2">
        <v>9261380.006032845</v>
      </c>
      <c r="Q123" s="2">
        <v>9495304.0990934856</v>
      </c>
      <c r="R123" s="2">
        <v>9895574.596030971</v>
      </c>
      <c r="S123" s="2">
        <v>10336426.392282471</v>
      </c>
      <c r="T123" s="2">
        <v>10632987.29554262</v>
      </c>
      <c r="U123" s="2">
        <v>10465454.816627013</v>
      </c>
      <c r="V123" s="2">
        <v>10623750.69141021</v>
      </c>
      <c r="W123" s="2">
        <v>10885687.973401692</v>
      </c>
      <c r="X123" s="2">
        <v>12151932.533000002</v>
      </c>
      <c r="Y123" s="2">
        <v>12390845.644380545</v>
      </c>
      <c r="Z123" s="2">
        <v>11945190.028863417</v>
      </c>
      <c r="AA123" s="2">
        <v>10904391.279215867</v>
      </c>
      <c r="AB123" s="2">
        <v>11077360.915274365</v>
      </c>
      <c r="AC123" s="2">
        <v>12569630.081035614</v>
      </c>
      <c r="AD123" s="2">
        <v>11829425.76023002</v>
      </c>
      <c r="AE123" s="2">
        <v>12045593.331001082</v>
      </c>
      <c r="AF123" s="2">
        <v>11910137.888015108</v>
      </c>
      <c r="AG123" s="2">
        <v>9717662.3366074134</v>
      </c>
      <c r="AH123" s="2">
        <v>10418892.267957214</v>
      </c>
      <c r="AI123" s="2">
        <v>11326387.421782358</v>
      </c>
    </row>
    <row r="124" spans="1:35" x14ac:dyDescent="0.2">
      <c r="A124" s="1" t="s">
        <v>288</v>
      </c>
      <c r="B124" s="1" t="s">
        <v>293</v>
      </c>
      <c r="C124" s="1" t="s">
        <v>294</v>
      </c>
      <c r="D124" s="2">
        <v>7356.5971709983996</v>
      </c>
      <c r="E124" s="2">
        <v>54892.599739480691</v>
      </c>
      <c r="F124" s="2">
        <v>171876.00480944649</v>
      </c>
      <c r="G124" s="2">
        <v>514604.34078675037</v>
      </c>
      <c r="H124" s="2">
        <v>1451319.3039655793</v>
      </c>
      <c r="I124" s="2">
        <v>1762141.61613099</v>
      </c>
      <c r="J124" s="2">
        <v>2031338.8254382443</v>
      </c>
      <c r="K124" s="2">
        <v>2844215.9192139823</v>
      </c>
      <c r="L124" s="2">
        <v>1971937.0983055253</v>
      </c>
      <c r="M124" s="2">
        <v>3967462.4911842374</v>
      </c>
      <c r="N124" s="2">
        <v>4303445.3088259855</v>
      </c>
      <c r="O124" s="2">
        <v>3458645.7652043262</v>
      </c>
      <c r="P124" s="2">
        <v>2423821.612968592</v>
      </c>
      <c r="Q124" s="2">
        <v>2405950.9932981413</v>
      </c>
      <c r="R124" s="2">
        <v>2407243.416580895</v>
      </c>
      <c r="S124" s="2">
        <v>2455980.762671127</v>
      </c>
      <c r="T124" s="2">
        <v>2468936.6722732093</v>
      </c>
      <c r="U124" s="2">
        <v>2431131.7949632467</v>
      </c>
      <c r="V124" s="2">
        <v>2463397.8392524626</v>
      </c>
      <c r="W124" s="2">
        <v>2665317.0583462515</v>
      </c>
      <c r="X124" s="2">
        <v>2961947.3799999985</v>
      </c>
      <c r="Y124" s="2">
        <v>3078971.2280072775</v>
      </c>
      <c r="Z124" s="2">
        <v>3142749.1568809664</v>
      </c>
      <c r="AA124" s="2">
        <v>2999810.6002414944</v>
      </c>
      <c r="AB124" s="2">
        <v>2851020.977069811</v>
      </c>
      <c r="AC124" s="2">
        <v>4493279.9356625825</v>
      </c>
      <c r="AD124" s="2">
        <v>2808179.4129927908</v>
      </c>
      <c r="AE124" s="2">
        <v>2948246.5350977625</v>
      </c>
      <c r="AF124" s="2">
        <v>2219157.7750824648</v>
      </c>
      <c r="AG124" s="2">
        <v>2325509.4094317979</v>
      </c>
      <c r="AH124" s="2">
        <v>2573026.7831751667</v>
      </c>
      <c r="AI124" s="2">
        <v>2486996.9293339346</v>
      </c>
    </row>
    <row r="125" spans="1:35" x14ac:dyDescent="0.2">
      <c r="A125" s="1" t="s">
        <v>288</v>
      </c>
      <c r="B125" s="1" t="s">
        <v>295</v>
      </c>
      <c r="C125" s="1" t="s">
        <v>296</v>
      </c>
      <c r="D125" s="2">
        <v>59384.013909551904</v>
      </c>
      <c r="E125" s="2">
        <v>202707.0622828716</v>
      </c>
      <c r="F125" s="2">
        <v>462977.20588996523</v>
      </c>
      <c r="G125" s="2">
        <v>839735.40867430752</v>
      </c>
      <c r="H125" s="2">
        <v>1872361.3722053466</v>
      </c>
      <c r="I125" s="2">
        <v>3627567.4121886287</v>
      </c>
      <c r="J125" s="2">
        <v>5845595.8556900444</v>
      </c>
      <c r="K125" s="2">
        <v>6973088.9147171583</v>
      </c>
      <c r="L125" s="2">
        <v>4688767.3548393724</v>
      </c>
      <c r="M125" s="2">
        <v>4512948.6797066964</v>
      </c>
      <c r="N125" s="2">
        <v>4933681.3246024633</v>
      </c>
      <c r="O125" s="2">
        <v>4692138.2136492655</v>
      </c>
      <c r="P125" s="2">
        <v>4983500.857752311</v>
      </c>
      <c r="Q125" s="2">
        <v>5292288.0343437893</v>
      </c>
      <c r="R125" s="2">
        <v>5914593.9480631938</v>
      </c>
      <c r="S125" s="2">
        <v>6588088.6239178339</v>
      </c>
      <c r="T125" s="2">
        <v>6578558.5197133366</v>
      </c>
      <c r="U125" s="2">
        <v>7093150.8407453401</v>
      </c>
      <c r="V125" s="2">
        <v>7237888.0480799377</v>
      </c>
      <c r="W125" s="2">
        <v>7326231.8783201277</v>
      </c>
      <c r="X125" s="2">
        <v>8574854.4909999985</v>
      </c>
      <c r="Y125" s="2">
        <v>8617071.2984748818</v>
      </c>
      <c r="Z125" s="2">
        <v>7966539.497319174</v>
      </c>
      <c r="AA125" s="2">
        <v>7527733.6085922346</v>
      </c>
      <c r="AB125" s="2">
        <v>7283367.4193998575</v>
      </c>
      <c r="AC125" s="2">
        <v>9804448.6947438978</v>
      </c>
      <c r="AD125" s="2">
        <v>6981812.130037182</v>
      </c>
      <c r="AE125" s="2">
        <v>6984426.1725005154</v>
      </c>
      <c r="AF125" s="2">
        <v>6600972.5020261714</v>
      </c>
      <c r="AG125" s="2">
        <v>6960249.1943924008</v>
      </c>
      <c r="AH125" s="2">
        <v>7755724.2056406112</v>
      </c>
      <c r="AI125" s="2">
        <v>7961893.9760269159</v>
      </c>
    </row>
    <row r="126" spans="1:35" x14ac:dyDescent="0.2">
      <c r="A126" s="1" t="s">
        <v>288</v>
      </c>
      <c r="B126" s="1" t="s">
        <v>297</v>
      </c>
      <c r="C126" s="1" t="s">
        <v>298</v>
      </c>
      <c r="D126" s="2">
        <v>37285.556465358401</v>
      </c>
      <c r="E126" s="2">
        <v>170671.81873022451</v>
      </c>
      <c r="F126" s="2">
        <v>309025.70050338528</v>
      </c>
      <c r="G126" s="2">
        <v>681946.32945143653</v>
      </c>
      <c r="H126" s="2">
        <v>1414272.8278573826</v>
      </c>
      <c r="I126" s="2">
        <v>3374654.8122935817</v>
      </c>
      <c r="J126" s="2">
        <v>5220478.9505553627</v>
      </c>
      <c r="K126" s="2">
        <v>7229812.6177622257</v>
      </c>
      <c r="L126" s="2">
        <v>4696002.0065803928</v>
      </c>
      <c r="M126" s="2">
        <v>6327583.2044044351</v>
      </c>
      <c r="N126" s="2">
        <v>6159063.4539614217</v>
      </c>
      <c r="O126" s="2">
        <v>5195306.8100493774</v>
      </c>
      <c r="P126" s="2">
        <v>4566247.3441114221</v>
      </c>
      <c r="Q126" s="2">
        <v>4905850.5448056115</v>
      </c>
      <c r="R126" s="2">
        <v>4929382.483027474</v>
      </c>
      <c r="S126" s="2">
        <v>4944452.4890662292</v>
      </c>
      <c r="T126" s="2">
        <v>4871358.3581155026</v>
      </c>
      <c r="U126" s="2">
        <v>5288847.8130964246</v>
      </c>
      <c r="V126" s="2">
        <v>5120793.5044929096</v>
      </c>
      <c r="W126" s="2">
        <v>5318559.0723875575</v>
      </c>
      <c r="X126" s="2">
        <v>5835043.4830000009</v>
      </c>
      <c r="Y126" s="2">
        <v>6074562.6869924851</v>
      </c>
      <c r="Z126" s="2">
        <v>6328594.5677406853</v>
      </c>
      <c r="AA126" s="2">
        <v>5897457.6548824497</v>
      </c>
      <c r="AB126" s="2">
        <v>5497856.7156207822</v>
      </c>
      <c r="AC126" s="2">
        <v>5570157.668800137</v>
      </c>
      <c r="AD126" s="2">
        <v>5508778.1649708729</v>
      </c>
      <c r="AE126" s="2">
        <v>5484885.6572060008</v>
      </c>
      <c r="AF126" s="2">
        <v>5067573.3166963048</v>
      </c>
      <c r="AG126" s="2">
        <v>4941973.7507699998</v>
      </c>
      <c r="AH126" s="2">
        <v>5266109.8344094316</v>
      </c>
      <c r="AI126" s="2">
        <v>5528618.2774989493</v>
      </c>
    </row>
    <row r="127" spans="1:35" x14ac:dyDescent="0.2">
      <c r="A127" s="1" t="s">
        <v>288</v>
      </c>
      <c r="B127" s="1" t="s">
        <v>299</v>
      </c>
      <c r="C127" s="1" t="s">
        <v>300</v>
      </c>
      <c r="D127" s="2">
        <v>61986.909956265001</v>
      </c>
      <c r="E127" s="2">
        <v>258978.04383720766</v>
      </c>
      <c r="F127" s="2">
        <v>678598.71755614644</v>
      </c>
      <c r="G127" s="2">
        <v>1643582.3381452593</v>
      </c>
      <c r="H127" s="2">
        <v>3057765.1949851853</v>
      </c>
      <c r="I127" s="2">
        <v>6857411.752994149</v>
      </c>
      <c r="J127" s="2">
        <v>9692228.7085761297</v>
      </c>
      <c r="K127" s="2">
        <v>11375176.166626278</v>
      </c>
      <c r="L127" s="2">
        <v>9219425.8414690346</v>
      </c>
      <c r="M127" s="2">
        <v>6937109.362980525</v>
      </c>
      <c r="N127" s="2">
        <v>7851365.8963938514</v>
      </c>
      <c r="O127" s="2">
        <v>7993911.7196498001</v>
      </c>
      <c r="P127" s="2">
        <v>9253011.133807065</v>
      </c>
      <c r="Q127" s="2">
        <v>10192027.426915955</v>
      </c>
      <c r="R127" s="2">
        <v>11575945.570495972</v>
      </c>
      <c r="S127" s="2">
        <v>12371733.078262933</v>
      </c>
      <c r="T127" s="2">
        <v>12590032.22627514</v>
      </c>
      <c r="U127" s="2">
        <v>13907060.265660647</v>
      </c>
      <c r="V127" s="2">
        <v>13968191.319647152</v>
      </c>
      <c r="W127" s="2">
        <v>12757597.059627624</v>
      </c>
      <c r="X127" s="2">
        <v>13164881.044999996</v>
      </c>
      <c r="Y127" s="2">
        <v>14133364.099741397</v>
      </c>
      <c r="Z127" s="2">
        <v>13389980.496878345</v>
      </c>
      <c r="AA127" s="2">
        <v>13904083.285535287</v>
      </c>
      <c r="AB127" s="2">
        <v>13695886.750255834</v>
      </c>
      <c r="AC127" s="2">
        <v>10934930.934833534</v>
      </c>
      <c r="AD127" s="2">
        <v>11966786.231898963</v>
      </c>
      <c r="AE127" s="2">
        <v>12477367.121357897</v>
      </c>
      <c r="AF127" s="2">
        <v>14868225.332170026</v>
      </c>
      <c r="AG127" s="2">
        <v>12765038.711738782</v>
      </c>
      <c r="AH127" s="2">
        <v>12587279.353096062</v>
      </c>
      <c r="AI127" s="2">
        <v>14501039.758042324</v>
      </c>
    </row>
    <row r="128" spans="1:35" x14ac:dyDescent="0.2">
      <c r="A128" s="1" t="s">
        <v>288</v>
      </c>
      <c r="B128" s="1" t="s">
        <v>301</v>
      </c>
      <c r="C128" s="1" t="s">
        <v>302</v>
      </c>
      <c r="D128" s="2">
        <v>124717.81379965838</v>
      </c>
      <c r="E128" s="2">
        <v>374136.02031984879</v>
      </c>
      <c r="F128" s="2">
        <v>879971.23271489423</v>
      </c>
      <c r="G128" s="2">
        <v>3575802.3796261661</v>
      </c>
      <c r="H128" s="2">
        <v>7914780.8320113691</v>
      </c>
      <c r="I128" s="2">
        <v>23455630.583120465</v>
      </c>
      <c r="J128" s="2">
        <v>33216155.178795066</v>
      </c>
      <c r="K128" s="2">
        <v>40493220.627077602</v>
      </c>
      <c r="L128" s="2">
        <v>28704073.512833167</v>
      </c>
      <c r="M128" s="2">
        <v>21903216.837055694</v>
      </c>
      <c r="N128" s="2">
        <v>25020608.338668156</v>
      </c>
      <c r="O128" s="2">
        <v>24277811.72652667</v>
      </c>
      <c r="P128" s="2">
        <v>29796964.326056495</v>
      </c>
      <c r="Q128" s="2">
        <v>33240930.814493731</v>
      </c>
      <c r="R128" s="2">
        <v>35640175.388052858</v>
      </c>
      <c r="S128" s="2">
        <v>37690576.635381319</v>
      </c>
      <c r="T128" s="2">
        <v>36148109.881314315</v>
      </c>
      <c r="U128" s="2">
        <v>38463361.393238127</v>
      </c>
      <c r="V128" s="2">
        <v>39589444.812973313</v>
      </c>
      <c r="W128" s="2">
        <v>38401655.00973092</v>
      </c>
      <c r="X128" s="2">
        <v>40700177.050000012</v>
      </c>
      <c r="Y128" s="2">
        <v>35597062.383442394</v>
      </c>
      <c r="Z128" s="2">
        <v>31265804.789436769</v>
      </c>
      <c r="AA128" s="2">
        <v>31022108.944552965</v>
      </c>
      <c r="AB128" s="2">
        <v>31811099.469981048</v>
      </c>
      <c r="AC128" s="2">
        <v>32955872.774741333</v>
      </c>
      <c r="AD128" s="2">
        <v>40018539.335269645</v>
      </c>
      <c r="AE128" s="2">
        <v>39270086.512373358</v>
      </c>
      <c r="AF128" s="2">
        <v>37152709.730848402</v>
      </c>
      <c r="AG128" s="2">
        <v>37333162.49617435</v>
      </c>
      <c r="AH128" s="2">
        <v>36330592.544402495</v>
      </c>
      <c r="AI128" s="2">
        <v>42085403.484383956</v>
      </c>
    </row>
    <row r="129" spans="1:35" x14ac:dyDescent="0.2">
      <c r="A129" s="1" t="s">
        <v>288</v>
      </c>
      <c r="B129" s="1" t="s">
        <v>303</v>
      </c>
      <c r="C129" s="1" t="s">
        <v>304</v>
      </c>
      <c r="E129" s="2">
        <v>36235.910667989505</v>
      </c>
      <c r="F129" s="2">
        <v>212724.44121815867</v>
      </c>
      <c r="G129" s="2">
        <v>719288.0290869642</v>
      </c>
      <c r="H129" s="2">
        <v>1026474.0175762809</v>
      </c>
      <c r="I129" s="2">
        <v>1812620.8379754892</v>
      </c>
      <c r="J129" s="2">
        <v>2287599.5445496021</v>
      </c>
      <c r="K129" s="2">
        <v>2773043.9388387767</v>
      </c>
      <c r="L129" s="2">
        <v>2861345.8361037718</v>
      </c>
      <c r="M129" s="2">
        <v>2700236.9982397435</v>
      </c>
      <c r="N129" s="2">
        <v>2608993.0122607127</v>
      </c>
      <c r="O129" s="2">
        <v>2761058.4412378473</v>
      </c>
      <c r="P129" s="2">
        <v>2700027.8053486561</v>
      </c>
      <c r="Q129" s="2">
        <v>2476677.3312062188</v>
      </c>
      <c r="R129" s="2">
        <v>2618647.7876311019</v>
      </c>
      <c r="S129" s="2">
        <v>2821706.4154066541</v>
      </c>
      <c r="T129" s="2">
        <v>2884829.9147553444</v>
      </c>
      <c r="U129" s="2">
        <v>2825830.1221924988</v>
      </c>
      <c r="V129" s="2">
        <v>2851410.8429305274</v>
      </c>
      <c r="W129" s="2">
        <v>3057752.2522305283</v>
      </c>
      <c r="X129" s="2">
        <v>3153978.2219999991</v>
      </c>
      <c r="Y129" s="2">
        <v>3076042.5350331366</v>
      </c>
      <c r="Z129" s="2">
        <v>3184970.2540555126</v>
      </c>
      <c r="AA129" s="2">
        <v>3105558.8790235133</v>
      </c>
      <c r="AB129" s="2">
        <v>3036795.1489953571</v>
      </c>
      <c r="AC129" s="2">
        <v>4553849.4766434627</v>
      </c>
      <c r="AD129" s="2">
        <v>3449423.9727980793</v>
      </c>
      <c r="AE129" s="2">
        <v>2762789.4158906257</v>
      </c>
      <c r="AF129" s="2">
        <v>2374499.7563045123</v>
      </c>
      <c r="AG129" s="2">
        <v>2532403.6647360758</v>
      </c>
      <c r="AH129" s="2">
        <v>3194909.5233499203</v>
      </c>
      <c r="AI129" s="2">
        <v>2897788.1107751899</v>
      </c>
    </row>
    <row r="130" spans="1:35" x14ac:dyDescent="0.2">
      <c r="A130" s="1" t="s">
        <v>288</v>
      </c>
      <c r="B130" s="1" t="s">
        <v>305</v>
      </c>
      <c r="C130" s="1" t="s">
        <v>306</v>
      </c>
      <c r="D130" s="2">
        <v>744.07138136770004</v>
      </c>
      <c r="E130" s="2">
        <v>86816.213778953301</v>
      </c>
      <c r="F130" s="2">
        <v>215387.72501755288</v>
      </c>
      <c r="G130" s="2">
        <v>327924.92363550985</v>
      </c>
      <c r="H130" s="2">
        <v>671844.16187899839</v>
      </c>
      <c r="I130" s="2">
        <v>1104893.2058746989</v>
      </c>
      <c r="J130" s="2">
        <v>1474296.2901983827</v>
      </c>
      <c r="K130" s="2">
        <v>1712462.4987929512</v>
      </c>
      <c r="L130" s="2">
        <v>1279352.8409714906</v>
      </c>
      <c r="M130" s="2">
        <v>1066588.697997266</v>
      </c>
      <c r="N130" s="2">
        <v>1105316.1993505433</v>
      </c>
      <c r="O130" s="2">
        <v>1071085.7981477252</v>
      </c>
      <c r="P130" s="2">
        <v>1362044.6517388625</v>
      </c>
      <c r="Q130" s="2">
        <v>1486303.4467693444</v>
      </c>
      <c r="R130" s="2">
        <v>1566489.9987359736</v>
      </c>
      <c r="S130" s="2">
        <v>1382521.6937884593</v>
      </c>
      <c r="T130" s="2">
        <v>1302896.4876333713</v>
      </c>
      <c r="U130" s="2">
        <v>1526560.1177680097</v>
      </c>
      <c r="V130" s="2">
        <v>1618254.2023094469</v>
      </c>
      <c r="W130" s="2">
        <v>1598682.6097316158</v>
      </c>
      <c r="X130" s="2">
        <v>1777454.875</v>
      </c>
      <c r="Y130" s="2">
        <v>1829476.2389421931</v>
      </c>
      <c r="Z130" s="2">
        <v>1830570.0027611046</v>
      </c>
      <c r="AA130" s="2">
        <v>1798139.5297251432</v>
      </c>
      <c r="AB130" s="2">
        <v>1643295.6433751334</v>
      </c>
      <c r="AC130" s="2">
        <v>1544326.6043561907</v>
      </c>
      <c r="AD130" s="2">
        <v>1433248.4808026617</v>
      </c>
      <c r="AE130" s="2">
        <v>1593796.1168546299</v>
      </c>
      <c r="AF130" s="2">
        <v>1394214.0163200567</v>
      </c>
      <c r="AG130" s="2">
        <v>1417851.4305624438</v>
      </c>
      <c r="AH130" s="2">
        <v>1593907.7394125762</v>
      </c>
      <c r="AI130" s="2">
        <v>1625673.7124736509</v>
      </c>
    </row>
    <row r="131" spans="1:35" x14ac:dyDescent="0.2">
      <c r="A131" s="1" t="s">
        <v>288</v>
      </c>
      <c r="B131" s="1" t="s">
        <v>307</v>
      </c>
      <c r="C131" s="1" t="s">
        <v>308</v>
      </c>
      <c r="D131" s="2">
        <v>14059.6167030902</v>
      </c>
      <c r="E131" s="2">
        <v>48561.264959626395</v>
      </c>
      <c r="F131" s="2">
        <v>139508.11485263141</v>
      </c>
      <c r="G131" s="2">
        <v>295422.9299532611</v>
      </c>
      <c r="H131" s="2">
        <v>613862.72264279157</v>
      </c>
      <c r="I131" s="2">
        <v>1114337.4454042888</v>
      </c>
      <c r="J131" s="2">
        <v>1314131.4258869339</v>
      </c>
      <c r="K131" s="2">
        <v>1749300.4557230051</v>
      </c>
      <c r="L131" s="2">
        <v>1150772.521768237</v>
      </c>
      <c r="M131" s="2">
        <v>1670597.5247404564</v>
      </c>
      <c r="N131" s="2">
        <v>1692156.3695492167</v>
      </c>
      <c r="O131" s="2">
        <v>1724799.7890528925</v>
      </c>
      <c r="P131" s="2">
        <v>1589394.3921076073</v>
      </c>
      <c r="Q131" s="2">
        <v>1662044.3820706527</v>
      </c>
      <c r="R131" s="2">
        <v>1584122.1312969134</v>
      </c>
      <c r="S131" s="2">
        <v>1594548.4835811234</v>
      </c>
      <c r="T131" s="2">
        <v>1468213.2070688899</v>
      </c>
      <c r="U131" s="2">
        <v>1418658.205767801</v>
      </c>
      <c r="V131" s="2">
        <v>1497102.1249238008</v>
      </c>
      <c r="W131" s="2">
        <v>1563119.6972930441</v>
      </c>
      <c r="X131" s="2">
        <v>1967313.6149999998</v>
      </c>
      <c r="Y131" s="2">
        <v>2038756.7053482286</v>
      </c>
      <c r="Z131" s="2">
        <v>2192400.2096470082</v>
      </c>
      <c r="AA131" s="2">
        <v>2075798.9465771574</v>
      </c>
      <c r="AB131" s="2">
        <v>1956483.2058586334</v>
      </c>
      <c r="AC131" s="2">
        <v>2008552.6354478218</v>
      </c>
      <c r="AD131" s="2">
        <v>1882230.6445900211</v>
      </c>
      <c r="AE131" s="2">
        <v>1984180.9816024909</v>
      </c>
      <c r="AF131" s="2">
        <v>1706527.1288755864</v>
      </c>
      <c r="AG131" s="2">
        <v>1706642.6045024493</v>
      </c>
      <c r="AH131" s="2">
        <v>1998831.3469894954</v>
      </c>
      <c r="AI131" s="2">
        <v>2005182.4599157502</v>
      </c>
    </row>
    <row r="132" spans="1:35" x14ac:dyDescent="0.2">
      <c r="A132" s="1" t="s">
        <v>288</v>
      </c>
      <c r="B132" s="1" t="s">
        <v>309</v>
      </c>
      <c r="C132" s="1" t="s">
        <v>310</v>
      </c>
      <c r="D132" s="2">
        <v>25936.682007285403</v>
      </c>
      <c r="E132" s="2">
        <v>36299.005610219399</v>
      </c>
      <c r="F132" s="2">
        <v>88588.012603188094</v>
      </c>
      <c r="G132" s="2">
        <v>232902.25451937722</v>
      </c>
      <c r="H132" s="2">
        <v>646158.54443703115</v>
      </c>
      <c r="I132" s="2">
        <v>1371413.6859082703</v>
      </c>
      <c r="J132" s="2">
        <v>2623257.3589898665</v>
      </c>
      <c r="K132" s="2">
        <v>2564788.3415905694</v>
      </c>
      <c r="L132" s="2">
        <v>2041689.3441873197</v>
      </c>
      <c r="M132" s="2">
        <v>2902459.5428510788</v>
      </c>
      <c r="N132" s="2">
        <v>3163631.2802479547</v>
      </c>
      <c r="O132" s="2">
        <v>2839622.9143015374</v>
      </c>
      <c r="P132" s="2">
        <v>2440061.7836026051</v>
      </c>
      <c r="Q132" s="2">
        <v>2672408.2220953195</v>
      </c>
      <c r="R132" s="2">
        <v>2973084.6002304326</v>
      </c>
      <c r="S132" s="2">
        <v>3151105.8516638302</v>
      </c>
      <c r="T132" s="2">
        <v>3147632.1935855821</v>
      </c>
      <c r="U132" s="2">
        <v>3293768.2382496325</v>
      </c>
      <c r="V132" s="2">
        <v>3408283.6882856307</v>
      </c>
      <c r="W132" s="2">
        <v>3600688.5072510531</v>
      </c>
      <c r="X132" s="2">
        <v>3941310.1939999997</v>
      </c>
      <c r="Y132" s="2">
        <v>4269885.0578270396</v>
      </c>
      <c r="Z132" s="2">
        <v>4063868.4740941217</v>
      </c>
      <c r="AA132" s="2">
        <v>3803245.1977641778</v>
      </c>
      <c r="AB132" s="2">
        <v>3786615.4003160493</v>
      </c>
      <c r="AC132" s="2">
        <v>3488671.5697554247</v>
      </c>
      <c r="AD132" s="2">
        <v>3263640.4033668758</v>
      </c>
      <c r="AE132" s="2">
        <v>3315833.7740659295</v>
      </c>
      <c r="AF132" s="2">
        <v>3076184.4303240217</v>
      </c>
      <c r="AG132" s="2">
        <v>3055880.264204707</v>
      </c>
      <c r="AH132" s="2">
        <v>3175227.943003587</v>
      </c>
      <c r="AI132" s="2">
        <v>3387881.0418943861</v>
      </c>
    </row>
    <row r="133" spans="1:35" x14ac:dyDescent="0.2">
      <c r="A133" s="1" t="s">
        <v>288</v>
      </c>
      <c r="B133" s="1" t="s">
        <v>311</v>
      </c>
      <c r="C133" s="1" t="s">
        <v>312</v>
      </c>
      <c r="D133" s="2">
        <v>159104.68477442118</v>
      </c>
      <c r="E133" s="2">
        <v>469266.20610178326</v>
      </c>
      <c r="F133" s="2">
        <v>988311.21986246051</v>
      </c>
      <c r="G133" s="2">
        <v>2614919.7772370232</v>
      </c>
      <c r="H133" s="2">
        <v>5147774.4430331523</v>
      </c>
      <c r="I133" s="2">
        <v>10818705.021193987</v>
      </c>
      <c r="J133" s="2">
        <v>18266875.298614547</v>
      </c>
      <c r="K133" s="2">
        <v>21777049.082261886</v>
      </c>
      <c r="L133" s="2">
        <v>17286081.032452717</v>
      </c>
      <c r="M133" s="2">
        <v>14443719.504230745</v>
      </c>
      <c r="N133" s="2">
        <v>15991280.155235885</v>
      </c>
      <c r="O133" s="2">
        <v>15846247.815495731</v>
      </c>
      <c r="P133" s="2">
        <v>16121386.604607696</v>
      </c>
      <c r="Q133" s="2">
        <v>18087686.880199928</v>
      </c>
      <c r="R133" s="2">
        <v>20467383.227230839</v>
      </c>
      <c r="S133" s="2">
        <v>21367091.798040338</v>
      </c>
      <c r="T133" s="2">
        <v>21745499.961774912</v>
      </c>
      <c r="U133" s="2">
        <v>25430091.457406025</v>
      </c>
      <c r="V133" s="2">
        <v>25714757.127994962</v>
      </c>
      <c r="W133" s="2">
        <v>25043760.640195344</v>
      </c>
      <c r="X133" s="2">
        <v>27918159.593000002</v>
      </c>
      <c r="Y133" s="2">
        <v>29126033.892008476</v>
      </c>
      <c r="Z133" s="2">
        <v>28225749.196377404</v>
      </c>
      <c r="AA133" s="2">
        <v>27404104.215113033</v>
      </c>
      <c r="AB133" s="2">
        <v>26851612.036544502</v>
      </c>
      <c r="AC133" s="2">
        <v>24198417.852456961</v>
      </c>
      <c r="AD133" s="2">
        <v>22929036.454883341</v>
      </c>
      <c r="AE133" s="2">
        <v>23663155.363573339</v>
      </c>
      <c r="AF133" s="2">
        <v>23443287.98070804</v>
      </c>
      <c r="AG133" s="2">
        <v>24615847.261556286</v>
      </c>
      <c r="AH133" s="2">
        <v>24169000.718389109</v>
      </c>
      <c r="AI133" s="2">
        <v>27597084.358744383</v>
      </c>
    </row>
    <row r="134" spans="1:35" x14ac:dyDescent="0.2">
      <c r="A134" s="1" t="s">
        <v>288</v>
      </c>
      <c r="B134" s="1" t="s">
        <v>313</v>
      </c>
      <c r="C134" s="1" t="s">
        <v>314</v>
      </c>
      <c r="D134" s="2">
        <v>119742.68399110378</v>
      </c>
      <c r="E134" s="2">
        <v>165643.63718026</v>
      </c>
      <c r="F134" s="2">
        <v>539866.46608687611</v>
      </c>
      <c r="G134" s="2">
        <v>1236242.9476910955</v>
      </c>
      <c r="H134" s="2">
        <v>4631903.9147276487</v>
      </c>
      <c r="I134" s="2">
        <v>10945986.539514162</v>
      </c>
      <c r="J134" s="2">
        <v>18004486.770025566</v>
      </c>
      <c r="K134" s="2">
        <v>27591804.144291885</v>
      </c>
      <c r="L134" s="2">
        <v>21137977.171146408</v>
      </c>
      <c r="M134" s="2">
        <v>19597713.110711962</v>
      </c>
      <c r="N134" s="2">
        <v>24727884.626416061</v>
      </c>
      <c r="O134" s="2">
        <v>24023118.481379617</v>
      </c>
      <c r="P134" s="2">
        <v>20916232.517376781</v>
      </c>
      <c r="Q134" s="2">
        <v>23748080.61416078</v>
      </c>
      <c r="R134" s="2">
        <v>26240612.090798914</v>
      </c>
      <c r="S134" s="2">
        <v>25067389.274310045</v>
      </c>
      <c r="T134" s="2">
        <v>23471376.605530988</v>
      </c>
      <c r="U134" s="2">
        <v>26329260.770830419</v>
      </c>
      <c r="V134" s="2">
        <v>27119601.478138775</v>
      </c>
      <c r="W134" s="2">
        <v>25873414.404213287</v>
      </c>
      <c r="X134" s="2">
        <v>24820616.66</v>
      </c>
      <c r="Y134" s="2">
        <v>22166111.203232847</v>
      </c>
      <c r="Z134" s="2">
        <v>20321545.325880963</v>
      </c>
      <c r="AA134" s="2">
        <v>20421158.211001158</v>
      </c>
      <c r="AB134" s="2">
        <v>22526837.389334012</v>
      </c>
      <c r="AC134" s="2">
        <v>21507364.681757066</v>
      </c>
      <c r="AD134" s="2">
        <v>23356784.399025325</v>
      </c>
      <c r="AE134" s="2">
        <v>22891344.728962738</v>
      </c>
      <c r="AF134" s="2">
        <v>25769880.651348948</v>
      </c>
      <c r="AG134" s="2">
        <v>26332418.093341585</v>
      </c>
      <c r="AH134" s="2">
        <v>21114216.384713776</v>
      </c>
      <c r="AI134" s="2">
        <v>28988517.595091872</v>
      </c>
    </row>
    <row r="135" spans="1:35" x14ac:dyDescent="0.2">
      <c r="A135" s="1" t="s">
        <v>288</v>
      </c>
      <c r="B135" s="1" t="s">
        <v>315</v>
      </c>
      <c r="C135" s="1" t="s">
        <v>316</v>
      </c>
      <c r="D135" s="2">
        <v>4661.9703071164995</v>
      </c>
      <c r="E135" s="2">
        <v>1201.2306309036001</v>
      </c>
      <c r="F135" s="2">
        <v>15418.786111925501</v>
      </c>
      <c r="G135" s="2">
        <v>45203.547393773399</v>
      </c>
      <c r="H135" s="2">
        <v>266223.8850407087</v>
      </c>
      <c r="I135" s="2">
        <v>816955.12401138491</v>
      </c>
      <c r="J135" s="2">
        <v>1075528.5146769297</v>
      </c>
      <c r="K135" s="2">
        <v>1187711.091280503</v>
      </c>
      <c r="L135" s="2">
        <v>517505.90127993078</v>
      </c>
      <c r="M135" s="2">
        <v>753388.20831208152</v>
      </c>
      <c r="N135" s="2">
        <v>785699.93360695557</v>
      </c>
      <c r="O135" s="2">
        <v>693994.24519425665</v>
      </c>
      <c r="P135" s="2">
        <v>707178.34217215749</v>
      </c>
      <c r="Q135" s="2">
        <v>654087.59115378431</v>
      </c>
      <c r="R135" s="2">
        <v>871143.51021782833</v>
      </c>
      <c r="S135" s="2">
        <v>936874.2468709565</v>
      </c>
      <c r="T135" s="2">
        <v>759249.03370197781</v>
      </c>
      <c r="U135" s="2">
        <v>686940.05039787455</v>
      </c>
      <c r="V135" s="2">
        <v>831199.2632214562</v>
      </c>
      <c r="W135" s="2">
        <v>732662.16938326869</v>
      </c>
      <c r="X135" s="2">
        <v>1054743.6770000004</v>
      </c>
      <c r="Y135" s="2">
        <v>1875193.085870892</v>
      </c>
      <c r="Z135" s="2">
        <v>2563558.9591876036</v>
      </c>
      <c r="AA135" s="2">
        <v>3130575.0945803956</v>
      </c>
      <c r="AB135" s="2">
        <v>3827228.6622214271</v>
      </c>
      <c r="AC135" s="2">
        <v>2042831.1744369378</v>
      </c>
      <c r="AD135" s="2">
        <v>1064198.82802326</v>
      </c>
      <c r="AE135" s="2">
        <v>1255910.1651984362</v>
      </c>
      <c r="AF135" s="2">
        <v>1691553.2365860983</v>
      </c>
      <c r="AG135" s="2">
        <v>1536263.6611893987</v>
      </c>
      <c r="AH135" s="2">
        <v>1216393.5399005599</v>
      </c>
      <c r="AI135" s="2">
        <v>1594277.0270494362</v>
      </c>
    </row>
    <row r="136" spans="1:35" x14ac:dyDescent="0.2">
      <c r="A136" s="1" t="s">
        <v>288</v>
      </c>
      <c r="B136" s="1" t="s">
        <v>317</v>
      </c>
      <c r="C136" s="1" t="s">
        <v>318</v>
      </c>
      <c r="D136" s="2">
        <v>766316.85819564061</v>
      </c>
      <c r="E136" s="2">
        <v>4944850.1183797382</v>
      </c>
      <c r="F136" s="2">
        <v>15548506.872906044</v>
      </c>
      <c r="G136" s="2">
        <v>48329889.216625243</v>
      </c>
      <c r="H136" s="2">
        <v>100173238.54306327</v>
      </c>
      <c r="I136" s="2">
        <v>181751738.81749576</v>
      </c>
      <c r="J136" s="2">
        <v>221235056.85329834</v>
      </c>
      <c r="K136" s="2">
        <v>225615480.05548847</v>
      </c>
      <c r="L136" s="2">
        <v>185645011.70103669</v>
      </c>
      <c r="M136" s="2">
        <v>133310146.66940455</v>
      </c>
      <c r="N136" s="2">
        <v>141442949.04179028</v>
      </c>
      <c r="O136" s="2">
        <v>136229576.68173137</v>
      </c>
      <c r="P136" s="2">
        <v>113208440.75176908</v>
      </c>
      <c r="Q136" s="2">
        <v>117497271.99926044</v>
      </c>
      <c r="R136" s="2">
        <v>123554460.43526228</v>
      </c>
      <c r="S136" s="2">
        <v>129272241.41644052</v>
      </c>
      <c r="T136" s="2">
        <v>120610583.86549948</v>
      </c>
      <c r="U136" s="2">
        <v>129101766.05016293</v>
      </c>
      <c r="V136" s="2">
        <v>126980873.00690338</v>
      </c>
      <c r="W136" s="2">
        <v>123174480.56032339</v>
      </c>
      <c r="X136" s="2">
        <v>135903824.61499998</v>
      </c>
      <c r="Y136" s="2">
        <v>131254034.99501713</v>
      </c>
      <c r="Z136" s="2">
        <v>119309285.94756246</v>
      </c>
      <c r="AA136" s="2">
        <v>116622040.03142132</v>
      </c>
      <c r="AB136" s="2">
        <v>110129173.3829385</v>
      </c>
      <c r="AC136" s="2">
        <v>100994727.20462549</v>
      </c>
      <c r="AD136" s="2">
        <v>92212641.548729464</v>
      </c>
      <c r="AE136" s="2">
        <v>88913820.937208191</v>
      </c>
      <c r="AF136" s="2">
        <v>86876348.716243431</v>
      </c>
      <c r="AG136" s="2">
        <v>85082764.845195487</v>
      </c>
      <c r="AH136" s="2">
        <v>82894285.475795493</v>
      </c>
      <c r="AI136" s="2">
        <v>87935958.115091443</v>
      </c>
    </row>
    <row r="137" spans="1:35" x14ac:dyDescent="0.2">
      <c r="A137" s="1" t="s">
        <v>319</v>
      </c>
      <c r="B137" s="1" t="s">
        <v>320</v>
      </c>
      <c r="C137" s="1" t="s">
        <v>321</v>
      </c>
      <c r="D137" s="2">
        <v>245.69597988309999</v>
      </c>
      <c r="E137" s="2">
        <v>316.63725886330002</v>
      </c>
      <c r="F137" s="2">
        <v>646.98844327419999</v>
      </c>
      <c r="G137" s="2">
        <v>9476.4021457565996</v>
      </c>
      <c r="H137" s="2">
        <v>62526.113486850983</v>
      </c>
      <c r="I137" s="2">
        <v>40414.937601397593</v>
      </c>
      <c r="J137" s="2">
        <v>428220.65802472172</v>
      </c>
      <c r="K137" s="2">
        <v>90806.064747783588</v>
      </c>
      <c r="L137" s="2">
        <v>361298.10226829996</v>
      </c>
      <c r="M137" s="2">
        <v>209989.48573120029</v>
      </c>
      <c r="N137" s="2">
        <v>663543.09602673911</v>
      </c>
      <c r="O137" s="2">
        <v>1214703.1884090938</v>
      </c>
      <c r="P137" s="2">
        <v>875874.04118649021</v>
      </c>
      <c r="Q137" s="2">
        <v>958151.65367841953</v>
      </c>
      <c r="R137" s="2">
        <v>1290171.3085048543</v>
      </c>
      <c r="S137" s="2">
        <v>1155893.7983927082</v>
      </c>
      <c r="T137" s="2">
        <v>1070632.2820377597</v>
      </c>
      <c r="U137" s="2">
        <v>1419387.3668706745</v>
      </c>
      <c r="V137" s="2">
        <v>1520505.8663587561</v>
      </c>
      <c r="W137" s="2">
        <v>1470071.5993396761</v>
      </c>
      <c r="X137" s="2">
        <v>1862555.2750000004</v>
      </c>
      <c r="Y137" s="2">
        <v>1794680.7193292154</v>
      </c>
      <c r="Z137" s="2">
        <v>1771213.8681061955</v>
      </c>
      <c r="AA137" s="2">
        <v>1658762.4080671128</v>
      </c>
      <c r="AB137" s="2">
        <v>1379930.7289979344</v>
      </c>
      <c r="AC137" s="2">
        <v>1430199.4296264653</v>
      </c>
      <c r="AD137" s="2">
        <v>1425457.914091774</v>
      </c>
      <c r="AE137" s="2">
        <v>1592022.7778083142</v>
      </c>
      <c r="AF137" s="2">
        <v>1293818.0799059102</v>
      </c>
      <c r="AG137" s="2">
        <v>1344792.71312418</v>
      </c>
      <c r="AH137" s="2">
        <v>1279692.1746325013</v>
      </c>
      <c r="AI137" s="2">
        <v>1287601.6307079874</v>
      </c>
    </row>
    <row r="138" spans="1:35" x14ac:dyDescent="0.2">
      <c r="A138" s="1" t="s">
        <v>319</v>
      </c>
      <c r="B138" s="1" t="s">
        <v>322</v>
      </c>
      <c r="C138" s="1" t="s">
        <v>323</v>
      </c>
      <c r="D138" s="2">
        <v>618.16611552680001</v>
      </c>
      <c r="F138" s="2">
        <v>90.006575578300001</v>
      </c>
      <c r="G138" s="2">
        <v>2886.4035659730998</v>
      </c>
      <c r="H138" s="2">
        <v>16388.156377447795</v>
      </c>
      <c r="I138" s="2">
        <v>6363.2133821288999</v>
      </c>
      <c r="J138" s="2">
        <v>59423.888460340997</v>
      </c>
      <c r="K138" s="2">
        <v>12554.5468128556</v>
      </c>
      <c r="L138" s="2">
        <v>464830.71548942931</v>
      </c>
      <c r="M138" s="2">
        <v>64194.88271125398</v>
      </c>
      <c r="N138" s="2">
        <v>291407.84405198687</v>
      </c>
      <c r="O138" s="2">
        <v>894731.96115753741</v>
      </c>
      <c r="P138" s="2">
        <v>769940.51350030489</v>
      </c>
      <c r="Q138" s="2">
        <v>549106.574118388</v>
      </c>
      <c r="R138" s="2">
        <v>615274.96417525585</v>
      </c>
      <c r="S138" s="2">
        <v>668895.5128956032</v>
      </c>
      <c r="T138" s="2">
        <v>670818.90808617161</v>
      </c>
      <c r="U138" s="2">
        <v>688443.81520410569</v>
      </c>
      <c r="V138" s="2">
        <v>811930.39294927137</v>
      </c>
      <c r="W138" s="2">
        <v>863684.43458653125</v>
      </c>
      <c r="X138" s="2">
        <v>1241992.6920000005</v>
      </c>
      <c r="Y138" s="2">
        <v>1165037.0791845822</v>
      </c>
      <c r="Z138" s="2">
        <v>1195368.6474869605</v>
      </c>
      <c r="AA138" s="2">
        <v>1201703.5597568329</v>
      </c>
      <c r="AB138" s="2">
        <v>1393897.1787501129</v>
      </c>
      <c r="AC138" s="2">
        <v>1189264.8853288707</v>
      </c>
      <c r="AD138" s="2">
        <v>988896.68534185854</v>
      </c>
      <c r="AE138" s="2">
        <v>1188817.0021914332</v>
      </c>
      <c r="AF138" s="2">
        <v>1014946.4649289289</v>
      </c>
      <c r="AG138" s="2">
        <v>1021496.5948906289</v>
      </c>
      <c r="AH138" s="2">
        <v>1046694.2638422017</v>
      </c>
      <c r="AI138" s="2">
        <v>1081502.6695985112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23E2-F52B-43A6-A30B-E520D8E571E2}">
  <sheetPr>
    <tabColor theme="6"/>
  </sheetPr>
  <dimension ref="A1:AI138"/>
  <sheetViews>
    <sheetView zoomScaleNormal="100" workbookViewId="0">
      <selection activeCell="L1" sqref="L1"/>
    </sheetView>
  </sheetViews>
  <sheetFormatPr defaultColWidth="10.28515625" defaultRowHeight="12.75" customHeight="1" x14ac:dyDescent="0.2"/>
  <cols>
    <col min="1" max="1" width="4" style="1" customWidth="1"/>
    <col min="2" max="2" width="10" style="1" customWidth="1"/>
    <col min="3" max="3" width="30" style="1" customWidth="1"/>
    <col min="4" max="35" width="10" style="2" customWidth="1"/>
    <col min="36" max="256" width="10.28515625" style="1"/>
    <col min="257" max="257" width="4" style="1" customWidth="1"/>
    <col min="258" max="258" width="10" style="1" customWidth="1"/>
    <col min="259" max="259" width="30" style="1" customWidth="1"/>
    <col min="260" max="291" width="10" style="1" customWidth="1"/>
    <col min="292" max="512" width="10.28515625" style="1"/>
    <col min="513" max="513" width="4" style="1" customWidth="1"/>
    <col min="514" max="514" width="10" style="1" customWidth="1"/>
    <col min="515" max="515" width="30" style="1" customWidth="1"/>
    <col min="516" max="547" width="10" style="1" customWidth="1"/>
    <col min="548" max="768" width="10.28515625" style="1"/>
    <col min="769" max="769" width="4" style="1" customWidth="1"/>
    <col min="770" max="770" width="10" style="1" customWidth="1"/>
    <col min="771" max="771" width="30" style="1" customWidth="1"/>
    <col min="772" max="803" width="10" style="1" customWidth="1"/>
    <col min="804" max="1024" width="10.28515625" style="1"/>
    <col min="1025" max="1025" width="4" style="1" customWidth="1"/>
    <col min="1026" max="1026" width="10" style="1" customWidth="1"/>
    <col min="1027" max="1027" width="30" style="1" customWidth="1"/>
    <col min="1028" max="1059" width="10" style="1" customWidth="1"/>
    <col min="1060" max="1280" width="10.28515625" style="1"/>
    <col min="1281" max="1281" width="4" style="1" customWidth="1"/>
    <col min="1282" max="1282" width="10" style="1" customWidth="1"/>
    <col min="1283" max="1283" width="30" style="1" customWidth="1"/>
    <col min="1284" max="1315" width="10" style="1" customWidth="1"/>
    <col min="1316" max="1536" width="10.28515625" style="1"/>
    <col min="1537" max="1537" width="4" style="1" customWidth="1"/>
    <col min="1538" max="1538" width="10" style="1" customWidth="1"/>
    <col min="1539" max="1539" width="30" style="1" customWidth="1"/>
    <col min="1540" max="1571" width="10" style="1" customWidth="1"/>
    <col min="1572" max="1792" width="10.28515625" style="1"/>
    <col min="1793" max="1793" width="4" style="1" customWidth="1"/>
    <col min="1794" max="1794" width="10" style="1" customWidth="1"/>
    <col min="1795" max="1795" width="30" style="1" customWidth="1"/>
    <col min="1796" max="1827" width="10" style="1" customWidth="1"/>
    <col min="1828" max="2048" width="10.28515625" style="1"/>
    <col min="2049" max="2049" width="4" style="1" customWidth="1"/>
    <col min="2050" max="2050" width="10" style="1" customWidth="1"/>
    <col min="2051" max="2051" width="30" style="1" customWidth="1"/>
    <col min="2052" max="2083" width="10" style="1" customWidth="1"/>
    <col min="2084" max="2304" width="10.28515625" style="1"/>
    <col min="2305" max="2305" width="4" style="1" customWidth="1"/>
    <col min="2306" max="2306" width="10" style="1" customWidth="1"/>
    <col min="2307" max="2307" width="30" style="1" customWidth="1"/>
    <col min="2308" max="2339" width="10" style="1" customWidth="1"/>
    <col min="2340" max="2560" width="10.28515625" style="1"/>
    <col min="2561" max="2561" width="4" style="1" customWidth="1"/>
    <col min="2562" max="2562" width="10" style="1" customWidth="1"/>
    <col min="2563" max="2563" width="30" style="1" customWidth="1"/>
    <col min="2564" max="2595" width="10" style="1" customWidth="1"/>
    <col min="2596" max="2816" width="10.28515625" style="1"/>
    <col min="2817" max="2817" width="4" style="1" customWidth="1"/>
    <col min="2818" max="2818" width="10" style="1" customWidth="1"/>
    <col min="2819" max="2819" width="30" style="1" customWidth="1"/>
    <col min="2820" max="2851" width="10" style="1" customWidth="1"/>
    <col min="2852" max="3072" width="10.28515625" style="1"/>
    <col min="3073" max="3073" width="4" style="1" customWidth="1"/>
    <col min="3074" max="3074" width="10" style="1" customWidth="1"/>
    <col min="3075" max="3075" width="30" style="1" customWidth="1"/>
    <col min="3076" max="3107" width="10" style="1" customWidth="1"/>
    <col min="3108" max="3328" width="10.28515625" style="1"/>
    <col min="3329" max="3329" width="4" style="1" customWidth="1"/>
    <col min="3330" max="3330" width="10" style="1" customWidth="1"/>
    <col min="3331" max="3331" width="30" style="1" customWidth="1"/>
    <col min="3332" max="3363" width="10" style="1" customWidth="1"/>
    <col min="3364" max="3584" width="10.28515625" style="1"/>
    <col min="3585" max="3585" width="4" style="1" customWidth="1"/>
    <col min="3586" max="3586" width="10" style="1" customWidth="1"/>
    <col min="3587" max="3587" width="30" style="1" customWidth="1"/>
    <col min="3588" max="3619" width="10" style="1" customWidth="1"/>
    <col min="3620" max="3840" width="10.28515625" style="1"/>
    <col min="3841" max="3841" width="4" style="1" customWidth="1"/>
    <col min="3842" max="3842" width="10" style="1" customWidth="1"/>
    <col min="3843" max="3843" width="30" style="1" customWidth="1"/>
    <col min="3844" max="3875" width="10" style="1" customWidth="1"/>
    <col min="3876" max="4096" width="10.28515625" style="1"/>
    <col min="4097" max="4097" width="4" style="1" customWidth="1"/>
    <col min="4098" max="4098" width="10" style="1" customWidth="1"/>
    <col min="4099" max="4099" width="30" style="1" customWidth="1"/>
    <col min="4100" max="4131" width="10" style="1" customWidth="1"/>
    <col min="4132" max="4352" width="10.28515625" style="1"/>
    <col min="4353" max="4353" width="4" style="1" customWidth="1"/>
    <col min="4354" max="4354" width="10" style="1" customWidth="1"/>
    <col min="4355" max="4355" width="30" style="1" customWidth="1"/>
    <col min="4356" max="4387" width="10" style="1" customWidth="1"/>
    <col min="4388" max="4608" width="10.28515625" style="1"/>
    <col min="4609" max="4609" width="4" style="1" customWidth="1"/>
    <col min="4610" max="4610" width="10" style="1" customWidth="1"/>
    <col min="4611" max="4611" width="30" style="1" customWidth="1"/>
    <col min="4612" max="4643" width="10" style="1" customWidth="1"/>
    <col min="4644" max="4864" width="10.28515625" style="1"/>
    <col min="4865" max="4865" width="4" style="1" customWidth="1"/>
    <col min="4866" max="4866" width="10" style="1" customWidth="1"/>
    <col min="4867" max="4867" width="30" style="1" customWidth="1"/>
    <col min="4868" max="4899" width="10" style="1" customWidth="1"/>
    <col min="4900" max="5120" width="10.28515625" style="1"/>
    <col min="5121" max="5121" width="4" style="1" customWidth="1"/>
    <col min="5122" max="5122" width="10" style="1" customWidth="1"/>
    <col min="5123" max="5123" width="30" style="1" customWidth="1"/>
    <col min="5124" max="5155" width="10" style="1" customWidth="1"/>
    <col min="5156" max="5376" width="10.28515625" style="1"/>
    <col min="5377" max="5377" width="4" style="1" customWidth="1"/>
    <col min="5378" max="5378" width="10" style="1" customWidth="1"/>
    <col min="5379" max="5379" width="30" style="1" customWidth="1"/>
    <col min="5380" max="5411" width="10" style="1" customWidth="1"/>
    <col min="5412" max="5632" width="10.28515625" style="1"/>
    <col min="5633" max="5633" width="4" style="1" customWidth="1"/>
    <col min="5634" max="5634" width="10" style="1" customWidth="1"/>
    <col min="5635" max="5635" width="30" style="1" customWidth="1"/>
    <col min="5636" max="5667" width="10" style="1" customWidth="1"/>
    <col min="5668" max="5888" width="10.28515625" style="1"/>
    <col min="5889" max="5889" width="4" style="1" customWidth="1"/>
    <col min="5890" max="5890" width="10" style="1" customWidth="1"/>
    <col min="5891" max="5891" width="30" style="1" customWidth="1"/>
    <col min="5892" max="5923" width="10" style="1" customWidth="1"/>
    <col min="5924" max="6144" width="10.28515625" style="1"/>
    <col min="6145" max="6145" width="4" style="1" customWidth="1"/>
    <col min="6146" max="6146" width="10" style="1" customWidth="1"/>
    <col min="6147" max="6147" width="30" style="1" customWidth="1"/>
    <col min="6148" max="6179" width="10" style="1" customWidth="1"/>
    <col min="6180" max="6400" width="10.28515625" style="1"/>
    <col min="6401" max="6401" width="4" style="1" customWidth="1"/>
    <col min="6402" max="6402" width="10" style="1" customWidth="1"/>
    <col min="6403" max="6403" width="30" style="1" customWidth="1"/>
    <col min="6404" max="6435" width="10" style="1" customWidth="1"/>
    <col min="6436" max="6656" width="10.28515625" style="1"/>
    <col min="6657" max="6657" width="4" style="1" customWidth="1"/>
    <col min="6658" max="6658" width="10" style="1" customWidth="1"/>
    <col min="6659" max="6659" width="30" style="1" customWidth="1"/>
    <col min="6660" max="6691" width="10" style="1" customWidth="1"/>
    <col min="6692" max="6912" width="10.28515625" style="1"/>
    <col min="6913" max="6913" width="4" style="1" customWidth="1"/>
    <col min="6914" max="6914" width="10" style="1" customWidth="1"/>
    <col min="6915" max="6915" width="30" style="1" customWidth="1"/>
    <col min="6916" max="6947" width="10" style="1" customWidth="1"/>
    <col min="6948" max="7168" width="10.28515625" style="1"/>
    <col min="7169" max="7169" width="4" style="1" customWidth="1"/>
    <col min="7170" max="7170" width="10" style="1" customWidth="1"/>
    <col min="7171" max="7171" width="30" style="1" customWidth="1"/>
    <col min="7172" max="7203" width="10" style="1" customWidth="1"/>
    <col min="7204" max="7424" width="10.28515625" style="1"/>
    <col min="7425" max="7425" width="4" style="1" customWidth="1"/>
    <col min="7426" max="7426" width="10" style="1" customWidth="1"/>
    <col min="7427" max="7427" width="30" style="1" customWidth="1"/>
    <col min="7428" max="7459" width="10" style="1" customWidth="1"/>
    <col min="7460" max="7680" width="10.28515625" style="1"/>
    <col min="7681" max="7681" width="4" style="1" customWidth="1"/>
    <col min="7682" max="7682" width="10" style="1" customWidth="1"/>
    <col min="7683" max="7683" width="30" style="1" customWidth="1"/>
    <col min="7684" max="7715" width="10" style="1" customWidth="1"/>
    <col min="7716" max="7936" width="10.28515625" style="1"/>
    <col min="7937" max="7937" width="4" style="1" customWidth="1"/>
    <col min="7938" max="7938" width="10" style="1" customWidth="1"/>
    <col min="7939" max="7939" width="30" style="1" customWidth="1"/>
    <col min="7940" max="7971" width="10" style="1" customWidth="1"/>
    <col min="7972" max="8192" width="10.28515625" style="1"/>
    <col min="8193" max="8193" width="4" style="1" customWidth="1"/>
    <col min="8194" max="8194" width="10" style="1" customWidth="1"/>
    <col min="8195" max="8195" width="30" style="1" customWidth="1"/>
    <col min="8196" max="8227" width="10" style="1" customWidth="1"/>
    <col min="8228" max="8448" width="10.28515625" style="1"/>
    <col min="8449" max="8449" width="4" style="1" customWidth="1"/>
    <col min="8450" max="8450" width="10" style="1" customWidth="1"/>
    <col min="8451" max="8451" width="30" style="1" customWidth="1"/>
    <col min="8452" max="8483" width="10" style="1" customWidth="1"/>
    <col min="8484" max="8704" width="10.28515625" style="1"/>
    <col min="8705" max="8705" width="4" style="1" customWidth="1"/>
    <col min="8706" max="8706" width="10" style="1" customWidth="1"/>
    <col min="8707" max="8707" width="30" style="1" customWidth="1"/>
    <col min="8708" max="8739" width="10" style="1" customWidth="1"/>
    <col min="8740" max="8960" width="10.28515625" style="1"/>
    <col min="8961" max="8961" width="4" style="1" customWidth="1"/>
    <col min="8962" max="8962" width="10" style="1" customWidth="1"/>
    <col min="8963" max="8963" width="30" style="1" customWidth="1"/>
    <col min="8964" max="8995" width="10" style="1" customWidth="1"/>
    <col min="8996" max="9216" width="10.28515625" style="1"/>
    <col min="9217" max="9217" width="4" style="1" customWidth="1"/>
    <col min="9218" max="9218" width="10" style="1" customWidth="1"/>
    <col min="9219" max="9219" width="30" style="1" customWidth="1"/>
    <col min="9220" max="9251" width="10" style="1" customWidth="1"/>
    <col min="9252" max="9472" width="10.28515625" style="1"/>
    <col min="9473" max="9473" width="4" style="1" customWidth="1"/>
    <col min="9474" max="9474" width="10" style="1" customWidth="1"/>
    <col min="9475" max="9475" width="30" style="1" customWidth="1"/>
    <col min="9476" max="9507" width="10" style="1" customWidth="1"/>
    <col min="9508" max="9728" width="10.28515625" style="1"/>
    <col min="9729" max="9729" width="4" style="1" customWidth="1"/>
    <col min="9730" max="9730" width="10" style="1" customWidth="1"/>
    <col min="9731" max="9731" width="30" style="1" customWidth="1"/>
    <col min="9732" max="9763" width="10" style="1" customWidth="1"/>
    <col min="9764" max="9984" width="10.28515625" style="1"/>
    <col min="9985" max="9985" width="4" style="1" customWidth="1"/>
    <col min="9986" max="9986" width="10" style="1" customWidth="1"/>
    <col min="9987" max="9987" width="30" style="1" customWidth="1"/>
    <col min="9988" max="10019" width="10" style="1" customWidth="1"/>
    <col min="10020" max="10240" width="10.28515625" style="1"/>
    <col min="10241" max="10241" width="4" style="1" customWidth="1"/>
    <col min="10242" max="10242" width="10" style="1" customWidth="1"/>
    <col min="10243" max="10243" width="30" style="1" customWidth="1"/>
    <col min="10244" max="10275" width="10" style="1" customWidth="1"/>
    <col min="10276" max="10496" width="10.28515625" style="1"/>
    <col min="10497" max="10497" width="4" style="1" customWidth="1"/>
    <col min="10498" max="10498" width="10" style="1" customWidth="1"/>
    <col min="10499" max="10499" width="30" style="1" customWidth="1"/>
    <col min="10500" max="10531" width="10" style="1" customWidth="1"/>
    <col min="10532" max="10752" width="10.28515625" style="1"/>
    <col min="10753" max="10753" width="4" style="1" customWidth="1"/>
    <col min="10754" max="10754" width="10" style="1" customWidth="1"/>
    <col min="10755" max="10755" width="30" style="1" customWidth="1"/>
    <col min="10756" max="10787" width="10" style="1" customWidth="1"/>
    <col min="10788" max="11008" width="10.28515625" style="1"/>
    <col min="11009" max="11009" width="4" style="1" customWidth="1"/>
    <col min="11010" max="11010" width="10" style="1" customWidth="1"/>
    <col min="11011" max="11011" width="30" style="1" customWidth="1"/>
    <col min="11012" max="11043" width="10" style="1" customWidth="1"/>
    <col min="11044" max="11264" width="10.28515625" style="1"/>
    <col min="11265" max="11265" width="4" style="1" customWidth="1"/>
    <col min="11266" max="11266" width="10" style="1" customWidth="1"/>
    <col min="11267" max="11267" width="30" style="1" customWidth="1"/>
    <col min="11268" max="11299" width="10" style="1" customWidth="1"/>
    <col min="11300" max="11520" width="10.28515625" style="1"/>
    <col min="11521" max="11521" width="4" style="1" customWidth="1"/>
    <col min="11522" max="11522" width="10" style="1" customWidth="1"/>
    <col min="11523" max="11523" width="30" style="1" customWidth="1"/>
    <col min="11524" max="11555" width="10" style="1" customWidth="1"/>
    <col min="11556" max="11776" width="10.28515625" style="1"/>
    <col min="11777" max="11777" width="4" style="1" customWidth="1"/>
    <col min="11778" max="11778" width="10" style="1" customWidth="1"/>
    <col min="11779" max="11779" width="30" style="1" customWidth="1"/>
    <col min="11780" max="11811" width="10" style="1" customWidth="1"/>
    <col min="11812" max="12032" width="10.28515625" style="1"/>
    <col min="12033" max="12033" width="4" style="1" customWidth="1"/>
    <col min="12034" max="12034" width="10" style="1" customWidth="1"/>
    <col min="12035" max="12035" width="30" style="1" customWidth="1"/>
    <col min="12036" max="12067" width="10" style="1" customWidth="1"/>
    <col min="12068" max="12288" width="10.28515625" style="1"/>
    <col min="12289" max="12289" width="4" style="1" customWidth="1"/>
    <col min="12290" max="12290" width="10" style="1" customWidth="1"/>
    <col min="12291" max="12291" width="30" style="1" customWidth="1"/>
    <col min="12292" max="12323" width="10" style="1" customWidth="1"/>
    <col min="12324" max="12544" width="10.28515625" style="1"/>
    <col min="12545" max="12545" width="4" style="1" customWidth="1"/>
    <col min="12546" max="12546" width="10" style="1" customWidth="1"/>
    <col min="12547" max="12547" width="30" style="1" customWidth="1"/>
    <col min="12548" max="12579" width="10" style="1" customWidth="1"/>
    <col min="12580" max="12800" width="10.28515625" style="1"/>
    <col min="12801" max="12801" width="4" style="1" customWidth="1"/>
    <col min="12802" max="12802" width="10" style="1" customWidth="1"/>
    <col min="12803" max="12803" width="30" style="1" customWidth="1"/>
    <col min="12804" max="12835" width="10" style="1" customWidth="1"/>
    <col min="12836" max="13056" width="10.28515625" style="1"/>
    <col min="13057" max="13057" width="4" style="1" customWidth="1"/>
    <col min="13058" max="13058" width="10" style="1" customWidth="1"/>
    <col min="13059" max="13059" width="30" style="1" customWidth="1"/>
    <col min="13060" max="13091" width="10" style="1" customWidth="1"/>
    <col min="13092" max="13312" width="10.28515625" style="1"/>
    <col min="13313" max="13313" width="4" style="1" customWidth="1"/>
    <col min="13314" max="13314" width="10" style="1" customWidth="1"/>
    <col min="13315" max="13315" width="30" style="1" customWidth="1"/>
    <col min="13316" max="13347" width="10" style="1" customWidth="1"/>
    <col min="13348" max="13568" width="10.28515625" style="1"/>
    <col min="13569" max="13569" width="4" style="1" customWidth="1"/>
    <col min="13570" max="13570" width="10" style="1" customWidth="1"/>
    <col min="13571" max="13571" width="30" style="1" customWidth="1"/>
    <col min="13572" max="13603" width="10" style="1" customWidth="1"/>
    <col min="13604" max="13824" width="10.28515625" style="1"/>
    <col min="13825" max="13825" width="4" style="1" customWidth="1"/>
    <col min="13826" max="13826" width="10" style="1" customWidth="1"/>
    <col min="13827" max="13827" width="30" style="1" customWidth="1"/>
    <col min="13828" max="13859" width="10" style="1" customWidth="1"/>
    <col min="13860" max="14080" width="10.28515625" style="1"/>
    <col min="14081" max="14081" width="4" style="1" customWidth="1"/>
    <col min="14082" max="14082" width="10" style="1" customWidth="1"/>
    <col min="14083" max="14083" width="30" style="1" customWidth="1"/>
    <col min="14084" max="14115" width="10" style="1" customWidth="1"/>
    <col min="14116" max="14336" width="10.28515625" style="1"/>
    <col min="14337" max="14337" width="4" style="1" customWidth="1"/>
    <col min="14338" max="14338" width="10" style="1" customWidth="1"/>
    <col min="14339" max="14339" width="30" style="1" customWidth="1"/>
    <col min="14340" max="14371" width="10" style="1" customWidth="1"/>
    <col min="14372" max="14592" width="10.28515625" style="1"/>
    <col min="14593" max="14593" width="4" style="1" customWidth="1"/>
    <col min="14594" max="14594" width="10" style="1" customWidth="1"/>
    <col min="14595" max="14595" width="30" style="1" customWidth="1"/>
    <col min="14596" max="14627" width="10" style="1" customWidth="1"/>
    <col min="14628" max="14848" width="10.28515625" style="1"/>
    <col min="14849" max="14849" width="4" style="1" customWidth="1"/>
    <col min="14850" max="14850" width="10" style="1" customWidth="1"/>
    <col min="14851" max="14851" width="30" style="1" customWidth="1"/>
    <col min="14852" max="14883" width="10" style="1" customWidth="1"/>
    <col min="14884" max="15104" width="10.28515625" style="1"/>
    <col min="15105" max="15105" width="4" style="1" customWidth="1"/>
    <col min="15106" max="15106" width="10" style="1" customWidth="1"/>
    <col min="15107" max="15107" width="30" style="1" customWidth="1"/>
    <col min="15108" max="15139" width="10" style="1" customWidth="1"/>
    <col min="15140" max="15360" width="10.28515625" style="1"/>
    <col min="15361" max="15361" width="4" style="1" customWidth="1"/>
    <col min="15362" max="15362" width="10" style="1" customWidth="1"/>
    <col min="15363" max="15363" width="30" style="1" customWidth="1"/>
    <col min="15364" max="15395" width="10" style="1" customWidth="1"/>
    <col min="15396" max="15616" width="10.28515625" style="1"/>
    <col min="15617" max="15617" width="4" style="1" customWidth="1"/>
    <col min="15618" max="15618" width="10" style="1" customWidth="1"/>
    <col min="15619" max="15619" width="30" style="1" customWidth="1"/>
    <col min="15620" max="15651" width="10" style="1" customWidth="1"/>
    <col min="15652" max="15872" width="10.28515625" style="1"/>
    <col min="15873" max="15873" width="4" style="1" customWidth="1"/>
    <col min="15874" max="15874" width="10" style="1" customWidth="1"/>
    <col min="15875" max="15875" width="30" style="1" customWidth="1"/>
    <col min="15876" max="15907" width="10" style="1" customWidth="1"/>
    <col min="15908" max="16128" width="10.28515625" style="1"/>
    <col min="16129" max="16129" width="4" style="1" customWidth="1"/>
    <col min="16130" max="16130" width="10" style="1" customWidth="1"/>
    <col min="16131" max="16131" width="30" style="1" customWidth="1"/>
    <col min="16132" max="16163" width="10" style="1" customWidth="1"/>
    <col min="16164" max="16384" width="10.28515625" style="1"/>
  </cols>
  <sheetData>
    <row r="1" spans="1:35" ht="12.75" customHeight="1" x14ac:dyDescent="0.2">
      <c r="A1" s="1" t="s">
        <v>0</v>
      </c>
      <c r="B1" s="1" t="s">
        <v>1</v>
      </c>
      <c r="C1" s="1" t="s">
        <v>2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1996</v>
      </c>
      <c r="M1" s="6">
        <v>1999</v>
      </c>
      <c r="N1" s="6">
        <v>2000</v>
      </c>
      <c r="O1" s="6">
        <v>2001</v>
      </c>
      <c r="P1" s="6">
        <v>2002</v>
      </c>
      <c r="Q1" s="6">
        <v>2003</v>
      </c>
      <c r="R1" s="6">
        <v>2004</v>
      </c>
      <c r="S1" s="6">
        <v>2005</v>
      </c>
      <c r="T1" s="6">
        <v>2006</v>
      </c>
      <c r="U1" s="6">
        <v>2007</v>
      </c>
      <c r="V1" s="6">
        <v>2008</v>
      </c>
      <c r="W1" s="6">
        <v>2009</v>
      </c>
      <c r="X1" s="6">
        <v>2010</v>
      </c>
      <c r="Y1" s="6">
        <v>2011</v>
      </c>
      <c r="Z1" s="6">
        <v>2012</v>
      </c>
      <c r="AA1" s="6">
        <v>2013</v>
      </c>
      <c r="AB1" s="6">
        <v>2014</v>
      </c>
      <c r="AC1" s="6">
        <v>2015</v>
      </c>
      <c r="AD1" s="6">
        <v>2016</v>
      </c>
      <c r="AE1" s="6">
        <v>2017</v>
      </c>
      <c r="AF1" s="6">
        <v>2018</v>
      </c>
      <c r="AG1" s="6">
        <v>2019</v>
      </c>
      <c r="AH1" s="6">
        <v>2020</v>
      </c>
      <c r="AI1" s="6">
        <v>2021</v>
      </c>
    </row>
    <row r="2" spans="1:35" x14ac:dyDescent="0.2">
      <c r="A2" s="1" t="s">
        <v>23</v>
      </c>
      <c r="B2" s="1" t="s">
        <v>24</v>
      </c>
      <c r="C2" s="1" t="s">
        <v>25</v>
      </c>
      <c r="D2" s="2">
        <v>27795.388793719299</v>
      </c>
      <c r="E2" s="2">
        <v>37507.865753781</v>
      </c>
      <c r="F2" s="2">
        <v>31240.075125136398</v>
      </c>
      <c r="G2" s="2">
        <v>24035.011808031799</v>
      </c>
      <c r="H2" s="2">
        <v>110176.8061942377</v>
      </c>
      <c r="I2" s="2">
        <v>110658.1008352623</v>
      </c>
      <c r="J2" s="2">
        <v>159142.14058268431</v>
      </c>
      <c r="K2" s="2">
        <v>161291.5641295269</v>
      </c>
      <c r="L2" s="2">
        <v>246487.30552403393</v>
      </c>
      <c r="M2" s="2">
        <v>148479.58887181157</v>
      </c>
      <c r="N2" s="2">
        <v>156460.1038765749</v>
      </c>
      <c r="O2" s="2">
        <v>168602.64657031751</v>
      </c>
      <c r="P2" s="2">
        <v>124378.05314614761</v>
      </c>
      <c r="Q2" s="2">
        <v>152410.6091264885</v>
      </c>
      <c r="R2" s="2">
        <v>115452.8304592666</v>
      </c>
      <c r="S2" s="2">
        <v>142763.64822823572</v>
      </c>
      <c r="T2" s="2">
        <v>111435.92677615769</v>
      </c>
      <c r="U2" s="2">
        <v>111617.28630853121</v>
      </c>
      <c r="V2" s="2">
        <v>149200.746017848</v>
      </c>
      <c r="W2" s="2">
        <v>151709.62356167601</v>
      </c>
      <c r="X2" s="2">
        <v>262774.02899999998</v>
      </c>
      <c r="Y2" s="2">
        <v>229794.44147239649</v>
      </c>
      <c r="Z2" s="2">
        <v>212770.78588597552</v>
      </c>
      <c r="AA2" s="2">
        <v>272708.02971251484</v>
      </c>
      <c r="AB2" s="2">
        <v>278388.7595179131</v>
      </c>
      <c r="AC2" s="2">
        <v>248087.57176748401</v>
      </c>
      <c r="AD2" s="2">
        <v>254686.41762696716</v>
      </c>
      <c r="AE2" s="2">
        <v>227627.46440274816</v>
      </c>
      <c r="AF2" s="2">
        <v>188533.42592583603</v>
      </c>
      <c r="AG2" s="2">
        <v>144269.44735342104</v>
      </c>
      <c r="AH2" s="2">
        <v>127186.19706111879</v>
      </c>
      <c r="AI2" s="2">
        <v>313661.9490888209</v>
      </c>
    </row>
    <row r="3" spans="1:35" x14ac:dyDescent="0.2">
      <c r="A3" s="1" t="s">
        <v>23</v>
      </c>
      <c r="B3" s="1" t="s">
        <v>26</v>
      </c>
      <c r="C3" s="1" t="s">
        <v>27</v>
      </c>
      <c r="D3" s="2">
        <v>52975.367830462696</v>
      </c>
      <c r="E3" s="2">
        <v>95561.272123802904</v>
      </c>
      <c r="F3" s="2">
        <v>77430.031699836894</v>
      </c>
      <c r="G3" s="2">
        <v>66169.517895908895</v>
      </c>
      <c r="H3" s="2">
        <v>228108.01682608761</v>
      </c>
      <c r="I3" s="2">
        <v>213813.52258190548</v>
      </c>
      <c r="J3" s="2">
        <v>350193.91599191807</v>
      </c>
      <c r="K3" s="2">
        <v>437943.44615899184</v>
      </c>
      <c r="L3" s="2">
        <v>296373.93924097216</v>
      </c>
      <c r="M3" s="2">
        <v>447036.12876884785</v>
      </c>
      <c r="N3" s="2">
        <v>483459.5866715489</v>
      </c>
      <c r="O3" s="2">
        <v>649336.88636195671</v>
      </c>
      <c r="P3" s="2">
        <v>415790.3256362566</v>
      </c>
      <c r="Q3" s="2">
        <v>482497.55074269057</v>
      </c>
      <c r="R3" s="2">
        <v>417141.37202819664</v>
      </c>
      <c r="S3" s="2">
        <v>448938.68216079508</v>
      </c>
      <c r="T3" s="2">
        <v>372650.2195958423</v>
      </c>
      <c r="U3" s="2">
        <v>369852.57022609131</v>
      </c>
      <c r="V3" s="2">
        <v>433309.58066060208</v>
      </c>
      <c r="W3" s="2">
        <v>393240.24367682228</v>
      </c>
      <c r="X3" s="2">
        <v>521600.68700000003</v>
      </c>
      <c r="Y3" s="2">
        <v>566583.45758427342</v>
      </c>
      <c r="Z3" s="2">
        <v>605916.38431078359</v>
      </c>
      <c r="AA3" s="2">
        <v>667705.0307532514</v>
      </c>
      <c r="AB3" s="2">
        <v>698956.94210378558</v>
      </c>
      <c r="AC3" s="2">
        <v>675316.03815500694</v>
      </c>
      <c r="AD3" s="2">
        <v>670064.01569209946</v>
      </c>
      <c r="AE3" s="2">
        <v>593681.84819112718</v>
      </c>
      <c r="AF3" s="2">
        <v>520982.5293446437</v>
      </c>
      <c r="AG3" s="2">
        <v>442859.05681043735</v>
      </c>
      <c r="AH3" s="2">
        <v>391836.32763834385</v>
      </c>
      <c r="AI3" s="2">
        <v>1409943.4681896318</v>
      </c>
    </row>
    <row r="4" spans="1:35" x14ac:dyDescent="0.2">
      <c r="A4" s="1" t="s">
        <v>28</v>
      </c>
      <c r="B4" s="1" t="s">
        <v>29</v>
      </c>
      <c r="C4" s="1" t="s">
        <v>30</v>
      </c>
      <c r="D4" s="2">
        <v>10996.199669821801</v>
      </c>
      <c r="E4" s="2">
        <v>28757.108909857401</v>
      </c>
      <c r="F4" s="2">
        <v>112394.3689902325</v>
      </c>
      <c r="G4" s="2">
        <v>145145.979650394</v>
      </c>
      <c r="H4" s="2">
        <v>216281.93984403979</v>
      </c>
      <c r="I4" s="2">
        <v>315707.13974463876</v>
      </c>
      <c r="J4" s="2">
        <v>262911.56632846169</v>
      </c>
      <c r="K4" s="2">
        <v>434271.59666565893</v>
      </c>
      <c r="L4" s="2">
        <v>384749.88899106212</v>
      </c>
      <c r="M4" s="2">
        <v>210070.37264349271</v>
      </c>
      <c r="N4" s="2">
        <v>288945.9943858909</v>
      </c>
      <c r="O4" s="2">
        <v>332565.36708599236</v>
      </c>
      <c r="P4" s="2">
        <v>432833.18635891151</v>
      </c>
      <c r="Q4" s="2">
        <v>162022.51408046388</v>
      </c>
      <c r="R4" s="2">
        <v>224331.51868141789</v>
      </c>
      <c r="S4" s="2">
        <v>281109.41736451699</v>
      </c>
      <c r="T4" s="2">
        <v>250469.35325538085</v>
      </c>
      <c r="U4" s="2">
        <v>219253.93674749648</v>
      </c>
      <c r="V4" s="2">
        <v>299762.76930802717</v>
      </c>
      <c r="W4" s="2">
        <v>244680.28773527197</v>
      </c>
      <c r="X4" s="2">
        <v>207401.64</v>
      </c>
      <c r="Y4" s="2">
        <v>176144.12733001699</v>
      </c>
      <c r="Z4" s="2">
        <v>148550.1219986431</v>
      </c>
      <c r="AA4" s="2">
        <v>200756.8619458827</v>
      </c>
      <c r="AB4" s="2">
        <v>173113.18838638207</v>
      </c>
      <c r="AC4" s="2">
        <v>208648.7333148873</v>
      </c>
      <c r="AD4" s="2">
        <v>181827.69541533868</v>
      </c>
      <c r="AE4" s="2">
        <v>239234.94141088208</v>
      </c>
      <c r="AF4" s="2">
        <v>207987.77382372672</v>
      </c>
      <c r="AG4" s="2">
        <v>256765.7580561486</v>
      </c>
      <c r="AH4" s="2">
        <v>371286.65957027709</v>
      </c>
      <c r="AI4" s="2">
        <v>520663.59126264963</v>
      </c>
    </row>
    <row r="5" spans="1:35" x14ac:dyDescent="0.2">
      <c r="A5" s="1" t="s">
        <v>28</v>
      </c>
      <c r="B5" s="1" t="s">
        <v>31</v>
      </c>
      <c r="C5" s="1" t="s">
        <v>32</v>
      </c>
      <c r="D5" s="2">
        <v>23351.907092265796</v>
      </c>
      <c r="E5" s="2">
        <v>39945.574228539197</v>
      </c>
      <c r="F5" s="2">
        <v>102143.2165393568</v>
      </c>
      <c r="G5" s="2">
        <v>184328.73904651511</v>
      </c>
      <c r="H5" s="2">
        <v>311702.4634495902</v>
      </c>
      <c r="I5" s="2">
        <v>474821.73865833238</v>
      </c>
      <c r="J5" s="2">
        <v>602026.40535553382</v>
      </c>
      <c r="K5" s="2">
        <v>768683.85731876246</v>
      </c>
      <c r="L5" s="2">
        <v>499309.85653933906</v>
      </c>
      <c r="M5" s="2">
        <v>418539.44714099198</v>
      </c>
      <c r="N5" s="2">
        <v>488245.66953205899</v>
      </c>
      <c r="O5" s="2">
        <v>488424.956233259</v>
      </c>
      <c r="P5" s="2">
        <v>879596.7260382697</v>
      </c>
      <c r="Q5" s="2">
        <v>620006.49518524786</v>
      </c>
      <c r="R5" s="2">
        <v>553319.15557465283</v>
      </c>
      <c r="S5" s="2">
        <v>531401.6997816459</v>
      </c>
      <c r="T5" s="2">
        <v>472013.85979866248</v>
      </c>
      <c r="U5" s="2">
        <v>459572.6767863775</v>
      </c>
      <c r="V5" s="2">
        <v>587788.53573411924</v>
      </c>
      <c r="W5" s="2">
        <v>556653.95627059066</v>
      </c>
      <c r="X5" s="2">
        <v>550466.67699999991</v>
      </c>
      <c r="Y5" s="2">
        <v>438361.83823435981</v>
      </c>
      <c r="Z5" s="2">
        <v>727780.31114771299</v>
      </c>
      <c r="AA5" s="2">
        <v>606011.53834253282</v>
      </c>
      <c r="AB5" s="2">
        <v>576152.6607694953</v>
      </c>
      <c r="AC5" s="2">
        <v>702593.76671380841</v>
      </c>
      <c r="AD5" s="2">
        <v>708247.60396004992</v>
      </c>
      <c r="AE5" s="2">
        <v>991190.05311779014</v>
      </c>
      <c r="AF5" s="2">
        <v>1053679.4795480636</v>
      </c>
      <c r="AG5" s="2">
        <v>1300567.4331207722</v>
      </c>
      <c r="AH5" s="2">
        <v>1631033.3974060689</v>
      </c>
      <c r="AI5" s="2">
        <v>1944182.7972578628</v>
      </c>
    </row>
    <row r="6" spans="1:35" x14ac:dyDescent="0.2">
      <c r="A6" s="1" t="s">
        <v>28</v>
      </c>
      <c r="B6" s="1" t="s">
        <v>33</v>
      </c>
      <c r="C6" s="1" t="s">
        <v>34</v>
      </c>
      <c r="D6" s="2">
        <v>136182.84115852896</v>
      </c>
      <c r="E6" s="2">
        <v>241526.65048676688</v>
      </c>
      <c r="F6" s="2">
        <v>343275.49086098385</v>
      </c>
      <c r="G6" s="2">
        <v>563530.50446811772</v>
      </c>
      <c r="H6" s="2">
        <v>728419.72756951861</v>
      </c>
      <c r="I6" s="2">
        <v>1079823.4817239651</v>
      </c>
      <c r="J6" s="2">
        <v>1824711.2757011894</v>
      </c>
      <c r="K6" s="2">
        <v>2236075.9543909659</v>
      </c>
      <c r="L6" s="2">
        <v>1546327.8430289631</v>
      </c>
      <c r="M6" s="2">
        <v>1253514.6308699888</v>
      </c>
      <c r="N6" s="2">
        <v>1647392.7434276796</v>
      </c>
      <c r="O6" s="2">
        <v>1778695.3657296542</v>
      </c>
      <c r="P6" s="2">
        <v>3388136.5031106616</v>
      </c>
      <c r="Q6" s="2">
        <v>2856363.4104590672</v>
      </c>
      <c r="R6" s="2">
        <v>2566494.0274904654</v>
      </c>
      <c r="S6" s="2">
        <v>2466757.4914684813</v>
      </c>
      <c r="T6" s="2">
        <v>2452173.7781910482</v>
      </c>
      <c r="U6" s="2">
        <v>2242412.9404558875</v>
      </c>
      <c r="V6" s="2">
        <v>2649739.3689376824</v>
      </c>
      <c r="W6" s="2">
        <v>2824386.2694575666</v>
      </c>
      <c r="X6" s="2">
        <v>2153257.5420000004</v>
      </c>
      <c r="Y6" s="2">
        <v>2183054.0995428022</v>
      </c>
      <c r="Z6" s="2">
        <v>1660701.1446569585</v>
      </c>
      <c r="AA6" s="2">
        <v>1973720.9535368409</v>
      </c>
      <c r="AB6" s="2">
        <v>2295580.323609578</v>
      </c>
      <c r="AC6" s="2">
        <v>2426089.6170206224</v>
      </c>
      <c r="AD6" s="2">
        <v>3393348.638951329</v>
      </c>
      <c r="AE6" s="2">
        <v>3966613.1008880832</v>
      </c>
      <c r="AF6" s="2">
        <v>3496393.3087247266</v>
      </c>
      <c r="AG6" s="2">
        <v>3757888.5278621139</v>
      </c>
      <c r="AH6" s="2">
        <v>4658660.5697830645</v>
      </c>
      <c r="AI6" s="2">
        <v>5508935.4937442457</v>
      </c>
    </row>
    <row r="7" spans="1:35" x14ac:dyDescent="0.2">
      <c r="A7" s="1" t="s">
        <v>35</v>
      </c>
      <c r="B7" s="1" t="s">
        <v>36</v>
      </c>
      <c r="C7" s="1" t="s">
        <v>37</v>
      </c>
      <c r="D7" s="2">
        <v>4861.7771417671001</v>
      </c>
      <c r="E7" s="2">
        <v>9625.1974808636005</v>
      </c>
      <c r="F7" s="2">
        <v>5373.7679979279001</v>
      </c>
      <c r="G7" s="2">
        <v>24176.903870473801</v>
      </c>
      <c r="H7" s="2">
        <v>68842.097267285208</v>
      </c>
      <c r="I7" s="2">
        <v>70329.243773789</v>
      </c>
      <c r="J7" s="2">
        <v>78492.278666815298</v>
      </c>
      <c r="K7" s="2">
        <v>146020.5869376623</v>
      </c>
      <c r="L7" s="2">
        <v>182699.89527391142</v>
      </c>
      <c r="M7" s="2">
        <v>47598.148971058894</v>
      </c>
      <c r="N7" s="2">
        <v>53348.583679174895</v>
      </c>
      <c r="O7" s="2">
        <v>51253.227605624197</v>
      </c>
      <c r="P7" s="2">
        <v>35642.200266289306</v>
      </c>
      <c r="Q7" s="2">
        <v>39485.532112637695</v>
      </c>
      <c r="R7" s="2">
        <v>36012.320556124199</v>
      </c>
      <c r="S7" s="2">
        <v>26964.8958053198</v>
      </c>
      <c r="T7" s="2">
        <v>30659.970250287399</v>
      </c>
      <c r="U7" s="2">
        <v>29452.360137995001</v>
      </c>
      <c r="V7" s="2">
        <v>35816.690442191997</v>
      </c>
      <c r="W7" s="2">
        <v>40012.656118615698</v>
      </c>
      <c r="X7" s="2">
        <v>45595.077000000005</v>
      </c>
      <c r="Y7" s="2">
        <v>82088.624102844391</v>
      </c>
      <c r="Z7" s="2">
        <v>74089.655243010115</v>
      </c>
      <c r="AA7" s="2">
        <v>85977.480457236394</v>
      </c>
      <c r="AB7" s="2">
        <v>99888.084508354004</v>
      </c>
      <c r="AC7" s="2">
        <v>115363.8985718004</v>
      </c>
      <c r="AD7" s="2">
        <v>93382.155065951287</v>
      </c>
      <c r="AE7" s="2">
        <v>70992.917921486151</v>
      </c>
      <c r="AF7" s="2">
        <v>48186.418734473118</v>
      </c>
      <c r="AG7" s="2">
        <v>47653.805350320312</v>
      </c>
      <c r="AH7" s="2">
        <v>47531.100970462168</v>
      </c>
      <c r="AI7" s="2">
        <v>56820.110422686768</v>
      </c>
    </row>
    <row r="8" spans="1:35" x14ac:dyDescent="0.2">
      <c r="A8" s="1" t="s">
        <v>35</v>
      </c>
      <c r="B8" s="1" t="s">
        <v>38</v>
      </c>
      <c r="C8" s="1" t="s">
        <v>39</v>
      </c>
      <c r="D8" s="2">
        <v>32237.551115927898</v>
      </c>
      <c r="E8" s="2">
        <v>27338.890338545098</v>
      </c>
      <c r="F8" s="2">
        <v>13056.6209954032</v>
      </c>
      <c r="G8" s="2">
        <v>39882.893538579403</v>
      </c>
      <c r="H8" s="2">
        <v>126049.6811159288</v>
      </c>
      <c r="I8" s="2">
        <v>455814.69311774196</v>
      </c>
      <c r="J8" s="2">
        <v>259965.68980871764</v>
      </c>
      <c r="K8" s="2">
        <v>497661.0095727673</v>
      </c>
      <c r="L8" s="2">
        <v>420762.3796401883</v>
      </c>
      <c r="M8" s="2">
        <v>189375.80574816497</v>
      </c>
      <c r="N8" s="2">
        <v>202089.50084128234</v>
      </c>
      <c r="O8" s="2">
        <v>257003.98647672409</v>
      </c>
      <c r="P8" s="2">
        <v>262579.35574476427</v>
      </c>
      <c r="Q8" s="2">
        <v>216243.52249036016</v>
      </c>
      <c r="R8" s="2">
        <v>194589.13793128688</v>
      </c>
      <c r="S8" s="2">
        <v>170630.59616262137</v>
      </c>
      <c r="T8" s="2">
        <v>195820.10313218267</v>
      </c>
      <c r="U8" s="2">
        <v>156404.29526605879</v>
      </c>
      <c r="V8" s="2">
        <v>165488.8689303266</v>
      </c>
      <c r="W8" s="2">
        <v>179452.35418279108</v>
      </c>
      <c r="X8" s="2">
        <v>261885.75599999996</v>
      </c>
      <c r="Y8" s="2">
        <v>391412.94150454842</v>
      </c>
      <c r="Z8" s="2">
        <v>463704.48596697574</v>
      </c>
      <c r="AA8" s="2">
        <v>550488.37546678225</v>
      </c>
      <c r="AB8" s="2">
        <v>478305.84317897056</v>
      </c>
      <c r="AC8" s="2">
        <v>478202.80364764418</v>
      </c>
      <c r="AD8" s="2">
        <v>452178.16173560696</v>
      </c>
      <c r="AE8" s="2">
        <v>408066.24216101039</v>
      </c>
      <c r="AF8" s="2">
        <v>438973.38487830013</v>
      </c>
      <c r="AG8" s="2">
        <v>379472.91620716086</v>
      </c>
      <c r="AH8" s="2">
        <v>393985.70228309446</v>
      </c>
      <c r="AI8" s="2">
        <v>372278.72986903874</v>
      </c>
    </row>
    <row r="9" spans="1:35" x14ac:dyDescent="0.2">
      <c r="A9" s="1" t="s">
        <v>35</v>
      </c>
      <c r="B9" s="1" t="s">
        <v>40</v>
      </c>
      <c r="C9" s="1" t="s">
        <v>41</v>
      </c>
      <c r="D9" s="2">
        <v>33951.849098016901</v>
      </c>
      <c r="E9" s="2">
        <v>125801.46258747281</v>
      </c>
      <c r="F9" s="2">
        <v>168920.9036350192</v>
      </c>
      <c r="G9" s="2">
        <v>218983.0756931366</v>
      </c>
      <c r="H9" s="2">
        <v>678688.49629510252</v>
      </c>
      <c r="I9" s="2">
        <v>567481.4001436003</v>
      </c>
      <c r="J9" s="2">
        <v>887704.66044282774</v>
      </c>
      <c r="K9" s="2">
        <v>1373718.1751434095</v>
      </c>
      <c r="L9" s="2">
        <v>1182111.5834346949</v>
      </c>
      <c r="M9" s="2">
        <v>687204.92222714855</v>
      </c>
      <c r="N9" s="2">
        <v>660261.53880555625</v>
      </c>
      <c r="O9" s="2">
        <v>642304.55240766355</v>
      </c>
      <c r="P9" s="2">
        <v>1807194.7240231226</v>
      </c>
      <c r="Q9" s="2">
        <v>1602076.9780111567</v>
      </c>
      <c r="R9" s="2">
        <v>1372918.6255814426</v>
      </c>
      <c r="S9" s="2">
        <v>1116963.4876961026</v>
      </c>
      <c r="T9" s="2">
        <v>1112178.8922158964</v>
      </c>
      <c r="U9" s="2">
        <v>1071890.7157995969</v>
      </c>
      <c r="V9" s="2">
        <v>986993.5710932744</v>
      </c>
      <c r="W9" s="2">
        <v>1090598.1878644554</v>
      </c>
      <c r="X9" s="2">
        <v>1580457.7139999999</v>
      </c>
      <c r="Y9" s="2">
        <v>2930183.3378596427</v>
      </c>
      <c r="Z9" s="2">
        <v>2436621.9230322093</v>
      </c>
      <c r="AA9" s="2">
        <v>2876708.6667779568</v>
      </c>
      <c r="AB9" s="2">
        <v>2673302.2549962457</v>
      </c>
      <c r="AC9" s="2">
        <v>2798091.1679460155</v>
      </c>
      <c r="AD9" s="2">
        <v>2659588.7630175715</v>
      </c>
      <c r="AE9" s="2">
        <v>2353575.215119923</v>
      </c>
      <c r="AF9" s="2">
        <v>2230366.8197564208</v>
      </c>
      <c r="AG9" s="2">
        <v>1932312.8400620138</v>
      </c>
      <c r="AH9" s="2">
        <v>1778010.4113839779</v>
      </c>
      <c r="AI9" s="2">
        <v>1747658.726334526</v>
      </c>
    </row>
    <row r="10" spans="1:35" x14ac:dyDescent="0.2">
      <c r="A10" s="1" t="s">
        <v>35</v>
      </c>
      <c r="B10" s="1" t="s">
        <v>42</v>
      </c>
      <c r="C10" s="1" t="s">
        <v>43</v>
      </c>
      <c r="D10" s="2">
        <v>62682.72015304969</v>
      </c>
      <c r="E10" s="2">
        <v>97236.656893468084</v>
      </c>
      <c r="F10" s="2">
        <v>46689.179585947</v>
      </c>
      <c r="G10" s="2">
        <v>64982.995020091206</v>
      </c>
      <c r="H10" s="2">
        <v>189600.5976712768</v>
      </c>
      <c r="I10" s="2">
        <v>173626.82474129691</v>
      </c>
      <c r="J10" s="2">
        <v>425065.08132546209</v>
      </c>
      <c r="K10" s="2">
        <v>683487.46567106759</v>
      </c>
      <c r="L10" s="2">
        <v>369614.22627419513</v>
      </c>
      <c r="M10" s="2">
        <v>161311.07963774711</v>
      </c>
      <c r="N10" s="2">
        <v>170956.93060392409</v>
      </c>
      <c r="O10" s="2">
        <v>188916.65308940731</v>
      </c>
      <c r="P10" s="2">
        <v>248748.67638652222</v>
      </c>
      <c r="Q10" s="2">
        <v>211780.16725760538</v>
      </c>
      <c r="R10" s="2">
        <v>194542.0365764728</v>
      </c>
      <c r="S10" s="2">
        <v>214342.96265364188</v>
      </c>
      <c r="T10" s="2">
        <v>357133.42760404793</v>
      </c>
      <c r="U10" s="2">
        <v>273208.55622819031</v>
      </c>
      <c r="V10" s="2">
        <v>271266.11889241362</v>
      </c>
      <c r="W10" s="2">
        <v>265175.01793809788</v>
      </c>
      <c r="X10" s="2">
        <v>331420.70699999994</v>
      </c>
      <c r="Y10" s="2">
        <v>578443.42893069563</v>
      </c>
      <c r="Z10" s="2">
        <v>556060.84477450897</v>
      </c>
      <c r="AA10" s="2">
        <v>596577.39498453774</v>
      </c>
      <c r="AB10" s="2">
        <v>570451.51764045819</v>
      </c>
      <c r="AC10" s="2">
        <v>581471.5737537205</v>
      </c>
      <c r="AD10" s="2">
        <v>525024.73168528534</v>
      </c>
      <c r="AE10" s="2">
        <v>596578.05719948292</v>
      </c>
      <c r="AF10" s="2">
        <v>512021.61812783743</v>
      </c>
      <c r="AG10" s="2">
        <v>433310.65305012523</v>
      </c>
      <c r="AH10" s="2">
        <v>479431.9197465707</v>
      </c>
      <c r="AI10" s="2">
        <v>491530.27716539748</v>
      </c>
    </row>
    <row r="11" spans="1:35" x14ac:dyDescent="0.2">
      <c r="A11" s="1" t="s">
        <v>44</v>
      </c>
      <c r="B11" s="1" t="s">
        <v>45</v>
      </c>
      <c r="C11" s="1" t="s">
        <v>46</v>
      </c>
      <c r="D11" s="2">
        <v>1076.1017003791001</v>
      </c>
      <c r="E11" s="2">
        <v>1270.8830740630999</v>
      </c>
      <c r="F11" s="2">
        <v>1422.4813342872001</v>
      </c>
      <c r="G11" s="2">
        <v>4554.9949373916006</v>
      </c>
      <c r="H11" s="2">
        <v>18090.6658690115</v>
      </c>
      <c r="I11" s="2">
        <v>21526.024995966698</v>
      </c>
      <c r="J11" s="2">
        <v>23361.3201500057</v>
      </c>
      <c r="K11" s="2">
        <v>41422.062005036496</v>
      </c>
      <c r="L11" s="2">
        <v>46459.929676613399</v>
      </c>
      <c r="M11" s="2">
        <v>41786.826385416498</v>
      </c>
      <c r="N11" s="2">
        <v>46804.923949703698</v>
      </c>
      <c r="O11" s="2">
        <v>67714.785980750006</v>
      </c>
      <c r="P11" s="2">
        <v>29836.696825282503</v>
      </c>
      <c r="Q11" s="2">
        <v>25271.7044533894</v>
      </c>
      <c r="R11" s="2">
        <v>31287.863048572101</v>
      </c>
      <c r="S11" s="2">
        <v>47738.934388379101</v>
      </c>
      <c r="T11" s="2">
        <v>52038.298602131006</v>
      </c>
      <c r="U11" s="2">
        <v>57277.689378336203</v>
      </c>
      <c r="V11" s="2">
        <v>51934.724089109797</v>
      </c>
      <c r="W11" s="2">
        <v>59291.577964311</v>
      </c>
      <c r="X11" s="2">
        <v>57716.314999999995</v>
      </c>
      <c r="Y11" s="2">
        <v>64642.545259958002</v>
      </c>
      <c r="Z11" s="2">
        <v>78632.843348852097</v>
      </c>
      <c r="AA11" s="2">
        <v>79077.151786511502</v>
      </c>
      <c r="AB11" s="2">
        <v>77627.363115493106</v>
      </c>
      <c r="AC11" s="2">
        <v>66651.974998091406</v>
      </c>
      <c r="AD11" s="2">
        <v>63920.467106583099</v>
      </c>
      <c r="AE11" s="2">
        <v>66178.957163249579</v>
      </c>
      <c r="AF11" s="2">
        <v>59794.845283339382</v>
      </c>
      <c r="AG11" s="2">
        <v>60244.730374730818</v>
      </c>
      <c r="AH11" s="2">
        <v>61903.889535261857</v>
      </c>
      <c r="AI11" s="2">
        <v>59755.46392358256</v>
      </c>
    </row>
    <row r="12" spans="1:35" x14ac:dyDescent="0.2">
      <c r="A12" s="1" t="s">
        <v>44</v>
      </c>
      <c r="B12" s="1" t="s">
        <v>47</v>
      </c>
      <c r="C12" s="1" t="s">
        <v>48</v>
      </c>
      <c r="D12" s="2">
        <v>5945.5289950317001</v>
      </c>
      <c r="E12" s="2">
        <v>9072.9037936323002</v>
      </c>
      <c r="F12" s="2">
        <v>4589.7611022124001</v>
      </c>
      <c r="G12" s="2">
        <v>8550.4881264166997</v>
      </c>
      <c r="H12" s="2">
        <v>42317.338241760903</v>
      </c>
      <c r="I12" s="2">
        <v>75800.511649270004</v>
      </c>
      <c r="J12" s="2">
        <v>167407.1438606561</v>
      </c>
      <c r="K12" s="2">
        <v>188564.774573884</v>
      </c>
      <c r="L12" s="2">
        <v>239800.66435678571</v>
      </c>
      <c r="M12" s="2">
        <v>135386.99708881197</v>
      </c>
      <c r="N12" s="2">
        <v>137661.35206661111</v>
      </c>
      <c r="O12" s="2">
        <v>156554.23057374547</v>
      </c>
      <c r="P12" s="2">
        <v>48413.484486679903</v>
      </c>
      <c r="Q12" s="2">
        <v>40671.561311760903</v>
      </c>
      <c r="R12" s="2">
        <v>51566.076474805603</v>
      </c>
      <c r="S12" s="2">
        <v>132836.46464909101</v>
      </c>
      <c r="T12" s="2">
        <v>144437.98374720101</v>
      </c>
      <c r="U12" s="2">
        <v>144992.281742066</v>
      </c>
      <c r="V12" s="2">
        <v>123393.9538295739</v>
      </c>
      <c r="W12" s="2">
        <v>128776.1217884916</v>
      </c>
      <c r="X12" s="2">
        <v>138297.03199999998</v>
      </c>
      <c r="Y12" s="2">
        <v>139980.62926602148</v>
      </c>
      <c r="Z12" s="2">
        <v>155513.7583441264</v>
      </c>
      <c r="AA12" s="2">
        <v>122940.58752606691</v>
      </c>
      <c r="AB12" s="2">
        <v>121045.66031726928</v>
      </c>
      <c r="AC12" s="2">
        <v>118096.55166131508</v>
      </c>
      <c r="AD12" s="2">
        <v>119725.26341031191</v>
      </c>
      <c r="AE12" s="2">
        <v>124066.42223623536</v>
      </c>
      <c r="AF12" s="2">
        <v>112377.39266142543</v>
      </c>
      <c r="AG12" s="2">
        <v>114680.29595730759</v>
      </c>
      <c r="AH12" s="2">
        <v>117468.89170672676</v>
      </c>
      <c r="AI12" s="2">
        <v>104348.52557332758</v>
      </c>
    </row>
    <row r="13" spans="1:35" x14ac:dyDescent="0.2">
      <c r="A13" s="1" t="s">
        <v>49</v>
      </c>
      <c r="B13" s="1" t="s">
        <v>50</v>
      </c>
      <c r="C13" s="1" t="s">
        <v>51</v>
      </c>
      <c r="D13" s="2">
        <v>14874.397156136902</v>
      </c>
      <c r="E13" s="2">
        <v>44818.633483338192</v>
      </c>
      <c r="F13" s="2">
        <v>93113.324474927911</v>
      </c>
      <c r="G13" s="2">
        <v>128903.12934442719</v>
      </c>
      <c r="H13" s="2">
        <v>159308.78348697285</v>
      </c>
      <c r="I13" s="2">
        <v>220530.1059083374</v>
      </c>
      <c r="J13" s="2">
        <v>289725.09959132585</v>
      </c>
      <c r="K13" s="2">
        <v>264099.04088629468</v>
      </c>
      <c r="L13" s="2">
        <v>943197.11782815179</v>
      </c>
      <c r="M13" s="2">
        <v>1166736.7106195297</v>
      </c>
      <c r="N13" s="2">
        <v>1610774.3121176565</v>
      </c>
      <c r="O13" s="2">
        <v>1735886.3492377182</v>
      </c>
      <c r="P13" s="2">
        <v>2844433.7631760892</v>
      </c>
      <c r="Q13" s="2">
        <v>3531952.2314890423</v>
      </c>
      <c r="R13" s="2">
        <v>4741127.5300375363</v>
      </c>
      <c r="S13" s="2">
        <v>3478056.8732484058</v>
      </c>
      <c r="T13" s="2">
        <v>2685120.7008371437</v>
      </c>
      <c r="U13" s="2">
        <v>3854683.141332713</v>
      </c>
      <c r="V13" s="2">
        <v>4214420.3196356269</v>
      </c>
      <c r="W13" s="2">
        <v>3496131.1309829718</v>
      </c>
      <c r="X13" s="2">
        <v>2404109.9619999998</v>
      </c>
      <c r="Y13" s="2">
        <v>3356741.445323417</v>
      </c>
      <c r="Z13" s="2">
        <v>4390987.0271031801</v>
      </c>
      <c r="AA13" s="2">
        <v>3340871.1906994698</v>
      </c>
      <c r="AB13" s="2">
        <v>3967837.441445407</v>
      </c>
      <c r="AC13" s="2">
        <v>4107274.2703365334</v>
      </c>
      <c r="AD13" s="2">
        <v>2373757.9681788604</v>
      </c>
      <c r="AE13" s="2">
        <v>3390958.9758313666</v>
      </c>
      <c r="AF13" s="2">
        <v>5178701.6161917755</v>
      </c>
      <c r="AG13" s="2">
        <v>3553974.4263500399</v>
      </c>
      <c r="AH13" s="2">
        <v>6998353.2890501488</v>
      </c>
      <c r="AI13" s="2">
        <v>7679585.2843031147</v>
      </c>
    </row>
    <row r="14" spans="1:35" x14ac:dyDescent="0.2">
      <c r="A14" s="1" t="s">
        <v>49</v>
      </c>
      <c r="B14" s="1" t="s">
        <v>52</v>
      </c>
      <c r="C14" s="1" t="s">
        <v>53</v>
      </c>
      <c r="D14" s="2">
        <v>42970.110947538</v>
      </c>
      <c r="E14" s="2">
        <v>66638.063119138198</v>
      </c>
      <c r="F14" s="2">
        <v>153457.03898227669</v>
      </c>
      <c r="G14" s="2">
        <v>173317.60557796937</v>
      </c>
      <c r="H14" s="2">
        <v>219025.52537708095</v>
      </c>
      <c r="I14" s="2">
        <v>353913.0041868026</v>
      </c>
      <c r="J14" s="2">
        <v>584500.24011136463</v>
      </c>
      <c r="K14" s="2">
        <v>741653.02167157864</v>
      </c>
      <c r="L14" s="2">
        <v>757142.34245768969</v>
      </c>
      <c r="M14" s="2">
        <v>527580.15912868734</v>
      </c>
      <c r="N14" s="2">
        <v>738748.72231619817</v>
      </c>
      <c r="O14" s="2">
        <v>742469.1427989715</v>
      </c>
      <c r="P14" s="2">
        <v>919249.38464814937</v>
      </c>
      <c r="Q14" s="2">
        <v>743921.8503525391</v>
      </c>
      <c r="R14" s="2">
        <v>716267.82705727743</v>
      </c>
      <c r="S14" s="2">
        <v>609640.38157738547</v>
      </c>
      <c r="T14" s="2">
        <v>642221.5306124643</v>
      </c>
      <c r="U14" s="2">
        <v>723126.95102274488</v>
      </c>
      <c r="V14" s="2">
        <v>701839.45958490367</v>
      </c>
      <c r="W14" s="2">
        <v>712206.38375934015</v>
      </c>
      <c r="X14" s="2">
        <v>717468.33099999989</v>
      </c>
      <c r="Y14" s="2">
        <v>604769.19204843743</v>
      </c>
      <c r="Z14" s="2">
        <v>555041.77209844929</v>
      </c>
      <c r="AA14" s="2">
        <v>581589.3584516691</v>
      </c>
      <c r="AB14" s="2">
        <v>708194.46048117511</v>
      </c>
      <c r="AC14" s="2">
        <v>736059.34856331756</v>
      </c>
      <c r="AD14" s="2">
        <v>755311.61624349048</v>
      </c>
      <c r="AE14" s="2">
        <v>744763.23668573657</v>
      </c>
      <c r="AF14" s="2">
        <v>660877.45030810346</v>
      </c>
      <c r="AG14" s="2">
        <v>721384.32012877287</v>
      </c>
      <c r="AH14" s="2">
        <v>841946.93548059778</v>
      </c>
      <c r="AI14" s="2">
        <v>888403.35693306697</v>
      </c>
    </row>
    <row r="15" spans="1:35" x14ac:dyDescent="0.2">
      <c r="A15" s="1" t="s">
        <v>49</v>
      </c>
      <c r="B15" s="1" t="s">
        <v>54</v>
      </c>
      <c r="C15" s="1" t="s">
        <v>55</v>
      </c>
      <c r="D15" s="2">
        <v>111237.95662559841</v>
      </c>
      <c r="E15" s="2">
        <v>232665.6871102266</v>
      </c>
      <c r="F15" s="2">
        <v>466432.43301948294</v>
      </c>
      <c r="G15" s="2">
        <v>481825.83648227376</v>
      </c>
      <c r="H15" s="2">
        <v>1153938.8814986746</v>
      </c>
      <c r="I15" s="2">
        <v>1027899.9475196548</v>
      </c>
      <c r="J15" s="2">
        <v>1803763.7497250768</v>
      </c>
      <c r="K15" s="2">
        <v>1680492.4845555117</v>
      </c>
      <c r="L15" s="2">
        <v>1001646.0220459802</v>
      </c>
      <c r="M15" s="2">
        <v>664349.6265265632</v>
      </c>
      <c r="N15" s="2">
        <v>987545.77195740002</v>
      </c>
      <c r="O15" s="2">
        <v>901190.06556940358</v>
      </c>
      <c r="P15" s="2">
        <v>1200644.0392381207</v>
      </c>
      <c r="Q15" s="2">
        <v>1185352.9429676973</v>
      </c>
      <c r="R15" s="2">
        <v>1126983.908255877</v>
      </c>
      <c r="S15" s="2">
        <v>987697.10604832647</v>
      </c>
      <c r="T15" s="2">
        <v>879811.50309479574</v>
      </c>
      <c r="U15" s="2">
        <v>977405.72020153422</v>
      </c>
      <c r="V15" s="2">
        <v>898389.66824146744</v>
      </c>
      <c r="W15" s="2">
        <v>925435.26312134578</v>
      </c>
      <c r="X15" s="2">
        <v>1058468.3949999998</v>
      </c>
      <c r="Y15" s="2">
        <v>972324.28101757471</v>
      </c>
      <c r="Z15" s="2">
        <v>711797.37808032357</v>
      </c>
      <c r="AA15" s="2">
        <v>733349.90233293059</v>
      </c>
      <c r="AB15" s="2">
        <v>805155.61687336362</v>
      </c>
      <c r="AC15" s="2">
        <v>900041.95099072915</v>
      </c>
      <c r="AD15" s="2">
        <v>875565.90651688981</v>
      </c>
      <c r="AE15" s="2">
        <v>635272.09489953797</v>
      </c>
      <c r="AF15" s="2">
        <v>599190.51875228318</v>
      </c>
      <c r="AG15" s="2">
        <v>636646.59124165401</v>
      </c>
      <c r="AH15" s="2">
        <v>796524.57526152907</v>
      </c>
      <c r="AI15" s="2">
        <v>907368.15632585168</v>
      </c>
    </row>
    <row r="16" spans="1:35" x14ac:dyDescent="0.2">
      <c r="A16" s="1" t="s">
        <v>49</v>
      </c>
      <c r="B16" s="1" t="s">
        <v>56</v>
      </c>
      <c r="C16" s="1" t="s">
        <v>57</v>
      </c>
      <c r="D16" s="2">
        <v>74039.11720828971</v>
      </c>
      <c r="E16" s="2">
        <v>136489.42376365158</v>
      </c>
      <c r="F16" s="2">
        <v>293969.96518868615</v>
      </c>
      <c r="G16" s="2">
        <v>292776.68375412328</v>
      </c>
      <c r="H16" s="2">
        <v>491719.57561023568</v>
      </c>
      <c r="I16" s="2">
        <v>1091866.4412195855</v>
      </c>
      <c r="J16" s="2">
        <v>1124693.275335545</v>
      </c>
      <c r="K16" s="2">
        <v>1887461.4315866155</v>
      </c>
      <c r="L16" s="2">
        <v>1119175.6571895797</v>
      </c>
      <c r="M16" s="2">
        <v>657208.62981092685</v>
      </c>
      <c r="N16" s="2">
        <v>946250.38296921481</v>
      </c>
      <c r="O16" s="2">
        <v>727244.71656642051</v>
      </c>
      <c r="P16" s="2">
        <v>1902839.8820396117</v>
      </c>
      <c r="Q16" s="2">
        <v>1766763.3734071588</v>
      </c>
      <c r="R16" s="2">
        <v>1583584.950235307</v>
      </c>
      <c r="S16" s="2">
        <v>1506827.0217515945</v>
      </c>
      <c r="T16" s="2">
        <v>1642300.3537337387</v>
      </c>
      <c r="U16" s="2">
        <v>2021121.1301377639</v>
      </c>
      <c r="V16" s="2">
        <v>1679580.1101721856</v>
      </c>
      <c r="W16" s="2">
        <v>1766250.48880586</v>
      </c>
      <c r="X16" s="2">
        <v>1862027.1370000001</v>
      </c>
      <c r="Y16" s="2">
        <v>1458667.2302831854</v>
      </c>
      <c r="Z16" s="2">
        <v>1190054.8436409531</v>
      </c>
      <c r="AA16" s="2">
        <v>1542523.9646857209</v>
      </c>
      <c r="AB16" s="2">
        <v>1358959.3982886821</v>
      </c>
      <c r="AC16" s="2">
        <v>1621070.7855142569</v>
      </c>
      <c r="AD16" s="2">
        <v>1556740.5717650228</v>
      </c>
      <c r="AE16" s="2">
        <v>1265407.1362125247</v>
      </c>
      <c r="AF16" s="2">
        <v>1219700.5338945186</v>
      </c>
      <c r="AG16" s="2">
        <v>1328361.9745598163</v>
      </c>
      <c r="AH16" s="2">
        <v>1741818.8052248098</v>
      </c>
      <c r="AI16" s="2">
        <v>1668923.6801371351</v>
      </c>
    </row>
    <row r="17" spans="1:35" x14ac:dyDescent="0.2">
      <c r="A17" s="1" t="s">
        <v>49</v>
      </c>
      <c r="B17" s="1" t="s">
        <v>58</v>
      </c>
      <c r="C17" s="1" t="s">
        <v>59</v>
      </c>
      <c r="D17" s="2">
        <v>92817.01645429949</v>
      </c>
      <c r="E17" s="2">
        <v>172901.59061917668</v>
      </c>
      <c r="F17" s="2">
        <v>245432.35632905894</v>
      </c>
      <c r="G17" s="2">
        <v>227382.26602313391</v>
      </c>
      <c r="H17" s="2">
        <v>585398.96646878845</v>
      </c>
      <c r="I17" s="2">
        <v>599629.13873385405</v>
      </c>
      <c r="J17" s="2">
        <v>895062.38007902552</v>
      </c>
      <c r="K17" s="2">
        <v>713479.71176329406</v>
      </c>
      <c r="L17" s="2">
        <v>306441.36018607172</v>
      </c>
      <c r="M17" s="2">
        <v>379815.15674230299</v>
      </c>
      <c r="N17" s="2">
        <v>366117.03428744728</v>
      </c>
      <c r="O17" s="2">
        <v>381150.66224081774</v>
      </c>
      <c r="P17" s="2">
        <v>680894.02938732726</v>
      </c>
      <c r="Q17" s="2">
        <v>673291.87260253599</v>
      </c>
      <c r="R17" s="2">
        <v>689323.11688706896</v>
      </c>
      <c r="S17" s="2">
        <v>584261.54746998998</v>
      </c>
      <c r="T17" s="2">
        <v>512781.15300362324</v>
      </c>
      <c r="U17" s="2">
        <v>538155.96056174277</v>
      </c>
      <c r="V17" s="2">
        <v>496039.83264344773</v>
      </c>
      <c r="W17" s="2">
        <v>526028.6394071402</v>
      </c>
      <c r="X17" s="2">
        <v>572480.65299999993</v>
      </c>
      <c r="Y17" s="2">
        <v>510069.6645723253</v>
      </c>
      <c r="Z17" s="2">
        <v>528851.58508018183</v>
      </c>
      <c r="AA17" s="2">
        <v>574649.85700774065</v>
      </c>
      <c r="AB17" s="2">
        <v>576220.07811109512</v>
      </c>
      <c r="AC17" s="2">
        <v>598740.59819680359</v>
      </c>
      <c r="AD17" s="2">
        <v>624918.43296703394</v>
      </c>
      <c r="AE17" s="2">
        <v>463667.58070637798</v>
      </c>
      <c r="AF17" s="2">
        <v>413961.65575916448</v>
      </c>
      <c r="AG17" s="2">
        <v>419092.55506526615</v>
      </c>
      <c r="AH17" s="2">
        <v>485082.66948779084</v>
      </c>
      <c r="AI17" s="2">
        <v>491597.59965924686</v>
      </c>
    </row>
    <row r="18" spans="1:35" x14ac:dyDescent="0.2">
      <c r="A18" s="1" t="s">
        <v>49</v>
      </c>
      <c r="B18" s="1" t="s">
        <v>60</v>
      </c>
      <c r="C18" s="1" t="s">
        <v>61</v>
      </c>
      <c r="D18" s="2">
        <v>188882.76328192416</v>
      </c>
      <c r="E18" s="2">
        <v>411053.66250291513</v>
      </c>
      <c r="F18" s="2">
        <v>654628.04528133175</v>
      </c>
      <c r="G18" s="2">
        <v>888976.60115937772</v>
      </c>
      <c r="H18" s="2">
        <v>1487032.4566690782</v>
      </c>
      <c r="I18" s="2">
        <v>1739438.6854654176</v>
      </c>
      <c r="J18" s="2">
        <v>2840432.0468773521</v>
      </c>
      <c r="K18" s="2">
        <v>4721778.2222019751</v>
      </c>
      <c r="L18" s="2">
        <v>2320588.6341496031</v>
      </c>
      <c r="M18" s="2">
        <v>1471919.5977265378</v>
      </c>
      <c r="N18" s="2">
        <v>1627340.0204671954</v>
      </c>
      <c r="O18" s="2">
        <v>1722674.270140446</v>
      </c>
      <c r="P18" s="2">
        <v>2005197.1553795321</v>
      </c>
      <c r="Q18" s="2">
        <v>1807318.0503633618</v>
      </c>
      <c r="R18" s="2">
        <v>1748506.7064339579</v>
      </c>
      <c r="S18" s="2">
        <v>1556824.0107852912</v>
      </c>
      <c r="T18" s="2">
        <v>1608837.1454959013</v>
      </c>
      <c r="U18" s="2">
        <v>1816791.6627476865</v>
      </c>
      <c r="V18" s="2">
        <v>1657107.4313079449</v>
      </c>
      <c r="W18" s="2">
        <v>1735371.334475396</v>
      </c>
      <c r="X18" s="2">
        <v>1792176.3309999993</v>
      </c>
      <c r="Y18" s="2">
        <v>1841361.7903847306</v>
      </c>
      <c r="Z18" s="2">
        <v>1433072.7140575787</v>
      </c>
      <c r="AA18" s="2">
        <v>1565025.4757969228</v>
      </c>
      <c r="AB18" s="2">
        <v>1805166.6826214243</v>
      </c>
      <c r="AC18" s="2">
        <v>1901159.0844947612</v>
      </c>
      <c r="AD18" s="2">
        <v>1914166.9247510207</v>
      </c>
      <c r="AE18" s="2">
        <v>1407085.7891013029</v>
      </c>
      <c r="AF18" s="2">
        <v>1403529.2179097668</v>
      </c>
      <c r="AG18" s="2">
        <v>1476320.6545300551</v>
      </c>
      <c r="AH18" s="2">
        <v>1976083.2269769087</v>
      </c>
      <c r="AI18" s="2">
        <v>2197495.3546759076</v>
      </c>
    </row>
    <row r="19" spans="1:35" x14ac:dyDescent="0.2">
      <c r="A19" s="1" t="s">
        <v>49</v>
      </c>
      <c r="B19" s="1" t="s">
        <v>62</v>
      </c>
      <c r="C19" s="1" t="s">
        <v>63</v>
      </c>
      <c r="D19" s="2">
        <v>251381.27610483542</v>
      </c>
      <c r="E19" s="2">
        <v>525920.28389288066</v>
      </c>
      <c r="F19" s="2">
        <v>313974.18082700652</v>
      </c>
      <c r="G19" s="2">
        <v>1306879.1932827707</v>
      </c>
      <c r="H19" s="2">
        <v>1605717.6355757685</v>
      </c>
      <c r="I19" s="2">
        <v>3240217.0320504783</v>
      </c>
      <c r="J19" s="2">
        <v>4620056.7647800269</v>
      </c>
      <c r="K19" s="2">
        <v>7651627.7696571816</v>
      </c>
      <c r="L19" s="2">
        <v>1930658.1137352744</v>
      </c>
      <c r="M19" s="2">
        <v>1557900.4139197273</v>
      </c>
      <c r="N19" s="2">
        <v>1791561.3041621272</v>
      </c>
      <c r="O19" s="2">
        <v>1990709.5742233596</v>
      </c>
      <c r="P19" s="2">
        <v>3008097.4554445473</v>
      </c>
      <c r="Q19" s="2">
        <v>2965625.3994399528</v>
      </c>
      <c r="R19" s="2">
        <v>2832094.6947158831</v>
      </c>
      <c r="S19" s="2">
        <v>2399283.4024591674</v>
      </c>
      <c r="T19" s="2">
        <v>2750123.6396872294</v>
      </c>
      <c r="U19" s="2">
        <v>2518931.9491217081</v>
      </c>
      <c r="V19" s="2">
        <v>2277468.3639143961</v>
      </c>
      <c r="W19" s="2">
        <v>2337733.7067280705</v>
      </c>
      <c r="X19" s="2">
        <v>2302613.3080000007</v>
      </c>
      <c r="Y19" s="2">
        <v>2229548.3125568158</v>
      </c>
      <c r="Z19" s="2">
        <v>2119837.4293631166</v>
      </c>
      <c r="AA19" s="2">
        <v>2085550.134101633</v>
      </c>
      <c r="AB19" s="2">
        <v>2200702.3646219624</v>
      </c>
      <c r="AC19" s="2">
        <v>2380080.7751817266</v>
      </c>
      <c r="AD19" s="2">
        <v>2388325.1718266285</v>
      </c>
      <c r="AE19" s="2">
        <v>1777580.8635242986</v>
      </c>
      <c r="AF19" s="2">
        <v>1706679.3858953468</v>
      </c>
      <c r="AG19" s="2">
        <v>1690251.1967762175</v>
      </c>
      <c r="AH19" s="2">
        <v>1939808.2421794224</v>
      </c>
      <c r="AI19" s="2">
        <v>2303244.369774336</v>
      </c>
    </row>
    <row r="20" spans="1:35" x14ac:dyDescent="0.2">
      <c r="A20" s="1" t="s">
        <v>64</v>
      </c>
      <c r="B20" s="1" t="s">
        <v>65</v>
      </c>
      <c r="C20" s="1" t="s">
        <v>66</v>
      </c>
      <c r="D20" s="2">
        <v>22797.403592684503</v>
      </c>
      <c r="E20" s="2">
        <v>255215.12370259661</v>
      </c>
      <c r="F20" s="2">
        <v>180301.03378774563</v>
      </c>
      <c r="G20" s="2">
        <v>261391.00600427494</v>
      </c>
      <c r="H20" s="2">
        <v>421347.31616074627</v>
      </c>
      <c r="I20" s="2">
        <v>574650.8173884945</v>
      </c>
      <c r="J20" s="2">
        <v>593468.16838887834</v>
      </c>
      <c r="K20" s="2">
        <v>1006421.5280607081</v>
      </c>
      <c r="L20" s="2">
        <v>852806.83424432692</v>
      </c>
      <c r="M20" s="2">
        <v>763933.23545472324</v>
      </c>
      <c r="N20" s="2">
        <v>890848.41281165858</v>
      </c>
      <c r="O20" s="2">
        <v>780613.30065271759</v>
      </c>
      <c r="P20" s="2">
        <v>743416.15833656164</v>
      </c>
      <c r="Q20" s="2">
        <v>963674.10812084319</v>
      </c>
      <c r="R20" s="2">
        <v>936245.50079097843</v>
      </c>
      <c r="S20" s="2">
        <v>860622.62433701311</v>
      </c>
      <c r="T20" s="2">
        <v>986720.2350085238</v>
      </c>
      <c r="U20" s="2">
        <v>887412.20749627904</v>
      </c>
      <c r="V20" s="2">
        <v>1065295.540483122</v>
      </c>
      <c r="W20" s="2">
        <v>848338.22130005783</v>
      </c>
      <c r="X20" s="2">
        <v>799598.22399999981</v>
      </c>
      <c r="Y20" s="2">
        <v>1013334.2997872623</v>
      </c>
      <c r="Z20" s="2">
        <v>772949.95605462638</v>
      </c>
      <c r="AA20" s="2">
        <v>890787.53246631473</v>
      </c>
      <c r="AB20" s="2">
        <v>886200.5208400269</v>
      </c>
      <c r="AC20" s="2">
        <v>727801.39277422824</v>
      </c>
      <c r="AD20" s="2">
        <v>829740.82672806724</v>
      </c>
      <c r="AE20" s="2">
        <v>1013441.8478314694</v>
      </c>
      <c r="AF20" s="2">
        <v>1028144.2205225218</v>
      </c>
      <c r="AG20" s="2">
        <v>1111715.3570060544</v>
      </c>
      <c r="AH20" s="2">
        <v>1283248.4318706496</v>
      </c>
      <c r="AI20" s="2">
        <v>1258845.2803137656</v>
      </c>
    </row>
    <row r="21" spans="1:35" x14ac:dyDescent="0.2">
      <c r="A21" s="1" t="s">
        <v>64</v>
      </c>
      <c r="B21" s="1" t="s">
        <v>67</v>
      </c>
      <c r="C21" s="1" t="s">
        <v>68</v>
      </c>
      <c r="D21" s="2">
        <v>24258.9946790168</v>
      </c>
      <c r="E21" s="2">
        <v>116668.4691684446</v>
      </c>
      <c r="F21" s="2">
        <v>159296.3345502968</v>
      </c>
      <c r="G21" s="2">
        <v>284626.89337554359</v>
      </c>
      <c r="H21" s="2">
        <v>312146.456408353</v>
      </c>
      <c r="I21" s="2">
        <v>517330.9099031873</v>
      </c>
      <c r="J21" s="2">
        <v>725914.89452460816</v>
      </c>
      <c r="K21" s="2">
        <v>927671.65093866969</v>
      </c>
      <c r="L21" s="2">
        <v>603635.08589105995</v>
      </c>
      <c r="M21" s="2">
        <v>631151.69618844544</v>
      </c>
      <c r="N21" s="2">
        <v>643981.67793408385</v>
      </c>
      <c r="O21" s="2">
        <v>561897.92582443112</v>
      </c>
      <c r="P21" s="2">
        <v>699744.81358408823</v>
      </c>
      <c r="Q21" s="2">
        <v>814367.43169222085</v>
      </c>
      <c r="R21" s="2">
        <v>836067.84522553172</v>
      </c>
      <c r="S21" s="2">
        <v>756329.50647244812</v>
      </c>
      <c r="T21" s="2">
        <v>934510.12282955938</v>
      </c>
      <c r="U21" s="2">
        <v>759371.9357558334</v>
      </c>
      <c r="V21" s="2">
        <v>984583.78467286285</v>
      </c>
      <c r="W21" s="2">
        <v>829107.05017679918</v>
      </c>
      <c r="X21" s="2">
        <v>826064.27100000007</v>
      </c>
      <c r="Y21" s="2">
        <v>1064940.4597778532</v>
      </c>
      <c r="Z21" s="2">
        <v>728222.07565687981</v>
      </c>
      <c r="AA21" s="2">
        <v>706813.70775627717</v>
      </c>
      <c r="AB21" s="2">
        <v>844699.16929271864</v>
      </c>
      <c r="AC21" s="2">
        <v>741355.50275302585</v>
      </c>
      <c r="AD21" s="2">
        <v>730404.21999982698</v>
      </c>
      <c r="AE21" s="2">
        <v>1084423.7512247174</v>
      </c>
      <c r="AF21" s="2">
        <v>918640.3863071081</v>
      </c>
      <c r="AG21" s="2">
        <v>843169.45106013864</v>
      </c>
      <c r="AH21" s="2">
        <v>961218.49445628317</v>
      </c>
      <c r="AI21" s="2">
        <v>885128.14641405828</v>
      </c>
    </row>
    <row r="22" spans="1:35" x14ac:dyDescent="0.2">
      <c r="A22" s="1" t="s">
        <v>64</v>
      </c>
      <c r="B22" s="1" t="s">
        <v>69</v>
      </c>
      <c r="C22" s="1" t="s">
        <v>70</v>
      </c>
      <c r="D22" s="2">
        <v>17204.2940841048</v>
      </c>
      <c r="E22" s="2">
        <v>52905.948854666902</v>
      </c>
      <c r="F22" s="2">
        <v>36319.862146018801</v>
      </c>
      <c r="G22" s="2">
        <v>93924.747340455302</v>
      </c>
      <c r="H22" s="2">
        <v>187870.859830901</v>
      </c>
      <c r="I22" s="2">
        <v>215407.92445466472</v>
      </c>
      <c r="J22" s="2">
        <v>346015.79665951239</v>
      </c>
      <c r="K22" s="2">
        <v>419484.09878740215</v>
      </c>
      <c r="L22" s="2">
        <v>306482.00313422288</v>
      </c>
      <c r="M22" s="2">
        <v>206379.19355865399</v>
      </c>
      <c r="N22" s="2">
        <v>215428.10620316109</v>
      </c>
      <c r="O22" s="2">
        <v>209274.20871576399</v>
      </c>
      <c r="P22" s="2">
        <v>238730.29098908571</v>
      </c>
      <c r="Q22" s="2">
        <v>265112.19118376361</v>
      </c>
      <c r="R22" s="2">
        <v>273100.02193146449</v>
      </c>
      <c r="S22" s="2">
        <v>252736.92984869191</v>
      </c>
      <c r="T22" s="2">
        <v>267298.95767659228</v>
      </c>
      <c r="U22" s="2">
        <v>265863.90351883398</v>
      </c>
      <c r="V22" s="2">
        <v>275628.89505711681</v>
      </c>
      <c r="W22" s="2">
        <v>253648.5881355023</v>
      </c>
      <c r="X22" s="2">
        <v>258015.80899999998</v>
      </c>
      <c r="Y22" s="2">
        <v>277685.46639931289</v>
      </c>
      <c r="Z22" s="2">
        <v>230449.63840042707</v>
      </c>
      <c r="AA22" s="2">
        <v>270009.78707304265</v>
      </c>
      <c r="AB22" s="2">
        <v>291044.70838893193</v>
      </c>
      <c r="AC22" s="2">
        <v>274001.39016993967</v>
      </c>
      <c r="AD22" s="2">
        <v>262399.3883770681</v>
      </c>
      <c r="AE22" s="2">
        <v>299126.43870494637</v>
      </c>
      <c r="AF22" s="2">
        <v>269024.68502595549</v>
      </c>
      <c r="AG22" s="2">
        <v>263593.59155593161</v>
      </c>
      <c r="AH22" s="2">
        <v>284350.70858798659</v>
      </c>
      <c r="AI22" s="2">
        <v>277262.52275993233</v>
      </c>
    </row>
    <row r="23" spans="1:35" x14ac:dyDescent="0.2">
      <c r="A23" s="1" t="s">
        <v>64</v>
      </c>
      <c r="B23" s="1" t="s">
        <v>71</v>
      </c>
      <c r="C23" s="1" t="s">
        <v>72</v>
      </c>
      <c r="D23" s="2">
        <v>14897.794244802299</v>
      </c>
      <c r="E23" s="2">
        <v>153903.50427615753</v>
      </c>
      <c r="F23" s="2">
        <v>284621.61665493471</v>
      </c>
      <c r="G23" s="2">
        <v>379200.55075248634</v>
      </c>
      <c r="H23" s="2">
        <v>296021.61228563555</v>
      </c>
      <c r="I23" s="2">
        <v>696060.19693560386</v>
      </c>
      <c r="J23" s="2">
        <v>1099296.2281211149</v>
      </c>
      <c r="K23" s="2">
        <v>1177003.8629840121</v>
      </c>
      <c r="L23" s="2">
        <v>811694.81462222291</v>
      </c>
      <c r="M23" s="2">
        <v>570320.72109675023</v>
      </c>
      <c r="N23" s="2">
        <v>650258.36247602385</v>
      </c>
      <c r="O23" s="2">
        <v>535432.640235106</v>
      </c>
      <c r="P23" s="2">
        <v>722077.39676658646</v>
      </c>
      <c r="Q23" s="2">
        <v>773349.12866701232</v>
      </c>
      <c r="R23" s="2">
        <v>588031.37365614192</v>
      </c>
      <c r="S23" s="2">
        <v>594265.26832606422</v>
      </c>
      <c r="T23" s="2">
        <v>696884.55147186026</v>
      </c>
      <c r="U23" s="2">
        <v>546523.17809825402</v>
      </c>
      <c r="V23" s="2">
        <v>819086.23814620182</v>
      </c>
      <c r="W23" s="2">
        <v>525349.15576695569</v>
      </c>
      <c r="X23" s="2">
        <v>426785.29800000001</v>
      </c>
      <c r="Y23" s="2">
        <v>822452.61201355851</v>
      </c>
      <c r="Z23" s="2">
        <v>372219.68243197497</v>
      </c>
      <c r="AA23" s="2">
        <v>412263.41099753376</v>
      </c>
      <c r="AB23" s="2">
        <v>509898.00440683338</v>
      </c>
      <c r="AC23" s="2">
        <v>421338.91413735744</v>
      </c>
      <c r="AD23" s="2">
        <v>502004.03564451158</v>
      </c>
      <c r="AE23" s="2">
        <v>554533.15524213784</v>
      </c>
      <c r="AF23" s="2">
        <v>508377.40492027067</v>
      </c>
      <c r="AG23" s="2">
        <v>549860.84942607</v>
      </c>
      <c r="AH23" s="2">
        <v>720815.71624267311</v>
      </c>
      <c r="AI23" s="2">
        <v>769574.3510073123</v>
      </c>
    </row>
    <row r="24" spans="1:35" x14ac:dyDescent="0.2">
      <c r="A24" s="1" t="s">
        <v>64</v>
      </c>
      <c r="B24" s="1" t="s">
        <v>73</v>
      </c>
      <c r="C24" s="1" t="s">
        <v>74</v>
      </c>
      <c r="D24" s="2">
        <v>8375.3977769740995</v>
      </c>
      <c r="E24" s="2">
        <v>103777.35569622299</v>
      </c>
      <c r="F24" s="2">
        <v>106252.4455557887</v>
      </c>
      <c r="G24" s="2">
        <v>162346.81460238469</v>
      </c>
      <c r="H24" s="2">
        <v>144173.88182624913</v>
      </c>
      <c r="I24" s="2">
        <v>247965.6372355987</v>
      </c>
      <c r="J24" s="2">
        <v>388709.70335893577</v>
      </c>
      <c r="K24" s="2">
        <v>635661.3635910342</v>
      </c>
      <c r="L24" s="2">
        <v>474494.74672393582</v>
      </c>
      <c r="M24" s="2">
        <v>447796.03757705126</v>
      </c>
      <c r="N24" s="2">
        <v>491058.8666175924</v>
      </c>
      <c r="O24" s="2">
        <v>447792.30835858395</v>
      </c>
      <c r="P24" s="2">
        <v>534228.23465823673</v>
      </c>
      <c r="Q24" s="2">
        <v>590498.79352059553</v>
      </c>
      <c r="R24" s="2">
        <v>592729.8945121452</v>
      </c>
      <c r="S24" s="2">
        <v>558991.56922356074</v>
      </c>
      <c r="T24" s="2">
        <v>664403.06254710339</v>
      </c>
      <c r="U24" s="2">
        <v>631459.82191972388</v>
      </c>
      <c r="V24" s="2">
        <v>732979.71098464529</v>
      </c>
      <c r="W24" s="2">
        <v>639978.20145360183</v>
      </c>
      <c r="X24" s="2">
        <v>625837.5959999999</v>
      </c>
      <c r="Y24" s="2">
        <v>721253.85771424358</v>
      </c>
      <c r="Z24" s="2">
        <v>716466.83361196797</v>
      </c>
      <c r="AA24" s="2">
        <v>1027951.2130386693</v>
      </c>
      <c r="AB24" s="2">
        <v>847082.57160261984</v>
      </c>
      <c r="AC24" s="2">
        <v>709376.98423088319</v>
      </c>
      <c r="AD24" s="2">
        <v>676467.42606182396</v>
      </c>
      <c r="AE24" s="2">
        <v>745403.30316001084</v>
      </c>
      <c r="AF24" s="2">
        <v>634438.01882675535</v>
      </c>
      <c r="AG24" s="2">
        <v>632886.56311619747</v>
      </c>
      <c r="AH24" s="2">
        <v>782143.34329031722</v>
      </c>
      <c r="AI24" s="2">
        <v>759363.91775485582</v>
      </c>
    </row>
    <row r="25" spans="1:35" x14ac:dyDescent="0.2">
      <c r="A25" s="1" t="s">
        <v>64</v>
      </c>
      <c r="B25" s="1" t="s">
        <v>75</v>
      </c>
      <c r="C25" s="1" t="s">
        <v>76</v>
      </c>
      <c r="D25" s="2">
        <v>17289.857436570001</v>
      </c>
      <c r="E25" s="2">
        <v>58417.816712309803</v>
      </c>
      <c r="F25" s="2">
        <v>156244.39908772169</v>
      </c>
      <c r="G25" s="2">
        <v>173305.0260380354</v>
      </c>
      <c r="H25" s="2">
        <v>154413.53032878521</v>
      </c>
      <c r="I25" s="2">
        <v>286011.32892152935</v>
      </c>
      <c r="J25" s="2">
        <v>340351.65794347448</v>
      </c>
      <c r="K25" s="2">
        <v>458750.91320479062</v>
      </c>
      <c r="L25" s="2">
        <v>289391.66515984811</v>
      </c>
      <c r="M25" s="2">
        <v>193420.26102696129</v>
      </c>
      <c r="N25" s="2">
        <v>221507.70849862642</v>
      </c>
      <c r="O25" s="2">
        <v>192367.59131342225</v>
      </c>
      <c r="P25" s="2">
        <v>260988.04128528913</v>
      </c>
      <c r="Q25" s="2">
        <v>326990.90488981671</v>
      </c>
      <c r="R25" s="2">
        <v>265262.92825879162</v>
      </c>
      <c r="S25" s="2">
        <v>226485.15162658712</v>
      </c>
      <c r="T25" s="2">
        <v>262970.28935597918</v>
      </c>
      <c r="U25" s="2">
        <v>220792.9593111283</v>
      </c>
      <c r="V25" s="2">
        <v>253147.8306422215</v>
      </c>
      <c r="W25" s="2">
        <v>222050.5209336355</v>
      </c>
      <c r="X25" s="2">
        <v>205739.55000000002</v>
      </c>
      <c r="Y25" s="2">
        <v>262540.07107617322</v>
      </c>
      <c r="Z25" s="2">
        <v>206397.5997486698</v>
      </c>
      <c r="AA25" s="2">
        <v>192942.37461017611</v>
      </c>
      <c r="AB25" s="2">
        <v>312794.78164945351</v>
      </c>
      <c r="AC25" s="2">
        <v>192237.28570182913</v>
      </c>
      <c r="AD25" s="2">
        <v>238657.91653309399</v>
      </c>
      <c r="AE25" s="2">
        <v>253522.00837202446</v>
      </c>
      <c r="AF25" s="2">
        <v>269057.47884559608</v>
      </c>
      <c r="AG25" s="2">
        <v>245150.79968653759</v>
      </c>
      <c r="AH25" s="2">
        <v>344403.38126742095</v>
      </c>
      <c r="AI25" s="2">
        <v>386478.68609037087</v>
      </c>
    </row>
    <row r="26" spans="1:35" x14ac:dyDescent="0.2">
      <c r="A26" s="1" t="s">
        <v>64</v>
      </c>
      <c r="B26" s="1" t="s">
        <v>77</v>
      </c>
      <c r="C26" s="1" t="s">
        <v>78</v>
      </c>
      <c r="D26" s="2">
        <v>44632.367155154796</v>
      </c>
      <c r="E26" s="2">
        <v>93808.532133246714</v>
      </c>
      <c r="F26" s="2">
        <v>239803.25541700568</v>
      </c>
      <c r="G26" s="2">
        <v>333690.35421618889</v>
      </c>
      <c r="H26" s="2">
        <v>255878.3225817201</v>
      </c>
      <c r="I26" s="2">
        <v>407967.64057400986</v>
      </c>
      <c r="J26" s="2">
        <v>583651.05910453782</v>
      </c>
      <c r="K26" s="2">
        <v>602906.53091187205</v>
      </c>
      <c r="L26" s="2">
        <v>453507.00636338198</v>
      </c>
      <c r="M26" s="2">
        <v>374550.1408673228</v>
      </c>
      <c r="N26" s="2">
        <v>352380.85793902923</v>
      </c>
      <c r="O26" s="2">
        <v>254516.78970450276</v>
      </c>
      <c r="P26" s="2">
        <v>381990.30506010423</v>
      </c>
      <c r="Q26" s="2">
        <v>507638.33892325708</v>
      </c>
      <c r="R26" s="2">
        <v>343194.96782376705</v>
      </c>
      <c r="S26" s="2">
        <v>318568.93617138983</v>
      </c>
      <c r="T26" s="2">
        <v>503939.64253271586</v>
      </c>
      <c r="U26" s="2">
        <v>396779.65123644861</v>
      </c>
      <c r="V26" s="2">
        <v>555687.6669735735</v>
      </c>
      <c r="W26" s="2">
        <v>508702.42730604293</v>
      </c>
      <c r="X26" s="2">
        <v>353870.58399999997</v>
      </c>
      <c r="Y26" s="2">
        <v>543553.05579544231</v>
      </c>
      <c r="Z26" s="2">
        <v>343275.3859183233</v>
      </c>
      <c r="AA26" s="2">
        <v>381301.95083547849</v>
      </c>
      <c r="AB26" s="2">
        <v>559909.53260687983</v>
      </c>
      <c r="AC26" s="2">
        <v>471551.17591581959</v>
      </c>
      <c r="AD26" s="2">
        <v>389239.42496892816</v>
      </c>
      <c r="AE26" s="2">
        <v>631362.5492932871</v>
      </c>
      <c r="AF26" s="2">
        <v>525591.8178159208</v>
      </c>
      <c r="AG26" s="2">
        <v>489025.59461023717</v>
      </c>
      <c r="AH26" s="2">
        <v>641832.9263875708</v>
      </c>
      <c r="AI26" s="2">
        <v>595720.72384520737</v>
      </c>
    </row>
    <row r="27" spans="1:35" x14ac:dyDescent="0.2">
      <c r="A27" s="1" t="s">
        <v>79</v>
      </c>
      <c r="B27" s="1" t="s">
        <v>80</v>
      </c>
      <c r="C27" s="1" t="s">
        <v>81</v>
      </c>
      <c r="H27" s="2">
        <v>32215.4905349525</v>
      </c>
      <c r="I27" s="2">
        <v>63683.651367986298</v>
      </c>
      <c r="J27" s="2">
        <v>133094.290383691</v>
      </c>
      <c r="K27" s="2">
        <v>144600.668804963</v>
      </c>
      <c r="L27" s="2">
        <v>381755.33549506898</v>
      </c>
      <c r="M27" s="2">
        <v>248239.16360748399</v>
      </c>
      <c r="N27" s="2">
        <v>308157.75137502298</v>
      </c>
      <c r="O27" s="2">
        <v>322243.87406327802</v>
      </c>
      <c r="P27" s="2">
        <v>314249.646624393</v>
      </c>
      <c r="Q27" s="2">
        <v>337587.06883115298</v>
      </c>
      <c r="R27" s="2">
        <v>321314.12770933902</v>
      </c>
      <c r="S27" s="2">
        <v>335250.479419749</v>
      </c>
      <c r="T27" s="2">
        <v>255435.01175319101</v>
      </c>
      <c r="U27" s="2">
        <v>331636.93669627799</v>
      </c>
      <c r="V27" s="2">
        <v>367743.01594140503</v>
      </c>
      <c r="W27" s="2">
        <v>395636.68677589402</v>
      </c>
      <c r="X27" s="2">
        <v>327804.57500000001</v>
      </c>
      <c r="Y27" s="2">
        <v>569079.68740467005</v>
      </c>
      <c r="Z27" s="2">
        <v>421956.76826684701</v>
      </c>
      <c r="AA27" s="2">
        <v>487072.29219688399</v>
      </c>
      <c r="AB27" s="2">
        <v>568063.67523274606</v>
      </c>
      <c r="AC27" s="2">
        <v>429781.843139167</v>
      </c>
      <c r="AD27" s="2">
        <v>520673.71249699401</v>
      </c>
      <c r="AE27" s="2">
        <v>506860.44127341575</v>
      </c>
      <c r="AF27" s="2">
        <v>598891.86075198452</v>
      </c>
      <c r="AG27" s="2">
        <v>557595.53967936256</v>
      </c>
      <c r="AH27" s="2">
        <v>856993.61341965408</v>
      </c>
      <c r="AI27" s="2">
        <v>1083544.9463356</v>
      </c>
    </row>
    <row r="28" spans="1:35" x14ac:dyDescent="0.2">
      <c r="A28" s="1" t="s">
        <v>82</v>
      </c>
      <c r="B28" s="1" t="s">
        <v>83</v>
      </c>
      <c r="C28" s="1" t="s">
        <v>84</v>
      </c>
      <c r="D28" s="2">
        <v>16453.159792203402</v>
      </c>
      <c r="E28" s="2">
        <v>74270.066030347894</v>
      </c>
      <c r="F28" s="2">
        <v>188055.05294826609</v>
      </c>
      <c r="G28" s="2">
        <v>266025.40522850386</v>
      </c>
      <c r="H28" s="2">
        <v>476125.41628015338</v>
      </c>
      <c r="I28" s="2">
        <v>622254.82749102265</v>
      </c>
      <c r="J28" s="2">
        <v>1149421.4372344888</v>
      </c>
      <c r="K28" s="2">
        <v>1361935.789361483</v>
      </c>
      <c r="L28" s="2">
        <v>1377011.9858192636</v>
      </c>
      <c r="M28" s="2">
        <v>653733.3271645857</v>
      </c>
      <c r="N28" s="2">
        <v>998917.53925558471</v>
      </c>
      <c r="O28" s="2">
        <v>653924.88430924143</v>
      </c>
      <c r="P28" s="2">
        <v>221753.45213176549</v>
      </c>
      <c r="Q28" s="2">
        <v>250408.99812038682</v>
      </c>
      <c r="R28" s="2">
        <v>301954.45715074515</v>
      </c>
      <c r="S28" s="2">
        <v>351370.15858982195</v>
      </c>
      <c r="T28" s="2">
        <v>427900.78019087826</v>
      </c>
      <c r="U28" s="2">
        <v>493027.5093911466</v>
      </c>
      <c r="V28" s="2">
        <v>497213.10114617588</v>
      </c>
      <c r="W28" s="2">
        <v>441327.42216419656</v>
      </c>
      <c r="X28" s="2">
        <v>406590.03700000001</v>
      </c>
      <c r="Y28" s="2">
        <v>616044.75125744904</v>
      </c>
      <c r="Z28" s="2">
        <v>551281.1657811664</v>
      </c>
      <c r="AA28" s="2">
        <v>480747.81180478673</v>
      </c>
      <c r="AB28" s="2">
        <v>549821.65103419079</v>
      </c>
      <c r="AC28" s="2">
        <v>502968.38596073876</v>
      </c>
      <c r="AD28" s="2">
        <v>408748.17566968873</v>
      </c>
      <c r="AE28" s="2">
        <v>474392.67161900183</v>
      </c>
      <c r="AF28" s="2">
        <v>444103.86084029463</v>
      </c>
      <c r="AG28" s="2">
        <v>383857.74278980622</v>
      </c>
      <c r="AH28" s="2">
        <v>474814.43186501693</v>
      </c>
      <c r="AI28" s="2">
        <v>670135.12731111306</v>
      </c>
    </row>
    <row r="29" spans="1:35" x14ac:dyDescent="0.2">
      <c r="A29" s="1" t="s">
        <v>82</v>
      </c>
      <c r="B29" s="1" t="s">
        <v>85</v>
      </c>
      <c r="C29" s="1" t="s">
        <v>86</v>
      </c>
      <c r="D29" s="2">
        <v>31241.065215256502</v>
      </c>
      <c r="E29" s="2">
        <v>71437.184625918802</v>
      </c>
      <c r="F29" s="2">
        <v>129262.4827732789</v>
      </c>
      <c r="G29" s="2">
        <v>191953.3441165204</v>
      </c>
      <c r="H29" s="2">
        <v>302531.68279755861</v>
      </c>
      <c r="I29" s="2">
        <v>563779.24074892933</v>
      </c>
      <c r="J29" s="2">
        <v>708154.13881588192</v>
      </c>
      <c r="K29" s="2">
        <v>1716464.0877646708</v>
      </c>
      <c r="L29" s="2">
        <v>1735758.5658229447</v>
      </c>
      <c r="M29" s="2">
        <v>1910007.1722722112</v>
      </c>
      <c r="N29" s="2">
        <v>2671103.2803081437</v>
      </c>
      <c r="O29" s="2">
        <v>1567766.5454157139</v>
      </c>
      <c r="P29" s="2">
        <v>572860.9444517853</v>
      </c>
      <c r="Q29" s="2">
        <v>577332.29937416059</v>
      </c>
      <c r="R29" s="2">
        <v>698436.25858263636</v>
      </c>
      <c r="S29" s="2">
        <v>763648.75235565542</v>
      </c>
      <c r="T29" s="2">
        <v>823385.66768933297</v>
      </c>
      <c r="U29" s="2">
        <v>771653.41998064239</v>
      </c>
      <c r="V29" s="2">
        <v>790407.92251893808</v>
      </c>
      <c r="W29" s="2">
        <v>683606.66531391651</v>
      </c>
      <c r="X29" s="2">
        <v>770089.77</v>
      </c>
      <c r="Y29" s="2">
        <v>884735.30108665104</v>
      </c>
      <c r="Z29" s="2">
        <v>748281.51410066767</v>
      </c>
      <c r="AA29" s="2">
        <v>675270.02923506929</v>
      </c>
      <c r="AB29" s="2">
        <v>707406.83183284092</v>
      </c>
      <c r="AC29" s="2">
        <v>683977.91108046228</v>
      </c>
      <c r="AD29" s="2">
        <v>617056.82855825266</v>
      </c>
      <c r="AE29" s="2">
        <v>584371.51223884942</v>
      </c>
      <c r="AF29" s="2">
        <v>592165.61410211935</v>
      </c>
      <c r="AG29" s="2">
        <v>547788.6761256092</v>
      </c>
      <c r="AH29" s="2">
        <v>644444.57753337757</v>
      </c>
      <c r="AI29" s="2">
        <v>872089.0635297636</v>
      </c>
    </row>
    <row r="30" spans="1:35" x14ac:dyDescent="0.2">
      <c r="A30" s="1" t="s">
        <v>82</v>
      </c>
      <c r="B30" s="1" t="s">
        <v>87</v>
      </c>
      <c r="C30" s="1" t="s">
        <v>88</v>
      </c>
      <c r="D30" s="2">
        <v>122827.44028486247</v>
      </c>
      <c r="E30" s="2">
        <v>169527.15164193528</v>
      </c>
      <c r="F30" s="2">
        <v>258448.95433268059</v>
      </c>
      <c r="G30" s="2">
        <v>221753.21122384808</v>
      </c>
      <c r="H30" s="2">
        <v>397821.67993736907</v>
      </c>
      <c r="I30" s="2">
        <v>560095.32009107503</v>
      </c>
      <c r="J30" s="2">
        <v>908926.21876395959</v>
      </c>
      <c r="K30" s="2">
        <v>1804410.5564071417</v>
      </c>
      <c r="L30" s="2">
        <v>1451572.3214364988</v>
      </c>
      <c r="M30" s="2">
        <v>1266191.0659379826</v>
      </c>
      <c r="N30" s="2">
        <v>1483444.7422384298</v>
      </c>
      <c r="O30" s="2">
        <v>933369.09498898301</v>
      </c>
      <c r="P30" s="2">
        <v>427586.20437978354</v>
      </c>
      <c r="Q30" s="2">
        <v>459575.96847323159</v>
      </c>
      <c r="R30" s="2">
        <v>547680.14521580399</v>
      </c>
      <c r="S30" s="2">
        <v>668340.34901156742</v>
      </c>
      <c r="T30" s="2">
        <v>674929.9551266738</v>
      </c>
      <c r="U30" s="2">
        <v>618352.52246913989</v>
      </c>
      <c r="V30" s="2">
        <v>688300.44410337717</v>
      </c>
      <c r="W30" s="2">
        <v>682172.67667305283</v>
      </c>
      <c r="X30" s="2">
        <v>660661.4310000001</v>
      </c>
      <c r="Y30" s="2">
        <v>743125.53137128346</v>
      </c>
      <c r="Z30" s="2">
        <v>858885.43986113265</v>
      </c>
      <c r="AA30" s="2">
        <v>866430.78850568377</v>
      </c>
      <c r="AB30" s="2">
        <v>973090.01724963577</v>
      </c>
      <c r="AC30" s="2">
        <v>900811.02703798935</v>
      </c>
      <c r="AD30" s="2">
        <v>978214.40175076935</v>
      </c>
      <c r="AE30" s="2">
        <v>1068014.5518230558</v>
      </c>
      <c r="AF30" s="2">
        <v>969032.18941241445</v>
      </c>
      <c r="AG30" s="2">
        <v>972669.04495661461</v>
      </c>
      <c r="AH30" s="2">
        <v>1027172.0527918932</v>
      </c>
      <c r="AI30" s="2">
        <v>1110523.8411327112</v>
      </c>
    </row>
    <row r="31" spans="1:35" x14ac:dyDescent="0.2">
      <c r="A31" s="1" t="s">
        <v>82</v>
      </c>
      <c r="B31" s="1" t="s">
        <v>89</v>
      </c>
      <c r="C31" s="1" t="s">
        <v>90</v>
      </c>
      <c r="D31" s="2">
        <v>148585.4116401207</v>
      </c>
      <c r="E31" s="2">
        <v>272852.50839993323</v>
      </c>
      <c r="F31" s="2">
        <v>435045.82625640853</v>
      </c>
      <c r="G31" s="2">
        <v>303936.64543692477</v>
      </c>
      <c r="H31" s="2">
        <v>406107.19351446111</v>
      </c>
      <c r="I31" s="2">
        <v>599539.91865402146</v>
      </c>
      <c r="J31" s="2">
        <v>946825.04607366468</v>
      </c>
      <c r="K31" s="2">
        <v>1394886.3623054905</v>
      </c>
      <c r="L31" s="2">
        <v>1536804.8271089452</v>
      </c>
      <c r="M31" s="2">
        <v>1201317.1589468119</v>
      </c>
      <c r="N31" s="2">
        <v>1351475.6048422996</v>
      </c>
      <c r="O31" s="2">
        <v>719089.21696891706</v>
      </c>
      <c r="P31" s="2">
        <v>267986.4444993271</v>
      </c>
      <c r="Q31" s="2">
        <v>277355.29126176093</v>
      </c>
      <c r="R31" s="2">
        <v>373671.12679629377</v>
      </c>
      <c r="S31" s="2">
        <v>403513.16172987822</v>
      </c>
      <c r="T31" s="2">
        <v>460678.44232853246</v>
      </c>
      <c r="U31" s="2">
        <v>375083.16491598624</v>
      </c>
      <c r="V31" s="2">
        <v>429914.48331180628</v>
      </c>
      <c r="W31" s="2">
        <v>351418.64607600891</v>
      </c>
      <c r="X31" s="2">
        <v>405855.95699999994</v>
      </c>
      <c r="Y31" s="2">
        <v>512513.09182316449</v>
      </c>
      <c r="Z31" s="2">
        <v>558053.89186834055</v>
      </c>
      <c r="AA31" s="2">
        <v>508527.40998159541</v>
      </c>
      <c r="AB31" s="2">
        <v>517881.04429684911</v>
      </c>
      <c r="AC31" s="2">
        <v>504988.65331989736</v>
      </c>
      <c r="AD31" s="2">
        <v>703949.40042056818</v>
      </c>
      <c r="AE31" s="2">
        <v>619155.3924144184</v>
      </c>
      <c r="AF31" s="2">
        <v>561498.70790673885</v>
      </c>
      <c r="AG31" s="2">
        <v>428501.05341565009</v>
      </c>
      <c r="AH31" s="2">
        <v>609983.34197576577</v>
      </c>
      <c r="AI31" s="2">
        <v>670844.1905850278</v>
      </c>
    </row>
    <row r="32" spans="1:35" x14ac:dyDescent="0.2">
      <c r="A32" s="1" t="s">
        <v>91</v>
      </c>
      <c r="B32" s="1" t="s">
        <v>92</v>
      </c>
      <c r="C32" s="1" t="s">
        <v>93</v>
      </c>
      <c r="D32" s="2">
        <v>7970.7996831874998</v>
      </c>
      <c r="E32" s="2">
        <v>19377.517069416699</v>
      </c>
      <c r="F32" s="2">
        <v>90054.187982439398</v>
      </c>
      <c r="G32" s="2">
        <v>126216.33362405491</v>
      </c>
      <c r="H32" s="2">
        <v>198873.38335618051</v>
      </c>
      <c r="I32" s="2">
        <v>601786.42368005484</v>
      </c>
      <c r="J32" s="2">
        <v>869813.21689551463</v>
      </c>
      <c r="K32" s="2">
        <v>975820.02259799803</v>
      </c>
      <c r="L32" s="2">
        <v>843971.37400166958</v>
      </c>
      <c r="M32" s="2">
        <v>356701.0248295893</v>
      </c>
      <c r="N32" s="2">
        <v>459561.96861742774</v>
      </c>
      <c r="O32" s="2">
        <v>530111.49750991759</v>
      </c>
      <c r="P32" s="2">
        <v>675540.85351845354</v>
      </c>
      <c r="Q32" s="2">
        <v>696594.91088603972</v>
      </c>
      <c r="R32" s="2">
        <v>707072.62886759476</v>
      </c>
      <c r="S32" s="2">
        <v>553958.55821443396</v>
      </c>
      <c r="T32" s="2">
        <v>472103.15403730131</v>
      </c>
      <c r="U32" s="2">
        <v>539456.43605189049</v>
      </c>
      <c r="V32" s="2">
        <v>629939.14662212576</v>
      </c>
      <c r="W32" s="2">
        <v>665661.33101355343</v>
      </c>
      <c r="X32" s="2">
        <v>771799.64199999999</v>
      </c>
      <c r="Y32" s="2">
        <v>806503.61780478945</v>
      </c>
      <c r="Z32" s="2">
        <v>857889.17631555523</v>
      </c>
      <c r="AA32" s="2">
        <v>875338.62892100064</v>
      </c>
      <c r="AB32" s="2">
        <v>910795.78133645328</v>
      </c>
      <c r="AC32" s="2">
        <v>905171.51050979842</v>
      </c>
      <c r="AD32" s="2">
        <v>925398.52583200089</v>
      </c>
      <c r="AE32" s="2">
        <v>804645.55520626926</v>
      </c>
      <c r="AF32" s="2">
        <v>786698.55221042701</v>
      </c>
      <c r="AG32" s="2">
        <v>789746.93549402885</v>
      </c>
      <c r="AH32" s="2">
        <v>1068381.1532113822</v>
      </c>
      <c r="AI32" s="2">
        <v>1345543.4742542102</v>
      </c>
    </row>
    <row r="33" spans="1:35" x14ac:dyDescent="0.2">
      <c r="A33" s="1" t="s">
        <v>91</v>
      </c>
      <c r="B33" s="1" t="s">
        <v>94</v>
      </c>
      <c r="C33" s="1" t="s">
        <v>95</v>
      </c>
      <c r="D33" s="2">
        <v>5439.6312601793998</v>
      </c>
      <c r="E33" s="2">
        <v>41958.083314276693</v>
      </c>
      <c r="F33" s="2">
        <v>32848.678386425498</v>
      </c>
      <c r="G33" s="2">
        <v>109821.7600182584</v>
      </c>
      <c r="H33" s="2">
        <v>197593.06452788934</v>
      </c>
      <c r="I33" s="2">
        <v>366812.08877571177</v>
      </c>
      <c r="J33" s="2">
        <v>465338.30856037204</v>
      </c>
      <c r="K33" s="2">
        <v>551049.40713191521</v>
      </c>
      <c r="L33" s="2">
        <v>478600.6596477807</v>
      </c>
      <c r="M33" s="2">
        <v>237936.12729625648</v>
      </c>
      <c r="N33" s="2">
        <v>299763.57326061168</v>
      </c>
      <c r="O33" s="2">
        <v>336764.1242889656</v>
      </c>
      <c r="P33" s="2">
        <v>404412.16109662357</v>
      </c>
      <c r="Q33" s="2">
        <v>432234.45215370518</v>
      </c>
      <c r="R33" s="2">
        <v>457934.78452601266</v>
      </c>
      <c r="S33" s="2">
        <v>369043.92178104416</v>
      </c>
      <c r="T33" s="2">
        <v>315465.00662890845</v>
      </c>
      <c r="U33" s="2">
        <v>374470.16570120043</v>
      </c>
      <c r="V33" s="2">
        <v>472109.47234432725</v>
      </c>
      <c r="W33" s="2">
        <v>474313.12377708836</v>
      </c>
      <c r="X33" s="2">
        <v>494249.89799999993</v>
      </c>
      <c r="Y33" s="2">
        <v>535715.8075206026</v>
      </c>
      <c r="Z33" s="2">
        <v>605048.02089677542</v>
      </c>
      <c r="AA33" s="2">
        <v>648122.59412646387</v>
      </c>
      <c r="AB33" s="2">
        <v>597689.23533114616</v>
      </c>
      <c r="AC33" s="2">
        <v>635299.57143094367</v>
      </c>
      <c r="AD33" s="2">
        <v>601543.83687091968</v>
      </c>
      <c r="AE33" s="2">
        <v>630953.17599377513</v>
      </c>
      <c r="AF33" s="2">
        <v>607449.29086642654</v>
      </c>
      <c r="AG33" s="2">
        <v>664826.01302527927</v>
      </c>
      <c r="AH33" s="2">
        <v>873944.80721751356</v>
      </c>
      <c r="AI33" s="2">
        <v>1071144.3502065984</v>
      </c>
    </row>
    <row r="34" spans="1:35" x14ac:dyDescent="0.2">
      <c r="A34" s="1" t="s">
        <v>91</v>
      </c>
      <c r="B34" s="1" t="s">
        <v>96</v>
      </c>
      <c r="C34" s="1" t="s">
        <v>97</v>
      </c>
      <c r="D34" s="2">
        <v>35480.260316241198</v>
      </c>
      <c r="E34" s="2">
        <v>139180.4383689992</v>
      </c>
      <c r="F34" s="2">
        <v>172002.85094851707</v>
      </c>
      <c r="G34" s="2">
        <v>590168.84691537346</v>
      </c>
      <c r="H34" s="2">
        <v>990958.79593442113</v>
      </c>
      <c r="I34" s="2">
        <v>1813704.0181154183</v>
      </c>
      <c r="J34" s="2">
        <v>2138223.0893593132</v>
      </c>
      <c r="K34" s="2">
        <v>2032318.0779752575</v>
      </c>
      <c r="L34" s="2">
        <v>2039454.0480736941</v>
      </c>
      <c r="M34" s="2">
        <v>908637.12510548555</v>
      </c>
      <c r="N34" s="2">
        <v>1157151.0876243473</v>
      </c>
      <c r="O34" s="2">
        <v>1218757.4626149884</v>
      </c>
      <c r="P34" s="2">
        <v>1302519.6966251095</v>
      </c>
      <c r="Q34" s="2">
        <v>1359221.1110205641</v>
      </c>
      <c r="R34" s="2">
        <v>1357050.8158163871</v>
      </c>
      <c r="S34" s="2">
        <v>1077219.1796345625</v>
      </c>
      <c r="T34" s="2">
        <v>954949.00460664637</v>
      </c>
      <c r="U34" s="2">
        <v>1201138.193307739</v>
      </c>
      <c r="V34" s="2">
        <v>1201784.210578846</v>
      </c>
      <c r="W34" s="2">
        <v>1310135.5512280019</v>
      </c>
      <c r="X34" s="2">
        <v>1369857.1259999999</v>
      </c>
      <c r="Y34" s="2">
        <v>1426277.1149010323</v>
      </c>
      <c r="Z34" s="2">
        <v>1426016.4257223604</v>
      </c>
      <c r="AA34" s="2">
        <v>1731394.0574782954</v>
      </c>
      <c r="AB34" s="2">
        <v>1608933.1628241418</v>
      </c>
      <c r="AC34" s="2">
        <v>1536233.0349872252</v>
      </c>
      <c r="AD34" s="2">
        <v>1658322.6616059644</v>
      </c>
      <c r="AE34" s="2">
        <v>1513735.7945203367</v>
      </c>
      <c r="AF34" s="2">
        <v>1485465.7474897625</v>
      </c>
      <c r="AG34" s="2">
        <v>1593365.295728236</v>
      </c>
      <c r="AH34" s="2">
        <v>1949193.6161192432</v>
      </c>
      <c r="AI34" s="2">
        <v>2338288.4668322108</v>
      </c>
    </row>
    <row r="35" spans="1:35" x14ac:dyDescent="0.2">
      <c r="A35" s="1" t="s">
        <v>91</v>
      </c>
      <c r="B35" s="1" t="s">
        <v>98</v>
      </c>
      <c r="C35" s="1" t="s">
        <v>99</v>
      </c>
      <c r="D35" s="2">
        <v>20619.9184271755</v>
      </c>
      <c r="E35" s="2">
        <v>75857.685635912407</v>
      </c>
      <c r="F35" s="2">
        <v>73510.132798547711</v>
      </c>
      <c r="G35" s="2">
        <v>108505.2616099899</v>
      </c>
      <c r="H35" s="2">
        <v>178344.39299492299</v>
      </c>
      <c r="I35" s="2">
        <v>434021.98992240324</v>
      </c>
      <c r="J35" s="2">
        <v>587174.82717403478</v>
      </c>
      <c r="K35" s="2">
        <v>675162.31686416012</v>
      </c>
      <c r="L35" s="2">
        <v>626673.82032389054</v>
      </c>
      <c r="M35" s="2">
        <v>565353.64865513076</v>
      </c>
      <c r="N35" s="2">
        <v>708007.85595017555</v>
      </c>
      <c r="O35" s="2">
        <v>809689.95366310235</v>
      </c>
      <c r="P35" s="2">
        <v>987861.20760964812</v>
      </c>
      <c r="Q35" s="2">
        <v>1151310.9488756421</v>
      </c>
      <c r="R35" s="2">
        <v>1097021.4136645903</v>
      </c>
      <c r="S35" s="2">
        <v>920404.58108349971</v>
      </c>
      <c r="T35" s="2">
        <v>708077.80784749251</v>
      </c>
      <c r="U35" s="2">
        <v>1021172.3387522391</v>
      </c>
      <c r="V35" s="2">
        <v>1152210.4093628603</v>
      </c>
      <c r="W35" s="2">
        <v>1199987.3200974648</v>
      </c>
      <c r="X35" s="2">
        <v>1370657.5969999998</v>
      </c>
      <c r="Y35" s="2">
        <v>1372289.280677832</v>
      </c>
      <c r="Z35" s="2">
        <v>1716063.8041651885</v>
      </c>
      <c r="AA35" s="2">
        <v>1748749.3279501901</v>
      </c>
      <c r="AB35" s="2">
        <v>1535650.4918497493</v>
      </c>
      <c r="AC35" s="2">
        <v>1583644.2606042195</v>
      </c>
      <c r="AD35" s="2">
        <v>1686752.7617097057</v>
      </c>
      <c r="AE35" s="2">
        <v>1527204.7268006916</v>
      </c>
      <c r="AF35" s="2">
        <v>1487466.1704878423</v>
      </c>
      <c r="AG35" s="2">
        <v>1633846.2799414406</v>
      </c>
      <c r="AH35" s="2">
        <v>2333686.8187436648</v>
      </c>
      <c r="AI35" s="2">
        <v>2952583.9377774354</v>
      </c>
    </row>
    <row r="36" spans="1:35" x14ac:dyDescent="0.2">
      <c r="A36" s="1" t="s">
        <v>91</v>
      </c>
      <c r="B36" s="1" t="s">
        <v>100</v>
      </c>
      <c r="C36" s="1" t="s">
        <v>101</v>
      </c>
      <c r="D36" s="2">
        <v>128592.79491401871</v>
      </c>
      <c r="E36" s="2">
        <v>281808.62667667819</v>
      </c>
      <c r="F36" s="2">
        <v>283912.30588934891</v>
      </c>
      <c r="G36" s="2">
        <v>689708.18806521106</v>
      </c>
      <c r="H36" s="2">
        <v>1413961.871718325</v>
      </c>
      <c r="I36" s="2">
        <v>2563926.5120583214</v>
      </c>
      <c r="J36" s="2">
        <v>3791584.1674919771</v>
      </c>
      <c r="K36" s="2">
        <v>3446972.147684339</v>
      </c>
      <c r="L36" s="2">
        <v>4461290.4453061773</v>
      </c>
      <c r="M36" s="2">
        <v>3737513.5847039451</v>
      </c>
      <c r="N36" s="2">
        <v>4683473.1220110664</v>
      </c>
      <c r="O36" s="2">
        <v>5374436.8056341801</v>
      </c>
      <c r="P36" s="2">
        <v>6226053.4315319983</v>
      </c>
      <c r="Q36" s="2">
        <v>6315270.5492771808</v>
      </c>
      <c r="R36" s="2">
        <v>6575534.2644977877</v>
      </c>
      <c r="S36" s="2">
        <v>4198499.9149140436</v>
      </c>
      <c r="T36" s="2">
        <v>3244216.3355693212</v>
      </c>
      <c r="U36" s="2">
        <v>4165114.2791467509</v>
      </c>
      <c r="V36" s="2">
        <v>5403893.0851156572</v>
      </c>
      <c r="W36" s="2">
        <v>6245912.2088348931</v>
      </c>
      <c r="X36" s="2">
        <v>6369985.0310000004</v>
      </c>
      <c r="Y36" s="2">
        <v>6583128.037331569</v>
      </c>
      <c r="Z36" s="2">
        <v>7433887.6129543828</v>
      </c>
      <c r="AA36" s="2">
        <v>8077904.7760063726</v>
      </c>
      <c r="AB36" s="2">
        <v>6888120.4949815311</v>
      </c>
      <c r="AC36" s="2">
        <v>6385946.5646227384</v>
      </c>
      <c r="AD36" s="2">
        <v>7642928.4053130746</v>
      </c>
      <c r="AE36" s="2">
        <v>7408755.977523149</v>
      </c>
      <c r="AF36" s="2">
        <v>7289595.2805620255</v>
      </c>
      <c r="AG36" s="2">
        <v>7216531.7450086363</v>
      </c>
      <c r="AH36" s="2">
        <v>9090375.5680345129</v>
      </c>
      <c r="AI36" s="2">
        <v>12399113.469663136</v>
      </c>
    </row>
    <row r="37" spans="1:35" x14ac:dyDescent="0.2">
      <c r="A37" s="1" t="s">
        <v>102</v>
      </c>
      <c r="B37" s="1" t="s">
        <v>103</v>
      </c>
      <c r="C37" s="1" t="s">
        <v>104</v>
      </c>
      <c r="D37" s="2">
        <v>17103.251468596798</v>
      </c>
      <c r="E37" s="2">
        <v>164311.26647872091</v>
      </c>
      <c r="F37" s="2">
        <v>105052.93037203599</v>
      </c>
      <c r="G37" s="2">
        <v>302553.09971152601</v>
      </c>
      <c r="H37" s="2">
        <v>633664.8896238117</v>
      </c>
      <c r="I37" s="2">
        <v>912964.34929886798</v>
      </c>
      <c r="J37" s="2">
        <v>1303096.6963467353</v>
      </c>
      <c r="K37" s="2">
        <v>1103513.1940137134</v>
      </c>
      <c r="L37" s="2">
        <v>901215.99855574116</v>
      </c>
      <c r="M37" s="2">
        <v>833304.83764051716</v>
      </c>
      <c r="N37" s="2">
        <v>874790.28103690757</v>
      </c>
      <c r="O37" s="2">
        <v>941081.62561605242</v>
      </c>
      <c r="P37" s="2">
        <v>661842.95689199178</v>
      </c>
      <c r="Q37" s="2">
        <v>775074.07040804962</v>
      </c>
      <c r="R37" s="2">
        <v>782894.45974281116</v>
      </c>
      <c r="S37" s="2">
        <v>753909.04907238681</v>
      </c>
      <c r="T37" s="2">
        <v>697061.25256883865</v>
      </c>
      <c r="U37" s="2">
        <v>744434.10599036235</v>
      </c>
      <c r="V37" s="2">
        <v>923158.9780422484</v>
      </c>
      <c r="W37" s="2">
        <v>713738.12362934789</v>
      </c>
      <c r="X37" s="2">
        <v>767610.62799999991</v>
      </c>
      <c r="Y37" s="2">
        <v>862877.60471614287</v>
      </c>
      <c r="Z37" s="2">
        <v>844137.51143576473</v>
      </c>
      <c r="AA37" s="2">
        <v>992303.83906183392</v>
      </c>
      <c r="AB37" s="2">
        <v>993995.97546712088</v>
      </c>
      <c r="AC37" s="2">
        <v>850037.24144359003</v>
      </c>
      <c r="AD37" s="2">
        <v>779777.99626873608</v>
      </c>
      <c r="AE37" s="2">
        <v>718506.43712107767</v>
      </c>
      <c r="AF37" s="2">
        <v>611117.5138348015</v>
      </c>
      <c r="AG37" s="2">
        <v>541667.67397397675</v>
      </c>
      <c r="AH37" s="2">
        <v>587535.49060370494</v>
      </c>
      <c r="AI37" s="2">
        <v>608705.11324413645</v>
      </c>
    </row>
    <row r="38" spans="1:35" x14ac:dyDescent="0.2">
      <c r="A38" s="1" t="s">
        <v>102</v>
      </c>
      <c r="B38" s="1" t="s">
        <v>105</v>
      </c>
      <c r="C38" s="1" t="s">
        <v>106</v>
      </c>
      <c r="D38" s="2">
        <v>2058.2048898825997</v>
      </c>
      <c r="E38" s="2">
        <v>29092.5034750388</v>
      </c>
      <c r="F38" s="2">
        <v>13669.587718995199</v>
      </c>
      <c r="G38" s="2">
        <v>177744.43570301519</v>
      </c>
      <c r="H38" s="2">
        <v>409260.56622752355</v>
      </c>
      <c r="I38" s="2">
        <v>755340.07598798582</v>
      </c>
      <c r="J38" s="2">
        <v>1080365.6870599452</v>
      </c>
      <c r="K38" s="2">
        <v>1098297.8651068059</v>
      </c>
      <c r="L38" s="2">
        <v>884542.54648594966</v>
      </c>
      <c r="M38" s="2">
        <v>907495.96618635708</v>
      </c>
      <c r="N38" s="2">
        <v>1027782.5270318988</v>
      </c>
      <c r="O38" s="2">
        <v>1165452.3874696323</v>
      </c>
      <c r="P38" s="2">
        <v>931322.13424241648</v>
      </c>
      <c r="Q38" s="2">
        <v>1162456.2791320637</v>
      </c>
      <c r="R38" s="2">
        <v>1195345.6061929781</v>
      </c>
      <c r="S38" s="2">
        <v>1112236.503528378</v>
      </c>
      <c r="T38" s="2">
        <v>1068396.9811657763</v>
      </c>
      <c r="U38" s="2">
        <v>1123712.2858888293</v>
      </c>
      <c r="V38" s="2">
        <v>1427953.5070795943</v>
      </c>
      <c r="W38" s="2">
        <v>1049365.051427061</v>
      </c>
      <c r="X38" s="2">
        <v>1139079.996</v>
      </c>
      <c r="Y38" s="2">
        <v>1192546.4645907418</v>
      </c>
      <c r="Z38" s="2">
        <v>1124547.0174748919</v>
      </c>
      <c r="AA38" s="2">
        <v>1315956.1076616494</v>
      </c>
      <c r="AB38" s="2">
        <v>1226059.1813880305</v>
      </c>
      <c r="AC38" s="2">
        <v>1129910.148217656</v>
      </c>
      <c r="AD38" s="2">
        <v>1063314.5733388981</v>
      </c>
      <c r="AE38" s="2">
        <v>999695.71659045911</v>
      </c>
      <c r="AF38" s="2">
        <v>943926.76366573444</v>
      </c>
      <c r="AG38" s="2">
        <v>904766.60039750743</v>
      </c>
      <c r="AH38" s="2">
        <v>1166164.2428685683</v>
      </c>
      <c r="AI38" s="2">
        <v>1376771.2384577591</v>
      </c>
    </row>
    <row r="39" spans="1:35" x14ac:dyDescent="0.2">
      <c r="A39" s="1" t="s">
        <v>102</v>
      </c>
      <c r="B39" s="1" t="s">
        <v>107</v>
      </c>
      <c r="C39" s="1" t="s">
        <v>108</v>
      </c>
      <c r="D39" s="2">
        <v>35821.6591668287</v>
      </c>
      <c r="E39" s="2">
        <v>99778.702499102103</v>
      </c>
      <c r="F39" s="2">
        <v>119625.75847790961</v>
      </c>
      <c r="G39" s="2">
        <v>361411.49384679069</v>
      </c>
      <c r="H39" s="2">
        <v>604106.02088089334</v>
      </c>
      <c r="I39" s="2">
        <v>851523.13205532706</v>
      </c>
      <c r="J39" s="2">
        <v>1066041.0884759834</v>
      </c>
      <c r="K39" s="2">
        <v>957278.16478976002</v>
      </c>
      <c r="L39" s="2">
        <v>678715.94958580704</v>
      </c>
      <c r="M39" s="2">
        <v>594017.74704786751</v>
      </c>
      <c r="N39" s="2">
        <v>644605.2784615386</v>
      </c>
      <c r="O39" s="2">
        <v>721789.55364336749</v>
      </c>
      <c r="P39" s="2">
        <v>634898.11389550543</v>
      </c>
      <c r="Q39" s="2">
        <v>711043.51132026094</v>
      </c>
      <c r="R39" s="2">
        <v>757843.08804797009</v>
      </c>
      <c r="S39" s="2">
        <v>671278.34247655142</v>
      </c>
      <c r="T39" s="2">
        <v>627867.31638661923</v>
      </c>
      <c r="U39" s="2">
        <v>642509.46918120445</v>
      </c>
      <c r="V39" s="2">
        <v>883942.62572854373</v>
      </c>
      <c r="W39" s="2">
        <v>703453.84146546526</v>
      </c>
      <c r="X39" s="2">
        <v>776062.4800000001</v>
      </c>
      <c r="Y39" s="2">
        <v>791786.65031706856</v>
      </c>
      <c r="Z39" s="2">
        <v>683010.6971142476</v>
      </c>
      <c r="AA39" s="2">
        <v>800255.80800540338</v>
      </c>
      <c r="AB39" s="2">
        <v>784348.61109323299</v>
      </c>
      <c r="AC39" s="2">
        <v>675167.64646368008</v>
      </c>
      <c r="AD39" s="2">
        <v>555990.77527762426</v>
      </c>
      <c r="AE39" s="2">
        <v>602590.15386271838</v>
      </c>
      <c r="AF39" s="2">
        <v>552666.62955280638</v>
      </c>
      <c r="AG39" s="2">
        <v>493541.89856606792</v>
      </c>
      <c r="AH39" s="2">
        <v>572622.32402853819</v>
      </c>
      <c r="AI39" s="2">
        <v>683961.61880625458</v>
      </c>
    </row>
    <row r="40" spans="1:35" x14ac:dyDescent="0.2">
      <c r="A40" s="1" t="s">
        <v>102</v>
      </c>
      <c r="B40" s="1" t="s">
        <v>109</v>
      </c>
      <c r="C40" s="1" t="s">
        <v>110</v>
      </c>
      <c r="D40" s="2">
        <v>41970.918878477503</v>
      </c>
      <c r="E40" s="2">
        <v>306439.93360901636</v>
      </c>
      <c r="F40" s="2">
        <v>136024.09698320206</v>
      </c>
      <c r="G40" s="2">
        <v>278932.92223206983</v>
      </c>
      <c r="H40" s="2">
        <v>555446.31894033216</v>
      </c>
      <c r="I40" s="2">
        <v>886789.22622103523</v>
      </c>
      <c r="J40" s="2">
        <v>985678.79257926333</v>
      </c>
      <c r="K40" s="2">
        <v>1151689.0145735149</v>
      </c>
      <c r="L40" s="2">
        <v>750434.32982928609</v>
      </c>
      <c r="M40" s="2">
        <v>625683.50823865714</v>
      </c>
      <c r="N40" s="2">
        <v>641743.67033886269</v>
      </c>
      <c r="O40" s="2">
        <v>709714.15255240432</v>
      </c>
      <c r="P40" s="2">
        <v>579112.66968196607</v>
      </c>
      <c r="Q40" s="2">
        <v>802800.64771383826</v>
      </c>
      <c r="R40" s="2">
        <v>824688.97537671519</v>
      </c>
      <c r="S40" s="2">
        <v>614177.47464512219</v>
      </c>
      <c r="T40" s="2">
        <v>586405.22608896263</v>
      </c>
      <c r="U40" s="2">
        <v>553829.51266117336</v>
      </c>
      <c r="V40" s="2">
        <v>914910.93203459971</v>
      </c>
      <c r="W40" s="2">
        <v>680107.89080785052</v>
      </c>
      <c r="X40" s="2">
        <v>650969.63100000005</v>
      </c>
      <c r="Y40" s="2">
        <v>716901.38700406719</v>
      </c>
      <c r="Z40" s="2">
        <v>528183.14302346541</v>
      </c>
      <c r="AA40" s="2">
        <v>646652.07452174637</v>
      </c>
      <c r="AB40" s="2">
        <v>767845.82978752453</v>
      </c>
      <c r="AC40" s="2">
        <v>674668.96932019282</v>
      </c>
      <c r="AD40" s="2">
        <v>506319.4062523077</v>
      </c>
      <c r="AE40" s="2">
        <v>637486.01507537358</v>
      </c>
      <c r="AF40" s="2">
        <v>578423.24686092266</v>
      </c>
      <c r="AG40" s="2">
        <v>464816.34000151866</v>
      </c>
      <c r="AH40" s="2">
        <v>668146.80247051863</v>
      </c>
      <c r="AI40" s="2">
        <v>772184.88479908986</v>
      </c>
    </row>
    <row r="41" spans="1:35" x14ac:dyDescent="0.2">
      <c r="A41" s="1" t="s">
        <v>102</v>
      </c>
      <c r="B41" s="1" t="s">
        <v>111</v>
      </c>
      <c r="C41" s="1" t="s">
        <v>112</v>
      </c>
      <c r="D41" s="2">
        <v>12691.264868683998</v>
      </c>
      <c r="E41" s="2">
        <v>52533.606145801998</v>
      </c>
      <c r="F41" s="2">
        <v>30196.139468351899</v>
      </c>
      <c r="G41" s="2">
        <v>65791.067368107295</v>
      </c>
      <c r="H41" s="2">
        <v>100929.77757654709</v>
      </c>
      <c r="I41" s="2">
        <v>135450.39471107922</v>
      </c>
      <c r="J41" s="2">
        <v>183761.51862612495</v>
      </c>
      <c r="K41" s="2">
        <v>275722.98950280575</v>
      </c>
      <c r="L41" s="2">
        <v>374058.57779207802</v>
      </c>
      <c r="M41" s="2">
        <v>668142.3666167506</v>
      </c>
      <c r="N41" s="2">
        <v>694864.05506669101</v>
      </c>
      <c r="O41" s="2">
        <v>714514.94205912156</v>
      </c>
      <c r="P41" s="2">
        <v>740040.71091947029</v>
      </c>
      <c r="Q41" s="2">
        <v>1223998.2251586576</v>
      </c>
      <c r="R41" s="2">
        <v>1146087.9226124005</v>
      </c>
      <c r="S41" s="2">
        <v>1159869.326575031</v>
      </c>
      <c r="T41" s="2">
        <v>666996.64639735571</v>
      </c>
      <c r="U41" s="2">
        <v>788176.37052707071</v>
      </c>
      <c r="V41" s="2">
        <v>1673195.5401626742</v>
      </c>
      <c r="W41" s="2">
        <v>1424292.2929262887</v>
      </c>
      <c r="X41" s="2">
        <v>1204203.8629999999</v>
      </c>
      <c r="Y41" s="2">
        <v>1182834.5547657423</v>
      </c>
      <c r="Z41" s="2">
        <v>1471723.7645134516</v>
      </c>
      <c r="AA41" s="2">
        <v>1682393.0861601431</v>
      </c>
      <c r="AB41" s="2">
        <v>1674929.5056711596</v>
      </c>
      <c r="AC41" s="2">
        <v>1636913.9275134502</v>
      </c>
      <c r="AD41" s="2">
        <v>931390.11497428361</v>
      </c>
      <c r="AE41" s="2">
        <v>1636407.6550979959</v>
      </c>
      <c r="AF41" s="2">
        <v>1869155.1940970786</v>
      </c>
      <c r="AG41" s="2">
        <v>1709424.4184966423</v>
      </c>
      <c r="AH41" s="2">
        <v>3112460.187449798</v>
      </c>
      <c r="AI41" s="2">
        <v>3137430.5001807534</v>
      </c>
    </row>
    <row r="42" spans="1:35" x14ac:dyDescent="0.2">
      <c r="A42" s="1" t="s">
        <v>113</v>
      </c>
      <c r="B42" s="1" t="s">
        <v>114</v>
      </c>
      <c r="C42" s="1" t="s">
        <v>115</v>
      </c>
      <c r="D42" s="2">
        <v>21379.558572367801</v>
      </c>
      <c r="E42" s="2">
        <v>44561.6734796948</v>
      </c>
      <c r="F42" s="2">
        <v>103578.75304857652</v>
      </c>
      <c r="G42" s="2">
        <v>181126.1865783172</v>
      </c>
      <c r="H42" s="2">
        <v>299469.82378852606</v>
      </c>
      <c r="I42" s="2">
        <v>539078.37467004533</v>
      </c>
      <c r="J42" s="2">
        <v>1387527.3787197717</v>
      </c>
      <c r="K42" s="2">
        <v>1157526.4567566947</v>
      </c>
      <c r="L42" s="2">
        <v>1114371.4038934936</v>
      </c>
      <c r="M42" s="2">
        <v>1476009.4134721896</v>
      </c>
      <c r="N42" s="2">
        <v>1398118.6605240037</v>
      </c>
      <c r="O42" s="2">
        <v>1147380.3172772413</v>
      </c>
      <c r="P42" s="2">
        <v>1002727.2123266191</v>
      </c>
      <c r="Q42" s="2">
        <v>1230326.5216031692</v>
      </c>
      <c r="R42" s="2">
        <v>1295323.9525609654</v>
      </c>
      <c r="S42" s="2">
        <v>1253560.9664294163</v>
      </c>
      <c r="T42" s="2">
        <v>1023376.1847963469</v>
      </c>
      <c r="U42" s="2">
        <v>1170427.3639871795</v>
      </c>
      <c r="V42" s="2">
        <v>1412206.9578644359</v>
      </c>
      <c r="W42" s="2">
        <v>1399423.8292247565</v>
      </c>
      <c r="X42" s="2">
        <v>1389643.817</v>
      </c>
      <c r="Y42" s="2">
        <v>1927278.077786247</v>
      </c>
      <c r="Z42" s="2">
        <v>1939346.9213607544</v>
      </c>
      <c r="AA42" s="2">
        <v>1826487.1120309576</v>
      </c>
      <c r="AB42" s="2">
        <v>1652198.9652759924</v>
      </c>
      <c r="AC42" s="2">
        <v>1490699.2084075098</v>
      </c>
      <c r="AD42" s="2">
        <v>2004526.1710347207</v>
      </c>
      <c r="AE42" s="2">
        <v>1833376.1801503021</v>
      </c>
      <c r="AF42" s="2">
        <v>1715775.5716181702</v>
      </c>
      <c r="AG42" s="2">
        <v>1684407.7579679771</v>
      </c>
      <c r="AH42" s="2">
        <v>2402214.0328962272</v>
      </c>
      <c r="AI42" s="2">
        <v>3184833.686547582</v>
      </c>
    </row>
    <row r="43" spans="1:35" x14ac:dyDescent="0.2">
      <c r="A43" s="1" t="s">
        <v>113</v>
      </c>
      <c r="B43" s="1" t="s">
        <v>116</v>
      </c>
      <c r="C43" s="1" t="s">
        <v>117</v>
      </c>
      <c r="D43" s="2">
        <v>93584.868618370398</v>
      </c>
      <c r="E43" s="2">
        <v>260729.64903370838</v>
      </c>
      <c r="F43" s="2">
        <v>425846.25455054513</v>
      </c>
      <c r="G43" s="2">
        <v>718225.24472133268</v>
      </c>
      <c r="H43" s="2">
        <v>804035.96254553855</v>
      </c>
      <c r="I43" s="2">
        <v>1275208.3530413629</v>
      </c>
      <c r="J43" s="2">
        <v>2231990.6850091773</v>
      </c>
      <c r="K43" s="2">
        <v>2037953.4615401332</v>
      </c>
      <c r="L43" s="2">
        <v>1477968.8614471264</v>
      </c>
      <c r="M43" s="2">
        <v>1276457.4791613959</v>
      </c>
      <c r="N43" s="2">
        <v>1277282.6913978618</v>
      </c>
      <c r="O43" s="2">
        <v>1134275.9574537212</v>
      </c>
      <c r="P43" s="2">
        <v>848459.0358044235</v>
      </c>
      <c r="Q43" s="2">
        <v>871602.63313592074</v>
      </c>
      <c r="R43" s="2">
        <v>1079863.0484121051</v>
      </c>
      <c r="S43" s="2">
        <v>1108372.021931763</v>
      </c>
      <c r="T43" s="2">
        <v>1002828.9234724918</v>
      </c>
      <c r="U43" s="2">
        <v>1076926.0062827684</v>
      </c>
      <c r="V43" s="2">
        <v>1159194.9761679962</v>
      </c>
      <c r="W43" s="2">
        <v>1127506.5298453723</v>
      </c>
      <c r="X43" s="2">
        <v>1229878.9440000006</v>
      </c>
      <c r="Y43" s="2">
        <v>1398444.3454914214</v>
      </c>
      <c r="Z43" s="2">
        <v>3188788.4404058149</v>
      </c>
      <c r="AA43" s="2">
        <v>1541467.054799411</v>
      </c>
      <c r="AB43" s="2">
        <v>1226232.4824112183</v>
      </c>
      <c r="AC43" s="2">
        <v>1121419.0430076739</v>
      </c>
      <c r="AD43" s="2">
        <v>1384928.2059195773</v>
      </c>
      <c r="AE43" s="2">
        <v>1130276.008442994</v>
      </c>
      <c r="AF43" s="2">
        <v>1159344.094449833</v>
      </c>
      <c r="AG43" s="2">
        <v>1126434.0803734269</v>
      </c>
      <c r="AH43" s="2">
        <v>1420748.7775769068</v>
      </c>
      <c r="AI43" s="2">
        <v>1668834.0996969128</v>
      </c>
    </row>
    <row r="44" spans="1:35" x14ac:dyDescent="0.2">
      <c r="A44" s="1" t="s">
        <v>113</v>
      </c>
      <c r="B44" s="1" t="s">
        <v>118</v>
      </c>
      <c r="C44" s="1" t="s">
        <v>119</v>
      </c>
      <c r="D44" s="2">
        <v>64191.034871704906</v>
      </c>
      <c r="E44" s="2">
        <v>172411.03777718099</v>
      </c>
      <c r="F44" s="2">
        <v>333546.88265058928</v>
      </c>
      <c r="G44" s="2">
        <v>377950.55510677968</v>
      </c>
      <c r="H44" s="2">
        <v>278989.78787946387</v>
      </c>
      <c r="I44" s="2">
        <v>549128.28382148442</v>
      </c>
      <c r="J44" s="2">
        <v>1190930.404413936</v>
      </c>
      <c r="K44" s="2">
        <v>1124439.6397199836</v>
      </c>
      <c r="L44" s="2">
        <v>837618.01080230763</v>
      </c>
      <c r="M44" s="2">
        <v>496846.42476923019</v>
      </c>
      <c r="N44" s="2">
        <v>687258.24205739377</v>
      </c>
      <c r="O44" s="2">
        <v>559222.65523016069</v>
      </c>
      <c r="P44" s="2">
        <v>311621.40722023387</v>
      </c>
      <c r="Q44" s="2">
        <v>487027.90850526595</v>
      </c>
      <c r="R44" s="2">
        <v>372364.98984690302</v>
      </c>
      <c r="S44" s="2">
        <v>371915.42106833914</v>
      </c>
      <c r="T44" s="2">
        <v>327806.72246532934</v>
      </c>
      <c r="U44" s="2">
        <v>487012.75519258919</v>
      </c>
      <c r="V44" s="2">
        <v>437659.58942592517</v>
      </c>
      <c r="W44" s="2">
        <v>407300.0086327726</v>
      </c>
      <c r="X44" s="2">
        <v>393328.25300000008</v>
      </c>
      <c r="Y44" s="2">
        <v>483981.62241709331</v>
      </c>
      <c r="Z44" s="2">
        <v>467275.05696466152</v>
      </c>
      <c r="AA44" s="2">
        <v>510803.24794322217</v>
      </c>
      <c r="AB44" s="2">
        <v>726326.05467436742</v>
      </c>
      <c r="AC44" s="2">
        <v>668965.02326884051</v>
      </c>
      <c r="AD44" s="2">
        <v>418320.7622276246</v>
      </c>
      <c r="AE44" s="2">
        <v>475989.77821351023</v>
      </c>
      <c r="AF44" s="2">
        <v>552066.38553259824</v>
      </c>
      <c r="AG44" s="2">
        <v>521603.88970441214</v>
      </c>
      <c r="AH44" s="2">
        <v>659623.18369762064</v>
      </c>
      <c r="AI44" s="2">
        <v>709693.111066574</v>
      </c>
    </row>
    <row r="45" spans="1:35" x14ac:dyDescent="0.2">
      <c r="A45" s="1" t="s">
        <v>113</v>
      </c>
      <c r="B45" s="1" t="s">
        <v>120</v>
      </c>
      <c r="C45" s="1" t="s">
        <v>121</v>
      </c>
      <c r="D45" s="2">
        <v>40124.826305003102</v>
      </c>
      <c r="E45" s="2">
        <v>94626.432207609003</v>
      </c>
      <c r="F45" s="2">
        <v>187150.4030114669</v>
      </c>
      <c r="G45" s="2">
        <v>269280.1857286407</v>
      </c>
      <c r="H45" s="2">
        <v>285666.1795265894</v>
      </c>
      <c r="I45" s="2">
        <v>579058.84642599022</v>
      </c>
      <c r="J45" s="2">
        <v>995479.97104752634</v>
      </c>
      <c r="K45" s="2">
        <v>738768.79769694968</v>
      </c>
      <c r="L45" s="2">
        <v>479263.39218232303</v>
      </c>
      <c r="M45" s="2">
        <v>297886.80608536769</v>
      </c>
      <c r="N45" s="2">
        <v>295935.6000198276</v>
      </c>
      <c r="O45" s="2">
        <v>243057.52775761631</v>
      </c>
      <c r="P45" s="2">
        <v>210179.03625335486</v>
      </c>
      <c r="Q45" s="2">
        <v>227938.55522863631</v>
      </c>
      <c r="R45" s="2">
        <v>249587.55719829508</v>
      </c>
      <c r="S45" s="2">
        <v>232052.35856534648</v>
      </c>
      <c r="T45" s="2">
        <v>259597.27402339413</v>
      </c>
      <c r="U45" s="2">
        <v>274887.26188332518</v>
      </c>
      <c r="V45" s="2">
        <v>259370.0139455332</v>
      </c>
      <c r="W45" s="2">
        <v>247864.61179126322</v>
      </c>
      <c r="X45" s="2">
        <v>348957.48200000002</v>
      </c>
      <c r="Y45" s="2">
        <v>259525.29223432581</v>
      </c>
      <c r="Z45" s="2">
        <v>252931.58114706477</v>
      </c>
      <c r="AA45" s="2">
        <v>290000.29549760057</v>
      </c>
      <c r="AB45" s="2">
        <v>317325.8597871564</v>
      </c>
      <c r="AC45" s="2">
        <v>276257.86901164934</v>
      </c>
      <c r="AD45" s="2">
        <v>272906.88138398749</v>
      </c>
      <c r="AE45" s="2">
        <v>200240.4518572244</v>
      </c>
      <c r="AF45" s="2">
        <v>173700.66418158775</v>
      </c>
      <c r="AG45" s="2">
        <v>192495.79733312569</v>
      </c>
      <c r="AH45" s="2">
        <v>270575.29102683475</v>
      </c>
      <c r="AI45" s="2">
        <v>290713.10521994293</v>
      </c>
    </row>
    <row r="46" spans="1:35" x14ac:dyDescent="0.2">
      <c r="A46" s="1" t="s">
        <v>113</v>
      </c>
      <c r="B46" s="1" t="s">
        <v>122</v>
      </c>
      <c r="C46" s="1" t="s">
        <v>123</v>
      </c>
      <c r="D46" s="2">
        <v>197157.84959448822</v>
      </c>
      <c r="E46" s="2">
        <v>437879.02525710285</v>
      </c>
      <c r="F46" s="2">
        <v>1041582.8516030156</v>
      </c>
      <c r="G46" s="2">
        <v>1252240.7641150497</v>
      </c>
      <c r="H46" s="2">
        <v>1484413.2621538148</v>
      </c>
      <c r="I46" s="2">
        <v>2666551.761954796</v>
      </c>
      <c r="J46" s="2">
        <v>5153529.8461949388</v>
      </c>
      <c r="K46" s="2">
        <v>6127479.5339461258</v>
      </c>
      <c r="L46" s="2">
        <v>6126859.3927634433</v>
      </c>
      <c r="M46" s="2">
        <v>5813525.208571</v>
      </c>
      <c r="N46" s="2">
        <v>5691878.9536524406</v>
      </c>
      <c r="O46" s="2">
        <v>5593362.2478560731</v>
      </c>
      <c r="P46" s="2">
        <v>3557882.7501467159</v>
      </c>
      <c r="Q46" s="2">
        <v>3936926.0519100321</v>
      </c>
      <c r="R46" s="2">
        <v>4959149.6646189382</v>
      </c>
      <c r="S46" s="2">
        <v>4387359.7056993982</v>
      </c>
      <c r="T46" s="2">
        <v>4372022.2880512411</v>
      </c>
      <c r="U46" s="2">
        <v>4447960.7864322141</v>
      </c>
      <c r="V46" s="2">
        <v>4932318.9825341301</v>
      </c>
      <c r="W46" s="2">
        <v>4780730.6831211485</v>
      </c>
      <c r="X46" s="2">
        <v>5128708.0989999985</v>
      </c>
      <c r="Y46" s="2">
        <v>6850821.9383141734</v>
      </c>
      <c r="Z46" s="2">
        <v>6493040.0476852069</v>
      </c>
      <c r="AA46" s="2">
        <v>5896671.9646792589</v>
      </c>
      <c r="AB46" s="2">
        <v>5544382.4948347649</v>
      </c>
      <c r="AC46" s="2">
        <v>4619260.5876726601</v>
      </c>
      <c r="AD46" s="2">
        <v>6131431.3556634421</v>
      </c>
      <c r="AE46" s="2">
        <v>5532122.6853910871</v>
      </c>
      <c r="AF46" s="2">
        <v>5140098.0200394364</v>
      </c>
      <c r="AG46" s="2">
        <v>4459836.6715240916</v>
      </c>
      <c r="AH46" s="2">
        <v>6333856.1490012119</v>
      </c>
      <c r="AI46" s="2">
        <v>8196146.5500372648</v>
      </c>
    </row>
    <row r="47" spans="1:35" x14ac:dyDescent="0.2">
      <c r="A47" s="1" t="s">
        <v>113</v>
      </c>
      <c r="B47" s="1" t="s">
        <v>124</v>
      </c>
      <c r="C47" s="1" t="s">
        <v>125</v>
      </c>
      <c r="D47" s="2">
        <v>49186.857489435701</v>
      </c>
      <c r="E47" s="2">
        <v>112784.22904231028</v>
      </c>
      <c r="F47" s="2">
        <v>218602.17751472531</v>
      </c>
      <c r="G47" s="2">
        <v>291913.24205126998</v>
      </c>
      <c r="H47" s="2">
        <v>338613.14202120446</v>
      </c>
      <c r="I47" s="2">
        <v>555424.6060345521</v>
      </c>
      <c r="J47" s="2">
        <v>1037553.8331400019</v>
      </c>
      <c r="K47" s="2">
        <v>929127.27478251397</v>
      </c>
      <c r="L47" s="2">
        <v>853265.78721747035</v>
      </c>
      <c r="M47" s="2">
        <v>732157.61930450681</v>
      </c>
      <c r="N47" s="2">
        <v>728573.20766083116</v>
      </c>
      <c r="O47" s="2">
        <v>652226.84249924927</v>
      </c>
      <c r="P47" s="2">
        <v>492569.0474504439</v>
      </c>
      <c r="Q47" s="2">
        <v>561278.60212748754</v>
      </c>
      <c r="R47" s="2">
        <v>739845.89371677919</v>
      </c>
      <c r="S47" s="2">
        <v>627081.73807362164</v>
      </c>
      <c r="T47" s="2">
        <v>646189.01954678411</v>
      </c>
      <c r="U47" s="2">
        <v>862046.69568739447</v>
      </c>
      <c r="V47" s="2">
        <v>757699.49519036408</v>
      </c>
      <c r="W47" s="2">
        <v>675290.04230452224</v>
      </c>
      <c r="X47" s="2">
        <v>829928.14099999983</v>
      </c>
      <c r="Y47" s="2">
        <v>900758.28720979032</v>
      </c>
      <c r="Z47" s="2">
        <v>890831.42444627965</v>
      </c>
      <c r="AA47" s="2">
        <v>1014098.692883493</v>
      </c>
      <c r="AB47" s="2">
        <v>835964.88019674737</v>
      </c>
      <c r="AC47" s="2">
        <v>840592.00467857649</v>
      </c>
      <c r="AD47" s="2">
        <v>984558.04869694728</v>
      </c>
      <c r="AE47" s="2">
        <v>756868.81513752183</v>
      </c>
      <c r="AF47" s="2">
        <v>764916.42872197274</v>
      </c>
      <c r="AG47" s="2">
        <v>795176.83863276348</v>
      </c>
      <c r="AH47" s="2">
        <v>953997.27112243406</v>
      </c>
      <c r="AI47" s="2">
        <v>1159054.4594305835</v>
      </c>
    </row>
    <row r="48" spans="1:35" x14ac:dyDescent="0.2">
      <c r="A48" s="1" t="s">
        <v>113</v>
      </c>
      <c r="B48" s="1" t="s">
        <v>126</v>
      </c>
      <c r="C48" s="1" t="s">
        <v>127</v>
      </c>
      <c r="D48" s="2">
        <v>193829.5875945109</v>
      </c>
      <c r="E48" s="2">
        <v>303847.53524098016</v>
      </c>
      <c r="F48" s="2">
        <v>507370.56764377106</v>
      </c>
      <c r="G48" s="2">
        <v>546973.14839133015</v>
      </c>
      <c r="H48" s="2">
        <v>1199665.6483808779</v>
      </c>
      <c r="I48" s="2">
        <v>1175559.9030682878</v>
      </c>
      <c r="J48" s="2">
        <v>1979984.2723742654</v>
      </c>
      <c r="K48" s="2">
        <v>1940040.4054393999</v>
      </c>
      <c r="L48" s="2">
        <v>1445645.4847127439</v>
      </c>
      <c r="M48" s="2">
        <v>1159018.8561666466</v>
      </c>
      <c r="N48" s="2">
        <v>1189100.7219416474</v>
      </c>
      <c r="O48" s="2">
        <v>1052306.2333054189</v>
      </c>
      <c r="P48" s="2">
        <v>653122.0674711254</v>
      </c>
      <c r="Q48" s="2">
        <v>822260.45758591895</v>
      </c>
      <c r="R48" s="2">
        <v>964531.02489227278</v>
      </c>
      <c r="S48" s="2">
        <v>907435.65459523594</v>
      </c>
      <c r="T48" s="2">
        <v>858925.79716688779</v>
      </c>
      <c r="U48" s="2">
        <v>883493.40464821807</v>
      </c>
      <c r="V48" s="2">
        <v>853778.59228113899</v>
      </c>
      <c r="W48" s="2">
        <v>849739.09203222778</v>
      </c>
      <c r="X48" s="2">
        <v>862540.28200000012</v>
      </c>
      <c r="Y48" s="2">
        <v>913115.94781616039</v>
      </c>
      <c r="Z48" s="2">
        <v>849609.5833984951</v>
      </c>
      <c r="AA48" s="2">
        <v>1016915.2987314879</v>
      </c>
      <c r="AB48" s="2">
        <v>992284.14256171219</v>
      </c>
      <c r="AC48" s="2">
        <v>856253.77387349366</v>
      </c>
      <c r="AD48" s="2">
        <v>994941.56401788013</v>
      </c>
      <c r="AE48" s="2">
        <v>782655.66149735998</v>
      </c>
      <c r="AF48" s="2">
        <v>735576.50101419399</v>
      </c>
      <c r="AG48" s="2">
        <v>740682.83866210433</v>
      </c>
      <c r="AH48" s="2">
        <v>908799.71659908374</v>
      </c>
      <c r="AI48" s="2">
        <v>992669.31849786092</v>
      </c>
    </row>
    <row r="49" spans="1:35" x14ac:dyDescent="0.2">
      <c r="A49" s="1" t="s">
        <v>113</v>
      </c>
      <c r="B49" s="1" t="s">
        <v>128</v>
      </c>
      <c r="C49" s="1" t="s">
        <v>129</v>
      </c>
      <c r="D49" s="2">
        <v>170922.34113698889</v>
      </c>
      <c r="E49" s="2">
        <v>339615.83998916618</v>
      </c>
      <c r="F49" s="2">
        <v>854821.9306887947</v>
      </c>
      <c r="G49" s="2">
        <v>991966.3696037163</v>
      </c>
      <c r="H49" s="2">
        <v>890894.56811969134</v>
      </c>
      <c r="I49" s="2">
        <v>1642076.3206707309</v>
      </c>
      <c r="J49" s="2">
        <v>3097578.5143067883</v>
      </c>
      <c r="K49" s="2">
        <v>3137452.9015789879</v>
      </c>
      <c r="L49" s="2">
        <v>1754112.8323822529</v>
      </c>
      <c r="M49" s="2">
        <v>1167814.2714320493</v>
      </c>
      <c r="N49" s="2">
        <v>1118056.6908069949</v>
      </c>
      <c r="O49" s="2">
        <v>1038541.4322260662</v>
      </c>
      <c r="P49" s="2">
        <v>730861.84598224703</v>
      </c>
      <c r="Q49" s="2">
        <v>796213.06468327437</v>
      </c>
      <c r="R49" s="2">
        <v>837865.04934122192</v>
      </c>
      <c r="S49" s="2">
        <v>865443.44143123575</v>
      </c>
      <c r="T49" s="2">
        <v>917012.793974097</v>
      </c>
      <c r="U49" s="2">
        <v>830583.88271015452</v>
      </c>
      <c r="V49" s="2">
        <v>886298.94219192292</v>
      </c>
      <c r="W49" s="2">
        <v>823004.35909258819</v>
      </c>
      <c r="X49" s="2">
        <v>749453.76600000006</v>
      </c>
      <c r="Y49" s="2">
        <v>922644.73856996675</v>
      </c>
      <c r="Z49" s="2">
        <v>882120.91352321499</v>
      </c>
      <c r="AA49" s="2">
        <v>911039.98270722968</v>
      </c>
      <c r="AB49" s="2">
        <v>948700.25678443327</v>
      </c>
      <c r="AC49" s="2">
        <v>831133.52938315645</v>
      </c>
      <c r="AD49" s="2">
        <v>903997.51835796086</v>
      </c>
      <c r="AE49" s="2">
        <v>770430.75898966298</v>
      </c>
      <c r="AF49" s="2">
        <v>645515.30261822732</v>
      </c>
      <c r="AG49" s="2">
        <v>579877.02135047794</v>
      </c>
      <c r="AH49" s="2">
        <v>860436.41238414042</v>
      </c>
      <c r="AI49" s="2">
        <v>1025768.4520687553</v>
      </c>
    </row>
    <row r="50" spans="1:35" x14ac:dyDescent="0.2">
      <c r="A50" s="1" t="s">
        <v>113</v>
      </c>
      <c r="B50" s="1" t="s">
        <v>130</v>
      </c>
      <c r="C50" s="1" t="s">
        <v>131</v>
      </c>
      <c r="D50" s="2">
        <v>133743.20852982681</v>
      </c>
      <c r="E50" s="2">
        <v>251554.17183668449</v>
      </c>
      <c r="F50" s="2">
        <v>407793.85962873371</v>
      </c>
      <c r="G50" s="2">
        <v>410786.05231252767</v>
      </c>
      <c r="H50" s="2">
        <v>495429.38275028608</v>
      </c>
      <c r="I50" s="2">
        <v>864465.09116482828</v>
      </c>
      <c r="J50" s="2">
        <v>1826340.0333556545</v>
      </c>
      <c r="K50" s="2">
        <v>2102386.9350985633</v>
      </c>
      <c r="L50" s="2">
        <v>1688108.6411343922</v>
      </c>
      <c r="M50" s="2">
        <v>1385165.7773846029</v>
      </c>
      <c r="N50" s="2">
        <v>1285275.4969782154</v>
      </c>
      <c r="O50" s="2">
        <v>1203719.1765890799</v>
      </c>
      <c r="P50" s="2">
        <v>753773.49257781915</v>
      </c>
      <c r="Q50" s="2">
        <v>814161.07742109895</v>
      </c>
      <c r="R50" s="2">
        <v>957227.99382536719</v>
      </c>
      <c r="S50" s="2">
        <v>920296.05606080755</v>
      </c>
      <c r="T50" s="2">
        <v>926856.16389760224</v>
      </c>
      <c r="U50" s="2">
        <v>1003143.1680006005</v>
      </c>
      <c r="V50" s="2">
        <v>898407.73202305695</v>
      </c>
      <c r="W50" s="2">
        <v>910540.07140614884</v>
      </c>
      <c r="X50" s="2">
        <v>931443.52500000002</v>
      </c>
      <c r="Y50" s="2">
        <v>1235614.6083363309</v>
      </c>
      <c r="Z50" s="2">
        <v>1071844.015134102</v>
      </c>
      <c r="AA50" s="2">
        <v>1106740.382609701</v>
      </c>
      <c r="AB50" s="2">
        <v>1092268.632297294</v>
      </c>
      <c r="AC50" s="2">
        <v>1010078.2497483541</v>
      </c>
      <c r="AD50" s="2">
        <v>1325230.2755537578</v>
      </c>
      <c r="AE50" s="2">
        <v>1002030.7965769129</v>
      </c>
      <c r="AF50" s="2">
        <v>931177.58067651105</v>
      </c>
      <c r="AG50" s="2">
        <v>887504.29554120183</v>
      </c>
      <c r="AH50" s="2">
        <v>1250950.8192061079</v>
      </c>
      <c r="AI50" s="2">
        <v>1690829.3911211747</v>
      </c>
    </row>
    <row r="51" spans="1:35" x14ac:dyDescent="0.2">
      <c r="A51" s="1" t="s">
        <v>113</v>
      </c>
      <c r="B51" s="1" t="s">
        <v>132</v>
      </c>
      <c r="C51" s="1" t="s">
        <v>133</v>
      </c>
      <c r="D51" s="2">
        <v>697271.04135532398</v>
      </c>
      <c r="E51" s="2">
        <v>949272.73498084734</v>
      </c>
      <c r="F51" s="2">
        <v>1556767.001919732</v>
      </c>
      <c r="G51" s="2">
        <v>1694494.6005695038</v>
      </c>
      <c r="H51" s="2">
        <v>2092836.4821703339</v>
      </c>
      <c r="I51" s="2">
        <v>3830742.6698000696</v>
      </c>
      <c r="J51" s="2">
        <v>5357945.1184250861</v>
      </c>
      <c r="K51" s="2">
        <v>13195629.378660128</v>
      </c>
      <c r="L51" s="2">
        <v>7143012.6493972111</v>
      </c>
      <c r="M51" s="2">
        <v>4794259.1162242647</v>
      </c>
      <c r="N51" s="2">
        <v>4768728.6403214838</v>
      </c>
      <c r="O51" s="2">
        <v>4070925.198085757</v>
      </c>
      <c r="P51" s="2">
        <v>2679629.4749356071</v>
      </c>
      <c r="Q51" s="2">
        <v>2306202.4310879135</v>
      </c>
      <c r="R51" s="2">
        <v>3562768.5715888962</v>
      </c>
      <c r="S51" s="2">
        <v>2861745.5722912378</v>
      </c>
      <c r="T51" s="2">
        <v>3742145.1918572499</v>
      </c>
      <c r="U51" s="2">
        <v>2886790.3480819925</v>
      </c>
      <c r="V51" s="2">
        <v>3282964.9067581198</v>
      </c>
      <c r="W51" s="2">
        <v>2780458.9193173968</v>
      </c>
      <c r="X51" s="2">
        <v>3291002.0340000014</v>
      </c>
      <c r="Y51" s="2">
        <v>4319960.9505144423</v>
      </c>
      <c r="Z51" s="2">
        <v>3684359.9637755393</v>
      </c>
      <c r="AA51" s="2">
        <v>3002871.5333244898</v>
      </c>
      <c r="AB51" s="2">
        <v>3399152.8717573592</v>
      </c>
      <c r="AC51" s="2">
        <v>3014338.9150968189</v>
      </c>
      <c r="AD51" s="2">
        <v>4193785.4437396247</v>
      </c>
      <c r="AE51" s="2">
        <v>3126978.6728973719</v>
      </c>
      <c r="AF51" s="2">
        <v>2829039.0790375974</v>
      </c>
      <c r="AG51" s="2">
        <v>2243078.1532665873</v>
      </c>
      <c r="AH51" s="2">
        <v>3655640.8810326508</v>
      </c>
      <c r="AI51" s="2">
        <v>4700368.9788341541</v>
      </c>
    </row>
    <row r="52" spans="1:35" x14ac:dyDescent="0.2">
      <c r="A52" s="1" t="s">
        <v>113</v>
      </c>
      <c r="B52" s="1" t="s">
        <v>134</v>
      </c>
      <c r="C52" s="1" t="s">
        <v>135</v>
      </c>
      <c r="D52" s="2">
        <v>89189.005388660706</v>
      </c>
      <c r="E52" s="2">
        <v>134188.7088037924</v>
      </c>
      <c r="F52" s="2">
        <v>197230.02909329612</v>
      </c>
      <c r="G52" s="2">
        <v>207858.97137115421</v>
      </c>
      <c r="H52" s="2">
        <v>250389.42352856023</v>
      </c>
      <c r="I52" s="2">
        <v>419792.72359016037</v>
      </c>
      <c r="J52" s="2">
        <v>780533.91134809831</v>
      </c>
      <c r="K52" s="2">
        <v>904319.34713806387</v>
      </c>
      <c r="L52" s="2">
        <v>713045.92162845947</v>
      </c>
      <c r="M52" s="2">
        <v>683123.01184271928</v>
      </c>
      <c r="N52" s="2">
        <v>627261.88952256809</v>
      </c>
      <c r="O52" s="2">
        <v>613143.71933587478</v>
      </c>
      <c r="P52" s="2">
        <v>415146.79624964838</v>
      </c>
      <c r="Q52" s="2">
        <v>420865.47041997331</v>
      </c>
      <c r="R52" s="2">
        <v>533524.52996572573</v>
      </c>
      <c r="S52" s="2">
        <v>475350.71125043998</v>
      </c>
      <c r="T52" s="2">
        <v>491829.9222432067</v>
      </c>
      <c r="U52" s="2">
        <v>438856.12247904512</v>
      </c>
      <c r="V52" s="2">
        <v>439620.11650851747</v>
      </c>
      <c r="W52" s="2">
        <v>443481.61391419033</v>
      </c>
      <c r="X52" s="2">
        <v>464250.60600000003</v>
      </c>
      <c r="Y52" s="2">
        <v>571907.99133407394</v>
      </c>
      <c r="Z52" s="2">
        <v>530213.33524257119</v>
      </c>
      <c r="AA52" s="2">
        <v>570380.27692232258</v>
      </c>
      <c r="AB52" s="2">
        <v>579234.45970387722</v>
      </c>
      <c r="AC52" s="2">
        <v>551395.47813624667</v>
      </c>
      <c r="AD52" s="2">
        <v>805962.77756526484</v>
      </c>
      <c r="AE52" s="2">
        <v>592156.33603016578</v>
      </c>
      <c r="AF52" s="2">
        <v>558240.99328779406</v>
      </c>
      <c r="AG52" s="2">
        <v>624510.78020134685</v>
      </c>
      <c r="AH52" s="2">
        <v>808385.4504187631</v>
      </c>
      <c r="AI52" s="2">
        <v>1032710.7983115843</v>
      </c>
    </row>
    <row r="53" spans="1:35" x14ac:dyDescent="0.2">
      <c r="A53" s="1" t="s">
        <v>113</v>
      </c>
      <c r="B53" s="1" t="s">
        <v>136</v>
      </c>
      <c r="C53" s="1" t="s">
        <v>137</v>
      </c>
      <c r="D53" s="2">
        <v>919170.74015268276</v>
      </c>
      <c r="E53" s="2">
        <v>921169.32169053738</v>
      </c>
      <c r="F53" s="2">
        <v>1522164.7612818554</v>
      </c>
      <c r="G53" s="2">
        <v>1562544.1280668548</v>
      </c>
      <c r="H53" s="2">
        <v>1203974.1344521886</v>
      </c>
      <c r="I53" s="2">
        <v>2142702.2475347086</v>
      </c>
      <c r="J53" s="2">
        <v>3786939.8076605485</v>
      </c>
      <c r="K53" s="2">
        <v>3548435.1106601083</v>
      </c>
      <c r="L53" s="2">
        <v>3098650.0164339133</v>
      </c>
      <c r="M53" s="2">
        <v>1854947.9452799144</v>
      </c>
      <c r="N53" s="2">
        <v>1894305.5032166687</v>
      </c>
      <c r="O53" s="2">
        <v>1562030.5264194298</v>
      </c>
      <c r="P53" s="2">
        <v>1088870.2902566718</v>
      </c>
      <c r="Q53" s="2">
        <v>1162984.9761984358</v>
      </c>
      <c r="R53" s="2">
        <v>1400704.1752917317</v>
      </c>
      <c r="S53" s="2">
        <v>1320388.4377869142</v>
      </c>
      <c r="T53" s="2">
        <v>1405986.8282677059</v>
      </c>
      <c r="U53" s="2">
        <v>1368403.9358318874</v>
      </c>
      <c r="V53" s="2">
        <v>1421502.6415372409</v>
      </c>
      <c r="W53" s="2">
        <v>1353517.8778467928</v>
      </c>
      <c r="X53" s="2">
        <v>1466777.9850000001</v>
      </c>
      <c r="Y53" s="2">
        <v>2183777.56814034</v>
      </c>
      <c r="Z53" s="2">
        <v>1608089.6730501393</v>
      </c>
      <c r="AA53" s="2">
        <v>1456868.7114940817</v>
      </c>
      <c r="AB53" s="2">
        <v>1560316.0355757978</v>
      </c>
      <c r="AC53" s="2">
        <v>1479456.9316643476</v>
      </c>
      <c r="AD53" s="2">
        <v>1650991.1790072373</v>
      </c>
      <c r="AE53" s="2">
        <v>1365965.4955977141</v>
      </c>
      <c r="AF53" s="2">
        <v>1219720.4444278718</v>
      </c>
      <c r="AG53" s="2">
        <v>979090.64708540111</v>
      </c>
      <c r="AH53" s="2">
        <v>1575057.834597822</v>
      </c>
      <c r="AI53" s="2">
        <v>1809798.1078518748</v>
      </c>
    </row>
    <row r="54" spans="1:35" x14ac:dyDescent="0.2">
      <c r="A54" s="1" t="s">
        <v>138</v>
      </c>
      <c r="B54" s="1" t="s">
        <v>139</v>
      </c>
      <c r="C54" s="1" t="s">
        <v>140</v>
      </c>
      <c r="D54" s="2">
        <v>14217.61493338</v>
      </c>
      <c r="E54" s="2">
        <v>48647.650098730497</v>
      </c>
      <c r="F54" s="2">
        <v>84722.028145383607</v>
      </c>
      <c r="G54" s="2">
        <v>120818.95026289769</v>
      </c>
      <c r="H54" s="2">
        <v>592451.13721463329</v>
      </c>
      <c r="I54" s="2">
        <v>666355.2678516939</v>
      </c>
      <c r="J54" s="2">
        <v>1288834.3461003767</v>
      </c>
      <c r="K54" s="2">
        <v>612385.84738785052</v>
      </c>
      <c r="L54" s="2">
        <v>548646.28737150738</v>
      </c>
      <c r="M54" s="2">
        <v>403886.33085286617</v>
      </c>
      <c r="N54" s="2">
        <v>403402.87196198315</v>
      </c>
      <c r="O54" s="2">
        <v>502593.15704438317</v>
      </c>
      <c r="P54" s="2">
        <v>496857.07195173117</v>
      </c>
      <c r="Q54" s="2">
        <v>594981.56564989907</v>
      </c>
      <c r="R54" s="2">
        <v>527131.23498755263</v>
      </c>
      <c r="S54" s="2">
        <v>398632.70744079089</v>
      </c>
      <c r="T54" s="2">
        <v>383615.73747077514</v>
      </c>
      <c r="U54" s="2">
        <v>397485.94042439898</v>
      </c>
      <c r="V54" s="2">
        <v>553768.37999884726</v>
      </c>
      <c r="W54" s="2">
        <v>533571.19892985316</v>
      </c>
      <c r="X54" s="2">
        <v>456646.087</v>
      </c>
      <c r="Y54" s="2">
        <v>490918.61434625357</v>
      </c>
      <c r="Z54" s="2">
        <v>492174.67346298462</v>
      </c>
      <c r="AA54" s="2">
        <v>520509.34210759471</v>
      </c>
      <c r="AB54" s="2">
        <v>540710.27156445628</v>
      </c>
      <c r="AC54" s="2">
        <v>672540.04026255908</v>
      </c>
      <c r="AD54" s="2">
        <v>564077.21302645362</v>
      </c>
      <c r="AE54" s="2">
        <v>487312.10132392735</v>
      </c>
      <c r="AF54" s="2">
        <v>458739.85966669902</v>
      </c>
      <c r="AG54" s="2">
        <v>416125.88613185158</v>
      </c>
      <c r="AH54" s="2">
        <v>549718.00099732948</v>
      </c>
      <c r="AI54" s="2">
        <v>676149.87134094047</v>
      </c>
    </row>
    <row r="55" spans="1:35" x14ac:dyDescent="0.2">
      <c r="A55" s="1" t="s">
        <v>138</v>
      </c>
      <c r="B55" s="1" t="s">
        <v>141</v>
      </c>
      <c r="C55" s="1" t="s">
        <v>142</v>
      </c>
      <c r="D55" s="2">
        <v>15382.442254724201</v>
      </c>
      <c r="E55" s="2">
        <v>73984.819253384005</v>
      </c>
      <c r="F55" s="2">
        <v>122265.09207299839</v>
      </c>
      <c r="G55" s="2">
        <v>173736.73220978508</v>
      </c>
      <c r="H55" s="2">
        <v>369254.30484431743</v>
      </c>
      <c r="I55" s="2">
        <v>600879.56883770495</v>
      </c>
      <c r="J55" s="2">
        <v>1188956.1780718211</v>
      </c>
      <c r="K55" s="2">
        <v>742412.84542159352</v>
      </c>
      <c r="L55" s="2">
        <v>1288200.8731481149</v>
      </c>
      <c r="M55" s="2">
        <v>936369.03217053181</v>
      </c>
      <c r="N55" s="2">
        <v>1017098.7495366344</v>
      </c>
      <c r="O55" s="2">
        <v>1247434.4684007373</v>
      </c>
      <c r="P55" s="2">
        <v>1321866.4664519313</v>
      </c>
      <c r="Q55" s="2">
        <v>1675890.0330015076</v>
      </c>
      <c r="R55" s="2">
        <v>1570658.6525301172</v>
      </c>
      <c r="S55" s="2">
        <v>1019998.1283273658</v>
      </c>
      <c r="T55" s="2">
        <v>953152.52841067035</v>
      </c>
      <c r="U55" s="2">
        <v>1051227.1234357054</v>
      </c>
      <c r="V55" s="2">
        <v>1355466.1031804727</v>
      </c>
      <c r="W55" s="2">
        <v>1334637.1819120042</v>
      </c>
      <c r="X55" s="2">
        <v>1233719.852</v>
      </c>
      <c r="Y55" s="2">
        <v>1175064.5701051231</v>
      </c>
      <c r="Z55" s="2">
        <v>1525741.1890758194</v>
      </c>
      <c r="AA55" s="2">
        <v>1482121.6661970397</v>
      </c>
      <c r="AB55" s="2">
        <v>1476535.7097286291</v>
      </c>
      <c r="AC55" s="2">
        <v>1584295.4373336209</v>
      </c>
      <c r="AD55" s="2">
        <v>1631451.427223946</v>
      </c>
      <c r="AE55" s="2">
        <v>1417182.4399861272</v>
      </c>
      <c r="AF55" s="2">
        <v>1868256.877680494</v>
      </c>
      <c r="AG55" s="2">
        <v>1448148.5370449403</v>
      </c>
      <c r="AH55" s="2">
        <v>2313138.7338142996</v>
      </c>
      <c r="AI55" s="2">
        <v>2617982.8832042948</v>
      </c>
    </row>
    <row r="56" spans="1:35" x14ac:dyDescent="0.2">
      <c r="A56" s="1" t="s">
        <v>138</v>
      </c>
      <c r="B56" s="1" t="s">
        <v>143</v>
      </c>
      <c r="C56" s="1" t="s">
        <v>144</v>
      </c>
      <c r="D56" s="2">
        <v>9185.4580799452997</v>
      </c>
      <c r="E56" s="2">
        <v>26635.861777117498</v>
      </c>
      <c r="F56" s="2">
        <v>65882.992458459499</v>
      </c>
      <c r="G56" s="2">
        <v>81290.921188083288</v>
      </c>
      <c r="H56" s="2">
        <v>281340.33312226261</v>
      </c>
      <c r="I56" s="2">
        <v>401746.32224112866</v>
      </c>
      <c r="J56" s="2">
        <v>1292549.9808119382</v>
      </c>
      <c r="K56" s="2">
        <v>1183817.036417699</v>
      </c>
      <c r="L56" s="2">
        <v>2203768.7033763323</v>
      </c>
      <c r="M56" s="2">
        <v>1235497.8620508602</v>
      </c>
      <c r="N56" s="2">
        <v>1274088.6104037331</v>
      </c>
      <c r="O56" s="2">
        <v>1555411.6920521294</v>
      </c>
      <c r="P56" s="2">
        <v>2502620.9347977359</v>
      </c>
      <c r="Q56" s="2">
        <v>2973335.0513034295</v>
      </c>
      <c r="R56" s="2">
        <v>2657489.4423747617</v>
      </c>
      <c r="S56" s="2">
        <v>1689124.4929780704</v>
      </c>
      <c r="T56" s="2">
        <v>1557649.3454516823</v>
      </c>
      <c r="U56" s="2">
        <v>1501639.6191793308</v>
      </c>
      <c r="V56" s="2">
        <v>1845864.1194251426</v>
      </c>
      <c r="W56" s="2">
        <v>1883697.2228614455</v>
      </c>
      <c r="X56" s="2">
        <v>2350035.3230000003</v>
      </c>
      <c r="Y56" s="2">
        <v>2553552.3609947888</v>
      </c>
      <c r="Z56" s="2">
        <v>2357116.7837491194</v>
      </c>
      <c r="AA56" s="2">
        <v>2585253.1153655308</v>
      </c>
      <c r="AB56" s="2">
        <v>2904194.0998215103</v>
      </c>
      <c r="AC56" s="2">
        <v>2731621.9270494892</v>
      </c>
      <c r="AD56" s="2">
        <v>2978970.5428624689</v>
      </c>
      <c r="AE56" s="2">
        <v>3180438.9095369214</v>
      </c>
      <c r="AF56" s="2">
        <v>3186551.4447206901</v>
      </c>
      <c r="AG56" s="2">
        <v>2926634.0732796257</v>
      </c>
      <c r="AH56" s="2">
        <v>3715818.6216695611</v>
      </c>
      <c r="AI56" s="2">
        <v>4397924.4017270785</v>
      </c>
    </row>
    <row r="57" spans="1:35" x14ac:dyDescent="0.2">
      <c r="A57" s="1" t="s">
        <v>138</v>
      </c>
      <c r="B57" s="1" t="s">
        <v>145</v>
      </c>
      <c r="C57" s="1" t="s">
        <v>146</v>
      </c>
      <c r="D57" s="2">
        <v>19256.107981322199</v>
      </c>
      <c r="E57" s="2">
        <v>138737.94061710141</v>
      </c>
      <c r="F57" s="2">
        <v>161742.1976610964</v>
      </c>
      <c r="G57" s="2">
        <v>292889.2303011872</v>
      </c>
      <c r="H57" s="2">
        <v>717363.63469162653</v>
      </c>
      <c r="I57" s="2">
        <v>1401757.3532505515</v>
      </c>
      <c r="J57" s="2">
        <v>4546478.0955923293</v>
      </c>
      <c r="K57" s="2">
        <v>3436862.0788085526</v>
      </c>
      <c r="L57" s="2">
        <v>2824236.6269621034</v>
      </c>
      <c r="M57" s="2">
        <v>1829094.6605332787</v>
      </c>
      <c r="N57" s="2">
        <v>1741884.3088042666</v>
      </c>
      <c r="O57" s="2">
        <v>2274265.5690446375</v>
      </c>
      <c r="P57" s="2">
        <v>2715871.5142348921</v>
      </c>
      <c r="Q57" s="2">
        <v>4086771.9339406658</v>
      </c>
      <c r="R57" s="2">
        <v>2860894.7671214812</v>
      </c>
      <c r="S57" s="2">
        <v>1916500.1763696703</v>
      </c>
      <c r="T57" s="2">
        <v>1975024.6233388437</v>
      </c>
      <c r="U57" s="2">
        <v>2477111.4165182482</v>
      </c>
      <c r="V57" s="2">
        <v>3163859.642572863</v>
      </c>
      <c r="W57" s="2">
        <v>2719455.9656961192</v>
      </c>
      <c r="X57" s="2">
        <v>3111211.0630000001</v>
      </c>
      <c r="Y57" s="2">
        <v>3604812.7380680339</v>
      </c>
      <c r="Z57" s="2">
        <v>3897480.9047520962</v>
      </c>
      <c r="AA57" s="2">
        <v>3936899.1437639194</v>
      </c>
      <c r="AB57" s="2">
        <v>3944554.1977631822</v>
      </c>
      <c r="AC57" s="2">
        <v>4233464.9489157833</v>
      </c>
      <c r="AD57" s="2">
        <v>4791738.916513552</v>
      </c>
      <c r="AE57" s="2">
        <v>4076708.2059726655</v>
      </c>
      <c r="AF57" s="2">
        <v>5032803.6694223126</v>
      </c>
      <c r="AG57" s="2">
        <v>4173312.6394678615</v>
      </c>
      <c r="AH57" s="2">
        <v>6912564.0582011892</v>
      </c>
      <c r="AI57" s="2">
        <v>7534962.2271591686</v>
      </c>
    </row>
    <row r="58" spans="1:35" x14ac:dyDescent="0.2">
      <c r="A58" s="1" t="s">
        <v>147</v>
      </c>
      <c r="B58" s="1" t="s">
        <v>148</v>
      </c>
      <c r="C58" s="1" t="s">
        <v>149</v>
      </c>
      <c r="D58" s="2">
        <v>1000.1113511955</v>
      </c>
      <c r="E58" s="2">
        <v>956.36560760559996</v>
      </c>
      <c r="F58" s="2">
        <v>2442.1933515661999</v>
      </c>
      <c r="G58" s="2">
        <v>3111.5973749399</v>
      </c>
      <c r="H58" s="2">
        <v>-7270.6000890545001</v>
      </c>
      <c r="I58" s="2">
        <v>1002.1829229013001</v>
      </c>
      <c r="J58" s="2">
        <v>186484.5041358704</v>
      </c>
      <c r="K58" s="2">
        <v>428036.33381779608</v>
      </c>
      <c r="L58" s="2">
        <v>2130266.5761168515</v>
      </c>
      <c r="M58" s="2">
        <v>2862114.0001829052</v>
      </c>
      <c r="N58" s="2">
        <v>4142411.8529858594</v>
      </c>
      <c r="O58" s="2">
        <v>3968174.4064760422</v>
      </c>
      <c r="P58" s="2">
        <v>3843478.8863186501</v>
      </c>
      <c r="Q58" s="2">
        <v>5817387.0137424227</v>
      </c>
      <c r="R58" s="2">
        <v>7511125.0394583335</v>
      </c>
      <c r="S58" s="2">
        <v>6023432.2519032666</v>
      </c>
      <c r="T58" s="2">
        <v>2794677.1955971788</v>
      </c>
      <c r="U58" s="2">
        <v>4329108.1493733106</v>
      </c>
      <c r="V58" s="2">
        <v>6482871.2751959758</v>
      </c>
      <c r="W58" s="2">
        <v>5926883.0823824396</v>
      </c>
      <c r="X58" s="2">
        <v>3829637.8879999993</v>
      </c>
      <c r="Y58" s="2">
        <v>6538386.5012690499</v>
      </c>
      <c r="Z58" s="2">
        <v>8101769.9611996347</v>
      </c>
      <c r="AA58" s="2">
        <v>7696710.0194571577</v>
      </c>
      <c r="AB58" s="2">
        <v>7259157.6256371653</v>
      </c>
      <c r="AC58" s="2">
        <v>6819189.7718623597</v>
      </c>
      <c r="AD58" s="2">
        <v>8724884.1697549094</v>
      </c>
      <c r="AE58" s="2">
        <v>7572452.6723596696</v>
      </c>
      <c r="AF58" s="2">
        <v>8426682.9123464599</v>
      </c>
      <c r="AG58" s="2">
        <v>8750513.6557172388</v>
      </c>
      <c r="AH58" s="2">
        <v>14568008.564451164</v>
      </c>
      <c r="AI58" s="2">
        <v>22914318.351932149</v>
      </c>
    </row>
    <row r="59" spans="1:35" x14ac:dyDescent="0.2">
      <c r="A59" s="1" t="s">
        <v>147</v>
      </c>
      <c r="B59" s="1" t="s">
        <v>150</v>
      </c>
      <c r="C59" s="1" t="s">
        <v>151</v>
      </c>
      <c r="D59" s="2">
        <v>1303.7355532587001</v>
      </c>
      <c r="E59" s="2">
        <v>4047.8461016921001</v>
      </c>
      <c r="F59" s="2">
        <v>7489.3843016845003</v>
      </c>
      <c r="G59" s="2">
        <v>9698.6901789198</v>
      </c>
      <c r="H59" s="2">
        <v>-13198.9249733335</v>
      </c>
      <c r="I59" s="2">
        <v>10565.527815458303</v>
      </c>
      <c r="J59" s="2">
        <v>293263.96138428641</v>
      </c>
      <c r="K59" s="2">
        <v>273999.6909969332</v>
      </c>
      <c r="L59" s="2">
        <v>607587.13588064618</v>
      </c>
      <c r="M59" s="2">
        <v>708882.13553612959</v>
      </c>
      <c r="N59" s="2">
        <v>966591.6059127145</v>
      </c>
      <c r="O59" s="2">
        <v>908704.6769971709</v>
      </c>
      <c r="P59" s="2">
        <v>794416.79262577253</v>
      </c>
      <c r="Q59" s="2">
        <v>1108838.9129130351</v>
      </c>
      <c r="R59" s="2">
        <v>1424496.6705599574</v>
      </c>
      <c r="S59" s="2">
        <v>1161269.4269562846</v>
      </c>
      <c r="T59" s="2">
        <v>567241.33099966345</v>
      </c>
      <c r="U59" s="2">
        <v>804401.46725498594</v>
      </c>
      <c r="V59" s="2">
        <v>1141122.0434263442</v>
      </c>
      <c r="W59" s="2">
        <v>1145876.4727075598</v>
      </c>
      <c r="X59" s="2">
        <v>898297.99900000019</v>
      </c>
      <c r="Y59" s="2">
        <v>1406695.0924933257</v>
      </c>
      <c r="Z59" s="2">
        <v>1654523.5864338062</v>
      </c>
      <c r="AA59" s="2">
        <v>1735075.8598036924</v>
      </c>
      <c r="AB59" s="2">
        <v>1762808.0985997291</v>
      </c>
      <c r="AC59" s="2">
        <v>1700099.7460960024</v>
      </c>
      <c r="AD59" s="2">
        <v>1979286.2839305527</v>
      </c>
      <c r="AE59" s="2">
        <v>1700063.0614582754</v>
      </c>
      <c r="AF59" s="2">
        <v>1985487.755648735</v>
      </c>
      <c r="AG59" s="2">
        <v>1965972.73320483</v>
      </c>
      <c r="AH59" s="2">
        <v>3528039.3739186418</v>
      </c>
      <c r="AI59" s="2">
        <v>5635696.8189870603</v>
      </c>
    </row>
    <row r="60" spans="1:35" x14ac:dyDescent="0.2">
      <c r="A60" s="1" t="s">
        <v>147</v>
      </c>
      <c r="B60" s="1" t="s">
        <v>152</v>
      </c>
      <c r="C60" s="1" t="s">
        <v>153</v>
      </c>
      <c r="D60" s="2">
        <v>24.7131127014</v>
      </c>
      <c r="E60" s="2">
        <v>3099.30098985</v>
      </c>
      <c r="F60" s="2">
        <v>4872.7314618757991</v>
      </c>
      <c r="G60" s="2">
        <v>6081.4724435623002</v>
      </c>
      <c r="H60" s="2">
        <v>39978.476565438694</v>
      </c>
      <c r="I60" s="2">
        <v>128968.9613240965</v>
      </c>
      <c r="J60" s="2">
        <v>823897.58472745086</v>
      </c>
      <c r="K60" s="2">
        <v>600746.01720005157</v>
      </c>
      <c r="L60" s="2">
        <v>819419.20508863451</v>
      </c>
      <c r="M60" s="2">
        <v>474593.10945264675</v>
      </c>
      <c r="N60" s="2">
        <v>631971.58024053241</v>
      </c>
      <c r="O60" s="2">
        <v>602149.89759864856</v>
      </c>
      <c r="P60" s="2">
        <v>731883.07142774621</v>
      </c>
      <c r="Q60" s="2">
        <v>1012362.2767711249</v>
      </c>
      <c r="R60" s="2">
        <v>1001586.4921068065</v>
      </c>
      <c r="S60" s="2">
        <v>757603.48555013794</v>
      </c>
      <c r="T60" s="2">
        <v>567903.96314445732</v>
      </c>
      <c r="U60" s="2">
        <v>778252.87175657868</v>
      </c>
      <c r="V60" s="2">
        <v>894790.47517657769</v>
      </c>
      <c r="W60" s="2">
        <v>896266.39370906109</v>
      </c>
      <c r="X60" s="2">
        <v>1144894.5439999998</v>
      </c>
      <c r="Y60" s="2">
        <v>1384465.5116736668</v>
      </c>
      <c r="Z60" s="2">
        <v>1424900.9190634238</v>
      </c>
      <c r="AA60" s="2">
        <v>1504368.3828383875</v>
      </c>
      <c r="AB60" s="2">
        <v>1333713.7803851981</v>
      </c>
      <c r="AC60" s="2">
        <v>1303438.6232837837</v>
      </c>
      <c r="AD60" s="2">
        <v>1199518.833663207</v>
      </c>
      <c r="AE60" s="2">
        <v>1126066.0109831407</v>
      </c>
      <c r="AF60" s="2">
        <v>1114808.3305660707</v>
      </c>
      <c r="AG60" s="2">
        <v>1137821.4817509863</v>
      </c>
      <c r="AH60" s="2">
        <v>1389888.6548540064</v>
      </c>
      <c r="AI60" s="2">
        <v>2024118.8908267107</v>
      </c>
    </row>
    <row r="61" spans="1:35" x14ac:dyDescent="0.2">
      <c r="A61" s="1" t="s">
        <v>147</v>
      </c>
      <c r="B61" s="1" t="s">
        <v>154</v>
      </c>
      <c r="C61" s="1" t="s">
        <v>155</v>
      </c>
      <c r="D61" s="2">
        <v>20878.083575263299</v>
      </c>
      <c r="E61" s="2">
        <v>101607.04535607129</v>
      </c>
      <c r="F61" s="2">
        <v>132839.42009198861</v>
      </c>
      <c r="G61" s="2">
        <v>142732.36639379291</v>
      </c>
      <c r="H61" s="2">
        <v>306575.2963047318</v>
      </c>
      <c r="I61" s="2">
        <v>495951.57679445698</v>
      </c>
      <c r="J61" s="2">
        <v>539194.17101622559</v>
      </c>
      <c r="K61" s="2">
        <v>547821.79106120509</v>
      </c>
      <c r="L61" s="2">
        <v>406004.79433993599</v>
      </c>
      <c r="M61" s="2">
        <v>343401.51093160862</v>
      </c>
      <c r="N61" s="2">
        <v>468014.42508739384</v>
      </c>
      <c r="O61" s="2">
        <v>429106.10981527093</v>
      </c>
      <c r="P61" s="2">
        <v>334494.03493708704</v>
      </c>
      <c r="Q61" s="2">
        <v>479977.7351067214</v>
      </c>
      <c r="R61" s="2">
        <v>515666.15946031391</v>
      </c>
      <c r="S61" s="2">
        <v>458781.77528138371</v>
      </c>
      <c r="T61" s="2">
        <v>286849.06520051457</v>
      </c>
      <c r="U61" s="2">
        <v>332161.63267603068</v>
      </c>
      <c r="V61" s="2">
        <v>441334.77719810558</v>
      </c>
      <c r="W61" s="2">
        <v>442163.50705310621</v>
      </c>
      <c r="X61" s="2">
        <v>443865.35800000001</v>
      </c>
      <c r="Y61" s="2">
        <v>561376.33858054178</v>
      </c>
      <c r="Z61" s="2">
        <v>608372.14825839596</v>
      </c>
      <c r="AA61" s="2">
        <v>642090.74840781186</v>
      </c>
      <c r="AB61" s="2">
        <v>799439.34539644234</v>
      </c>
      <c r="AC61" s="2">
        <v>715328.72547889175</v>
      </c>
      <c r="AD61" s="2">
        <v>855094.9746568579</v>
      </c>
      <c r="AE61" s="2">
        <v>721885.44961719844</v>
      </c>
      <c r="AF61" s="2">
        <v>701012.4007168758</v>
      </c>
      <c r="AG61" s="2">
        <v>604948.74505252833</v>
      </c>
      <c r="AH61" s="2">
        <v>793215.28766093194</v>
      </c>
      <c r="AI61" s="2">
        <v>1231692.9329196168</v>
      </c>
    </row>
    <row r="62" spans="1:35" x14ac:dyDescent="0.2">
      <c r="A62" s="1" t="s">
        <v>147</v>
      </c>
      <c r="B62" s="1" t="s">
        <v>156</v>
      </c>
      <c r="C62" s="1" t="s">
        <v>157</v>
      </c>
      <c r="E62" s="2">
        <v>21542.3783223094</v>
      </c>
      <c r="F62" s="2">
        <v>43546.326531450803</v>
      </c>
      <c r="G62" s="2">
        <v>83852.834227217812</v>
      </c>
      <c r="H62" s="2">
        <v>290745.58511557739</v>
      </c>
      <c r="I62" s="2">
        <v>427462.7322775069</v>
      </c>
      <c r="J62" s="2">
        <v>663196.4129515636</v>
      </c>
      <c r="K62" s="2">
        <v>676073.70427999552</v>
      </c>
      <c r="L62" s="2">
        <v>1417182.9708141703</v>
      </c>
      <c r="M62" s="2">
        <v>1604815.7814186737</v>
      </c>
      <c r="N62" s="2">
        <v>2076890.3563435639</v>
      </c>
      <c r="O62" s="2">
        <v>1928369.5173537377</v>
      </c>
      <c r="P62" s="2">
        <v>1997118.8416728864</v>
      </c>
      <c r="Q62" s="2">
        <v>3090376.8434085627</v>
      </c>
      <c r="R62" s="2">
        <v>3830868.4818240991</v>
      </c>
      <c r="S62" s="2">
        <v>3630578.4971015975</v>
      </c>
      <c r="T62" s="2">
        <v>1327799.2151143125</v>
      </c>
      <c r="U62" s="2">
        <v>1981227.6402171012</v>
      </c>
      <c r="V62" s="2">
        <v>2480798.2734040637</v>
      </c>
      <c r="W62" s="2">
        <v>2313774.9950684486</v>
      </c>
      <c r="X62" s="2">
        <v>2056526.7430000005</v>
      </c>
      <c r="Y62" s="2">
        <v>2671082.1482568155</v>
      </c>
      <c r="Z62" s="2">
        <v>3119260.3486921126</v>
      </c>
      <c r="AA62" s="2">
        <v>3062938.5191117665</v>
      </c>
      <c r="AB62" s="2">
        <v>2920118.2859988157</v>
      </c>
      <c r="AC62" s="2">
        <v>2713659.1258442719</v>
      </c>
      <c r="AD62" s="2">
        <v>3153588.9304454378</v>
      </c>
      <c r="AE62" s="2">
        <v>2665523.1766121238</v>
      </c>
      <c r="AF62" s="2">
        <v>2812713.6128957774</v>
      </c>
      <c r="AG62" s="2">
        <v>2739874.9596226676</v>
      </c>
      <c r="AH62" s="2">
        <v>3997919.1624487541</v>
      </c>
      <c r="AI62" s="2">
        <v>6042081.3146108482</v>
      </c>
    </row>
    <row r="63" spans="1:35" x14ac:dyDescent="0.2">
      <c r="A63" s="1" t="s">
        <v>158</v>
      </c>
      <c r="B63" s="1" t="s">
        <v>159</v>
      </c>
      <c r="C63" s="1" t="s">
        <v>160</v>
      </c>
      <c r="D63" s="2">
        <v>24106.797295191202</v>
      </c>
      <c r="E63" s="2">
        <v>72250.626835406802</v>
      </c>
      <c r="F63" s="2">
        <v>55519.4307808866</v>
      </c>
      <c r="G63" s="2">
        <v>76561.741194329195</v>
      </c>
      <c r="H63" s="2">
        <v>341107.7984802521</v>
      </c>
      <c r="I63" s="2">
        <v>382848.38606664602</v>
      </c>
      <c r="J63" s="2">
        <v>767328.32329228113</v>
      </c>
      <c r="K63" s="2">
        <v>1672775.4346461634</v>
      </c>
      <c r="L63" s="2">
        <v>634641.26228224358</v>
      </c>
      <c r="M63" s="2">
        <v>496130.38165663037</v>
      </c>
      <c r="N63" s="2">
        <v>497091.30850378046</v>
      </c>
      <c r="O63" s="2">
        <v>602830.89107949822</v>
      </c>
      <c r="P63" s="2">
        <v>803999.7923840055</v>
      </c>
      <c r="Q63" s="2">
        <v>959970.40961793775</v>
      </c>
      <c r="R63" s="2">
        <v>946971.10050083324</v>
      </c>
      <c r="S63" s="2">
        <v>875247.06986107898</v>
      </c>
      <c r="T63" s="2">
        <v>921941.07398956118</v>
      </c>
      <c r="U63" s="2">
        <v>857944.94663035555</v>
      </c>
      <c r="V63" s="2">
        <v>887482.40553228464</v>
      </c>
      <c r="W63" s="2">
        <v>917031.61628790072</v>
      </c>
      <c r="X63" s="2">
        <v>1396925.5459999999</v>
      </c>
      <c r="Y63" s="2">
        <v>1178153.6593662179</v>
      </c>
      <c r="Z63" s="2">
        <v>1321141.5336411076</v>
      </c>
      <c r="AA63" s="2">
        <v>1975058.9305967991</v>
      </c>
      <c r="AB63" s="2">
        <v>1530871.7530378201</v>
      </c>
      <c r="AC63" s="2">
        <v>1187128.6525855325</v>
      </c>
      <c r="AD63" s="2">
        <v>1395303.7000878642</v>
      </c>
      <c r="AE63" s="2">
        <v>1313527.1624113561</v>
      </c>
      <c r="AF63" s="2">
        <v>980386.46385906579</v>
      </c>
      <c r="AG63" s="2">
        <v>1029038.5640370728</v>
      </c>
      <c r="AH63" s="2">
        <v>1163356.8102365837</v>
      </c>
      <c r="AI63" s="2">
        <v>1364882.2064827497</v>
      </c>
    </row>
    <row r="64" spans="1:35" x14ac:dyDescent="0.2">
      <c r="A64" s="1" t="s">
        <v>158</v>
      </c>
      <c r="B64" s="1" t="s">
        <v>161</v>
      </c>
      <c r="C64" s="1" t="s">
        <v>162</v>
      </c>
      <c r="D64" s="2">
        <v>43758.437691624706</v>
      </c>
      <c r="E64" s="2">
        <v>67651.769971902002</v>
      </c>
      <c r="F64" s="2">
        <v>36311.934972075105</v>
      </c>
      <c r="G64" s="2">
        <v>66892.397095594599</v>
      </c>
      <c r="H64" s="2">
        <v>204702.4436996734</v>
      </c>
      <c r="I64" s="2">
        <v>299633.73459634412</v>
      </c>
      <c r="J64" s="2">
        <v>653330.54256230162</v>
      </c>
      <c r="K64" s="2">
        <v>670316.21425345063</v>
      </c>
      <c r="L64" s="2">
        <v>617690.02949269081</v>
      </c>
      <c r="M64" s="2">
        <v>306203.21987479803</v>
      </c>
      <c r="N64" s="2">
        <v>327263.66100069042</v>
      </c>
      <c r="O64" s="2">
        <v>358487.38392411207</v>
      </c>
      <c r="P64" s="2">
        <v>439472.81118260458</v>
      </c>
      <c r="Q64" s="2">
        <v>398499.92139651172</v>
      </c>
      <c r="R64" s="2">
        <v>394862.96124583989</v>
      </c>
      <c r="S64" s="2">
        <v>400611.49574575084</v>
      </c>
      <c r="T64" s="2">
        <v>414605.53719520243</v>
      </c>
      <c r="U64" s="2">
        <v>401217.49884960201</v>
      </c>
      <c r="V64" s="2">
        <v>385093.983837904</v>
      </c>
      <c r="W64" s="2">
        <v>403166.85459526902</v>
      </c>
      <c r="X64" s="2">
        <v>512043.81</v>
      </c>
      <c r="Y64" s="2">
        <v>560470.3565326801</v>
      </c>
      <c r="Z64" s="2">
        <v>620871.01722043951</v>
      </c>
      <c r="AA64" s="2">
        <v>723688.9818806157</v>
      </c>
      <c r="AB64" s="2">
        <v>644409.27527908119</v>
      </c>
      <c r="AC64" s="2">
        <v>815633.27313952555</v>
      </c>
      <c r="AD64" s="2">
        <v>960372.64690835215</v>
      </c>
      <c r="AE64" s="2">
        <v>888628.8853479923</v>
      </c>
      <c r="AF64" s="2">
        <v>864650.63270408486</v>
      </c>
      <c r="AG64" s="2">
        <v>630276.11920243897</v>
      </c>
      <c r="AH64" s="2">
        <v>725045.86285507714</v>
      </c>
      <c r="AI64" s="2">
        <v>740698.56776478153</v>
      </c>
    </row>
    <row r="65" spans="1:35" x14ac:dyDescent="0.2">
      <c r="A65" s="1" t="s">
        <v>158</v>
      </c>
      <c r="B65" s="1" t="s">
        <v>163</v>
      </c>
      <c r="C65" s="1" t="s">
        <v>164</v>
      </c>
      <c r="D65" s="2">
        <v>31721.879727505999</v>
      </c>
      <c r="E65" s="2">
        <v>41298.350890723596</v>
      </c>
      <c r="F65" s="2">
        <v>25738.159158415099</v>
      </c>
      <c r="G65" s="2">
        <v>53567.249789846501</v>
      </c>
      <c r="H65" s="2">
        <v>162493.73541385011</v>
      </c>
      <c r="I65" s="2">
        <v>252747.64398973389</v>
      </c>
      <c r="J65" s="2">
        <v>335889.41185341298</v>
      </c>
      <c r="K65" s="2">
        <v>399505.61788329261</v>
      </c>
      <c r="L65" s="2">
        <v>375512.31990336685</v>
      </c>
      <c r="M65" s="2">
        <v>157155.67990914991</v>
      </c>
      <c r="N65" s="2">
        <v>149189.7300293695</v>
      </c>
      <c r="O65" s="2">
        <v>172196.06951357191</v>
      </c>
      <c r="P65" s="2">
        <v>361153.36893874058</v>
      </c>
      <c r="Q65" s="2">
        <v>374525.06615192967</v>
      </c>
      <c r="R65" s="2">
        <v>376220.3670906506</v>
      </c>
      <c r="S65" s="2">
        <v>414299.30647218047</v>
      </c>
      <c r="T65" s="2">
        <v>477967.78349168785</v>
      </c>
      <c r="U65" s="2">
        <v>426565.65959425812</v>
      </c>
      <c r="V65" s="2">
        <v>402003.79055567249</v>
      </c>
      <c r="W65" s="2">
        <v>399040.67651535373</v>
      </c>
      <c r="X65" s="2">
        <v>448584.06300000002</v>
      </c>
      <c r="Y65" s="2">
        <v>434758.43191228108</v>
      </c>
      <c r="Z65" s="2">
        <v>485829.7325367548</v>
      </c>
      <c r="AA65" s="2">
        <v>637180.71786455007</v>
      </c>
      <c r="AB65" s="2">
        <v>512371.98279412038</v>
      </c>
      <c r="AC65" s="2">
        <v>536927.48779725539</v>
      </c>
      <c r="AD65" s="2">
        <v>560516.73286158277</v>
      </c>
      <c r="AE65" s="2">
        <v>527530.42734847264</v>
      </c>
      <c r="AF65" s="2">
        <v>479727.90423671197</v>
      </c>
      <c r="AG65" s="2">
        <v>444771.09741278761</v>
      </c>
      <c r="AH65" s="2">
        <v>532308.75240162015</v>
      </c>
      <c r="AI65" s="2">
        <v>541389.62445578747</v>
      </c>
    </row>
    <row r="66" spans="1:35" x14ac:dyDescent="0.2">
      <c r="A66" s="1" t="s">
        <v>158</v>
      </c>
      <c r="B66" s="1" t="s">
        <v>165</v>
      </c>
      <c r="C66" s="1" t="s">
        <v>166</v>
      </c>
      <c r="D66" s="2">
        <v>132685.25100554409</v>
      </c>
      <c r="E66" s="2">
        <v>228895.33949193274</v>
      </c>
      <c r="F66" s="2">
        <v>165578.45982692359</v>
      </c>
      <c r="G66" s="2">
        <v>252197.80525136259</v>
      </c>
      <c r="H66" s="2">
        <v>797129.59983920096</v>
      </c>
      <c r="I66" s="2">
        <v>1398350.5459888726</v>
      </c>
      <c r="J66" s="2">
        <v>2648789.1699405061</v>
      </c>
      <c r="K66" s="2">
        <v>2652213.0338562438</v>
      </c>
      <c r="L66" s="2">
        <v>1761858.8260311075</v>
      </c>
      <c r="M66" s="2">
        <v>1071766.8788669908</v>
      </c>
      <c r="N66" s="2">
        <v>1082966.2987461316</v>
      </c>
      <c r="O66" s="2">
        <v>1248684.2556076793</v>
      </c>
      <c r="P66" s="2">
        <v>1787797.7762108291</v>
      </c>
      <c r="Q66" s="2">
        <v>1849557.6297248292</v>
      </c>
      <c r="R66" s="2">
        <v>1806403.7134060878</v>
      </c>
      <c r="S66" s="2">
        <v>1908834.1760151675</v>
      </c>
      <c r="T66" s="2">
        <v>2029236.2504585723</v>
      </c>
      <c r="U66" s="2">
        <v>2192956.1841083383</v>
      </c>
      <c r="V66" s="2">
        <v>1937574.7309163529</v>
      </c>
      <c r="W66" s="2">
        <v>2001550.837178807</v>
      </c>
      <c r="X66" s="2">
        <v>2408076.7349999994</v>
      </c>
      <c r="Y66" s="2">
        <v>2471633.0014625471</v>
      </c>
      <c r="Z66" s="2">
        <v>2664655.3159777699</v>
      </c>
      <c r="AA66" s="2">
        <v>3776682.4313516826</v>
      </c>
      <c r="AB66" s="2">
        <v>2781228.4686228065</v>
      </c>
      <c r="AC66" s="2">
        <v>2751552.9433088275</v>
      </c>
      <c r="AD66" s="2">
        <v>3139464.007343614</v>
      </c>
      <c r="AE66" s="2">
        <v>2936894.2279938096</v>
      </c>
      <c r="AF66" s="2">
        <v>2431795.8296520184</v>
      </c>
      <c r="AG66" s="2">
        <v>2260589.3661413584</v>
      </c>
      <c r="AH66" s="2">
        <v>3037770.3420422887</v>
      </c>
      <c r="AI66" s="2">
        <v>3155886.2796992529</v>
      </c>
    </row>
    <row r="67" spans="1:35" x14ac:dyDescent="0.2">
      <c r="A67" s="1" t="s">
        <v>158</v>
      </c>
      <c r="B67" s="1" t="s">
        <v>167</v>
      </c>
      <c r="C67" s="1" t="s">
        <v>168</v>
      </c>
      <c r="D67" s="2">
        <v>12817.1659394051</v>
      </c>
      <c r="E67" s="2">
        <v>19849.9593370084</v>
      </c>
      <c r="F67" s="2">
        <v>4570.4897751773997</v>
      </c>
      <c r="G67" s="2">
        <v>11632.5496971875</v>
      </c>
      <c r="H67" s="2">
        <v>52352.567622403403</v>
      </c>
      <c r="I67" s="2">
        <v>81907.269544166687</v>
      </c>
      <c r="J67" s="2">
        <v>160608.9330594301</v>
      </c>
      <c r="K67" s="2">
        <v>309303.2065442077</v>
      </c>
      <c r="L67" s="2">
        <v>425029.49333903322</v>
      </c>
      <c r="M67" s="2">
        <v>391830.43088131311</v>
      </c>
      <c r="N67" s="2">
        <v>381919.39686153526</v>
      </c>
      <c r="O67" s="2">
        <v>458683.00811261835</v>
      </c>
      <c r="P67" s="2">
        <v>750828.91510419664</v>
      </c>
      <c r="Q67" s="2">
        <v>673911.57315463538</v>
      </c>
      <c r="R67" s="2">
        <v>704140.36245752359</v>
      </c>
      <c r="S67" s="2">
        <v>718685.93514189927</v>
      </c>
      <c r="T67" s="2">
        <v>716549.02400341281</v>
      </c>
      <c r="U67" s="2">
        <v>744716.76291426644</v>
      </c>
      <c r="V67" s="2">
        <v>717471.26044552773</v>
      </c>
      <c r="W67" s="2">
        <v>719709.4782711328</v>
      </c>
      <c r="X67" s="2">
        <v>917053.60599999991</v>
      </c>
      <c r="Y67" s="2">
        <v>904179.94633965788</v>
      </c>
      <c r="Z67" s="2">
        <v>906798.85921026568</v>
      </c>
      <c r="AA67" s="2">
        <v>1063553.2852176512</v>
      </c>
      <c r="AB67" s="2">
        <v>1203546.2279160358</v>
      </c>
      <c r="AC67" s="2">
        <v>1221870.7369612081</v>
      </c>
      <c r="AD67" s="2">
        <v>1209117.9755398522</v>
      </c>
      <c r="AE67" s="2">
        <v>1190471.6291000738</v>
      </c>
      <c r="AF67" s="2">
        <v>1017945.9282182035</v>
      </c>
      <c r="AG67" s="2">
        <v>1095157.0741523181</v>
      </c>
      <c r="AH67" s="2">
        <v>1342284.7295032409</v>
      </c>
      <c r="AI67" s="2">
        <v>1449623.805266422</v>
      </c>
    </row>
    <row r="68" spans="1:35" x14ac:dyDescent="0.2">
      <c r="A68" s="1" t="s">
        <v>158</v>
      </c>
      <c r="B68" s="1" t="s">
        <v>169</v>
      </c>
      <c r="C68" s="1" t="s">
        <v>170</v>
      </c>
      <c r="D68" s="2">
        <v>1129.1313810162999</v>
      </c>
      <c r="E68" s="2">
        <v>11341.131281384502</v>
      </c>
      <c r="F68" s="2">
        <v>4232.8824217663005</v>
      </c>
      <c r="G68" s="2">
        <v>18296.6268238997</v>
      </c>
      <c r="H68" s="2">
        <v>61148.365113320702</v>
      </c>
      <c r="I68" s="2">
        <v>202299.02282947881</v>
      </c>
      <c r="J68" s="2">
        <v>826518.52846065606</v>
      </c>
      <c r="K68" s="2">
        <v>1538353.4476633845</v>
      </c>
      <c r="L68" s="2">
        <v>1320534.0207967467</v>
      </c>
      <c r="M68" s="2">
        <v>1910019.8313398084</v>
      </c>
      <c r="N68" s="2">
        <v>1996132.7866177098</v>
      </c>
      <c r="O68" s="2">
        <v>2108928.1501840064</v>
      </c>
      <c r="P68" s="2">
        <v>2440848.9394699479</v>
      </c>
      <c r="Q68" s="2">
        <v>2457313.8515201584</v>
      </c>
      <c r="R68" s="2">
        <v>2310245.0561058065</v>
      </c>
      <c r="S68" s="2">
        <v>2330298.6613018773</v>
      </c>
      <c r="T68" s="2">
        <v>2302471.6806330509</v>
      </c>
      <c r="U68" s="2">
        <v>2006350.4940577177</v>
      </c>
      <c r="V68" s="2">
        <v>1925662.6367593866</v>
      </c>
      <c r="W68" s="2">
        <v>2000490.4016339788</v>
      </c>
      <c r="X68" s="2">
        <v>2394149.8110000002</v>
      </c>
      <c r="Y68" s="2">
        <v>2733415.7519502635</v>
      </c>
      <c r="Z68" s="2">
        <v>2705155.9175920016</v>
      </c>
      <c r="AA68" s="2">
        <v>3276337.4729427216</v>
      </c>
      <c r="AB68" s="2">
        <v>3136467.0267804028</v>
      </c>
      <c r="AC68" s="2">
        <v>3401896.4504164541</v>
      </c>
      <c r="AD68" s="2">
        <v>3599595.2592888055</v>
      </c>
      <c r="AE68" s="2">
        <v>3361387.4151853095</v>
      </c>
      <c r="AF68" s="2">
        <v>2971860.2628000621</v>
      </c>
      <c r="AG68" s="2">
        <v>2916046.7735235016</v>
      </c>
      <c r="AH68" s="2">
        <v>3585462.9809265425</v>
      </c>
      <c r="AI68" s="2">
        <v>4259125.1956181526</v>
      </c>
    </row>
    <row r="69" spans="1:35" x14ac:dyDescent="0.2">
      <c r="A69" s="1" t="s">
        <v>171</v>
      </c>
      <c r="B69" s="1" t="s">
        <v>172</v>
      </c>
      <c r="C69" s="1" t="s">
        <v>173</v>
      </c>
      <c r="D69" s="2">
        <v>13001.479630503401</v>
      </c>
      <c r="E69" s="2">
        <v>193359.99904770748</v>
      </c>
      <c r="F69" s="2">
        <v>476583.01072268665</v>
      </c>
      <c r="G69" s="2">
        <v>555217.04611886747</v>
      </c>
      <c r="H69" s="2">
        <v>312977.85208993743</v>
      </c>
      <c r="I69" s="2">
        <v>696027.12108183734</v>
      </c>
      <c r="J69" s="2">
        <v>550741.21428552934</v>
      </c>
      <c r="K69" s="2">
        <v>863997.04362270469</v>
      </c>
      <c r="L69" s="2">
        <v>541737.18411413382</v>
      </c>
      <c r="M69" s="2">
        <v>245091.52101927172</v>
      </c>
      <c r="N69" s="2">
        <v>344717.07358751557</v>
      </c>
      <c r="O69" s="2">
        <v>297301.61410207086</v>
      </c>
      <c r="P69" s="2">
        <v>394710.8926644235</v>
      </c>
      <c r="Q69" s="2">
        <v>447687.1663968683</v>
      </c>
      <c r="R69" s="2">
        <v>380550.86379788682</v>
      </c>
      <c r="S69" s="2">
        <v>363738.62224227563</v>
      </c>
      <c r="T69" s="2">
        <v>422265.37516186555</v>
      </c>
      <c r="U69" s="2">
        <v>329128.09228809481</v>
      </c>
      <c r="V69" s="2">
        <v>397154.80371171952</v>
      </c>
      <c r="W69" s="2">
        <v>405246.17244050861</v>
      </c>
      <c r="X69" s="2">
        <v>319293.56600000005</v>
      </c>
      <c r="Y69" s="2">
        <v>410324.42990223551</v>
      </c>
      <c r="Z69" s="2">
        <v>266040.01811299211</v>
      </c>
      <c r="AA69" s="2">
        <v>275901.05902889033</v>
      </c>
      <c r="AB69" s="2">
        <v>283394.30994534312</v>
      </c>
      <c r="AC69" s="2">
        <v>273416.83676999889</v>
      </c>
      <c r="AD69" s="2">
        <v>281235.61643294251</v>
      </c>
      <c r="AE69" s="2">
        <v>297435.09670217976</v>
      </c>
      <c r="AF69" s="2">
        <v>272684.12393549806</v>
      </c>
      <c r="AG69" s="2">
        <v>257957.48245156</v>
      </c>
      <c r="AH69" s="2">
        <v>322990.90260662971</v>
      </c>
      <c r="AI69" s="2">
        <v>343496.4543543426</v>
      </c>
    </row>
    <row r="70" spans="1:35" x14ac:dyDescent="0.2">
      <c r="A70" s="1" t="s">
        <v>171</v>
      </c>
      <c r="B70" s="1" t="s">
        <v>174</v>
      </c>
      <c r="C70" s="1" t="s">
        <v>175</v>
      </c>
      <c r="D70" s="2">
        <v>25286.768471560899</v>
      </c>
      <c r="E70" s="2">
        <v>39401.290249840895</v>
      </c>
      <c r="F70" s="2">
        <v>141195.66795531579</v>
      </c>
      <c r="G70" s="2">
        <v>91013.585115887792</v>
      </c>
      <c r="H70" s="2">
        <v>128245.59194106092</v>
      </c>
      <c r="I70" s="2">
        <v>289695.86659198726</v>
      </c>
      <c r="J70" s="2">
        <v>217351.26887264109</v>
      </c>
      <c r="K70" s="2">
        <v>414214.27198222181</v>
      </c>
      <c r="L70" s="2">
        <v>228132.39207613937</v>
      </c>
      <c r="M70" s="2">
        <v>118770.23770497169</v>
      </c>
      <c r="N70" s="2">
        <v>161588.01900046848</v>
      </c>
      <c r="O70" s="2">
        <v>143194.09744424713</v>
      </c>
      <c r="P70" s="2">
        <v>143574.1332374026</v>
      </c>
      <c r="Q70" s="2">
        <v>153860.76872883717</v>
      </c>
      <c r="R70" s="2">
        <v>144726.5465477157</v>
      </c>
      <c r="S70" s="2">
        <v>163526.74325657898</v>
      </c>
      <c r="T70" s="2">
        <v>167299.7485572561</v>
      </c>
      <c r="U70" s="2">
        <v>146708.06645312213</v>
      </c>
      <c r="V70" s="2">
        <v>175661.40637614953</v>
      </c>
      <c r="W70" s="2">
        <v>189867.50223181237</v>
      </c>
      <c r="X70" s="2">
        <v>154839.26800000001</v>
      </c>
      <c r="Y70" s="2">
        <v>180815.09091656262</v>
      </c>
      <c r="Z70" s="2">
        <v>130354.46465482657</v>
      </c>
      <c r="AA70" s="2">
        <v>136690.82282009779</v>
      </c>
      <c r="AB70" s="2">
        <v>128944.06762019113</v>
      </c>
      <c r="AC70" s="2">
        <v>134886.8445379074</v>
      </c>
      <c r="AD70" s="2">
        <v>127527.22302537441</v>
      </c>
      <c r="AE70" s="2">
        <v>131638.91039985267</v>
      </c>
      <c r="AF70" s="2">
        <v>161904.25877370988</v>
      </c>
      <c r="AG70" s="2">
        <v>147389.50655555195</v>
      </c>
      <c r="AH70" s="2">
        <v>185272.08375946165</v>
      </c>
      <c r="AI70" s="2">
        <v>206615.9525863764</v>
      </c>
    </row>
    <row r="71" spans="1:35" x14ac:dyDescent="0.2">
      <c r="A71" s="1" t="s">
        <v>171</v>
      </c>
      <c r="B71" s="1" t="s">
        <v>176</v>
      </c>
      <c r="C71" s="1" t="s">
        <v>177</v>
      </c>
      <c r="D71" s="2">
        <v>85832.168392974781</v>
      </c>
      <c r="E71" s="2">
        <v>236703.4195973246</v>
      </c>
      <c r="F71" s="2">
        <v>294383.30201702338</v>
      </c>
      <c r="G71" s="2">
        <v>622163.02156647434</v>
      </c>
      <c r="H71" s="2">
        <v>493928.16599774698</v>
      </c>
      <c r="I71" s="2">
        <v>808593.51486395113</v>
      </c>
      <c r="J71" s="2">
        <v>739909.72829473566</v>
      </c>
      <c r="K71" s="2">
        <v>892650.42341878975</v>
      </c>
      <c r="L71" s="2">
        <v>612423.13016546029</v>
      </c>
      <c r="M71" s="2">
        <v>445269.39735029778</v>
      </c>
      <c r="N71" s="2">
        <v>561457.20580910018</v>
      </c>
      <c r="O71" s="2">
        <v>517708.09517268685</v>
      </c>
      <c r="P71" s="2">
        <v>480529.35153312533</v>
      </c>
      <c r="Q71" s="2">
        <v>618881.71221619693</v>
      </c>
      <c r="R71" s="2">
        <v>546799.07481381157</v>
      </c>
      <c r="S71" s="2">
        <v>576475.56789639464</v>
      </c>
      <c r="T71" s="2">
        <v>548453.00168795581</v>
      </c>
      <c r="U71" s="2">
        <v>496946.27047211188</v>
      </c>
      <c r="V71" s="2">
        <v>556613.45875970903</v>
      </c>
      <c r="W71" s="2">
        <v>552888.43758331717</v>
      </c>
      <c r="X71" s="2">
        <v>502189.13900000008</v>
      </c>
      <c r="Y71" s="2">
        <v>572469.24770525366</v>
      </c>
      <c r="Z71" s="2">
        <v>466639.95922419667</v>
      </c>
      <c r="AA71" s="2">
        <v>602404.97011294228</v>
      </c>
      <c r="AB71" s="2">
        <v>480020.46230292792</v>
      </c>
      <c r="AC71" s="2">
        <v>502963.59090248146</v>
      </c>
      <c r="AD71" s="2">
        <v>483011.46743182855</v>
      </c>
      <c r="AE71" s="2">
        <v>517107.01212592272</v>
      </c>
      <c r="AF71" s="2">
        <v>503847.1729784843</v>
      </c>
      <c r="AG71" s="2">
        <v>470123.1938038104</v>
      </c>
      <c r="AH71" s="2">
        <v>570838.65442400682</v>
      </c>
      <c r="AI71" s="2">
        <v>530719.07551204239</v>
      </c>
    </row>
    <row r="72" spans="1:35" x14ac:dyDescent="0.2">
      <c r="A72" s="1" t="s">
        <v>171</v>
      </c>
      <c r="B72" s="1" t="s">
        <v>178</v>
      </c>
      <c r="C72" s="1" t="s">
        <v>179</v>
      </c>
      <c r="D72" s="2">
        <v>29474.2179319364</v>
      </c>
      <c r="E72" s="2">
        <v>53878.688698880294</v>
      </c>
      <c r="F72" s="2">
        <v>98721.978702738605</v>
      </c>
      <c r="G72" s="2">
        <v>180285.12950341881</v>
      </c>
      <c r="H72" s="2">
        <v>301117.83925005957</v>
      </c>
      <c r="I72" s="2">
        <v>316304.38538863917</v>
      </c>
      <c r="J72" s="2">
        <v>489699.91924039123</v>
      </c>
      <c r="K72" s="2">
        <v>663376.17379368702</v>
      </c>
      <c r="L72" s="2">
        <v>543850.86362194584</v>
      </c>
      <c r="M72" s="2">
        <v>584918.41164807661</v>
      </c>
      <c r="N72" s="2">
        <v>610970.80911952211</v>
      </c>
      <c r="O72" s="2">
        <v>772068.56865444197</v>
      </c>
      <c r="P72" s="2">
        <v>417367.94292860676</v>
      </c>
      <c r="Q72" s="2">
        <v>498574.79603421298</v>
      </c>
      <c r="R72" s="2">
        <v>458316.36576748936</v>
      </c>
      <c r="S72" s="2">
        <v>446963.92864434508</v>
      </c>
      <c r="T72" s="2">
        <v>481482.02767953667</v>
      </c>
      <c r="U72" s="2">
        <v>402087.89981755742</v>
      </c>
      <c r="V72" s="2">
        <v>383657.33783666993</v>
      </c>
      <c r="W72" s="2">
        <v>475809.91988938389</v>
      </c>
      <c r="X72" s="2">
        <v>407932.99899999995</v>
      </c>
      <c r="Y72" s="2">
        <v>488971.03456628456</v>
      </c>
      <c r="Z72" s="2">
        <v>454980.65938331332</v>
      </c>
      <c r="AA72" s="2">
        <v>453677.56549260917</v>
      </c>
      <c r="AB72" s="2">
        <v>448740.20411481836</v>
      </c>
      <c r="AC72" s="2">
        <v>398406.74072826037</v>
      </c>
      <c r="AD72" s="2">
        <v>485313.906818402</v>
      </c>
      <c r="AE72" s="2">
        <v>373243.81113660859</v>
      </c>
      <c r="AF72" s="2">
        <v>387300.28039131983</v>
      </c>
      <c r="AG72" s="2">
        <v>358228.64492450835</v>
      </c>
      <c r="AH72" s="2">
        <v>410717.36751424219</v>
      </c>
      <c r="AI72" s="2">
        <v>430795.62327035196</v>
      </c>
    </row>
    <row r="73" spans="1:35" x14ac:dyDescent="0.2">
      <c r="A73" s="1" t="s">
        <v>180</v>
      </c>
      <c r="B73" s="1" t="s">
        <v>181</v>
      </c>
      <c r="C73" s="1" t="s">
        <v>182</v>
      </c>
      <c r="D73" s="2">
        <v>31218.254224242701</v>
      </c>
      <c r="E73" s="2">
        <v>106335.5899998151</v>
      </c>
      <c r="F73" s="2">
        <v>237271.90573276905</v>
      </c>
      <c r="G73" s="2">
        <v>264132.74908294709</v>
      </c>
      <c r="H73" s="2">
        <v>258838.97099165135</v>
      </c>
      <c r="I73" s="2">
        <v>444357.77404939203</v>
      </c>
      <c r="J73" s="2">
        <v>639829.10334975505</v>
      </c>
      <c r="K73" s="2">
        <v>791705.17067748401</v>
      </c>
      <c r="L73" s="2">
        <v>723810.67882022227</v>
      </c>
      <c r="M73" s="2">
        <v>233848.63357165983</v>
      </c>
      <c r="N73" s="2">
        <v>292086.03200257709</v>
      </c>
      <c r="O73" s="2">
        <v>244372.50930058429</v>
      </c>
      <c r="P73" s="2">
        <v>462964.87950948707</v>
      </c>
      <c r="Q73" s="2">
        <v>457054.73582508817</v>
      </c>
      <c r="R73" s="2">
        <v>381780.91382447688</v>
      </c>
      <c r="S73" s="2">
        <v>463872.77073243447</v>
      </c>
      <c r="T73" s="2">
        <v>525345.11224849685</v>
      </c>
      <c r="U73" s="2">
        <v>450462.89090916666</v>
      </c>
      <c r="V73" s="2">
        <v>587279.66184470616</v>
      </c>
      <c r="W73" s="2">
        <v>553785.7762372198</v>
      </c>
      <c r="X73" s="2">
        <v>401145.91599999991</v>
      </c>
      <c r="Y73" s="2">
        <v>442738.51531526528</v>
      </c>
      <c r="Z73" s="2">
        <v>304347.23133972846</v>
      </c>
      <c r="AA73" s="2">
        <v>262784.84762713598</v>
      </c>
      <c r="AB73" s="2">
        <v>294847.01739057485</v>
      </c>
      <c r="AC73" s="2">
        <v>265682.45374866121</v>
      </c>
      <c r="AD73" s="2">
        <v>298362.70776302821</v>
      </c>
      <c r="AE73" s="2">
        <v>274928.74400255573</v>
      </c>
      <c r="AF73" s="2">
        <v>319467.43567248946</v>
      </c>
      <c r="AG73" s="2">
        <v>328156.28608848265</v>
      </c>
      <c r="AH73" s="2">
        <v>464829.0483570444</v>
      </c>
      <c r="AI73" s="2">
        <v>416538.33499872329</v>
      </c>
    </row>
    <row r="74" spans="1:35" x14ac:dyDescent="0.2">
      <c r="A74" s="1" t="s">
        <v>180</v>
      </c>
      <c r="B74" s="1" t="s">
        <v>183</v>
      </c>
      <c r="C74" s="1" t="s">
        <v>184</v>
      </c>
      <c r="D74" s="2">
        <v>6963.4515487147</v>
      </c>
      <c r="E74" s="2">
        <v>28414.530057772303</v>
      </c>
      <c r="F74" s="2">
        <v>45892.514622711904</v>
      </c>
      <c r="G74" s="2">
        <v>74149.385140176804</v>
      </c>
      <c r="H74" s="2">
        <v>106137.69984021019</v>
      </c>
      <c r="I74" s="2">
        <v>164825.60004138443</v>
      </c>
      <c r="J74" s="2">
        <v>249303.52519497572</v>
      </c>
      <c r="K74" s="2">
        <v>404705.0802588865</v>
      </c>
      <c r="L74" s="2">
        <v>519191.4705110928</v>
      </c>
      <c r="M74" s="2">
        <v>447803.73552982818</v>
      </c>
      <c r="N74" s="2">
        <v>514787.67474182369</v>
      </c>
      <c r="O74" s="2">
        <v>508070.20298708882</v>
      </c>
      <c r="P74" s="2">
        <v>545890.70185412862</v>
      </c>
      <c r="Q74" s="2">
        <v>685125.51111095573</v>
      </c>
      <c r="R74" s="2">
        <v>717761.41132750129</v>
      </c>
      <c r="S74" s="2">
        <v>791617.11085142754</v>
      </c>
      <c r="T74" s="2">
        <v>765838.89274081169</v>
      </c>
      <c r="U74" s="2">
        <v>711144.16861506447</v>
      </c>
      <c r="V74" s="2">
        <v>864171.71846102667</v>
      </c>
      <c r="W74" s="2">
        <v>706078.84638291574</v>
      </c>
      <c r="X74" s="2">
        <v>810374.22100000002</v>
      </c>
      <c r="Y74" s="2">
        <v>604829.12358804664</v>
      </c>
      <c r="Z74" s="2">
        <v>656723.54755775514</v>
      </c>
      <c r="AA74" s="2">
        <v>845014.11316647264</v>
      </c>
      <c r="AB74" s="2">
        <v>694443.17142161645</v>
      </c>
      <c r="AC74" s="2">
        <v>697372.13823575887</v>
      </c>
      <c r="AD74" s="2">
        <v>803945.53253211535</v>
      </c>
      <c r="AE74" s="2">
        <v>720023.99434497836</v>
      </c>
      <c r="AF74" s="2">
        <v>944982.0219334563</v>
      </c>
      <c r="AG74" s="2">
        <v>1009236.0489065304</v>
      </c>
      <c r="AH74" s="2">
        <v>932267.6370082926</v>
      </c>
      <c r="AI74" s="2">
        <v>756587.8660126396</v>
      </c>
    </row>
    <row r="75" spans="1:35" x14ac:dyDescent="0.2">
      <c r="A75" s="1" t="s">
        <v>180</v>
      </c>
      <c r="B75" s="1" t="s">
        <v>185</v>
      </c>
      <c r="C75" s="1" t="s">
        <v>186</v>
      </c>
      <c r="D75" s="2">
        <v>242026.5248150682</v>
      </c>
      <c r="E75" s="2">
        <v>485591.43926691095</v>
      </c>
      <c r="F75" s="2">
        <v>614724.77407287213</v>
      </c>
      <c r="G75" s="2">
        <v>820429.14085487789</v>
      </c>
      <c r="H75" s="2">
        <v>1115702.9554752859</v>
      </c>
      <c r="I75" s="2">
        <v>1436962.2398664602</v>
      </c>
      <c r="J75" s="2">
        <v>1689865.958582164</v>
      </c>
      <c r="K75" s="2">
        <v>1954260.1383518733</v>
      </c>
      <c r="L75" s="2">
        <v>1795179.0484300519</v>
      </c>
      <c r="M75" s="2">
        <v>548452.67055584269</v>
      </c>
      <c r="N75" s="2">
        <v>715683.0268846394</v>
      </c>
      <c r="O75" s="2">
        <v>829149.15616100351</v>
      </c>
      <c r="P75" s="2">
        <v>1041172.1151514152</v>
      </c>
      <c r="Q75" s="2">
        <v>1000986.1050743292</v>
      </c>
      <c r="R75" s="2">
        <v>1040141.8484973299</v>
      </c>
      <c r="S75" s="2">
        <v>1149115.7320035594</v>
      </c>
      <c r="T75" s="2">
        <v>1231100.2325731639</v>
      </c>
      <c r="U75" s="2">
        <v>1275251.6257490308</v>
      </c>
      <c r="V75" s="2">
        <v>1335229.5424570967</v>
      </c>
      <c r="W75" s="2">
        <v>1296465.1680912499</v>
      </c>
      <c r="X75" s="2">
        <v>1249472.9469999997</v>
      </c>
      <c r="Y75" s="2">
        <v>1344535.7192769698</v>
      </c>
      <c r="Z75" s="2">
        <v>1261741.3236279069</v>
      </c>
      <c r="AA75" s="2">
        <v>1196671.9312420394</v>
      </c>
      <c r="AB75" s="2">
        <v>1201568.1152852708</v>
      </c>
      <c r="AC75" s="2">
        <v>1400670.9863084289</v>
      </c>
      <c r="AD75" s="2">
        <v>1517489.8866254557</v>
      </c>
      <c r="AE75" s="2">
        <v>1530425.8643920666</v>
      </c>
      <c r="AF75" s="2">
        <v>1485682.4209409601</v>
      </c>
      <c r="AG75" s="2">
        <v>1656390.7163589264</v>
      </c>
      <c r="AH75" s="2">
        <v>1781823.6648047897</v>
      </c>
      <c r="AI75" s="2">
        <v>1848966.2942163362</v>
      </c>
    </row>
    <row r="76" spans="1:35" x14ac:dyDescent="0.2">
      <c r="A76" s="1" t="s">
        <v>180</v>
      </c>
      <c r="B76" s="1" t="s">
        <v>187</v>
      </c>
      <c r="C76" s="1" t="s">
        <v>188</v>
      </c>
      <c r="D76" s="2">
        <v>158703.43994627858</v>
      </c>
      <c r="E76" s="2">
        <v>473827.09604498127</v>
      </c>
      <c r="F76" s="2">
        <v>499069.15269258333</v>
      </c>
      <c r="G76" s="2">
        <v>817073.14878664084</v>
      </c>
      <c r="H76" s="2">
        <v>942779.32232684002</v>
      </c>
      <c r="I76" s="2">
        <v>1212148.3419697741</v>
      </c>
      <c r="J76" s="2">
        <v>1854458.2269187025</v>
      </c>
      <c r="K76" s="2">
        <v>2251007.5483190352</v>
      </c>
      <c r="L76" s="2">
        <v>1262854.2574592514</v>
      </c>
      <c r="M76" s="2">
        <v>523837.52129169652</v>
      </c>
      <c r="N76" s="2">
        <v>613093.41581855644</v>
      </c>
      <c r="O76" s="2">
        <v>702877.06369282771</v>
      </c>
      <c r="P76" s="2">
        <v>1160412.0132558416</v>
      </c>
      <c r="Q76" s="2">
        <v>1121480.0452168228</v>
      </c>
      <c r="R76" s="2">
        <v>1126828.7241268358</v>
      </c>
      <c r="S76" s="2">
        <v>1220483.2739732529</v>
      </c>
      <c r="T76" s="2">
        <v>1292044.5197303214</v>
      </c>
      <c r="U76" s="2">
        <v>1173247.6036126786</v>
      </c>
      <c r="V76" s="2">
        <v>1139865.3743567565</v>
      </c>
      <c r="W76" s="2">
        <v>1232228.4916568059</v>
      </c>
      <c r="X76" s="2">
        <v>1283143.4890000001</v>
      </c>
      <c r="Y76" s="2">
        <v>1185573.4649927209</v>
      </c>
      <c r="Z76" s="2">
        <v>894686.32315647416</v>
      </c>
      <c r="AA76" s="2">
        <v>895839.7127845604</v>
      </c>
      <c r="AB76" s="2">
        <v>905652.75533029798</v>
      </c>
      <c r="AC76" s="2">
        <v>998258.01966827177</v>
      </c>
      <c r="AD76" s="2">
        <v>1092761.5372431478</v>
      </c>
      <c r="AE76" s="2">
        <v>972087.18964370457</v>
      </c>
      <c r="AF76" s="2">
        <v>947966.25952075492</v>
      </c>
      <c r="AG76" s="2">
        <v>1027877.1805739347</v>
      </c>
      <c r="AH76" s="2">
        <v>1091910.2883170773</v>
      </c>
      <c r="AI76" s="2">
        <v>1199786.8438470841</v>
      </c>
    </row>
    <row r="77" spans="1:35" x14ac:dyDescent="0.2">
      <c r="A77" s="1" t="s">
        <v>180</v>
      </c>
      <c r="B77" s="1" t="s">
        <v>189</v>
      </c>
      <c r="C77" s="1" t="s">
        <v>190</v>
      </c>
      <c r="D77" s="2">
        <v>42724.745048463301</v>
      </c>
      <c r="E77" s="2">
        <v>87850.066515380197</v>
      </c>
      <c r="F77" s="2">
        <v>110555.49225877679</v>
      </c>
      <c r="G77" s="2">
        <v>280121.9251720116</v>
      </c>
      <c r="H77" s="2">
        <v>250426.76576707198</v>
      </c>
      <c r="I77" s="2">
        <v>307865.42499641213</v>
      </c>
      <c r="J77" s="2">
        <v>374824.30831512646</v>
      </c>
      <c r="K77" s="2">
        <v>583318.1901393435</v>
      </c>
      <c r="L77" s="2">
        <v>307107.53474722215</v>
      </c>
      <c r="M77" s="2">
        <v>194437.92370893361</v>
      </c>
      <c r="N77" s="2">
        <v>197812.72827794199</v>
      </c>
      <c r="O77" s="2">
        <v>155588.77243858759</v>
      </c>
      <c r="P77" s="2">
        <v>339562.05136435351</v>
      </c>
      <c r="Q77" s="2">
        <v>410567.63499706029</v>
      </c>
      <c r="R77" s="2">
        <v>429906.41867786681</v>
      </c>
      <c r="S77" s="2">
        <v>440633.35985761887</v>
      </c>
      <c r="T77" s="2">
        <v>349904.01742445608</v>
      </c>
      <c r="U77" s="2">
        <v>348343.93964689365</v>
      </c>
      <c r="V77" s="2">
        <v>323060.76693632279</v>
      </c>
      <c r="W77" s="2">
        <v>286308.64458863612</v>
      </c>
      <c r="X77" s="2">
        <v>218276.46300000002</v>
      </c>
      <c r="Y77" s="2">
        <v>249529.18466109727</v>
      </c>
      <c r="Z77" s="2">
        <v>174860.83930794062</v>
      </c>
      <c r="AA77" s="2">
        <v>177030.75357067661</v>
      </c>
      <c r="AB77" s="2">
        <v>176295.55306496582</v>
      </c>
      <c r="AC77" s="2">
        <v>219146.62526901541</v>
      </c>
      <c r="AD77" s="2">
        <v>214758.55600070581</v>
      </c>
      <c r="AE77" s="2">
        <v>196309.48911273325</v>
      </c>
      <c r="AF77" s="2">
        <v>221620.04752755846</v>
      </c>
      <c r="AG77" s="2">
        <v>221364.07065318403</v>
      </c>
      <c r="AH77" s="2">
        <v>300143.04485580104</v>
      </c>
      <c r="AI77" s="2">
        <v>328977.99648159766</v>
      </c>
    </row>
    <row r="78" spans="1:35" x14ac:dyDescent="0.2">
      <c r="A78" s="1" t="s">
        <v>191</v>
      </c>
      <c r="B78" s="1" t="s">
        <v>192</v>
      </c>
      <c r="C78" s="1" t="s">
        <v>193</v>
      </c>
      <c r="D78" s="2">
        <v>14773.4963480279</v>
      </c>
      <c r="E78" s="2">
        <v>134271.81800972141</v>
      </c>
      <c r="F78" s="2">
        <v>62629.372791910602</v>
      </c>
      <c r="G78" s="2">
        <v>76822.409353690877</v>
      </c>
      <c r="H78" s="2">
        <v>143280.51385642929</v>
      </c>
      <c r="I78" s="2">
        <v>244348.55498126888</v>
      </c>
      <c r="J78" s="2">
        <v>266542.30547380744</v>
      </c>
      <c r="K78" s="2">
        <v>311015.34147290373</v>
      </c>
      <c r="L78" s="2">
        <v>289910.13188341551</v>
      </c>
      <c r="M78" s="2">
        <v>248074.45745651142</v>
      </c>
      <c r="N78" s="2">
        <v>284730.20008952596</v>
      </c>
      <c r="O78" s="2">
        <v>303643.19054777682</v>
      </c>
      <c r="P78" s="2">
        <v>174234.38885879636</v>
      </c>
      <c r="Q78" s="2">
        <v>250433.97483321049</v>
      </c>
      <c r="R78" s="2">
        <v>245477.07388641083</v>
      </c>
      <c r="S78" s="2">
        <v>184593.80673689127</v>
      </c>
      <c r="T78" s="2">
        <v>183141.66975919082</v>
      </c>
      <c r="U78" s="2">
        <v>176164.80074517429</v>
      </c>
      <c r="V78" s="2">
        <v>211746.76022729833</v>
      </c>
      <c r="W78" s="2">
        <v>196563.22777585275</v>
      </c>
      <c r="X78" s="2">
        <v>168224.18800000002</v>
      </c>
      <c r="Y78" s="2">
        <v>202869.52082619467</v>
      </c>
      <c r="Z78" s="2">
        <v>171300.00467612655</v>
      </c>
      <c r="AA78" s="2">
        <v>193598.39027664938</v>
      </c>
      <c r="AB78" s="2">
        <v>211706.74208111281</v>
      </c>
      <c r="AC78" s="2">
        <v>191085.0850484244</v>
      </c>
      <c r="AD78" s="2">
        <v>204854.90340896888</v>
      </c>
      <c r="AE78" s="2">
        <v>245137.50470997312</v>
      </c>
      <c r="AF78" s="2">
        <v>206701.78761067567</v>
      </c>
      <c r="AG78" s="2">
        <v>207971.35839998894</v>
      </c>
      <c r="AH78" s="2">
        <v>237779.51738398691</v>
      </c>
      <c r="AI78" s="2">
        <v>265185.63386914827</v>
      </c>
    </row>
    <row r="79" spans="1:35" x14ac:dyDescent="0.2">
      <c r="A79" s="1" t="s">
        <v>191</v>
      </c>
      <c r="B79" s="1" t="s">
        <v>194</v>
      </c>
      <c r="C79" s="1" t="s">
        <v>195</v>
      </c>
      <c r="D79" s="2">
        <v>43522.809034904101</v>
      </c>
      <c r="E79" s="2">
        <v>156761.02175351049</v>
      </c>
      <c r="F79" s="2">
        <v>96679.45791581439</v>
      </c>
      <c r="G79" s="2">
        <v>125734.80218644478</v>
      </c>
      <c r="H79" s="2">
        <v>238124.62639758355</v>
      </c>
      <c r="I79" s="2">
        <v>434547.04929554241</v>
      </c>
      <c r="J79" s="2">
        <v>418511.07404062175</v>
      </c>
      <c r="K79" s="2">
        <v>520094.31002609705</v>
      </c>
      <c r="L79" s="2">
        <v>515916.80942742253</v>
      </c>
      <c r="M79" s="2">
        <v>358430.17240622675</v>
      </c>
      <c r="N79" s="2">
        <v>397645.60884033667</v>
      </c>
      <c r="O79" s="2">
        <v>408724.57485482283</v>
      </c>
      <c r="P79" s="2">
        <v>207087.19238607222</v>
      </c>
      <c r="Q79" s="2">
        <v>327638.79915535206</v>
      </c>
      <c r="R79" s="2">
        <v>303870.02196424623</v>
      </c>
      <c r="S79" s="2">
        <v>242252.83613479882</v>
      </c>
      <c r="T79" s="2">
        <v>250321.69167997016</v>
      </c>
      <c r="U79" s="2">
        <v>210842.58531284274</v>
      </c>
      <c r="V79" s="2">
        <v>290244.0860698882</v>
      </c>
      <c r="W79" s="2">
        <v>284854.57702974562</v>
      </c>
      <c r="X79" s="2">
        <v>216182.85799999995</v>
      </c>
      <c r="Y79" s="2">
        <v>283599.56560313044</v>
      </c>
      <c r="Z79" s="2">
        <v>211761.53595780939</v>
      </c>
      <c r="AA79" s="2">
        <v>230981.50101133215</v>
      </c>
      <c r="AB79" s="2">
        <v>269796.98435721261</v>
      </c>
      <c r="AC79" s="2">
        <v>258996.31970229247</v>
      </c>
      <c r="AD79" s="2">
        <v>235351.9690346148</v>
      </c>
      <c r="AE79" s="2">
        <v>321565.48039867147</v>
      </c>
      <c r="AF79" s="2">
        <v>301905.17404707952</v>
      </c>
      <c r="AG79" s="2">
        <v>274198.30925465637</v>
      </c>
      <c r="AH79" s="2">
        <v>312572.2668071423</v>
      </c>
      <c r="AI79" s="2">
        <v>374457.30703391472</v>
      </c>
    </row>
    <row r="80" spans="1:35" x14ac:dyDescent="0.2">
      <c r="A80" s="1" t="s">
        <v>191</v>
      </c>
      <c r="B80" s="1" t="s">
        <v>196</v>
      </c>
      <c r="C80" s="1" t="s">
        <v>197</v>
      </c>
      <c r="D80" s="2">
        <v>21259.417630672699</v>
      </c>
      <c r="E80" s="2">
        <v>97494.260747489301</v>
      </c>
      <c r="F80" s="2">
        <v>66075.038022989291</v>
      </c>
      <c r="G80" s="2">
        <v>99055.589233114268</v>
      </c>
      <c r="H80" s="2">
        <v>142915.85096004017</v>
      </c>
      <c r="I80" s="2">
        <v>214940.7876909117</v>
      </c>
      <c r="J80" s="2">
        <v>343465.86988919717</v>
      </c>
      <c r="K80" s="2">
        <v>349649.25918763044</v>
      </c>
      <c r="L80" s="2">
        <v>347211.59573806275</v>
      </c>
      <c r="M80" s="2">
        <v>350321.78214217786</v>
      </c>
      <c r="N80" s="2">
        <v>389769.99205737794</v>
      </c>
      <c r="O80" s="2">
        <v>400453.250234409</v>
      </c>
      <c r="P80" s="2">
        <v>274348.36448388075</v>
      </c>
      <c r="Q80" s="2">
        <v>632140.46034911869</v>
      </c>
      <c r="R80" s="2">
        <v>712302.92989166733</v>
      </c>
      <c r="S80" s="2">
        <v>696099.0294017425</v>
      </c>
      <c r="T80" s="2">
        <v>500483.86133046227</v>
      </c>
      <c r="U80" s="2">
        <v>464722.2939367498</v>
      </c>
      <c r="V80" s="2">
        <v>975666.29899186874</v>
      </c>
      <c r="W80" s="2">
        <v>993971.80423408467</v>
      </c>
      <c r="X80" s="2">
        <v>601747.28100000019</v>
      </c>
      <c r="Y80" s="2">
        <v>1015059.7948862241</v>
      </c>
      <c r="Z80" s="2">
        <v>1150441.4264585946</v>
      </c>
      <c r="AA80" s="2">
        <v>809251.13897470152</v>
      </c>
      <c r="AB80" s="2">
        <v>1182179.4105613425</v>
      </c>
      <c r="AC80" s="2">
        <v>1189278.1362035326</v>
      </c>
      <c r="AD80" s="2">
        <v>541157.8642874253</v>
      </c>
      <c r="AE80" s="2">
        <v>1516380.505133925</v>
      </c>
      <c r="AF80" s="2">
        <v>1838386.3928192442</v>
      </c>
      <c r="AG80" s="2">
        <v>1397085.8717667742</v>
      </c>
      <c r="AH80" s="2">
        <v>2107997.2039158377</v>
      </c>
      <c r="AI80" s="2">
        <v>2740712.6721712197</v>
      </c>
    </row>
    <row r="81" spans="1:35" x14ac:dyDescent="0.2">
      <c r="A81" s="1" t="s">
        <v>191</v>
      </c>
      <c r="B81" s="1" t="s">
        <v>198</v>
      </c>
      <c r="C81" s="1" t="s">
        <v>199</v>
      </c>
      <c r="D81" s="2">
        <v>38809.764580597403</v>
      </c>
      <c r="E81" s="2">
        <v>77041.703791969601</v>
      </c>
      <c r="F81" s="2">
        <v>68782.647023163809</v>
      </c>
      <c r="G81" s="2">
        <v>139307.09019098879</v>
      </c>
      <c r="H81" s="2">
        <v>228716.10004046344</v>
      </c>
      <c r="I81" s="2">
        <v>376696.77956522454</v>
      </c>
      <c r="J81" s="2">
        <v>450973.88241866085</v>
      </c>
      <c r="K81" s="2">
        <v>576192.41362736258</v>
      </c>
      <c r="L81" s="2">
        <v>419314.96158901241</v>
      </c>
      <c r="M81" s="2">
        <v>283950.20732687355</v>
      </c>
      <c r="N81" s="2">
        <v>303115.422991684</v>
      </c>
      <c r="O81" s="2">
        <v>281784.38593282312</v>
      </c>
      <c r="P81" s="2">
        <v>153158.76677701215</v>
      </c>
      <c r="Q81" s="2">
        <v>239375.44864453611</v>
      </c>
      <c r="R81" s="2">
        <v>224550.27573157757</v>
      </c>
      <c r="S81" s="2">
        <v>190826.99255860329</v>
      </c>
      <c r="T81" s="2">
        <v>215024.8941556183</v>
      </c>
      <c r="U81" s="2">
        <v>152133.14266451629</v>
      </c>
      <c r="V81" s="2">
        <v>240170.88790497638</v>
      </c>
      <c r="W81" s="2">
        <v>236388.24538091104</v>
      </c>
      <c r="X81" s="2">
        <v>190411.625</v>
      </c>
      <c r="Y81" s="2">
        <v>283148.93474650581</v>
      </c>
      <c r="Z81" s="2">
        <v>167995.89741748487</v>
      </c>
      <c r="AA81" s="2">
        <v>174479.0816550446</v>
      </c>
      <c r="AB81" s="2">
        <v>193164.36322812483</v>
      </c>
      <c r="AC81" s="2">
        <v>230501.71549593649</v>
      </c>
      <c r="AD81" s="2">
        <v>198450.90369640963</v>
      </c>
      <c r="AE81" s="2">
        <v>230813.11073646878</v>
      </c>
      <c r="AF81" s="2">
        <v>247413.55788277028</v>
      </c>
      <c r="AG81" s="2">
        <v>237478.4769051405</v>
      </c>
      <c r="AH81" s="2">
        <v>345993.38023737748</v>
      </c>
      <c r="AI81" s="2">
        <v>325520.53262150357</v>
      </c>
    </row>
    <row r="82" spans="1:35" x14ac:dyDescent="0.2">
      <c r="A82" s="1" t="s">
        <v>200</v>
      </c>
      <c r="B82" s="1" t="s">
        <v>201</v>
      </c>
      <c r="C82" s="1" t="s">
        <v>202</v>
      </c>
      <c r="G82" s="2">
        <v>1226689.6376724676</v>
      </c>
      <c r="H82" s="2">
        <v>1026893.4903030846</v>
      </c>
      <c r="I82" s="2">
        <v>4108074.7890480622</v>
      </c>
      <c r="J82" s="2">
        <v>2886999.0955384355</v>
      </c>
      <c r="K82" s="2">
        <v>4095118.4923610934</v>
      </c>
      <c r="L82" s="2">
        <v>1738423.0806215419</v>
      </c>
      <c r="M82" s="2">
        <v>1031301.7831062559</v>
      </c>
      <c r="N82" s="2">
        <v>1057810.9644302465</v>
      </c>
      <c r="O82" s="2">
        <v>1034841.6687790472</v>
      </c>
      <c r="P82" s="2">
        <v>1226333.0324851784</v>
      </c>
      <c r="Q82" s="2">
        <v>1706506.64576677</v>
      </c>
      <c r="R82" s="2">
        <v>1598495.1220810383</v>
      </c>
      <c r="S82" s="2">
        <v>1278209.1672246594</v>
      </c>
      <c r="T82" s="2">
        <v>1258357.5161481991</v>
      </c>
      <c r="U82" s="2">
        <v>1419221.5882038402</v>
      </c>
      <c r="V82" s="2">
        <v>1552137.1978049604</v>
      </c>
      <c r="W82" s="2">
        <v>1515986.5205804245</v>
      </c>
      <c r="X82" s="2">
        <v>1670598.0830000001</v>
      </c>
      <c r="Y82" s="2">
        <v>1734086.612947731</v>
      </c>
      <c r="Z82" s="2">
        <v>1754735.6017014654</v>
      </c>
      <c r="AA82" s="2">
        <v>2082096.9792413919</v>
      </c>
      <c r="AB82" s="2">
        <v>1924688.9357159529</v>
      </c>
      <c r="AC82" s="2">
        <v>1869712.1693656845</v>
      </c>
      <c r="AD82" s="2">
        <v>2013834.426229354</v>
      </c>
      <c r="AE82" s="2">
        <v>2132205.8385110581</v>
      </c>
      <c r="AF82" s="2">
        <v>2012434.9057305909</v>
      </c>
      <c r="AG82" s="2">
        <v>1799716.2235971708</v>
      </c>
      <c r="AH82" s="2">
        <v>2321593.7499101008</v>
      </c>
      <c r="AI82" s="2">
        <v>2405752.2861798215</v>
      </c>
    </row>
    <row r="83" spans="1:35" x14ac:dyDescent="0.2">
      <c r="A83" s="1" t="s">
        <v>200</v>
      </c>
      <c r="B83" s="1" t="s">
        <v>203</v>
      </c>
      <c r="C83" s="1" t="s">
        <v>204</v>
      </c>
      <c r="F83" s="2">
        <v>31677.9606509103</v>
      </c>
      <c r="G83" s="2">
        <v>490709.17830740771</v>
      </c>
      <c r="H83" s="2">
        <v>726316.79443721788</v>
      </c>
      <c r="I83" s="2">
        <v>1600775.3180821431</v>
      </c>
      <c r="J83" s="2">
        <v>1699043.8088899725</v>
      </c>
      <c r="K83" s="2">
        <v>2240623.0139095215</v>
      </c>
      <c r="L83" s="2">
        <v>1349231.2780136312</v>
      </c>
      <c r="M83" s="2">
        <v>1181381.5806336829</v>
      </c>
      <c r="N83" s="2">
        <v>1113894.7638068898</v>
      </c>
      <c r="O83" s="2">
        <v>1174666.0773922405</v>
      </c>
      <c r="P83" s="2">
        <v>1339231.6456437882</v>
      </c>
      <c r="Q83" s="2">
        <v>1753302.9666251249</v>
      </c>
      <c r="R83" s="2">
        <v>1546539.779488195</v>
      </c>
      <c r="S83" s="2">
        <v>993571.55961481691</v>
      </c>
      <c r="T83" s="2">
        <v>960213.75562720886</v>
      </c>
      <c r="U83" s="2">
        <v>1155086.5855298874</v>
      </c>
      <c r="V83" s="2">
        <v>1559236.0859496274</v>
      </c>
      <c r="W83" s="2">
        <v>1263498.5815129068</v>
      </c>
      <c r="X83" s="2">
        <v>1061378.0300000003</v>
      </c>
      <c r="Y83" s="2">
        <v>1275124.6574639494</v>
      </c>
      <c r="Z83" s="2">
        <v>1309653.0914553883</v>
      </c>
      <c r="AA83" s="2">
        <v>1685695.1586534008</v>
      </c>
      <c r="AB83" s="2">
        <v>1563894.3354094506</v>
      </c>
      <c r="AC83" s="2">
        <v>1436962.9093615429</v>
      </c>
      <c r="AD83" s="2">
        <v>1603617.1495546598</v>
      </c>
      <c r="AE83" s="2">
        <v>1424742.0778668004</v>
      </c>
      <c r="AF83" s="2">
        <v>1478798.6468360352</v>
      </c>
      <c r="AG83" s="2">
        <v>1247925.3537570327</v>
      </c>
      <c r="AH83" s="2">
        <v>2453956.2828146657</v>
      </c>
      <c r="AI83" s="2">
        <v>2313851.748564519</v>
      </c>
    </row>
    <row r="84" spans="1:35" x14ac:dyDescent="0.2">
      <c r="A84" s="1" t="s">
        <v>200</v>
      </c>
      <c r="B84" s="1" t="s">
        <v>205</v>
      </c>
      <c r="C84" s="1" t="s">
        <v>206</v>
      </c>
      <c r="D84" s="2">
        <v>481.59706160809998</v>
      </c>
      <c r="E84" s="2">
        <v>84921.048824975907</v>
      </c>
      <c r="F84" s="2">
        <v>1073985.6477572664</v>
      </c>
      <c r="G84" s="2">
        <v>2879554.6080537136</v>
      </c>
      <c r="H84" s="2">
        <v>1418228.3177901832</v>
      </c>
      <c r="I84" s="2">
        <v>4719322.1183923539</v>
      </c>
      <c r="J84" s="2">
        <v>3471434.486256043</v>
      </c>
      <c r="K84" s="2">
        <v>4901323.6574661229</v>
      </c>
      <c r="L84" s="2">
        <v>2937723.3242690046</v>
      </c>
      <c r="M84" s="2">
        <v>2056755.1198979581</v>
      </c>
      <c r="N84" s="2">
        <v>1877355.0755492528</v>
      </c>
      <c r="O84" s="2">
        <v>2013308.6698582673</v>
      </c>
      <c r="P84" s="2">
        <v>2581864.2557134856</v>
      </c>
      <c r="Q84" s="2">
        <v>3394393.8614620399</v>
      </c>
      <c r="R84" s="2">
        <v>3049397.7269793171</v>
      </c>
      <c r="S84" s="2">
        <v>2144543.6582547273</v>
      </c>
      <c r="T84" s="2">
        <v>2007701.9161818756</v>
      </c>
      <c r="U84" s="2">
        <v>2426694.4156478401</v>
      </c>
      <c r="V84" s="2">
        <v>2823748.2074917671</v>
      </c>
      <c r="W84" s="2">
        <v>2451689.8012806689</v>
      </c>
      <c r="X84" s="2">
        <v>2569468.4210000006</v>
      </c>
      <c r="Y84" s="2">
        <v>2970002.0043660114</v>
      </c>
      <c r="Z84" s="2">
        <v>3078570.5499204937</v>
      </c>
      <c r="AA84" s="2">
        <v>3477381.6663327808</v>
      </c>
      <c r="AB84" s="2">
        <v>2938562.8801623904</v>
      </c>
      <c r="AC84" s="2">
        <v>2943004.4470682112</v>
      </c>
      <c r="AD84" s="2">
        <v>3024565.2904698066</v>
      </c>
      <c r="AE84" s="2">
        <v>3057831.3003739845</v>
      </c>
      <c r="AF84" s="2">
        <v>3119088.1160767395</v>
      </c>
      <c r="AG84" s="2">
        <v>2770587.2873820178</v>
      </c>
      <c r="AH84" s="2">
        <v>4828179.3680293616</v>
      </c>
      <c r="AI84" s="2">
        <v>4324885.8708140757</v>
      </c>
    </row>
    <row r="85" spans="1:35" x14ac:dyDescent="0.2">
      <c r="A85" s="1" t="s">
        <v>200</v>
      </c>
      <c r="B85" s="1" t="s">
        <v>207</v>
      </c>
      <c r="C85" s="1" t="s">
        <v>208</v>
      </c>
      <c r="D85" s="2">
        <v>66741.851670713106</v>
      </c>
      <c r="E85" s="2">
        <v>473777.99192082632</v>
      </c>
      <c r="F85" s="2">
        <v>931388.92582397861</v>
      </c>
      <c r="G85" s="2">
        <v>1497625.4043158409</v>
      </c>
      <c r="H85" s="2">
        <v>1205820.9505247788</v>
      </c>
      <c r="I85" s="2">
        <v>1813974.6826166026</v>
      </c>
      <c r="J85" s="2">
        <v>2131962.9471940184</v>
      </c>
      <c r="K85" s="2">
        <v>2892830.4398725252</v>
      </c>
      <c r="L85" s="2">
        <v>1529366.906910538</v>
      </c>
      <c r="M85" s="2">
        <v>994697.94612904347</v>
      </c>
      <c r="N85" s="2">
        <v>842413.15547723684</v>
      </c>
      <c r="O85" s="2">
        <v>1000268.5523223832</v>
      </c>
      <c r="P85" s="2">
        <v>1320702.7847691053</v>
      </c>
      <c r="Q85" s="2">
        <v>1762778.270606441</v>
      </c>
      <c r="R85" s="2">
        <v>1749650.4549722811</v>
      </c>
      <c r="S85" s="2">
        <v>1198775.6486199559</v>
      </c>
      <c r="T85" s="2">
        <v>1170244.4650338935</v>
      </c>
      <c r="U85" s="2">
        <v>1303914.4574080191</v>
      </c>
      <c r="V85" s="2">
        <v>1721025.8949913902</v>
      </c>
      <c r="W85" s="2">
        <v>1243927.0521828781</v>
      </c>
      <c r="X85" s="2">
        <v>1646774.5290000006</v>
      </c>
      <c r="Y85" s="2">
        <v>1857265.0666802721</v>
      </c>
      <c r="Z85" s="2">
        <v>1798738.3674483541</v>
      </c>
      <c r="AA85" s="2">
        <v>2030965.7096345806</v>
      </c>
      <c r="AB85" s="2">
        <v>1529598.0631420249</v>
      </c>
      <c r="AC85" s="2">
        <v>1765210.7668531125</v>
      </c>
      <c r="AD85" s="2">
        <v>1859714.3238803318</v>
      </c>
      <c r="AE85" s="2">
        <v>1688149.0134141843</v>
      </c>
      <c r="AF85" s="2">
        <v>1814075.6315949266</v>
      </c>
      <c r="AG85" s="2">
        <v>1647147.9693978149</v>
      </c>
      <c r="AH85" s="2">
        <v>2461901.5282483436</v>
      </c>
      <c r="AI85" s="2">
        <v>2629026.7907441296</v>
      </c>
    </row>
    <row r="86" spans="1:35" x14ac:dyDescent="0.2">
      <c r="A86" s="1" t="s">
        <v>200</v>
      </c>
      <c r="B86" s="1" t="s">
        <v>209</v>
      </c>
      <c r="C86" s="1" t="s">
        <v>210</v>
      </c>
      <c r="D86" s="2">
        <v>41955.6873072198</v>
      </c>
      <c r="E86" s="2">
        <v>113480.84361997611</v>
      </c>
      <c r="F86" s="2">
        <v>115982.6245303774</v>
      </c>
      <c r="G86" s="2">
        <v>145438.24102150742</v>
      </c>
      <c r="H86" s="2">
        <v>376608.34330111905</v>
      </c>
      <c r="I86" s="2">
        <v>855817.24476141855</v>
      </c>
      <c r="J86" s="2">
        <v>1013728.6520977456</v>
      </c>
      <c r="K86" s="2">
        <v>1378420.5840899125</v>
      </c>
      <c r="L86" s="2">
        <v>1680146.6397987423</v>
      </c>
      <c r="M86" s="2">
        <v>1166344.1770120128</v>
      </c>
      <c r="N86" s="2">
        <v>1255753.7557487541</v>
      </c>
      <c r="O86" s="2">
        <v>1210086.8474562743</v>
      </c>
      <c r="P86" s="2">
        <v>1959789.4562759805</v>
      </c>
      <c r="Q86" s="2">
        <v>2199314.6718141702</v>
      </c>
      <c r="R86" s="2">
        <v>2065511.910103811</v>
      </c>
      <c r="S86" s="2">
        <v>1807906.7751582428</v>
      </c>
      <c r="T86" s="2">
        <v>1641599.6156366714</v>
      </c>
      <c r="U86" s="2">
        <v>1869120.4233407516</v>
      </c>
      <c r="V86" s="2">
        <v>2083944.1685343743</v>
      </c>
      <c r="W86" s="2">
        <v>1728927.4720093729</v>
      </c>
      <c r="X86" s="2">
        <v>1821795.6160000002</v>
      </c>
      <c r="Y86" s="2">
        <v>1845240.5058609326</v>
      </c>
      <c r="Z86" s="2">
        <v>2103262.3269997542</v>
      </c>
      <c r="AA86" s="2">
        <v>2412073.7147087152</v>
      </c>
      <c r="AB86" s="2">
        <v>1972421.0656782428</v>
      </c>
      <c r="AC86" s="2">
        <v>1869753.7221938972</v>
      </c>
      <c r="AD86" s="2">
        <v>2035465.9416092772</v>
      </c>
      <c r="AE86" s="2">
        <v>1993254.5051976519</v>
      </c>
      <c r="AF86" s="2">
        <v>1967407.8201561405</v>
      </c>
      <c r="AG86" s="2">
        <v>1747056.7262908288</v>
      </c>
      <c r="AH86" s="2">
        <v>2619127.2544716978</v>
      </c>
      <c r="AI86" s="2">
        <v>2479724.1204823041</v>
      </c>
    </row>
    <row r="87" spans="1:35" x14ac:dyDescent="0.2">
      <c r="A87" s="1" t="s">
        <v>200</v>
      </c>
      <c r="B87" s="1" t="s">
        <v>211</v>
      </c>
      <c r="C87" s="1" t="s">
        <v>212</v>
      </c>
      <c r="D87" s="2">
        <v>10690.0258309288</v>
      </c>
      <c r="E87" s="2">
        <v>8428.9431624175995</v>
      </c>
      <c r="F87" s="2">
        <v>7336.3209887577996</v>
      </c>
      <c r="G87" s="2">
        <v>212705.3365469061</v>
      </c>
      <c r="H87" s="2">
        <v>1403886.0563911276</v>
      </c>
      <c r="I87" s="2">
        <v>3281764.5762564959</v>
      </c>
      <c r="J87" s="2">
        <v>3620288.7136866567</v>
      </c>
      <c r="K87" s="2">
        <v>4717291.630364758</v>
      </c>
      <c r="L87" s="2">
        <v>3159011.8329748721</v>
      </c>
      <c r="M87" s="2">
        <v>2457736.2662590407</v>
      </c>
      <c r="N87" s="2">
        <v>2246680.4488914725</v>
      </c>
      <c r="O87" s="2">
        <v>2236901.0482598143</v>
      </c>
      <c r="P87" s="2">
        <v>2844821.3360133255</v>
      </c>
      <c r="Q87" s="2">
        <v>3942807.5665806639</v>
      </c>
      <c r="R87" s="2">
        <v>3125320.1520078434</v>
      </c>
      <c r="S87" s="2">
        <v>2473622.1224111021</v>
      </c>
      <c r="T87" s="2">
        <v>2123957.9616677063</v>
      </c>
      <c r="U87" s="2">
        <v>2914217.9254697911</v>
      </c>
      <c r="V87" s="2">
        <v>3412975.3753704447</v>
      </c>
      <c r="W87" s="2">
        <v>2440675.9070303529</v>
      </c>
      <c r="X87" s="2">
        <v>2929878.8660000013</v>
      </c>
      <c r="Y87" s="2">
        <v>3177278.8055142676</v>
      </c>
      <c r="Z87" s="2">
        <v>2825067.8134013391</v>
      </c>
      <c r="AA87" s="2">
        <v>4304792.5269715786</v>
      </c>
      <c r="AB87" s="2">
        <v>3937141.2519736318</v>
      </c>
      <c r="AC87" s="2">
        <v>3577429.7062848778</v>
      </c>
      <c r="AD87" s="2">
        <v>4044894.7941546878</v>
      </c>
      <c r="AE87" s="2">
        <v>3527156.6770852772</v>
      </c>
      <c r="AF87" s="2">
        <v>3526707.0957550504</v>
      </c>
      <c r="AG87" s="2">
        <v>3149397.19803209</v>
      </c>
      <c r="AH87" s="2">
        <v>5518380.8757608877</v>
      </c>
      <c r="AI87" s="2">
        <v>5201286.5868132394</v>
      </c>
    </row>
    <row r="88" spans="1:35" x14ac:dyDescent="0.2">
      <c r="A88" s="1" t="s">
        <v>200</v>
      </c>
      <c r="B88" s="1" t="s">
        <v>213</v>
      </c>
      <c r="C88" s="1" t="s">
        <v>214</v>
      </c>
      <c r="G88" s="2">
        <v>358614.74626986822</v>
      </c>
      <c r="H88" s="2">
        <v>887606.5883806569</v>
      </c>
      <c r="I88" s="2">
        <v>1558041.4173412833</v>
      </c>
      <c r="J88" s="2">
        <v>2289738.5396497608</v>
      </c>
      <c r="K88" s="2">
        <v>2056297.887337171</v>
      </c>
      <c r="L88" s="2">
        <v>1715857.6079512967</v>
      </c>
      <c r="M88" s="2">
        <v>999395.61883151287</v>
      </c>
      <c r="N88" s="2">
        <v>1162177.8982893692</v>
      </c>
      <c r="O88" s="2">
        <v>987870.61083211377</v>
      </c>
      <c r="P88" s="2">
        <v>1301326.0369537638</v>
      </c>
      <c r="Q88" s="2">
        <v>1833906.115833617</v>
      </c>
      <c r="R88" s="2">
        <v>1765747.9981957395</v>
      </c>
      <c r="S88" s="2">
        <v>1261653.7754868334</v>
      </c>
      <c r="T88" s="2">
        <v>1077460.2029143593</v>
      </c>
      <c r="U88" s="2">
        <v>1510578.2105895884</v>
      </c>
      <c r="V88" s="2">
        <v>1709307.9716515162</v>
      </c>
      <c r="W88" s="2">
        <v>1584182.7913092955</v>
      </c>
      <c r="X88" s="2">
        <v>1687402.1749999998</v>
      </c>
      <c r="Y88" s="2">
        <v>1807872.1176914969</v>
      </c>
      <c r="Z88" s="2">
        <v>1539705.4931414782</v>
      </c>
      <c r="AA88" s="2">
        <v>2215757.0598347341</v>
      </c>
      <c r="AB88" s="2">
        <v>1974639.0940776151</v>
      </c>
      <c r="AC88" s="2">
        <v>1810218.5326113885</v>
      </c>
      <c r="AD88" s="2">
        <v>2107248.92727214</v>
      </c>
      <c r="AE88" s="2">
        <v>1879249.2425885843</v>
      </c>
      <c r="AF88" s="2">
        <v>1891012.8604914912</v>
      </c>
      <c r="AG88" s="2">
        <v>1736423.9151362954</v>
      </c>
      <c r="AH88" s="2">
        <v>2662630.322870743</v>
      </c>
      <c r="AI88" s="2">
        <v>2765186.2024232727</v>
      </c>
    </row>
    <row r="89" spans="1:35" x14ac:dyDescent="0.2">
      <c r="A89" s="1" t="s">
        <v>200</v>
      </c>
      <c r="B89" s="1" t="s">
        <v>215</v>
      </c>
      <c r="C89" s="1" t="s">
        <v>216</v>
      </c>
      <c r="D89" s="2">
        <v>26951.325219943297</v>
      </c>
      <c r="E89" s="2">
        <v>130575.23449427111</v>
      </c>
      <c r="F89" s="2">
        <v>232133.27602083571</v>
      </c>
      <c r="G89" s="2">
        <v>341135.21987098845</v>
      </c>
      <c r="H89" s="2">
        <v>1068338.8843537858</v>
      </c>
      <c r="I89" s="2">
        <v>2880911.3522595209</v>
      </c>
      <c r="J89" s="2">
        <v>1444882.5783717339</v>
      </c>
      <c r="K89" s="2">
        <v>1396187.5338024958</v>
      </c>
      <c r="L89" s="2">
        <v>1498119.8852071627</v>
      </c>
      <c r="M89" s="2">
        <v>1087749.1638760082</v>
      </c>
      <c r="N89" s="2">
        <v>1211154.3411293756</v>
      </c>
      <c r="O89" s="2">
        <v>1248015.2455362179</v>
      </c>
      <c r="P89" s="2">
        <v>1280791.1300165951</v>
      </c>
      <c r="Q89" s="2">
        <v>1617716.7145497173</v>
      </c>
      <c r="R89" s="2">
        <v>1506885.7190931907</v>
      </c>
      <c r="S89" s="2">
        <v>1189545.716771171</v>
      </c>
      <c r="T89" s="2">
        <v>1061901.7740468418</v>
      </c>
      <c r="U89" s="2">
        <v>1194549.3364518285</v>
      </c>
      <c r="V89" s="2">
        <v>1527274.970936859</v>
      </c>
      <c r="W89" s="2">
        <v>1371949.2772256169</v>
      </c>
      <c r="X89" s="2">
        <v>1221219.81</v>
      </c>
      <c r="Y89" s="2">
        <v>1343190.073095513</v>
      </c>
      <c r="Z89" s="2">
        <v>1380465.9404354482</v>
      </c>
      <c r="AA89" s="2">
        <v>1775767.6748526972</v>
      </c>
      <c r="AB89" s="2">
        <v>1679613.5587886705</v>
      </c>
      <c r="AC89" s="2">
        <v>1506049.8303045561</v>
      </c>
      <c r="AD89" s="2">
        <v>1767937.6719181002</v>
      </c>
      <c r="AE89" s="2">
        <v>1581603.034095176</v>
      </c>
      <c r="AF89" s="2">
        <v>1663897.5057584359</v>
      </c>
      <c r="AG89" s="2">
        <v>1551273.4327589516</v>
      </c>
      <c r="AH89" s="2">
        <v>2558327.8680377039</v>
      </c>
      <c r="AI89" s="2">
        <v>2688963.1302126339</v>
      </c>
    </row>
    <row r="90" spans="1:35" x14ac:dyDescent="0.2">
      <c r="A90" s="1" t="s">
        <v>200</v>
      </c>
      <c r="B90" s="1" t="s">
        <v>217</v>
      </c>
      <c r="C90" s="1" t="s">
        <v>218</v>
      </c>
      <c r="D90" s="2">
        <v>54950.824413886403</v>
      </c>
      <c r="E90" s="2">
        <v>250741.90959381242</v>
      </c>
      <c r="F90" s="2">
        <v>244587.57989508918</v>
      </c>
      <c r="G90" s="2">
        <v>306120.26642956334</v>
      </c>
      <c r="H90" s="2">
        <v>1329213.9768655656</v>
      </c>
      <c r="I90" s="2">
        <v>709786.00527030358</v>
      </c>
      <c r="J90" s="2">
        <v>1047151.6573428296</v>
      </c>
      <c r="K90" s="2">
        <v>1265315.9415002628</v>
      </c>
      <c r="L90" s="2">
        <v>1175907.3184006386</v>
      </c>
      <c r="M90" s="2">
        <v>833816.16145893524</v>
      </c>
      <c r="N90" s="2">
        <v>892323.1581571179</v>
      </c>
      <c r="O90" s="2">
        <v>905247.66884777427</v>
      </c>
      <c r="P90" s="2">
        <v>1305816.2115044959</v>
      </c>
      <c r="Q90" s="2">
        <v>1416463.454139017</v>
      </c>
      <c r="R90" s="2">
        <v>1458341.7539355729</v>
      </c>
      <c r="S90" s="2">
        <v>1394368.1334828902</v>
      </c>
      <c r="T90" s="2">
        <v>1197597.7961933461</v>
      </c>
      <c r="U90" s="2">
        <v>1310990.0186399929</v>
      </c>
      <c r="V90" s="2">
        <v>1603819.260494011</v>
      </c>
      <c r="W90" s="2">
        <v>1214521.3666834659</v>
      </c>
      <c r="X90" s="2">
        <v>1753605.298</v>
      </c>
      <c r="Y90" s="2">
        <v>1736926.7680282018</v>
      </c>
      <c r="Z90" s="2">
        <v>1786009.968621453</v>
      </c>
      <c r="AA90" s="2">
        <v>2103338.2685305849</v>
      </c>
      <c r="AB90" s="2">
        <v>2184800.1414006529</v>
      </c>
      <c r="AC90" s="2">
        <v>1999438.4024047086</v>
      </c>
      <c r="AD90" s="2">
        <v>2031076.1120701001</v>
      </c>
      <c r="AE90" s="2">
        <v>2349824.1563366521</v>
      </c>
      <c r="AF90" s="2">
        <v>2232910.097590337</v>
      </c>
      <c r="AG90" s="2">
        <v>2122097.6189095853</v>
      </c>
      <c r="AH90" s="2">
        <v>2699475.7653139387</v>
      </c>
      <c r="AI90" s="2">
        <v>2698039.6177989645</v>
      </c>
    </row>
    <row r="91" spans="1:35" x14ac:dyDescent="0.2">
      <c r="A91" s="1" t="s">
        <v>200</v>
      </c>
      <c r="B91" s="1" t="s">
        <v>219</v>
      </c>
      <c r="C91" s="1" t="s">
        <v>220</v>
      </c>
      <c r="D91" s="2">
        <v>175764.30459270458</v>
      </c>
      <c r="E91" s="2">
        <v>231595.4672816832</v>
      </c>
      <c r="F91" s="2">
        <v>268178.13360975595</v>
      </c>
      <c r="G91" s="2">
        <v>397885.50093269214</v>
      </c>
      <c r="H91" s="2">
        <v>390865.08344673028</v>
      </c>
      <c r="I91" s="2">
        <v>746361.60662591411</v>
      </c>
      <c r="J91" s="2">
        <v>998050.11224933143</v>
      </c>
      <c r="K91" s="2">
        <v>877437.69925816252</v>
      </c>
      <c r="L91" s="2">
        <v>809543.64454126102</v>
      </c>
      <c r="M91" s="2">
        <v>721944.29787680984</v>
      </c>
      <c r="N91" s="2">
        <v>740442.87835617934</v>
      </c>
      <c r="O91" s="2">
        <v>766874.53767595894</v>
      </c>
      <c r="P91" s="2">
        <v>916711.07161056297</v>
      </c>
      <c r="Q91" s="2">
        <v>1108177.5445434896</v>
      </c>
      <c r="R91" s="2">
        <v>1036400.9346542512</v>
      </c>
      <c r="S91" s="2">
        <v>1143408.7444558241</v>
      </c>
      <c r="T91" s="2">
        <v>1028983.4246148649</v>
      </c>
      <c r="U91" s="2">
        <v>1106745.7358751104</v>
      </c>
      <c r="V91" s="2">
        <v>1178956.8812146967</v>
      </c>
      <c r="W91" s="2">
        <v>1056810.830109508</v>
      </c>
      <c r="X91" s="2">
        <v>1439208.8940000003</v>
      </c>
      <c r="Y91" s="2">
        <v>1395578.9962134983</v>
      </c>
      <c r="Z91" s="2">
        <v>1436490.1536754896</v>
      </c>
      <c r="AA91" s="2">
        <v>1711621.5526688441</v>
      </c>
      <c r="AB91" s="2">
        <v>1392156.323288101</v>
      </c>
      <c r="AC91" s="2">
        <v>1382966.3769078772</v>
      </c>
      <c r="AD91" s="2">
        <v>1506022.9276232419</v>
      </c>
      <c r="AE91" s="2">
        <v>1449205.3450833736</v>
      </c>
      <c r="AF91" s="2">
        <v>1589141.0658679744</v>
      </c>
      <c r="AG91" s="2">
        <v>1521454.4768943219</v>
      </c>
      <c r="AH91" s="2">
        <v>1688970.469066401</v>
      </c>
      <c r="AI91" s="2">
        <v>1731786.8016793199</v>
      </c>
    </row>
    <row r="92" spans="1:35" x14ac:dyDescent="0.2">
      <c r="A92" s="1" t="s">
        <v>221</v>
      </c>
      <c r="B92" s="1" t="s">
        <v>222</v>
      </c>
      <c r="C92" s="1" t="s">
        <v>223</v>
      </c>
      <c r="D92" s="2">
        <v>214683.60663651559</v>
      </c>
      <c r="E92" s="2">
        <v>209754.0581527848</v>
      </c>
      <c r="F92" s="2">
        <v>467582.5185255463</v>
      </c>
      <c r="G92" s="2">
        <v>454619.50692644948</v>
      </c>
      <c r="H92" s="2">
        <v>250850.01401096291</v>
      </c>
      <c r="I92" s="2">
        <v>427992.90069354535</v>
      </c>
      <c r="J92" s="2">
        <v>523126.05686043715</v>
      </c>
      <c r="K92" s="2">
        <v>525006.38764599874</v>
      </c>
      <c r="L92" s="2">
        <v>317538.92224809068</v>
      </c>
      <c r="M92" s="2">
        <v>190892.59567797359</v>
      </c>
      <c r="N92" s="2">
        <v>196503.6459756493</v>
      </c>
      <c r="O92" s="2">
        <v>199542.61023191639</v>
      </c>
      <c r="P92" s="2">
        <v>231429.10629152</v>
      </c>
      <c r="Q92" s="2">
        <v>190583.93967750252</v>
      </c>
      <c r="R92" s="2">
        <v>267405.56085362664</v>
      </c>
      <c r="S92" s="2">
        <v>262976.2895458421</v>
      </c>
      <c r="T92" s="2">
        <v>238033.8396026351</v>
      </c>
      <c r="U92" s="2">
        <v>230072.20062529712</v>
      </c>
      <c r="V92" s="2">
        <v>243893.34635378391</v>
      </c>
      <c r="W92" s="2">
        <v>265165.95483124652</v>
      </c>
      <c r="X92" s="2">
        <v>218068.10299999997</v>
      </c>
      <c r="Y92" s="2">
        <v>313370.93480155454</v>
      </c>
      <c r="Z92" s="2">
        <v>302102.82453191455</v>
      </c>
      <c r="AA92" s="2">
        <v>253839.43749996941</v>
      </c>
      <c r="AB92" s="2">
        <v>280747.20610278321</v>
      </c>
      <c r="AC92" s="2">
        <v>271695.95880341908</v>
      </c>
      <c r="AD92" s="2">
        <v>255754.18694573638</v>
      </c>
      <c r="AE92" s="2">
        <v>223769.31992827484</v>
      </c>
      <c r="AF92" s="2">
        <v>225470.39331572349</v>
      </c>
      <c r="AG92" s="2">
        <v>213396.76658579407</v>
      </c>
      <c r="AH92" s="2">
        <v>234752.55618529065</v>
      </c>
      <c r="AI92" s="2">
        <v>261804.63816978637</v>
      </c>
    </row>
    <row r="93" spans="1:35" x14ac:dyDescent="0.2">
      <c r="A93" s="1" t="s">
        <v>221</v>
      </c>
      <c r="B93" s="1" t="s">
        <v>224</v>
      </c>
      <c r="C93" s="1" t="s">
        <v>225</v>
      </c>
      <c r="D93" s="2">
        <v>178174.1209535886</v>
      </c>
      <c r="E93" s="2">
        <v>327074.4498039168</v>
      </c>
      <c r="F93" s="2">
        <v>566935.69444102363</v>
      </c>
      <c r="G93" s="2">
        <v>845649.30569309834</v>
      </c>
      <c r="H93" s="2">
        <v>579840.9290630219</v>
      </c>
      <c r="I93" s="2">
        <v>663590.17026637041</v>
      </c>
      <c r="J93" s="2">
        <v>900440.20065185777</v>
      </c>
      <c r="K93" s="2">
        <v>893224.6395610508</v>
      </c>
      <c r="L93" s="2">
        <v>491940.8782512031</v>
      </c>
      <c r="M93" s="2">
        <v>400251.63361912774</v>
      </c>
      <c r="N93" s="2">
        <v>435075.43125588464</v>
      </c>
      <c r="O93" s="2">
        <v>411507.52717691776</v>
      </c>
      <c r="P93" s="2">
        <v>466082.818284899</v>
      </c>
      <c r="Q93" s="2">
        <v>380362.4636221457</v>
      </c>
      <c r="R93" s="2">
        <v>448896.58776173589</v>
      </c>
      <c r="S93" s="2">
        <v>389881.88119539554</v>
      </c>
      <c r="T93" s="2">
        <v>380577.89986342576</v>
      </c>
      <c r="U93" s="2">
        <v>311567.86350568128</v>
      </c>
      <c r="V93" s="2">
        <v>285485.17961051711</v>
      </c>
      <c r="W93" s="2">
        <v>404395.74639663688</v>
      </c>
      <c r="X93" s="2">
        <v>336217.24399999995</v>
      </c>
      <c r="Y93" s="2">
        <v>392766.22441745584</v>
      </c>
      <c r="Z93" s="2">
        <v>477529.84326529416</v>
      </c>
      <c r="AA93" s="2">
        <v>456993.46409170504</v>
      </c>
      <c r="AB93" s="2">
        <v>425511.33853696199</v>
      </c>
      <c r="AC93" s="2">
        <v>430040.84212111367</v>
      </c>
      <c r="AD93" s="2">
        <v>390500.17647051252</v>
      </c>
      <c r="AE93" s="2">
        <v>356556.18893782009</v>
      </c>
      <c r="AF93" s="2">
        <v>331165.45962144528</v>
      </c>
      <c r="AG93" s="2">
        <v>334971.75846770965</v>
      </c>
      <c r="AH93" s="2">
        <v>384428.2939376295</v>
      </c>
      <c r="AI93" s="2">
        <v>449076.98838775535</v>
      </c>
    </row>
    <row r="94" spans="1:35" x14ac:dyDescent="0.2">
      <c r="A94" s="1" t="s">
        <v>221</v>
      </c>
      <c r="B94" s="1" t="s">
        <v>226</v>
      </c>
      <c r="C94" s="1" t="s">
        <v>227</v>
      </c>
      <c r="D94" s="2">
        <v>163478.70142261038</v>
      </c>
      <c r="E94" s="2">
        <v>149663.1608774598</v>
      </c>
      <c r="F94" s="2">
        <v>208057.85209058135</v>
      </c>
      <c r="G94" s="2">
        <v>210329.12181502182</v>
      </c>
      <c r="H94" s="2">
        <v>234701.8958010372</v>
      </c>
      <c r="I94" s="2">
        <v>422971.80533034174</v>
      </c>
      <c r="J94" s="2">
        <v>562995.12000300898</v>
      </c>
      <c r="K94" s="2">
        <v>593269.15760329342</v>
      </c>
      <c r="L94" s="2">
        <v>425443.3379017298</v>
      </c>
      <c r="M94" s="2">
        <v>267432.92294383707</v>
      </c>
      <c r="N94" s="2">
        <v>295474.83169195894</v>
      </c>
      <c r="O94" s="2">
        <v>290010.91825850279</v>
      </c>
      <c r="P94" s="2">
        <v>253495.93023638701</v>
      </c>
      <c r="Q94" s="2">
        <v>221048.92214943748</v>
      </c>
      <c r="R94" s="2">
        <v>308328.62724810548</v>
      </c>
      <c r="S94" s="2">
        <v>287547.84518210794</v>
      </c>
      <c r="T94" s="2">
        <v>281470.82078906207</v>
      </c>
      <c r="U94" s="2">
        <v>229258.46241862478</v>
      </c>
      <c r="V94" s="2">
        <v>316082.67284081673</v>
      </c>
      <c r="W94" s="2">
        <v>292322.43287234532</v>
      </c>
      <c r="X94" s="2">
        <v>289443.95799999998</v>
      </c>
      <c r="Y94" s="2">
        <v>379420.97989027639</v>
      </c>
      <c r="Z94" s="2">
        <v>364962.99892123672</v>
      </c>
      <c r="AA94" s="2">
        <v>329172.18801188318</v>
      </c>
      <c r="AB94" s="2">
        <v>376860.29127240815</v>
      </c>
      <c r="AC94" s="2">
        <v>368639.30641235225</v>
      </c>
      <c r="AD94" s="2">
        <v>354864.23988423042</v>
      </c>
      <c r="AE94" s="2">
        <v>303458.20789365319</v>
      </c>
      <c r="AF94" s="2">
        <v>315414.47092725901</v>
      </c>
      <c r="AG94" s="2">
        <v>311730.60434616409</v>
      </c>
      <c r="AH94" s="2">
        <v>379035.59580487537</v>
      </c>
      <c r="AI94" s="2">
        <v>368650.98973428149</v>
      </c>
    </row>
    <row r="95" spans="1:35" x14ac:dyDescent="0.2">
      <c r="A95" s="1" t="s">
        <v>221</v>
      </c>
      <c r="B95" s="1" t="s">
        <v>228</v>
      </c>
      <c r="C95" s="1" t="s">
        <v>229</v>
      </c>
      <c r="D95" s="2">
        <v>33160.774061780998</v>
      </c>
      <c r="E95" s="2">
        <v>30193.647815238299</v>
      </c>
      <c r="F95" s="2">
        <v>79219.160791394097</v>
      </c>
      <c r="G95" s="2">
        <v>146633.01963966188</v>
      </c>
      <c r="H95" s="2">
        <v>119061.1668962065</v>
      </c>
      <c r="I95" s="2">
        <v>135599.3454537853</v>
      </c>
      <c r="J95" s="2">
        <v>236554.89949101</v>
      </c>
      <c r="K95" s="2">
        <v>314249.47159649723</v>
      </c>
      <c r="L95" s="2">
        <v>90100.752663828709</v>
      </c>
      <c r="M95" s="2">
        <v>105921.3127090379</v>
      </c>
      <c r="N95" s="2">
        <v>118909.5890996462</v>
      </c>
      <c r="O95" s="2">
        <v>128522.27847009769</v>
      </c>
      <c r="P95" s="2">
        <v>159826.18868105998</v>
      </c>
      <c r="Q95" s="2">
        <v>123089.0455815991</v>
      </c>
      <c r="R95" s="2">
        <v>131357.5780092362</v>
      </c>
      <c r="S95" s="2">
        <v>103032.44423917812</v>
      </c>
      <c r="T95" s="2">
        <v>113269.2075615389</v>
      </c>
      <c r="U95" s="2">
        <v>95474.969433616308</v>
      </c>
      <c r="V95" s="2">
        <v>88957.089632730203</v>
      </c>
      <c r="W95" s="2">
        <v>91978.959267172206</v>
      </c>
      <c r="X95" s="2">
        <v>86301.842000000004</v>
      </c>
      <c r="Y95" s="2">
        <v>104128.3843240377</v>
      </c>
      <c r="Z95" s="2">
        <v>109615.84028326841</v>
      </c>
      <c r="AA95" s="2">
        <v>123204.87784719649</v>
      </c>
      <c r="AB95" s="2">
        <v>131493.00908101333</v>
      </c>
      <c r="AC95" s="2">
        <v>132087.20602070889</v>
      </c>
      <c r="AD95" s="2">
        <v>124711.85046611889</v>
      </c>
      <c r="AE95" s="2">
        <v>131036.17093794052</v>
      </c>
      <c r="AF95" s="2">
        <v>116705.59125006845</v>
      </c>
      <c r="AG95" s="2">
        <v>118837.56554790125</v>
      </c>
      <c r="AH95" s="2">
        <v>128738.20070222158</v>
      </c>
      <c r="AI95" s="2">
        <v>140159.48606497527</v>
      </c>
    </row>
    <row r="96" spans="1:35" x14ac:dyDescent="0.2">
      <c r="A96" s="1" t="s">
        <v>221</v>
      </c>
      <c r="B96" s="1" t="s">
        <v>230</v>
      </c>
      <c r="C96" s="1" t="s">
        <v>231</v>
      </c>
      <c r="D96" s="2">
        <v>81394.114742615115</v>
      </c>
      <c r="E96" s="2">
        <v>134790.94824637999</v>
      </c>
      <c r="F96" s="2">
        <v>157557.51469048939</v>
      </c>
      <c r="G96" s="2">
        <v>177505.72361875919</v>
      </c>
      <c r="H96" s="2">
        <v>250258.5874980028</v>
      </c>
      <c r="I96" s="2">
        <v>306082.69115175836</v>
      </c>
      <c r="J96" s="2">
        <v>379214.65605203027</v>
      </c>
      <c r="K96" s="2">
        <v>434722.82128194702</v>
      </c>
      <c r="L96" s="2">
        <v>298221.77650280716</v>
      </c>
      <c r="M96" s="2">
        <v>210375.19154783827</v>
      </c>
      <c r="N96" s="2">
        <v>235065.47849286563</v>
      </c>
      <c r="O96" s="2">
        <v>230468.99269620571</v>
      </c>
      <c r="P96" s="2">
        <v>222171.11694226903</v>
      </c>
      <c r="Q96" s="2">
        <v>184619.12600448672</v>
      </c>
      <c r="R96" s="2">
        <v>211232.80343810515</v>
      </c>
      <c r="S96" s="2">
        <v>207912.3857721237</v>
      </c>
      <c r="T96" s="2">
        <v>201687.34339529052</v>
      </c>
      <c r="U96" s="2">
        <v>190459.49950024547</v>
      </c>
      <c r="V96" s="2">
        <v>194178.46380388469</v>
      </c>
      <c r="W96" s="2">
        <v>214209.71157606083</v>
      </c>
      <c r="X96" s="2">
        <v>188653.61099999998</v>
      </c>
      <c r="Y96" s="2">
        <v>215528.90248830008</v>
      </c>
      <c r="Z96" s="2">
        <v>209625.19904798511</v>
      </c>
      <c r="AA96" s="2">
        <v>236732.0910076781</v>
      </c>
      <c r="AB96" s="2">
        <v>259438.35271646298</v>
      </c>
      <c r="AC96" s="2">
        <v>241413.6071016615</v>
      </c>
      <c r="AD96" s="2">
        <v>234462.24405609968</v>
      </c>
      <c r="AE96" s="2">
        <v>222349.05770380973</v>
      </c>
      <c r="AF96" s="2">
        <v>203917.24096083155</v>
      </c>
      <c r="AG96" s="2">
        <v>194738.21697578812</v>
      </c>
      <c r="AH96" s="2">
        <v>226302.28950559694</v>
      </c>
      <c r="AI96" s="2">
        <v>234488.50407250578</v>
      </c>
    </row>
    <row r="97" spans="1:35" x14ac:dyDescent="0.2">
      <c r="A97" s="1" t="s">
        <v>221</v>
      </c>
      <c r="B97" s="1" t="s">
        <v>232</v>
      </c>
      <c r="C97" s="1" t="s">
        <v>233</v>
      </c>
      <c r="D97" s="2">
        <v>49260.648000004316</v>
      </c>
      <c r="E97" s="2">
        <v>404278.12469129206</v>
      </c>
      <c r="F97" s="2">
        <v>586762.24918967194</v>
      </c>
      <c r="G97" s="2">
        <v>1025984.70579226</v>
      </c>
      <c r="H97" s="2">
        <v>534459.26567974349</v>
      </c>
      <c r="I97" s="2">
        <v>979954.22885630059</v>
      </c>
      <c r="J97" s="2">
        <v>888313.17670700524</v>
      </c>
      <c r="K97" s="2">
        <v>1145584.7962904645</v>
      </c>
      <c r="L97" s="2">
        <v>527540.44639525248</v>
      </c>
      <c r="M97" s="2">
        <v>444366.94410342182</v>
      </c>
      <c r="N97" s="2">
        <v>483372.78767979605</v>
      </c>
      <c r="O97" s="2">
        <v>490861.34919014381</v>
      </c>
      <c r="P97" s="2">
        <v>498987.04983037373</v>
      </c>
      <c r="Q97" s="2">
        <v>391994.05217962159</v>
      </c>
      <c r="R97" s="2">
        <v>579107.64029253577</v>
      </c>
      <c r="S97" s="2">
        <v>511018.23304156313</v>
      </c>
      <c r="T97" s="2">
        <v>469823.34547773266</v>
      </c>
      <c r="U97" s="2">
        <v>388681.53909968433</v>
      </c>
      <c r="V97" s="2">
        <v>441603.69425629894</v>
      </c>
      <c r="W97" s="2">
        <v>443256.81763835147</v>
      </c>
      <c r="X97" s="2">
        <v>415879.3220000001</v>
      </c>
      <c r="Y97" s="2">
        <v>566064.44419194222</v>
      </c>
      <c r="Z97" s="2">
        <v>560440.86664632894</v>
      </c>
      <c r="AA97" s="2">
        <v>543201.61751991208</v>
      </c>
      <c r="AB97" s="2">
        <v>621927.41650769487</v>
      </c>
      <c r="AC97" s="2">
        <v>622865.58898132376</v>
      </c>
      <c r="AD97" s="2">
        <v>591758.8255260624</v>
      </c>
      <c r="AE97" s="2">
        <v>553311.76644419204</v>
      </c>
      <c r="AF97" s="2">
        <v>544637.41417614778</v>
      </c>
      <c r="AG97" s="2">
        <v>529504.33134697704</v>
      </c>
      <c r="AH97" s="2">
        <v>596343.01891720563</v>
      </c>
      <c r="AI97" s="2">
        <v>618894.73078251549</v>
      </c>
    </row>
    <row r="98" spans="1:35" x14ac:dyDescent="0.2">
      <c r="A98" s="1" t="s">
        <v>234</v>
      </c>
      <c r="B98" s="1" t="s">
        <v>235</v>
      </c>
      <c r="C98" s="1" t="s">
        <v>236</v>
      </c>
      <c r="D98" s="2">
        <v>13205.1484521243</v>
      </c>
      <c r="E98" s="2">
        <v>116281.67144366658</v>
      </c>
      <c r="F98" s="2">
        <v>168819.92328843553</v>
      </c>
      <c r="G98" s="2">
        <v>306966.93389495154</v>
      </c>
      <c r="H98" s="2">
        <v>144083.12598427391</v>
      </c>
      <c r="I98" s="2">
        <v>419490.78802811075</v>
      </c>
      <c r="J98" s="2">
        <v>392468.01978655637</v>
      </c>
      <c r="K98" s="2">
        <v>567920.78090000607</v>
      </c>
      <c r="L98" s="2">
        <v>432201.88025317818</v>
      </c>
      <c r="M98" s="2">
        <v>200844.2868394533</v>
      </c>
      <c r="N98" s="2">
        <v>167494.46803028035</v>
      </c>
      <c r="O98" s="2">
        <v>162572.26956711139</v>
      </c>
      <c r="P98" s="2">
        <v>418915.51764108345</v>
      </c>
      <c r="Q98" s="2">
        <v>531545.08433708118</v>
      </c>
      <c r="R98" s="2">
        <v>510005.46517066669</v>
      </c>
      <c r="S98" s="2">
        <v>430199.22128459607</v>
      </c>
      <c r="T98" s="2">
        <v>487994.99449474138</v>
      </c>
      <c r="U98" s="2">
        <v>430282.64383428375</v>
      </c>
      <c r="V98" s="2">
        <v>406654.05020451505</v>
      </c>
      <c r="W98" s="2">
        <v>507645.90475949447</v>
      </c>
      <c r="X98" s="2">
        <v>412841.24200000026</v>
      </c>
      <c r="Y98" s="2">
        <v>449899.47064261109</v>
      </c>
      <c r="Z98" s="2">
        <v>385018.55958192021</v>
      </c>
      <c r="AA98" s="2">
        <v>396588.76856885088</v>
      </c>
      <c r="AB98" s="2">
        <v>363010.69303272886</v>
      </c>
      <c r="AC98" s="2">
        <v>333416.97829863912</v>
      </c>
      <c r="AD98" s="2">
        <v>363707.23143111501</v>
      </c>
      <c r="AE98" s="2">
        <v>356762.40538316453</v>
      </c>
      <c r="AF98" s="2">
        <v>472006.71652310656</v>
      </c>
      <c r="AG98" s="2">
        <v>499334.20728473651</v>
      </c>
      <c r="AH98" s="2">
        <v>532866.54493771156</v>
      </c>
      <c r="AI98" s="2">
        <v>530166.02633258456</v>
      </c>
    </row>
    <row r="99" spans="1:35" x14ac:dyDescent="0.2">
      <c r="A99" s="1" t="s">
        <v>234</v>
      </c>
      <c r="B99" s="1" t="s">
        <v>237</v>
      </c>
      <c r="C99" s="1" t="s">
        <v>238</v>
      </c>
      <c r="D99" s="2">
        <v>21386.558002342601</v>
      </c>
      <c r="E99" s="2">
        <v>76830.974885996096</v>
      </c>
      <c r="F99" s="2">
        <v>104256.20503952471</v>
      </c>
      <c r="G99" s="2">
        <v>164160.04256066441</v>
      </c>
      <c r="H99" s="2">
        <v>120680.0820039309</v>
      </c>
      <c r="I99" s="2">
        <v>323709.70190398971</v>
      </c>
      <c r="J99" s="2">
        <v>203710.50957801755</v>
      </c>
      <c r="K99" s="2">
        <v>385879.58873982081</v>
      </c>
      <c r="L99" s="2">
        <v>242718.84155123119</v>
      </c>
      <c r="M99" s="2">
        <v>104815.23204236091</v>
      </c>
      <c r="N99" s="2">
        <v>97359.121882702675</v>
      </c>
      <c r="O99" s="2">
        <v>79521.349867911398</v>
      </c>
      <c r="P99" s="2">
        <v>154384.11040859317</v>
      </c>
      <c r="Q99" s="2">
        <v>192496.7196198875</v>
      </c>
      <c r="R99" s="2">
        <v>187489.22527573814</v>
      </c>
      <c r="S99" s="2">
        <v>176579.83356319214</v>
      </c>
      <c r="T99" s="2">
        <v>197400.53962154326</v>
      </c>
      <c r="U99" s="2">
        <v>146799.11365979779</v>
      </c>
      <c r="V99" s="2">
        <v>169770.77636641153</v>
      </c>
      <c r="W99" s="2">
        <v>195993.69624307472</v>
      </c>
      <c r="X99" s="2">
        <v>172867.33500000002</v>
      </c>
      <c r="Y99" s="2">
        <v>188209.33214139304</v>
      </c>
      <c r="Z99" s="2">
        <v>166119.77566193021</v>
      </c>
      <c r="AA99" s="2">
        <v>185254.79722647832</v>
      </c>
      <c r="AB99" s="2">
        <v>194050.63891416302</v>
      </c>
      <c r="AC99" s="2">
        <v>202438.4148470631</v>
      </c>
      <c r="AD99" s="2">
        <v>194557.83434149783</v>
      </c>
      <c r="AE99" s="2">
        <v>211163.80427813207</v>
      </c>
      <c r="AF99" s="2">
        <v>217470.45813517249</v>
      </c>
      <c r="AG99" s="2">
        <v>227089.51694702765</v>
      </c>
      <c r="AH99" s="2">
        <v>237751.02088734641</v>
      </c>
      <c r="AI99" s="2">
        <v>243844.63500483503</v>
      </c>
    </row>
    <row r="100" spans="1:35" x14ac:dyDescent="0.2">
      <c r="A100" s="1" t="s">
        <v>234</v>
      </c>
      <c r="B100" s="1" t="s">
        <v>239</v>
      </c>
      <c r="C100" s="1" t="s">
        <v>240</v>
      </c>
      <c r="D100" s="2">
        <v>12474.073662242899</v>
      </c>
      <c r="E100" s="2">
        <v>40513.702830265102</v>
      </c>
      <c r="F100" s="2">
        <v>50818.704825393303</v>
      </c>
      <c r="G100" s="2">
        <v>255533.70178291053</v>
      </c>
      <c r="H100" s="2">
        <v>182287.58174708489</v>
      </c>
      <c r="I100" s="2">
        <v>360939.92358948477</v>
      </c>
      <c r="J100" s="2">
        <v>356327.43608883896</v>
      </c>
      <c r="K100" s="2">
        <v>319252.9398885112</v>
      </c>
      <c r="L100" s="2">
        <v>223765.8892554784</v>
      </c>
      <c r="M100" s="2">
        <v>110189.18265076152</v>
      </c>
      <c r="N100" s="2">
        <v>90331.096689842001</v>
      </c>
      <c r="O100" s="2">
        <v>83754.165401349164</v>
      </c>
      <c r="P100" s="2">
        <v>156067.29467458095</v>
      </c>
      <c r="Q100" s="2">
        <v>221142.37668325292</v>
      </c>
      <c r="R100" s="2">
        <v>250921.5825384451</v>
      </c>
      <c r="S100" s="2">
        <v>201124.29066800466</v>
      </c>
      <c r="T100" s="2">
        <v>180030.93831845251</v>
      </c>
      <c r="U100" s="2">
        <v>166473.62448518854</v>
      </c>
      <c r="V100" s="2">
        <v>209220.60814759391</v>
      </c>
      <c r="W100" s="2">
        <v>183376.40947537971</v>
      </c>
      <c r="X100" s="2">
        <v>133306.315</v>
      </c>
      <c r="Y100" s="2">
        <v>158956.23961966933</v>
      </c>
      <c r="Z100" s="2">
        <v>112963.2591462735</v>
      </c>
      <c r="AA100" s="2">
        <v>116923.17492854709</v>
      </c>
      <c r="AB100" s="2">
        <v>106710.14098938458</v>
      </c>
      <c r="AC100" s="2">
        <v>110427.0287979893</v>
      </c>
      <c r="AD100" s="2">
        <v>106844.2508151919</v>
      </c>
      <c r="AE100" s="2">
        <v>112115.04717978202</v>
      </c>
      <c r="AF100" s="2">
        <v>113487.11209390798</v>
      </c>
      <c r="AG100" s="2">
        <v>119664.07501779762</v>
      </c>
      <c r="AH100" s="2">
        <v>148074.12909856561</v>
      </c>
      <c r="AI100" s="2">
        <v>125925.73072234329</v>
      </c>
    </row>
    <row r="101" spans="1:35" x14ac:dyDescent="0.2">
      <c r="A101" s="1" t="s">
        <v>234</v>
      </c>
      <c r="B101" s="1" t="s">
        <v>241</v>
      </c>
      <c r="C101" s="1" t="s">
        <v>242</v>
      </c>
      <c r="D101" s="2">
        <v>21894.677820955098</v>
      </c>
      <c r="E101" s="2">
        <v>64688.379623109708</v>
      </c>
      <c r="F101" s="2">
        <v>274181.65820401948</v>
      </c>
      <c r="G101" s="2">
        <v>147857.2810124094</v>
      </c>
      <c r="H101" s="2">
        <v>201285.9572806299</v>
      </c>
      <c r="I101" s="2">
        <v>202615.7065372619</v>
      </c>
      <c r="J101" s="2">
        <v>421370.4192916014</v>
      </c>
      <c r="K101" s="2">
        <v>635393.88757927658</v>
      </c>
      <c r="L101" s="2">
        <v>370318.24864548165</v>
      </c>
      <c r="M101" s="2">
        <v>193616.79841530978</v>
      </c>
      <c r="N101" s="2">
        <v>150538.59313355168</v>
      </c>
      <c r="O101" s="2">
        <v>131156.76792650993</v>
      </c>
      <c r="P101" s="2">
        <v>321119.95377950685</v>
      </c>
      <c r="Q101" s="2">
        <v>477603.06913965609</v>
      </c>
      <c r="R101" s="2">
        <v>441200.57099146064</v>
      </c>
      <c r="S101" s="2">
        <v>443854.20853901393</v>
      </c>
      <c r="T101" s="2">
        <v>483023.1888760883</v>
      </c>
      <c r="U101" s="2">
        <v>382073.05930265645</v>
      </c>
      <c r="V101" s="2">
        <v>396624.49646187719</v>
      </c>
      <c r="W101" s="2">
        <v>469111.36774891271</v>
      </c>
      <c r="X101" s="2">
        <v>429606.99500000011</v>
      </c>
      <c r="Y101" s="2">
        <v>432983.48177619011</v>
      </c>
      <c r="Z101" s="2">
        <v>449374.24883484212</v>
      </c>
      <c r="AA101" s="2">
        <v>482561.15025674895</v>
      </c>
      <c r="AB101" s="2">
        <v>472812.81737091439</v>
      </c>
      <c r="AC101" s="2">
        <v>477480.75167785276</v>
      </c>
      <c r="AD101" s="2">
        <v>518719.84941433655</v>
      </c>
      <c r="AE101" s="2">
        <v>642049.08935707796</v>
      </c>
      <c r="AF101" s="2">
        <v>717713.23897279671</v>
      </c>
      <c r="AG101" s="2">
        <v>667617.94066356285</v>
      </c>
      <c r="AH101" s="2">
        <v>670031.26523909345</v>
      </c>
      <c r="AI101" s="2">
        <v>588611.94712257094</v>
      </c>
    </row>
    <row r="102" spans="1:35" x14ac:dyDescent="0.2">
      <c r="A102" s="1" t="s">
        <v>243</v>
      </c>
      <c r="B102" s="1" t="s">
        <v>244</v>
      </c>
      <c r="C102" s="1" t="s">
        <v>245</v>
      </c>
      <c r="D102" s="2">
        <v>1132.1144907769999</v>
      </c>
      <c r="E102" s="2">
        <v>2245.8580816756999</v>
      </c>
      <c r="F102" s="2">
        <v>10923.399712768001</v>
      </c>
      <c r="G102" s="2">
        <v>26168.766505243402</v>
      </c>
      <c r="H102" s="2">
        <v>145180.56585235542</v>
      </c>
      <c r="I102" s="2">
        <v>349852.10655903176</v>
      </c>
      <c r="J102" s="2">
        <v>179754.5637157803</v>
      </c>
      <c r="K102" s="2">
        <v>339344.73155426531</v>
      </c>
      <c r="L102" s="2">
        <v>183517.90038053913</v>
      </c>
      <c r="M102" s="2">
        <v>207748.48985500287</v>
      </c>
      <c r="N102" s="2">
        <v>205100.86149232849</v>
      </c>
      <c r="O102" s="2">
        <v>232559.16211536655</v>
      </c>
      <c r="P102" s="2">
        <v>212954.04811726953</v>
      </c>
      <c r="Q102" s="2">
        <v>338543.70690436073</v>
      </c>
      <c r="R102" s="2">
        <v>330011.53968118987</v>
      </c>
      <c r="S102" s="2">
        <v>338550.67894182488</v>
      </c>
      <c r="T102" s="2">
        <v>313447.6705644991</v>
      </c>
      <c r="U102" s="2">
        <v>350214.69420660078</v>
      </c>
      <c r="V102" s="2">
        <v>479166.5444344678</v>
      </c>
      <c r="W102" s="2">
        <v>484919.61299667082</v>
      </c>
      <c r="X102" s="2">
        <v>517038.07000000007</v>
      </c>
      <c r="Y102" s="2">
        <v>567875.80451320298</v>
      </c>
      <c r="Z102" s="2">
        <v>652310.29597553716</v>
      </c>
      <c r="AA102" s="2">
        <v>647469.56580261292</v>
      </c>
      <c r="AB102" s="2">
        <v>729573.43923352938</v>
      </c>
      <c r="AC102" s="2">
        <v>823099.85983805161</v>
      </c>
      <c r="AD102" s="2">
        <v>870310.34694365249</v>
      </c>
      <c r="AE102" s="2">
        <v>942328.9939358359</v>
      </c>
      <c r="AF102" s="2">
        <v>895841.65440979367</v>
      </c>
      <c r="AG102" s="2">
        <v>930114.76370471681</v>
      </c>
      <c r="AH102" s="2">
        <v>1052890.668722796</v>
      </c>
      <c r="AI102" s="2">
        <v>1272229.2865072154</v>
      </c>
    </row>
    <row r="103" spans="1:35" x14ac:dyDescent="0.2">
      <c r="A103" s="1" t="s">
        <v>243</v>
      </c>
      <c r="B103" s="1" t="s">
        <v>246</v>
      </c>
      <c r="C103" s="1" t="s">
        <v>247</v>
      </c>
      <c r="J103" s="2">
        <v>686360.02307530958</v>
      </c>
      <c r="K103" s="2">
        <v>1232652.0791670454</v>
      </c>
      <c r="L103" s="2">
        <v>1272803.1867589734</v>
      </c>
      <c r="M103" s="2">
        <v>2032981.1978592467</v>
      </c>
      <c r="N103" s="2">
        <v>2063219.6844514208</v>
      </c>
      <c r="O103" s="2">
        <v>1931850.0438566415</v>
      </c>
      <c r="P103" s="2">
        <v>1146365.1124311094</v>
      </c>
      <c r="Q103" s="2">
        <v>1790569.2545290315</v>
      </c>
      <c r="R103" s="2">
        <v>1661157.0492206439</v>
      </c>
      <c r="S103" s="2">
        <v>1592138.2289457321</v>
      </c>
      <c r="T103" s="2">
        <v>1354352.8278107683</v>
      </c>
      <c r="U103" s="2">
        <v>1461960.9905916962</v>
      </c>
      <c r="V103" s="2">
        <v>1882948.5429304307</v>
      </c>
      <c r="W103" s="2">
        <v>1809965.6176089742</v>
      </c>
      <c r="X103" s="2">
        <v>1778499.0670000003</v>
      </c>
      <c r="Y103" s="2">
        <v>1750127.7123048012</v>
      </c>
      <c r="Z103" s="2">
        <v>2162945.2354407711</v>
      </c>
      <c r="AA103" s="2">
        <v>2001488.3692429231</v>
      </c>
      <c r="AB103" s="2">
        <v>2123426.701661496</v>
      </c>
      <c r="AC103" s="2">
        <v>2162446.1630419181</v>
      </c>
      <c r="AD103" s="2">
        <v>2247413.1495835013</v>
      </c>
      <c r="AE103" s="2">
        <v>2653783.5252651335</v>
      </c>
      <c r="AF103" s="2">
        <v>2460675.472676984</v>
      </c>
      <c r="AG103" s="2">
        <v>2358399.5418854514</v>
      </c>
      <c r="AH103" s="2">
        <v>2583796.3480536519</v>
      </c>
      <c r="AI103" s="2">
        <v>3741011.1180758984</v>
      </c>
    </row>
    <row r="104" spans="1:35" x14ac:dyDescent="0.2">
      <c r="A104" s="1" t="s">
        <v>248</v>
      </c>
      <c r="B104" s="1" t="s">
        <v>249</v>
      </c>
      <c r="C104" s="1" t="s">
        <v>250</v>
      </c>
      <c r="D104" s="2">
        <v>4448.1954869847004</v>
      </c>
      <c r="E104" s="2">
        <v>16523.477321042599</v>
      </c>
      <c r="F104" s="2">
        <v>64668.974864871998</v>
      </c>
      <c r="G104" s="2">
        <v>73993.301578929997</v>
      </c>
      <c r="H104" s="2">
        <v>58530.925813736802</v>
      </c>
      <c r="I104" s="2">
        <v>95268.163387706198</v>
      </c>
      <c r="J104" s="2">
        <v>106356.50997754</v>
      </c>
      <c r="K104" s="2">
        <v>132941.5515904988</v>
      </c>
      <c r="L104" s="2">
        <v>194603.80396533091</v>
      </c>
      <c r="M104" s="2">
        <v>204478.63600843272</v>
      </c>
      <c r="N104" s="2">
        <v>274901.60824959417</v>
      </c>
      <c r="O104" s="2">
        <v>270221.95194150414</v>
      </c>
      <c r="P104" s="2">
        <v>94013.3048816636</v>
      </c>
      <c r="Q104" s="2">
        <v>111684.3071857886</v>
      </c>
      <c r="R104" s="2">
        <v>124573.12853193941</v>
      </c>
      <c r="S104" s="2">
        <v>99411.73147460389</v>
      </c>
      <c r="T104" s="2">
        <v>86683.622561997807</v>
      </c>
      <c r="U104" s="2">
        <v>107402.1573051351</v>
      </c>
      <c r="V104" s="2">
        <v>102642.6131455849</v>
      </c>
      <c r="W104" s="2">
        <v>86065.870243175697</v>
      </c>
      <c r="X104" s="2">
        <v>89810.510999999984</v>
      </c>
      <c r="Y104" s="2">
        <v>96794.902751499496</v>
      </c>
      <c r="Z104" s="2">
        <v>111272.53031801702</v>
      </c>
      <c r="AA104" s="2">
        <v>161036.19419410132</v>
      </c>
      <c r="AB104" s="2">
        <v>144437.34964480833</v>
      </c>
      <c r="AC104" s="2">
        <v>199566.8230243187</v>
      </c>
      <c r="AD104" s="2">
        <v>219788.97646075417</v>
      </c>
      <c r="AE104" s="2">
        <v>247030.16781220093</v>
      </c>
      <c r="AF104" s="2">
        <v>222999.73036815418</v>
      </c>
      <c r="AG104" s="2">
        <v>246830.2264747906</v>
      </c>
      <c r="AH104" s="2">
        <v>343800.20542186493</v>
      </c>
      <c r="AI104" s="2">
        <v>375352.90059731365</v>
      </c>
    </row>
    <row r="105" spans="1:35" x14ac:dyDescent="0.2">
      <c r="A105" s="1" t="s">
        <v>248</v>
      </c>
      <c r="B105" s="1" t="s">
        <v>251</v>
      </c>
      <c r="C105" s="1" t="s">
        <v>252</v>
      </c>
      <c r="F105" s="2">
        <v>92.675219584900006</v>
      </c>
      <c r="G105" s="2">
        <v>2853.9897647906</v>
      </c>
      <c r="H105" s="2">
        <v>13958.679119190099</v>
      </c>
      <c r="I105" s="2">
        <v>28037.304233010302</v>
      </c>
      <c r="J105" s="2">
        <v>28884.4491297932</v>
      </c>
      <c r="K105" s="2">
        <v>69314.796946230097</v>
      </c>
      <c r="L105" s="2">
        <v>65009.266938964705</v>
      </c>
      <c r="M105" s="2">
        <v>71512.682020227483</v>
      </c>
      <c r="N105" s="2">
        <v>97625.573341597294</v>
      </c>
      <c r="O105" s="2">
        <v>145176.26182340569</v>
      </c>
      <c r="P105" s="2">
        <v>40836.874644918695</v>
      </c>
      <c r="Q105" s="2">
        <v>46727.641558548603</v>
      </c>
      <c r="R105" s="2">
        <v>45941.562763250804</v>
      </c>
      <c r="S105" s="2">
        <v>42902.992231348995</v>
      </c>
      <c r="T105" s="2">
        <v>37634.821190875198</v>
      </c>
      <c r="U105" s="2">
        <v>49810.547698677605</v>
      </c>
      <c r="V105" s="2">
        <v>45284.204019349898</v>
      </c>
      <c r="W105" s="2">
        <v>48089.7210146578</v>
      </c>
      <c r="X105" s="2">
        <v>58837.509999999987</v>
      </c>
      <c r="Y105" s="2">
        <v>65253.377607800307</v>
      </c>
      <c r="Z105" s="2">
        <v>71639.49671896729</v>
      </c>
      <c r="AA105" s="2">
        <v>144550.29372807921</v>
      </c>
      <c r="AB105" s="2">
        <v>140682.2027586966</v>
      </c>
      <c r="AC105" s="2">
        <v>154527.11512810449</v>
      </c>
      <c r="AD105" s="2">
        <v>137939.65928335112</v>
      </c>
      <c r="AE105" s="2">
        <v>125712.48228957925</v>
      </c>
      <c r="AF105" s="2">
        <v>152275.17348172545</v>
      </c>
      <c r="AG105" s="2">
        <v>156603.59819173862</v>
      </c>
      <c r="AH105" s="2">
        <v>184390.80321521082</v>
      </c>
      <c r="AI105" s="2">
        <v>209494.75864166731</v>
      </c>
    </row>
    <row r="106" spans="1:35" x14ac:dyDescent="0.2">
      <c r="A106" s="1" t="s">
        <v>253</v>
      </c>
      <c r="B106" s="1" t="s">
        <v>254</v>
      </c>
      <c r="C106" s="1" t="s">
        <v>255</v>
      </c>
      <c r="D106" s="2">
        <v>246335.17013822577</v>
      </c>
      <c r="E106" s="2">
        <v>879626.17022334342</v>
      </c>
      <c r="F106" s="2">
        <v>1509039.5004056687</v>
      </c>
      <c r="G106" s="2">
        <v>2504810.3358087167</v>
      </c>
      <c r="H106" s="2">
        <v>5206680.2711461121</v>
      </c>
      <c r="I106" s="2">
        <v>7124800.4173586927</v>
      </c>
      <c r="J106" s="2">
        <v>8450103.387191169</v>
      </c>
      <c r="K106" s="2">
        <v>9725605.595241325</v>
      </c>
      <c r="L106" s="2">
        <v>7453839.6680303039</v>
      </c>
      <c r="M106" s="2">
        <v>5189321.3331571789</v>
      </c>
      <c r="N106" s="2">
        <v>5336664.8614926282</v>
      </c>
      <c r="O106" s="2">
        <v>6811530.3582623135</v>
      </c>
      <c r="P106" s="2">
        <v>6245662.0414209012</v>
      </c>
      <c r="Q106" s="2">
        <v>10027535.576801255</v>
      </c>
      <c r="R106" s="2">
        <v>6955112.8639221797</v>
      </c>
      <c r="S106" s="2">
        <v>3419122.6708781729</v>
      </c>
      <c r="T106" s="2">
        <v>5008870.8120357012</v>
      </c>
      <c r="U106" s="2">
        <v>6719063.1262171837</v>
      </c>
      <c r="V106" s="2">
        <v>7285556.7690054625</v>
      </c>
      <c r="W106" s="2">
        <v>6517220.0129232351</v>
      </c>
      <c r="X106" s="2">
        <v>6953091.0870000022</v>
      </c>
      <c r="Y106" s="2">
        <v>7708883.0208681282</v>
      </c>
      <c r="Z106" s="2">
        <v>5076783.7377585098</v>
      </c>
      <c r="AA106" s="2">
        <v>9985098.0715672541</v>
      </c>
      <c r="AB106" s="2">
        <v>8509964.0134373978</v>
      </c>
      <c r="AC106" s="2">
        <v>8531936.2296837643</v>
      </c>
      <c r="AD106" s="2">
        <v>9861121.6338922232</v>
      </c>
      <c r="AE106" s="2">
        <v>8113539.5362961628</v>
      </c>
      <c r="AF106" s="2">
        <v>9187928.1900804453</v>
      </c>
      <c r="AG106" s="2">
        <v>8705850.679672325</v>
      </c>
      <c r="AH106" s="2">
        <v>7992254.6265885215</v>
      </c>
      <c r="AI106" s="2">
        <v>15038343.962926477</v>
      </c>
    </row>
    <row r="107" spans="1:35" x14ac:dyDescent="0.2">
      <c r="A107" s="1" t="s">
        <v>253</v>
      </c>
      <c r="B107" s="1" t="s">
        <v>256</v>
      </c>
      <c r="C107" s="1" t="s">
        <v>257</v>
      </c>
      <c r="D107" s="2">
        <v>246166.82111608927</v>
      </c>
      <c r="E107" s="2">
        <v>327066.70301498781</v>
      </c>
      <c r="F107" s="2">
        <v>479766.12523284525</v>
      </c>
      <c r="G107" s="2">
        <v>467006.84920264676</v>
      </c>
      <c r="H107" s="2">
        <v>1132539.8330667869</v>
      </c>
      <c r="I107" s="2">
        <v>1562888.2700657153</v>
      </c>
      <c r="J107" s="2">
        <v>1978354.9495183607</v>
      </c>
      <c r="K107" s="2">
        <v>1945810.575696697</v>
      </c>
      <c r="L107" s="2">
        <v>2474540.1197326211</v>
      </c>
      <c r="M107" s="2">
        <v>1529832.1284895507</v>
      </c>
      <c r="N107" s="2">
        <v>1616541.4741620319</v>
      </c>
      <c r="O107" s="2">
        <v>2075848.7443275088</v>
      </c>
      <c r="P107" s="2">
        <v>2222498.7223368981</v>
      </c>
      <c r="Q107" s="2">
        <v>2491361.5336422785</v>
      </c>
      <c r="R107" s="2">
        <v>2251895.7803176176</v>
      </c>
      <c r="S107" s="2">
        <v>1620505.834439382</v>
      </c>
      <c r="T107" s="2">
        <v>1917886.5625473785</v>
      </c>
      <c r="U107" s="2">
        <v>1960850.1144909563</v>
      </c>
      <c r="V107" s="2">
        <v>2103076.49174362</v>
      </c>
      <c r="W107" s="2">
        <v>1865830.5366822442</v>
      </c>
      <c r="X107" s="2">
        <v>1988061.1129999997</v>
      </c>
      <c r="Y107" s="2">
        <v>1896639.5028932535</v>
      </c>
      <c r="Z107" s="2">
        <v>1702388.3384931365</v>
      </c>
      <c r="AA107" s="2">
        <v>2271695.3885519719</v>
      </c>
      <c r="AB107" s="2">
        <v>2295305.663835851</v>
      </c>
      <c r="AC107" s="2">
        <v>2316773.6859274274</v>
      </c>
      <c r="AD107" s="2">
        <v>2534307.401832209</v>
      </c>
      <c r="AE107" s="2">
        <v>2196154.9656243506</v>
      </c>
      <c r="AF107" s="2">
        <v>2115330.7852884149</v>
      </c>
      <c r="AG107" s="2">
        <v>2164906.9887402281</v>
      </c>
      <c r="AH107" s="2">
        <v>2170487.9101967327</v>
      </c>
      <c r="AI107" s="2">
        <v>3279097.3298329343</v>
      </c>
    </row>
    <row r="108" spans="1:35" x14ac:dyDescent="0.2">
      <c r="A108" s="1" t="s">
        <v>253</v>
      </c>
      <c r="B108" s="1" t="s">
        <v>258</v>
      </c>
      <c r="C108" s="1" t="s">
        <v>259</v>
      </c>
      <c r="D108" s="2">
        <v>77694.063280551694</v>
      </c>
      <c r="E108" s="2">
        <v>217112.96723395929</v>
      </c>
      <c r="F108" s="2">
        <v>319153.7173480608</v>
      </c>
      <c r="G108" s="2">
        <v>610033.3093590457</v>
      </c>
      <c r="H108" s="2">
        <v>881954.34278889874</v>
      </c>
      <c r="I108" s="2">
        <v>1273321.5416831546</v>
      </c>
      <c r="J108" s="2">
        <v>1521025.631472836</v>
      </c>
      <c r="K108" s="2">
        <v>1607823.8006225836</v>
      </c>
      <c r="L108" s="2">
        <v>1455751.7093182793</v>
      </c>
      <c r="M108" s="2">
        <v>1055621.5922707142</v>
      </c>
      <c r="N108" s="2">
        <v>982175.42916837521</v>
      </c>
      <c r="O108" s="2">
        <v>1232751.556690099</v>
      </c>
      <c r="P108" s="2">
        <v>1231926.5147976284</v>
      </c>
      <c r="Q108" s="2">
        <v>1815176.9647277975</v>
      </c>
      <c r="R108" s="2">
        <v>1445326.9804768241</v>
      </c>
      <c r="S108" s="2">
        <v>757321.2876949925</v>
      </c>
      <c r="T108" s="2">
        <v>1026561.177444496</v>
      </c>
      <c r="U108" s="2">
        <v>1245291.0575088602</v>
      </c>
      <c r="V108" s="2">
        <v>1496661.1254755473</v>
      </c>
      <c r="W108" s="2">
        <v>1383758.9272199129</v>
      </c>
      <c r="X108" s="2">
        <v>1257647.8080000004</v>
      </c>
      <c r="Y108" s="2">
        <v>1376670.3882077506</v>
      </c>
      <c r="Z108" s="2">
        <v>1040569.7226223878</v>
      </c>
      <c r="AA108" s="2">
        <v>2017853.7735934786</v>
      </c>
      <c r="AB108" s="2">
        <v>1836612.8399484444</v>
      </c>
      <c r="AC108" s="2">
        <v>1880773.4943809141</v>
      </c>
      <c r="AD108" s="2">
        <v>1941411.5176520832</v>
      </c>
      <c r="AE108" s="2">
        <v>1730122.3209379818</v>
      </c>
      <c r="AF108" s="2">
        <v>1959839.4750662174</v>
      </c>
      <c r="AG108" s="2">
        <v>1783517.5369777873</v>
      </c>
      <c r="AH108" s="2">
        <v>1479968.1915860586</v>
      </c>
      <c r="AI108" s="2">
        <v>3437019.3943287684</v>
      </c>
    </row>
    <row r="109" spans="1:35" x14ac:dyDescent="0.2">
      <c r="A109" s="1" t="s">
        <v>253</v>
      </c>
      <c r="B109" s="1" t="s">
        <v>260</v>
      </c>
      <c r="C109" s="1" t="s">
        <v>261</v>
      </c>
      <c r="D109" s="2">
        <v>299601.4755283345</v>
      </c>
      <c r="E109" s="2">
        <v>616644.21746746416</v>
      </c>
      <c r="F109" s="2">
        <v>844225.09864897851</v>
      </c>
      <c r="G109" s="2">
        <v>1068684.8365941457</v>
      </c>
      <c r="H109" s="2">
        <v>1855957.9368955772</v>
      </c>
      <c r="I109" s="2">
        <v>1915816.1572335628</v>
      </c>
      <c r="J109" s="2">
        <v>2188687.7615388613</v>
      </c>
      <c r="K109" s="2">
        <v>2241713.6604566649</v>
      </c>
      <c r="L109" s="2">
        <v>2420826.280696745</v>
      </c>
      <c r="M109" s="2">
        <v>1522738.5949333585</v>
      </c>
      <c r="N109" s="2">
        <v>1518923.8493054777</v>
      </c>
      <c r="O109" s="2">
        <v>1975498.964893122</v>
      </c>
      <c r="P109" s="2">
        <v>2059624.9937600521</v>
      </c>
      <c r="Q109" s="2">
        <v>2331448.6509686485</v>
      </c>
      <c r="R109" s="2">
        <v>2214288.7821995826</v>
      </c>
      <c r="S109" s="2">
        <v>1553578.1708684009</v>
      </c>
      <c r="T109" s="2">
        <v>1686208.200604755</v>
      </c>
      <c r="U109" s="2">
        <v>1862092.333577595</v>
      </c>
      <c r="V109" s="2">
        <v>1928533.4097224246</v>
      </c>
      <c r="W109" s="2">
        <v>1783579.565451555</v>
      </c>
      <c r="X109" s="2">
        <v>1831195.2729999993</v>
      </c>
      <c r="Y109" s="2">
        <v>1947583.6721901787</v>
      </c>
      <c r="Z109" s="2">
        <v>1633057.7041108946</v>
      </c>
      <c r="AA109" s="2">
        <v>2349783.8142602807</v>
      </c>
      <c r="AB109" s="2">
        <v>2260526.1777669708</v>
      </c>
      <c r="AC109" s="2">
        <v>2102888.2648260975</v>
      </c>
      <c r="AD109" s="2">
        <v>2092406.4110721804</v>
      </c>
      <c r="AE109" s="2">
        <v>2070518.3611959666</v>
      </c>
      <c r="AF109" s="2">
        <v>1813289.1655274732</v>
      </c>
      <c r="AG109" s="2">
        <v>1894605.2418062589</v>
      </c>
      <c r="AH109" s="2">
        <v>1634292.5522810954</v>
      </c>
      <c r="AI109" s="2">
        <v>2627981.8721255451</v>
      </c>
    </row>
    <row r="110" spans="1:35" x14ac:dyDescent="0.2">
      <c r="A110" s="1" t="s">
        <v>253</v>
      </c>
      <c r="B110" s="1" t="s">
        <v>262</v>
      </c>
      <c r="C110" s="1" t="s">
        <v>263</v>
      </c>
      <c r="D110" s="2">
        <v>313957.25336503395</v>
      </c>
      <c r="E110" s="2">
        <v>685345.17980294116</v>
      </c>
      <c r="F110" s="2">
        <v>813355.96878718317</v>
      </c>
      <c r="G110" s="2">
        <v>875255.93232860044</v>
      </c>
      <c r="H110" s="2">
        <v>1310856.9167316628</v>
      </c>
      <c r="I110" s="2">
        <v>2033611.7689149121</v>
      </c>
      <c r="J110" s="2">
        <v>2588288.9108155761</v>
      </c>
      <c r="K110" s="2">
        <v>2729832.4664100767</v>
      </c>
      <c r="L110" s="2">
        <v>2253766.9833056382</v>
      </c>
      <c r="M110" s="2">
        <v>1485531.8931062187</v>
      </c>
      <c r="N110" s="2">
        <v>1477002.9861054935</v>
      </c>
      <c r="O110" s="2">
        <v>1779356.8290691427</v>
      </c>
      <c r="P110" s="2">
        <v>2262415.9471440562</v>
      </c>
      <c r="Q110" s="2">
        <v>2426261.5216648001</v>
      </c>
      <c r="R110" s="2">
        <v>2639416.9121463108</v>
      </c>
      <c r="S110" s="2">
        <v>1662100.112451179</v>
      </c>
      <c r="T110" s="2">
        <v>1694264.8370405785</v>
      </c>
      <c r="U110" s="2">
        <v>1710775.2566861059</v>
      </c>
      <c r="V110" s="2">
        <v>1865094.0882819563</v>
      </c>
      <c r="W110" s="2">
        <v>1774902.7590279731</v>
      </c>
      <c r="X110" s="2">
        <v>1753096.66</v>
      </c>
      <c r="Y110" s="2">
        <v>1524816.0072680756</v>
      </c>
      <c r="Z110" s="2">
        <v>1590466.7935209656</v>
      </c>
      <c r="AA110" s="2">
        <v>1993656.14480901</v>
      </c>
      <c r="AB110" s="2">
        <v>2077204.6645299525</v>
      </c>
      <c r="AC110" s="2">
        <v>2045167.3587779221</v>
      </c>
      <c r="AD110" s="2">
        <v>2116682.6414396474</v>
      </c>
      <c r="AE110" s="2">
        <v>1924637.0538661585</v>
      </c>
      <c r="AF110" s="2">
        <v>1682143.7527649221</v>
      </c>
      <c r="AG110" s="2">
        <v>1802281.1561125184</v>
      </c>
      <c r="AH110" s="2">
        <v>1748937.6522559144</v>
      </c>
      <c r="AI110" s="2">
        <v>2860881.8767213561</v>
      </c>
    </row>
    <row r="111" spans="1:35" x14ac:dyDescent="0.2">
      <c r="A111" s="1" t="s">
        <v>253</v>
      </c>
      <c r="B111" s="1" t="s">
        <v>264</v>
      </c>
      <c r="C111" s="1" t="s">
        <v>265</v>
      </c>
      <c r="D111" s="2">
        <v>221697.9072141957</v>
      </c>
      <c r="E111" s="2">
        <v>360654.13820200076</v>
      </c>
      <c r="F111" s="2">
        <v>437948.35658717318</v>
      </c>
      <c r="G111" s="2">
        <v>770793.98851590825</v>
      </c>
      <c r="H111" s="2">
        <v>1478250.4644577613</v>
      </c>
      <c r="I111" s="2">
        <v>2397695.6486627376</v>
      </c>
      <c r="J111" s="2">
        <v>3168466.3650108045</v>
      </c>
      <c r="K111" s="2">
        <v>3256304.1551226233</v>
      </c>
      <c r="L111" s="2">
        <v>2529005.0302159968</v>
      </c>
      <c r="M111" s="2">
        <v>1787014.9233494666</v>
      </c>
      <c r="N111" s="2">
        <v>1467302.9583586447</v>
      </c>
      <c r="O111" s="2">
        <v>2004925.7900215567</v>
      </c>
      <c r="P111" s="2">
        <v>2126795.5061894134</v>
      </c>
      <c r="Q111" s="2">
        <v>2667498.8543714406</v>
      </c>
      <c r="R111" s="2">
        <v>2575396.6332384851</v>
      </c>
      <c r="S111" s="2">
        <v>1599887.2236772031</v>
      </c>
      <c r="T111" s="2">
        <v>1780199.3690046726</v>
      </c>
      <c r="U111" s="2">
        <v>1753607.222552787</v>
      </c>
      <c r="V111" s="2">
        <v>2314199.7449163035</v>
      </c>
      <c r="W111" s="2">
        <v>2170432.8591568815</v>
      </c>
      <c r="X111" s="2">
        <v>2027272.7079999999</v>
      </c>
      <c r="Y111" s="2">
        <v>1737191.1363089683</v>
      </c>
      <c r="Z111" s="2">
        <v>1671536.9373014029</v>
      </c>
      <c r="AA111" s="2">
        <v>2548463.6369459522</v>
      </c>
      <c r="AB111" s="2">
        <v>2492760.4960135762</v>
      </c>
      <c r="AC111" s="2">
        <v>2742165.7979339468</v>
      </c>
      <c r="AD111" s="2">
        <v>2554977.0621262928</v>
      </c>
      <c r="AE111" s="2">
        <v>2592975.3744543744</v>
      </c>
      <c r="AF111" s="2">
        <v>2444286.1757076499</v>
      </c>
      <c r="AG111" s="2">
        <v>2169541.2852104562</v>
      </c>
      <c r="AH111" s="2">
        <v>2385520.8907068339</v>
      </c>
      <c r="AI111" s="2">
        <v>4830911.7367101675</v>
      </c>
    </row>
    <row r="112" spans="1:35" x14ac:dyDescent="0.2">
      <c r="A112" s="1" t="s">
        <v>253</v>
      </c>
      <c r="B112" s="1" t="s">
        <v>266</v>
      </c>
      <c r="C112" s="1" t="s">
        <v>267</v>
      </c>
      <c r="D112" s="2">
        <v>242549.41474635157</v>
      </c>
      <c r="E112" s="2">
        <v>489730.50761261914</v>
      </c>
      <c r="F112" s="2">
        <v>587885.11330491339</v>
      </c>
      <c r="G112" s="2">
        <v>860936.26620399952</v>
      </c>
      <c r="H112" s="2">
        <v>1064252.7483797632</v>
      </c>
      <c r="I112" s="2">
        <v>1951423.2501251965</v>
      </c>
      <c r="J112" s="2">
        <v>2255681.9241906726</v>
      </c>
      <c r="K112" s="2">
        <v>2221067.3541598869</v>
      </c>
      <c r="L112" s="2">
        <v>1769923.1854175515</v>
      </c>
      <c r="M112" s="2">
        <v>1223147.706701983</v>
      </c>
      <c r="N112" s="2">
        <v>1108777.0839659248</v>
      </c>
      <c r="O112" s="2">
        <v>1465587.0943976983</v>
      </c>
      <c r="P112" s="2">
        <v>1348584.1834411107</v>
      </c>
      <c r="Q112" s="2">
        <v>1688399.4564381167</v>
      </c>
      <c r="R112" s="2">
        <v>1635352.5379886262</v>
      </c>
      <c r="S112" s="2">
        <v>1101376.2481359593</v>
      </c>
      <c r="T112" s="2">
        <v>1085698.6313894496</v>
      </c>
      <c r="U112" s="2">
        <v>1246689.1401710997</v>
      </c>
      <c r="V112" s="2">
        <v>1432267.3952629089</v>
      </c>
      <c r="W112" s="2">
        <v>1397152.4969000237</v>
      </c>
      <c r="X112" s="2">
        <v>1352333.5120000001</v>
      </c>
      <c r="Y112" s="2">
        <v>1235735.2173632041</v>
      </c>
      <c r="Z112" s="2">
        <v>1220716.3206978671</v>
      </c>
      <c r="AA112" s="2">
        <v>1723147.3211564554</v>
      </c>
      <c r="AB112" s="2">
        <v>1840666.1365625304</v>
      </c>
      <c r="AC112" s="2">
        <v>1813386.5793223775</v>
      </c>
      <c r="AD112" s="2">
        <v>1895817.0174545466</v>
      </c>
      <c r="AE112" s="2">
        <v>1930441.710247579</v>
      </c>
      <c r="AF112" s="2">
        <v>1629803.0598066857</v>
      </c>
      <c r="AG112" s="2">
        <v>1844156.1376029581</v>
      </c>
      <c r="AH112" s="2">
        <v>1654407.912631846</v>
      </c>
      <c r="AI112" s="2">
        <v>3444986.3565962003</v>
      </c>
    </row>
    <row r="113" spans="1:35" x14ac:dyDescent="0.2">
      <c r="A113" s="1" t="s">
        <v>268</v>
      </c>
      <c r="B113" s="1" t="s">
        <v>269</v>
      </c>
      <c r="C113" s="1" t="s">
        <v>270</v>
      </c>
      <c r="D113" s="2">
        <v>7628.8290831423001</v>
      </c>
      <c r="E113" s="2">
        <v>147950.04697171121</v>
      </c>
      <c r="F113" s="2">
        <v>508419.28620171046</v>
      </c>
      <c r="G113" s="2">
        <v>906842.96964178281</v>
      </c>
      <c r="H113" s="2">
        <v>1715601.9265074604</v>
      </c>
      <c r="I113" s="2">
        <v>3099720.7162011857</v>
      </c>
      <c r="J113" s="2">
        <v>4707374.6110092625</v>
      </c>
      <c r="K113" s="2">
        <v>4951946.3176599527</v>
      </c>
      <c r="L113" s="2">
        <v>4343719.0230905814</v>
      </c>
      <c r="M113" s="2">
        <v>2655274.788981657</v>
      </c>
      <c r="N113" s="2">
        <v>3117326.8286746782</v>
      </c>
      <c r="O113" s="2">
        <v>3148325.9529309049</v>
      </c>
      <c r="P113" s="2">
        <v>4037946.8045432228</v>
      </c>
      <c r="Q113" s="2">
        <v>4432049.0912087103</v>
      </c>
      <c r="R113" s="2">
        <v>4215818.9196803262</v>
      </c>
      <c r="S113" s="2">
        <v>3824069.2584724338</v>
      </c>
      <c r="T113" s="2">
        <v>3552879.1104400577</v>
      </c>
      <c r="U113" s="2">
        <v>3932180.7729808702</v>
      </c>
      <c r="V113" s="2">
        <v>4509159.4901984548</v>
      </c>
      <c r="W113" s="2">
        <v>4106433.9135245252</v>
      </c>
      <c r="X113" s="2">
        <v>3690325.5399999991</v>
      </c>
      <c r="Y113" s="2">
        <v>3627004.5931389006</v>
      </c>
      <c r="Z113" s="2">
        <v>3116718.1813395396</v>
      </c>
      <c r="AA113" s="2">
        <v>4048597.8168365345</v>
      </c>
      <c r="AB113" s="2">
        <v>3851864.6876697033</v>
      </c>
      <c r="AC113" s="2">
        <v>3557444.1284072679</v>
      </c>
      <c r="AD113" s="2">
        <v>3952988.803960776</v>
      </c>
      <c r="AE113" s="2">
        <v>3494131.4499183735</v>
      </c>
      <c r="AF113" s="2">
        <v>3268606.2662929627</v>
      </c>
      <c r="AG113" s="2">
        <v>3517104.0130773881</v>
      </c>
      <c r="AH113" s="2">
        <v>4281495.1884984421</v>
      </c>
      <c r="AI113" s="2">
        <v>4339435.0272929687</v>
      </c>
    </row>
    <row r="114" spans="1:35" x14ac:dyDescent="0.2">
      <c r="A114" s="1" t="s">
        <v>268</v>
      </c>
      <c r="B114" s="1" t="s">
        <v>271</v>
      </c>
      <c r="C114" s="1" t="s">
        <v>272</v>
      </c>
      <c r="D114" s="2">
        <v>54878.288942136402</v>
      </c>
      <c r="E114" s="2">
        <v>128768.9788110104</v>
      </c>
      <c r="F114" s="2">
        <v>268863.03485806775</v>
      </c>
      <c r="G114" s="2">
        <v>382322.05356130784</v>
      </c>
      <c r="H114" s="2">
        <v>445956.26584397844</v>
      </c>
      <c r="I114" s="2">
        <v>755773.01844550867</v>
      </c>
      <c r="J114" s="2">
        <v>790235.64152671269</v>
      </c>
      <c r="K114" s="2">
        <v>874945.66007248592</v>
      </c>
      <c r="L114" s="2">
        <v>974150.4521109527</v>
      </c>
      <c r="M114" s="2">
        <v>850111.86209503596</v>
      </c>
      <c r="N114" s="2">
        <v>1038750.1541610742</v>
      </c>
      <c r="O114" s="2">
        <v>982262.25217028672</v>
      </c>
      <c r="P114" s="2">
        <v>1189995.7589295881</v>
      </c>
      <c r="Q114" s="2">
        <v>1283632.4348737416</v>
      </c>
      <c r="R114" s="2">
        <v>1331652.0407233902</v>
      </c>
      <c r="S114" s="2">
        <v>1081813.4832703483</v>
      </c>
      <c r="T114" s="2">
        <v>973973.3790478328</v>
      </c>
      <c r="U114" s="2">
        <v>1080016.8447981132</v>
      </c>
      <c r="V114" s="2">
        <v>1273795.5904916478</v>
      </c>
      <c r="W114" s="2">
        <v>1311657.3649413832</v>
      </c>
      <c r="X114" s="2">
        <v>1354666.1749999998</v>
      </c>
      <c r="Y114" s="2">
        <v>1247219.2809437863</v>
      </c>
      <c r="Z114" s="2">
        <v>1185914.1666844718</v>
      </c>
      <c r="AA114" s="2">
        <v>1436772.4567096394</v>
      </c>
      <c r="AB114" s="2">
        <v>1423125.05686646</v>
      </c>
      <c r="AC114" s="2">
        <v>1186363.5952798889</v>
      </c>
      <c r="AD114" s="2">
        <v>1256229.2056667446</v>
      </c>
      <c r="AE114" s="2">
        <v>1330485.8643884461</v>
      </c>
      <c r="AF114" s="2">
        <v>1142228.6486170273</v>
      </c>
      <c r="AG114" s="2">
        <v>1124331.0042715766</v>
      </c>
      <c r="AH114" s="2">
        <v>1380722.8094808969</v>
      </c>
      <c r="AI114" s="2">
        <v>1565780.6186532197</v>
      </c>
    </row>
    <row r="115" spans="1:35" x14ac:dyDescent="0.2">
      <c r="A115" s="1" t="s">
        <v>268</v>
      </c>
      <c r="B115" s="1" t="s">
        <v>273</v>
      </c>
      <c r="C115" s="1" t="s">
        <v>274</v>
      </c>
      <c r="D115" s="2">
        <v>24449.641692024801</v>
      </c>
      <c r="E115" s="2">
        <v>169729.83316727699</v>
      </c>
      <c r="F115" s="2">
        <v>188097.71139093867</v>
      </c>
      <c r="G115" s="2">
        <v>244589.0316045068</v>
      </c>
      <c r="H115" s="2">
        <v>522278.89788204746</v>
      </c>
      <c r="I115" s="2">
        <v>505498.24703371886</v>
      </c>
      <c r="J115" s="2">
        <v>949877.95704531844</v>
      </c>
      <c r="K115" s="2">
        <v>801257.53308033955</v>
      </c>
      <c r="L115" s="2">
        <v>1045097.3597786573</v>
      </c>
      <c r="M115" s="2">
        <v>846855.7949505127</v>
      </c>
      <c r="N115" s="2">
        <v>955666.61074606807</v>
      </c>
      <c r="O115" s="2">
        <v>1131242.221262597</v>
      </c>
      <c r="P115" s="2">
        <v>1161102.3352809288</v>
      </c>
      <c r="Q115" s="2">
        <v>1221895.0827018144</v>
      </c>
      <c r="R115" s="2">
        <v>995573.62710668135</v>
      </c>
      <c r="S115" s="2">
        <v>913931.37640965823</v>
      </c>
      <c r="T115" s="2">
        <v>899450.58153739071</v>
      </c>
      <c r="U115" s="2">
        <v>908687.63086193649</v>
      </c>
      <c r="V115" s="2">
        <v>1193276.0170280968</v>
      </c>
      <c r="W115" s="2">
        <v>1066416.3485641729</v>
      </c>
      <c r="X115" s="2">
        <v>1105604.8419999999</v>
      </c>
      <c r="Y115" s="2">
        <v>1027290.7062455928</v>
      </c>
      <c r="Z115" s="2">
        <v>956957.39181821817</v>
      </c>
      <c r="AA115" s="2">
        <v>1144056.4535572319</v>
      </c>
      <c r="AB115" s="2">
        <v>1109685.0306722077</v>
      </c>
      <c r="AC115" s="2">
        <v>1036477.104889727</v>
      </c>
      <c r="AD115" s="2">
        <v>1318517.1702820212</v>
      </c>
      <c r="AE115" s="2">
        <v>1168069.9144187109</v>
      </c>
      <c r="AF115" s="2">
        <v>1020336.3634284374</v>
      </c>
      <c r="AG115" s="2">
        <v>1206434.1288729415</v>
      </c>
      <c r="AH115" s="2">
        <v>1259887.1094673916</v>
      </c>
      <c r="AI115" s="2">
        <v>1608935.9684869393</v>
      </c>
    </row>
    <row r="116" spans="1:35" x14ac:dyDescent="0.2">
      <c r="A116" s="1" t="s">
        <v>268</v>
      </c>
      <c r="B116" s="1" t="s">
        <v>275</v>
      </c>
      <c r="C116" s="1" t="s">
        <v>276</v>
      </c>
      <c r="D116" s="2">
        <v>58905.312322530393</v>
      </c>
      <c r="E116" s="2">
        <v>264335.21402946697</v>
      </c>
      <c r="F116" s="2">
        <v>339800.18412622384</v>
      </c>
      <c r="G116" s="2">
        <v>427573.56413988548</v>
      </c>
      <c r="H116" s="2">
        <v>761560.60497937188</v>
      </c>
      <c r="I116" s="2">
        <v>861991.88515704602</v>
      </c>
      <c r="J116" s="2">
        <v>1226183.4613797402</v>
      </c>
      <c r="K116" s="2">
        <v>1045282.3163105213</v>
      </c>
      <c r="L116" s="2">
        <v>1206562.5866960539</v>
      </c>
      <c r="M116" s="2">
        <v>1021756.8699833388</v>
      </c>
      <c r="N116" s="2">
        <v>1164101.6416130732</v>
      </c>
      <c r="O116" s="2">
        <v>1240892.9306743068</v>
      </c>
      <c r="P116" s="2">
        <v>1107616.3547664175</v>
      </c>
      <c r="Q116" s="2">
        <v>1083639.0414857294</v>
      </c>
      <c r="R116" s="2">
        <v>1100327.9488617107</v>
      </c>
      <c r="S116" s="2">
        <v>1038301.7040245417</v>
      </c>
      <c r="T116" s="2">
        <v>954214.09158923104</v>
      </c>
      <c r="U116" s="2">
        <v>998484.73696226615</v>
      </c>
      <c r="V116" s="2">
        <v>1069839.2418552823</v>
      </c>
      <c r="W116" s="2">
        <v>1033566.9882150061</v>
      </c>
      <c r="X116" s="2">
        <v>1128293.3280000002</v>
      </c>
      <c r="Y116" s="2">
        <v>934044.97074345592</v>
      </c>
      <c r="Z116" s="2">
        <v>971498.60977242654</v>
      </c>
      <c r="AA116" s="2">
        <v>1142437.4785376836</v>
      </c>
      <c r="AB116" s="2">
        <v>1109044.3103207787</v>
      </c>
      <c r="AC116" s="2">
        <v>1038587.8412549322</v>
      </c>
      <c r="AD116" s="2">
        <v>1160792.3007792523</v>
      </c>
      <c r="AE116" s="2">
        <v>1055743.1435294652</v>
      </c>
      <c r="AF116" s="2">
        <v>1030074.3710499428</v>
      </c>
      <c r="AG116" s="2">
        <v>1030029.1392888927</v>
      </c>
      <c r="AH116" s="2">
        <v>1324643.8149441027</v>
      </c>
      <c r="AI116" s="2">
        <v>1456440.1314876166</v>
      </c>
    </row>
    <row r="117" spans="1:35" x14ac:dyDescent="0.2">
      <c r="A117" s="1" t="s">
        <v>268</v>
      </c>
      <c r="B117" s="1" t="s">
        <v>277</v>
      </c>
      <c r="C117" s="1" t="s">
        <v>278</v>
      </c>
      <c r="D117" s="2">
        <v>21633.644971656198</v>
      </c>
      <c r="E117" s="2">
        <v>77482.380811536597</v>
      </c>
      <c r="F117" s="2">
        <v>96176.565100115913</v>
      </c>
      <c r="G117" s="2">
        <v>135145.20475642412</v>
      </c>
      <c r="H117" s="2">
        <v>229124.10370797676</v>
      </c>
      <c r="I117" s="2">
        <v>274931.11795654823</v>
      </c>
      <c r="J117" s="2">
        <v>411168.00645795115</v>
      </c>
      <c r="K117" s="2">
        <v>336576.93471476348</v>
      </c>
      <c r="L117" s="2">
        <v>247823.26080886106</v>
      </c>
      <c r="M117" s="2">
        <v>380257.91180327698</v>
      </c>
      <c r="N117" s="2">
        <v>447220.76381029305</v>
      </c>
      <c r="O117" s="2">
        <v>452629.26919728424</v>
      </c>
      <c r="P117" s="2">
        <v>538227.22613625741</v>
      </c>
      <c r="Q117" s="2">
        <v>486359.80474882841</v>
      </c>
      <c r="R117" s="2">
        <v>460075.62300428137</v>
      </c>
      <c r="S117" s="2">
        <v>429627.66076804133</v>
      </c>
      <c r="T117" s="2">
        <v>436595.97355856496</v>
      </c>
      <c r="U117" s="2">
        <v>400329.09626325569</v>
      </c>
      <c r="V117" s="2">
        <v>490916.40663454292</v>
      </c>
      <c r="W117" s="2">
        <v>498004.88091422518</v>
      </c>
      <c r="X117" s="2">
        <v>556669.196</v>
      </c>
      <c r="Y117" s="2">
        <v>451209.68523359601</v>
      </c>
      <c r="Z117" s="2">
        <v>401739.99565850908</v>
      </c>
      <c r="AA117" s="2">
        <v>616556.63345021836</v>
      </c>
      <c r="AB117" s="2">
        <v>563282.82222903788</v>
      </c>
      <c r="AC117" s="2">
        <v>557433.23074175033</v>
      </c>
      <c r="AD117" s="2">
        <v>576665.76503259083</v>
      </c>
      <c r="AE117" s="2">
        <v>438926.50261091313</v>
      </c>
      <c r="AF117" s="2">
        <v>477423.55280303454</v>
      </c>
      <c r="AG117" s="2">
        <v>524698.66479631513</v>
      </c>
      <c r="AH117" s="2">
        <v>588654.7696661934</v>
      </c>
      <c r="AI117" s="2">
        <v>586438.68593875645</v>
      </c>
    </row>
    <row r="118" spans="1:35" x14ac:dyDescent="0.2">
      <c r="A118" s="1" t="s">
        <v>268</v>
      </c>
      <c r="B118" s="1" t="s">
        <v>279</v>
      </c>
      <c r="C118" s="1" t="s">
        <v>280</v>
      </c>
      <c r="D118" s="2">
        <v>70616.692728023496</v>
      </c>
      <c r="E118" s="2">
        <v>178165.36161086551</v>
      </c>
      <c r="F118" s="2">
        <v>289491.71766714001</v>
      </c>
      <c r="G118" s="2">
        <v>453131.99839254277</v>
      </c>
      <c r="H118" s="2">
        <v>690677.16856523382</v>
      </c>
      <c r="I118" s="2">
        <v>706414.2634783003</v>
      </c>
      <c r="J118" s="2">
        <v>1187251.9759592081</v>
      </c>
      <c r="K118" s="2">
        <v>1445972.5815949065</v>
      </c>
      <c r="L118" s="2">
        <v>1401077.6027884264</v>
      </c>
      <c r="M118" s="2">
        <v>989696.43434836541</v>
      </c>
      <c r="N118" s="2">
        <v>994128.00249501306</v>
      </c>
      <c r="O118" s="2">
        <v>1074243.5944357861</v>
      </c>
      <c r="P118" s="2">
        <v>1187919.2171004419</v>
      </c>
      <c r="Q118" s="2">
        <v>1298277.650326198</v>
      </c>
      <c r="R118" s="2">
        <v>1255162.8093027696</v>
      </c>
      <c r="S118" s="2">
        <v>1168455.5751636429</v>
      </c>
      <c r="T118" s="2">
        <v>985789.95320762217</v>
      </c>
      <c r="U118" s="2">
        <v>976127.81159994123</v>
      </c>
      <c r="V118" s="2">
        <v>1195620.6318842992</v>
      </c>
      <c r="W118" s="2">
        <v>1291326.3279578446</v>
      </c>
      <c r="X118" s="2">
        <v>1106842.6439999999</v>
      </c>
      <c r="Y118" s="2">
        <v>966224.40114962717</v>
      </c>
      <c r="Z118" s="2">
        <v>976360.99998068903</v>
      </c>
      <c r="AA118" s="2">
        <v>1243711.7729892908</v>
      </c>
      <c r="AB118" s="2">
        <v>1287414.9728633522</v>
      </c>
      <c r="AC118" s="2">
        <v>1179760.9001849059</v>
      </c>
      <c r="AD118" s="2">
        <v>1250231.6520450898</v>
      </c>
      <c r="AE118" s="2">
        <v>1203749.0309727341</v>
      </c>
      <c r="AF118" s="2">
        <v>1061661.2610070279</v>
      </c>
      <c r="AG118" s="2">
        <v>1134907.6285144927</v>
      </c>
      <c r="AH118" s="2">
        <v>1394908.2599659306</v>
      </c>
      <c r="AI118" s="2">
        <v>1545544.8852160296</v>
      </c>
    </row>
    <row r="119" spans="1:35" x14ac:dyDescent="0.2">
      <c r="A119" s="1" t="s">
        <v>281</v>
      </c>
      <c r="B119" s="1" t="s">
        <v>282</v>
      </c>
      <c r="C119" s="1" t="s">
        <v>283</v>
      </c>
      <c r="D119" s="2">
        <v>13899.970273233899</v>
      </c>
      <c r="E119" s="2">
        <v>16963.332925466399</v>
      </c>
      <c r="F119" s="2">
        <v>36063.934929611496</v>
      </c>
      <c r="G119" s="2">
        <v>65797.663408688095</v>
      </c>
      <c r="H119" s="2">
        <v>65345.957667729694</v>
      </c>
      <c r="I119" s="2">
        <v>147724.13933699529</v>
      </c>
      <c r="J119" s="2">
        <v>229349.47894928334</v>
      </c>
      <c r="K119" s="2">
        <v>286283.59373905271</v>
      </c>
      <c r="L119" s="2">
        <v>252090.58209135709</v>
      </c>
      <c r="M119" s="2">
        <v>133033.98157646938</v>
      </c>
      <c r="N119" s="2">
        <v>118317.27684334118</v>
      </c>
      <c r="O119" s="2">
        <v>124632.390776065</v>
      </c>
      <c r="P119" s="2">
        <v>131119.43595317428</v>
      </c>
      <c r="Q119" s="2">
        <v>153090.72002133803</v>
      </c>
      <c r="R119" s="2">
        <v>149664.72027145728</v>
      </c>
      <c r="S119" s="2">
        <v>174758.81052343978</v>
      </c>
      <c r="T119" s="2">
        <v>193299.77146161246</v>
      </c>
      <c r="U119" s="2">
        <v>208485.87312211984</v>
      </c>
      <c r="V119" s="2">
        <v>317738.29492547025</v>
      </c>
      <c r="W119" s="2">
        <v>307141.02892017469</v>
      </c>
      <c r="X119" s="2">
        <v>313937.49699999997</v>
      </c>
      <c r="Y119" s="2">
        <v>218282.57749357921</v>
      </c>
      <c r="Z119" s="2">
        <v>166747.30342924641</v>
      </c>
      <c r="AA119" s="2">
        <v>264472.82190783927</v>
      </c>
      <c r="AB119" s="2">
        <v>255342.05966758096</v>
      </c>
      <c r="AC119" s="2">
        <v>213391.99575362919</v>
      </c>
      <c r="AD119" s="2">
        <v>167734.04808436322</v>
      </c>
      <c r="AE119" s="2">
        <v>238974.26424258301</v>
      </c>
      <c r="AF119" s="2">
        <v>123791.98431205859</v>
      </c>
      <c r="AG119" s="2">
        <v>249792.96232439193</v>
      </c>
      <c r="AH119" s="2">
        <v>357136.56584959355</v>
      </c>
      <c r="AI119" s="2">
        <v>343098.77632938611</v>
      </c>
    </row>
    <row r="120" spans="1:35" x14ac:dyDescent="0.2">
      <c r="A120" s="1" t="s">
        <v>281</v>
      </c>
      <c r="B120" s="1" t="s">
        <v>284</v>
      </c>
      <c r="C120" s="1" t="s">
        <v>285</v>
      </c>
      <c r="D120" s="2">
        <v>43889.365111326391</v>
      </c>
      <c r="E120" s="2">
        <v>57518.830854139305</v>
      </c>
      <c r="F120" s="2">
        <v>128491.92460364431</v>
      </c>
      <c r="G120" s="2">
        <v>215496.77865095629</v>
      </c>
      <c r="H120" s="2">
        <v>246789.7059919638</v>
      </c>
      <c r="I120" s="2">
        <v>315084.70221241936</v>
      </c>
      <c r="J120" s="2">
        <v>461864.29733070894</v>
      </c>
      <c r="K120" s="2">
        <v>466071.94069833856</v>
      </c>
      <c r="L120" s="2">
        <v>358473.59784556681</v>
      </c>
      <c r="M120" s="2">
        <v>231616.75174732492</v>
      </c>
      <c r="N120" s="2">
        <v>221178.59245684379</v>
      </c>
      <c r="O120" s="2">
        <v>224162.31727850981</v>
      </c>
      <c r="P120" s="2">
        <v>396439.08570759604</v>
      </c>
      <c r="Q120" s="2">
        <v>546208.12816715112</v>
      </c>
      <c r="R120" s="2">
        <v>417038.51861698518</v>
      </c>
      <c r="S120" s="2">
        <v>383573.40665162943</v>
      </c>
      <c r="T120" s="2">
        <v>416391.95409875008</v>
      </c>
      <c r="U120" s="2">
        <v>403380.29147611785</v>
      </c>
      <c r="V120" s="2">
        <v>500993.32529962412</v>
      </c>
      <c r="W120" s="2">
        <v>481484.85271379113</v>
      </c>
      <c r="X120" s="2">
        <v>426770.36300000001</v>
      </c>
      <c r="Y120" s="2">
        <v>378570.8635980158</v>
      </c>
      <c r="Z120" s="2">
        <v>465272.87390278466</v>
      </c>
      <c r="AA120" s="2">
        <v>508079.54089292279</v>
      </c>
      <c r="AB120" s="2">
        <v>403445.50490632484</v>
      </c>
      <c r="AC120" s="2">
        <v>426603.44576823799</v>
      </c>
      <c r="AD120" s="2">
        <v>385953.64898189221</v>
      </c>
      <c r="AE120" s="2">
        <v>461506.89741702587</v>
      </c>
      <c r="AF120" s="2">
        <v>270847.67003562202</v>
      </c>
      <c r="AG120" s="2">
        <v>463126.79956917418</v>
      </c>
      <c r="AH120" s="2">
        <v>525176.71254799736</v>
      </c>
      <c r="AI120" s="2">
        <v>455210.85729907412</v>
      </c>
    </row>
    <row r="121" spans="1:35" x14ac:dyDescent="0.2">
      <c r="A121" s="1" t="s">
        <v>281</v>
      </c>
      <c r="B121" s="1" t="s">
        <v>286</v>
      </c>
      <c r="C121" s="1" t="s">
        <v>287</v>
      </c>
      <c r="D121" s="2">
        <v>54319.143406610114</v>
      </c>
      <c r="E121" s="2">
        <v>129864.54945609976</v>
      </c>
      <c r="F121" s="2">
        <v>149025.93283272738</v>
      </c>
      <c r="G121" s="2">
        <v>226969.97689618549</v>
      </c>
      <c r="H121" s="2">
        <v>283850.91123692848</v>
      </c>
      <c r="I121" s="2">
        <v>271785.67318641854</v>
      </c>
      <c r="J121" s="2">
        <v>474148.24465528323</v>
      </c>
      <c r="K121" s="2">
        <v>706570.34043552424</v>
      </c>
      <c r="L121" s="2">
        <v>514302.02102199319</v>
      </c>
      <c r="M121" s="2">
        <v>294632.96083368664</v>
      </c>
      <c r="N121" s="2">
        <v>262864.47983751877</v>
      </c>
      <c r="O121" s="2">
        <v>298715.68561250379</v>
      </c>
      <c r="P121" s="2">
        <v>614554.86661154882</v>
      </c>
      <c r="Q121" s="2">
        <v>742965.74178564432</v>
      </c>
      <c r="R121" s="2">
        <v>678876.96358129685</v>
      </c>
      <c r="S121" s="2">
        <v>667171.42978526419</v>
      </c>
      <c r="T121" s="2">
        <v>797393.61596929305</v>
      </c>
      <c r="U121" s="2">
        <v>694266.38886845449</v>
      </c>
      <c r="V121" s="2">
        <v>793203.68046577042</v>
      </c>
      <c r="W121" s="2">
        <v>954704.03921873868</v>
      </c>
      <c r="X121" s="2">
        <v>771067.35400000017</v>
      </c>
      <c r="Y121" s="2">
        <v>658213.41414749739</v>
      </c>
      <c r="Z121" s="2">
        <v>647845.07234967232</v>
      </c>
      <c r="AA121" s="2">
        <v>657380.63940471341</v>
      </c>
      <c r="AB121" s="2">
        <v>640865.95919665066</v>
      </c>
      <c r="AC121" s="2">
        <v>548165.93576321064</v>
      </c>
      <c r="AD121" s="2">
        <v>540745.29829304409</v>
      </c>
      <c r="AE121" s="2">
        <v>502755.69375005865</v>
      </c>
      <c r="AF121" s="2">
        <v>437087.15464504086</v>
      </c>
      <c r="AG121" s="2">
        <v>431971.15707715927</v>
      </c>
      <c r="AH121" s="2">
        <v>480959.64859423891</v>
      </c>
      <c r="AI121" s="2">
        <v>508669.51322764857</v>
      </c>
    </row>
    <row r="122" spans="1:35" x14ac:dyDescent="0.2">
      <c r="A122" s="1" t="s">
        <v>288</v>
      </c>
      <c r="B122" s="1" t="s">
        <v>289</v>
      </c>
      <c r="C122" s="1" t="s">
        <v>290</v>
      </c>
      <c r="D122" s="2">
        <v>266164.74537870416</v>
      </c>
      <c r="E122" s="2">
        <v>753923.27706334228</v>
      </c>
      <c r="F122" s="2">
        <v>1590071.5235062991</v>
      </c>
      <c r="G122" s="2">
        <v>1928439.9172061435</v>
      </c>
      <c r="H122" s="2">
        <v>1753377.6649789223</v>
      </c>
      <c r="I122" s="2">
        <v>2887388.322273015</v>
      </c>
      <c r="J122" s="2">
        <v>3694591.8709371658</v>
      </c>
      <c r="K122" s="2">
        <v>4522562.9252180001</v>
      </c>
      <c r="L122" s="2">
        <v>3563687.4064298733</v>
      </c>
      <c r="M122" s="2">
        <v>1858192.6311836317</v>
      </c>
      <c r="N122" s="2">
        <v>1403479.5626528596</v>
      </c>
      <c r="O122" s="2">
        <v>2712576.8312551719</v>
      </c>
      <c r="P122" s="2">
        <v>3191831.9353559427</v>
      </c>
      <c r="Q122" s="2">
        <v>3028456.1055506286</v>
      </c>
      <c r="R122" s="2">
        <v>2509306.1199796959</v>
      </c>
      <c r="S122" s="2">
        <v>2612328.8404190405</v>
      </c>
      <c r="T122" s="2">
        <v>3186538.8032909222</v>
      </c>
      <c r="U122" s="2">
        <v>2966952.393914361</v>
      </c>
      <c r="V122" s="2">
        <v>2567457.8350197026</v>
      </c>
      <c r="W122" s="2">
        <v>3346898.6738642356</v>
      </c>
      <c r="X122" s="2">
        <v>3078239.0189999989</v>
      </c>
      <c r="Y122" s="2">
        <v>2904434.9816184067</v>
      </c>
      <c r="Z122" s="2">
        <v>2687016.4436292849</v>
      </c>
      <c r="AA122" s="2">
        <v>2597609.2871368797</v>
      </c>
      <c r="AB122" s="2">
        <v>2315067.5167699419</v>
      </c>
      <c r="AC122" s="2">
        <v>1997138.0774460551</v>
      </c>
      <c r="AD122" s="2">
        <v>2819669.1749317264</v>
      </c>
      <c r="AE122" s="2">
        <v>3063959.0495837186</v>
      </c>
      <c r="AF122" s="2">
        <v>2488886.3560228492</v>
      </c>
      <c r="AG122" s="2">
        <v>2257423.7955408171</v>
      </c>
      <c r="AH122" s="2">
        <v>2572611.4731222778</v>
      </c>
      <c r="AI122" s="2">
        <v>2402233.1512538753</v>
      </c>
    </row>
    <row r="123" spans="1:35" x14ac:dyDescent="0.2">
      <c r="A123" s="1" t="s">
        <v>288</v>
      </c>
      <c r="B123" s="1" t="s">
        <v>291</v>
      </c>
      <c r="C123" s="1" t="s">
        <v>292</v>
      </c>
      <c r="D123" s="2">
        <v>649706.91652849806</v>
      </c>
      <c r="E123" s="2">
        <v>808241.21259939438</v>
      </c>
      <c r="F123" s="2">
        <v>1571388.4579746306</v>
      </c>
      <c r="G123" s="2">
        <v>1949516.4065841478</v>
      </c>
      <c r="H123" s="2">
        <v>2058138.0007940058</v>
      </c>
      <c r="I123" s="2">
        <v>2441898.6200098186</v>
      </c>
      <c r="J123" s="2">
        <v>3737671.9500964438</v>
      </c>
      <c r="K123" s="2">
        <v>6251619.5844869446</v>
      </c>
      <c r="L123" s="2">
        <v>4501886.7595500415</v>
      </c>
      <c r="M123" s="2">
        <v>2395078.7665144769</v>
      </c>
      <c r="N123" s="2">
        <v>2094052.6931957612</v>
      </c>
      <c r="O123" s="2">
        <v>3412768.351370045</v>
      </c>
      <c r="P123" s="2">
        <v>4997779.8961137319</v>
      </c>
      <c r="Q123" s="2">
        <v>4476763.2350629661</v>
      </c>
      <c r="R123" s="2">
        <v>3861986.2994008097</v>
      </c>
      <c r="S123" s="2">
        <v>3881880.4936141251</v>
      </c>
      <c r="T123" s="2">
        <v>5090245.2432478694</v>
      </c>
      <c r="U123" s="2">
        <v>4707602.2596256547</v>
      </c>
      <c r="V123" s="2">
        <v>3572110.6427686089</v>
      </c>
      <c r="W123" s="2">
        <v>4202624.9763672417</v>
      </c>
      <c r="X123" s="2">
        <v>3697195.5460000006</v>
      </c>
      <c r="Y123" s="2">
        <v>3234614.8978025992</v>
      </c>
      <c r="Z123" s="2">
        <v>3317666.0555562121</v>
      </c>
      <c r="AA123" s="2">
        <v>3324372.044889288</v>
      </c>
      <c r="AB123" s="2">
        <v>2855449.0233980222</v>
      </c>
      <c r="AC123" s="2">
        <v>2310835.6954965144</v>
      </c>
      <c r="AD123" s="2">
        <v>3462018.6960928096</v>
      </c>
      <c r="AE123" s="2">
        <v>3571859.1399391536</v>
      </c>
      <c r="AF123" s="2">
        <v>2817482.1856338801</v>
      </c>
      <c r="AG123" s="2">
        <v>2735557.5573339621</v>
      </c>
      <c r="AH123" s="2">
        <v>3492969.6853864668</v>
      </c>
      <c r="AI123" s="2">
        <v>3360624.1577699799</v>
      </c>
    </row>
    <row r="124" spans="1:35" x14ac:dyDescent="0.2">
      <c r="A124" s="1" t="s">
        <v>288</v>
      </c>
      <c r="B124" s="1" t="s">
        <v>293</v>
      </c>
      <c r="C124" s="1" t="s">
        <v>294</v>
      </c>
      <c r="D124" s="2">
        <v>52778.551459545699</v>
      </c>
      <c r="E124" s="2">
        <v>429019.74408678495</v>
      </c>
      <c r="F124" s="2">
        <v>1046049.0612066174</v>
      </c>
      <c r="G124" s="2">
        <v>1085210.8869179117</v>
      </c>
      <c r="H124" s="2">
        <v>1130334.1160036204</v>
      </c>
      <c r="I124" s="2">
        <v>1571228.6523319397</v>
      </c>
      <c r="J124" s="2">
        <v>1653591.0454392082</v>
      </c>
      <c r="K124" s="2">
        <v>1838406.9533181589</v>
      </c>
      <c r="L124" s="2">
        <v>1317425.2914643416</v>
      </c>
      <c r="M124" s="2">
        <v>479163.63600600342</v>
      </c>
      <c r="N124" s="2">
        <v>574148.69929114287</v>
      </c>
      <c r="O124" s="2">
        <v>714255.66029455536</v>
      </c>
      <c r="P124" s="2">
        <v>1465669.2853879337</v>
      </c>
      <c r="Q124" s="2">
        <v>1384027.792374142</v>
      </c>
      <c r="R124" s="2">
        <v>1261085.7784002179</v>
      </c>
      <c r="S124" s="2">
        <v>1130612.5443148632</v>
      </c>
      <c r="T124" s="2">
        <v>1381288.4619067889</v>
      </c>
      <c r="U124" s="2">
        <v>1517036.1136770649</v>
      </c>
      <c r="V124" s="2">
        <v>1246804.0923144619</v>
      </c>
      <c r="W124" s="2">
        <v>1660762.7297030576</v>
      </c>
      <c r="X124" s="2">
        <v>1569052.2960000001</v>
      </c>
      <c r="Y124" s="2">
        <v>1568414.2483757501</v>
      </c>
      <c r="Z124" s="2">
        <v>1414791.8720650668</v>
      </c>
      <c r="AA124" s="2">
        <v>1180527.7955010314</v>
      </c>
      <c r="AB124" s="2">
        <v>976002.57609096076</v>
      </c>
      <c r="AC124" s="2">
        <v>908709.67715162924</v>
      </c>
      <c r="AD124" s="2">
        <v>1226784.9626359283</v>
      </c>
      <c r="AE124" s="2">
        <v>1162857.5948891998</v>
      </c>
      <c r="AF124" s="2">
        <v>1005452.06853904</v>
      </c>
      <c r="AG124" s="2">
        <v>1068182.2997537761</v>
      </c>
      <c r="AH124" s="2">
        <v>1290237.4615281685</v>
      </c>
      <c r="AI124" s="2">
        <v>1194024.7055718773</v>
      </c>
    </row>
    <row r="125" spans="1:35" x14ac:dyDescent="0.2">
      <c r="A125" s="1" t="s">
        <v>288</v>
      </c>
      <c r="B125" s="1" t="s">
        <v>295</v>
      </c>
      <c r="C125" s="1" t="s">
        <v>296</v>
      </c>
      <c r="D125" s="2">
        <v>431274.44692610617</v>
      </c>
      <c r="E125" s="2">
        <v>1048161.9061768998</v>
      </c>
      <c r="F125" s="2">
        <v>1764968.7931602148</v>
      </c>
      <c r="G125" s="2">
        <v>1602415.1760811391</v>
      </c>
      <c r="H125" s="2">
        <v>1402676.5808950821</v>
      </c>
      <c r="I125" s="2">
        <v>1684496.0002163025</v>
      </c>
      <c r="J125" s="2">
        <v>2094843.0941903661</v>
      </c>
      <c r="K125" s="2">
        <v>3344346.6318704262</v>
      </c>
      <c r="L125" s="2">
        <v>2597136.2201181287</v>
      </c>
      <c r="M125" s="2">
        <v>1035018.3375424002</v>
      </c>
      <c r="N125" s="2">
        <v>991158.97582296142</v>
      </c>
      <c r="O125" s="2">
        <v>1590569.9889475328</v>
      </c>
      <c r="P125" s="2">
        <v>2642637.569879028</v>
      </c>
      <c r="Q125" s="2">
        <v>2605939.043334723</v>
      </c>
      <c r="R125" s="2">
        <v>2162855.9493998927</v>
      </c>
      <c r="S125" s="2">
        <v>2208647.1209041011</v>
      </c>
      <c r="T125" s="2">
        <v>2594013.9843586115</v>
      </c>
      <c r="U125" s="2">
        <v>2773321.0112787578</v>
      </c>
      <c r="V125" s="2">
        <v>2004189.9839670362</v>
      </c>
      <c r="W125" s="2">
        <v>2558337.3691705824</v>
      </c>
      <c r="X125" s="2">
        <v>2192980.6380000007</v>
      </c>
      <c r="Y125" s="2">
        <v>2316624.1949773151</v>
      </c>
      <c r="Z125" s="2">
        <v>1957706.5317847456</v>
      </c>
      <c r="AA125" s="2">
        <v>1849344.9148648535</v>
      </c>
      <c r="AB125" s="2">
        <v>1632674.8040043623</v>
      </c>
      <c r="AC125" s="2">
        <v>1305259.3909822805</v>
      </c>
      <c r="AD125" s="2">
        <v>2001116.0652785196</v>
      </c>
      <c r="AE125" s="2">
        <v>2013977.728159192</v>
      </c>
      <c r="AF125" s="2">
        <v>1861552.8839796709</v>
      </c>
      <c r="AG125" s="2">
        <v>1691137.2643724291</v>
      </c>
      <c r="AH125" s="2">
        <v>1988301.8914808508</v>
      </c>
      <c r="AI125" s="2">
        <v>1841275.9202640743</v>
      </c>
    </row>
    <row r="126" spans="1:35" x14ac:dyDescent="0.2">
      <c r="A126" s="1" t="s">
        <v>288</v>
      </c>
      <c r="B126" s="1" t="s">
        <v>297</v>
      </c>
      <c r="C126" s="1" t="s">
        <v>298</v>
      </c>
      <c r="D126" s="2">
        <v>246608.2681232605</v>
      </c>
      <c r="E126" s="2">
        <v>310730.22827653401</v>
      </c>
      <c r="F126" s="2">
        <v>469147.70256169222</v>
      </c>
      <c r="G126" s="2">
        <v>480499.89835526497</v>
      </c>
      <c r="H126" s="2">
        <v>542951.41505985719</v>
      </c>
      <c r="I126" s="2">
        <v>584699.67198446777</v>
      </c>
      <c r="J126" s="2">
        <v>1050195.7358567584</v>
      </c>
      <c r="K126" s="2">
        <v>1903223.5803941302</v>
      </c>
      <c r="L126" s="2">
        <v>1786279.3675983334</v>
      </c>
      <c r="M126" s="2">
        <v>1099697.7526216814</v>
      </c>
      <c r="N126" s="2">
        <v>792524.78595048771</v>
      </c>
      <c r="O126" s="2">
        <v>1774822.6511269177</v>
      </c>
      <c r="P126" s="2">
        <v>1730814.4852862277</v>
      </c>
      <c r="Q126" s="2">
        <v>1952527.3836391752</v>
      </c>
      <c r="R126" s="2">
        <v>1561591.188949605</v>
      </c>
      <c r="S126" s="2">
        <v>1470724.3785863272</v>
      </c>
      <c r="T126" s="2">
        <v>1696667.2727800591</v>
      </c>
      <c r="U126" s="2">
        <v>1496728.7174364978</v>
      </c>
      <c r="V126" s="2">
        <v>1065609.7513828427</v>
      </c>
      <c r="W126" s="2">
        <v>1145800.2543534096</v>
      </c>
      <c r="X126" s="2">
        <v>1009132.7870000001</v>
      </c>
      <c r="Y126" s="2">
        <v>943409.52745732712</v>
      </c>
      <c r="Z126" s="2">
        <v>870441.79713303212</v>
      </c>
      <c r="AA126" s="2">
        <v>839605.13673799112</v>
      </c>
      <c r="AB126" s="2">
        <v>726916.02925930033</v>
      </c>
      <c r="AC126" s="2">
        <v>558089.12366332137</v>
      </c>
      <c r="AD126" s="2">
        <v>894700.59262909216</v>
      </c>
      <c r="AE126" s="2">
        <v>1091088.1527269362</v>
      </c>
      <c r="AF126" s="2">
        <v>699141.98178951489</v>
      </c>
      <c r="AG126" s="2">
        <v>645271.84404408711</v>
      </c>
      <c r="AH126" s="2">
        <v>811372.30543700245</v>
      </c>
      <c r="AI126" s="2">
        <v>718804.27192617115</v>
      </c>
    </row>
    <row r="127" spans="1:35" x14ac:dyDescent="0.2">
      <c r="A127" s="1" t="s">
        <v>288</v>
      </c>
      <c r="B127" s="1" t="s">
        <v>299</v>
      </c>
      <c r="C127" s="1" t="s">
        <v>300</v>
      </c>
      <c r="D127" s="2">
        <v>190760.8737222015</v>
      </c>
      <c r="E127" s="2">
        <v>399438.8808463543</v>
      </c>
      <c r="F127" s="2">
        <v>582457.65605799668</v>
      </c>
      <c r="G127" s="2">
        <v>875417.72778564703</v>
      </c>
      <c r="H127" s="2">
        <v>902489.47665921086</v>
      </c>
      <c r="I127" s="2">
        <v>790382.23799876438</v>
      </c>
      <c r="J127" s="2">
        <v>1274284.157372925</v>
      </c>
      <c r="K127" s="2">
        <v>1903708.8724934754</v>
      </c>
      <c r="L127" s="2">
        <v>1142111.3432352769</v>
      </c>
      <c r="M127" s="2">
        <v>709638.88553745067</v>
      </c>
      <c r="N127" s="2">
        <v>659857.64921360882</v>
      </c>
      <c r="O127" s="2">
        <v>1216755.2925126823</v>
      </c>
      <c r="P127" s="2">
        <v>1568221.6968155997</v>
      </c>
      <c r="Q127" s="2">
        <v>1419849.7402497837</v>
      </c>
      <c r="R127" s="2">
        <v>1163440.6613101372</v>
      </c>
      <c r="S127" s="2">
        <v>1217574.4259217358</v>
      </c>
      <c r="T127" s="2">
        <v>1492006.1252965876</v>
      </c>
      <c r="U127" s="2">
        <v>1453082.9500796616</v>
      </c>
      <c r="V127" s="2">
        <v>1034712.0619548676</v>
      </c>
      <c r="W127" s="2">
        <v>1311922.7072088264</v>
      </c>
      <c r="X127" s="2">
        <v>1069387.1780000001</v>
      </c>
      <c r="Y127" s="2">
        <v>1031723.7393026503</v>
      </c>
      <c r="Z127" s="2">
        <v>891835.94388958765</v>
      </c>
      <c r="AA127" s="2">
        <v>792503.79153309856</v>
      </c>
      <c r="AB127" s="2">
        <v>635473.67027462833</v>
      </c>
      <c r="AC127" s="2">
        <v>594910.64485344791</v>
      </c>
      <c r="AD127" s="2">
        <v>776157.02377298009</v>
      </c>
      <c r="AE127" s="2">
        <v>814556.18294751749</v>
      </c>
      <c r="AF127" s="2">
        <v>656398.75151146681</v>
      </c>
      <c r="AG127" s="2">
        <v>633938.38210168097</v>
      </c>
      <c r="AH127" s="2">
        <v>698227.49323901301</v>
      </c>
      <c r="AI127" s="2">
        <v>729124.9156052469</v>
      </c>
    </row>
    <row r="128" spans="1:35" x14ac:dyDescent="0.2">
      <c r="A128" s="1" t="s">
        <v>288</v>
      </c>
      <c r="B128" s="1" t="s">
        <v>301</v>
      </c>
      <c r="C128" s="1" t="s">
        <v>302</v>
      </c>
      <c r="D128" s="2">
        <v>517339.43903718627</v>
      </c>
      <c r="E128" s="2">
        <v>559608.99959503894</v>
      </c>
      <c r="F128" s="2">
        <v>996142.40553940693</v>
      </c>
      <c r="G128" s="2">
        <v>1042848.1972889642</v>
      </c>
      <c r="H128" s="2">
        <v>1525532.3792238524</v>
      </c>
      <c r="I128" s="2">
        <v>1835630.3690434077</v>
      </c>
      <c r="J128" s="2">
        <v>2345841.9724299773</v>
      </c>
      <c r="K128" s="2">
        <v>4978729.1096842745</v>
      </c>
      <c r="L128" s="2">
        <v>1956357.5009452545</v>
      </c>
      <c r="M128" s="2">
        <v>1423684.1564865138</v>
      </c>
      <c r="N128" s="2">
        <v>1340766.8035024707</v>
      </c>
      <c r="O128" s="2">
        <v>2445462.6185332169</v>
      </c>
      <c r="P128" s="2">
        <v>2858037.9358441494</v>
      </c>
      <c r="Q128" s="2">
        <v>2649231.2995604342</v>
      </c>
      <c r="R128" s="2">
        <v>2548978.8725659023</v>
      </c>
      <c r="S128" s="2">
        <v>2322895.8715624758</v>
      </c>
      <c r="T128" s="2">
        <v>2731838.4838076634</v>
      </c>
      <c r="U128" s="2">
        <v>2975971.6059453152</v>
      </c>
      <c r="V128" s="2">
        <v>2111373.4862361425</v>
      </c>
      <c r="W128" s="2">
        <v>2335584.1305595892</v>
      </c>
      <c r="X128" s="2">
        <v>1903560.2949999999</v>
      </c>
      <c r="Y128" s="2">
        <v>1862588.3513370284</v>
      </c>
      <c r="Z128" s="2">
        <v>1800497.8503802642</v>
      </c>
      <c r="AA128" s="2">
        <v>1857039.4064948168</v>
      </c>
      <c r="AB128" s="2">
        <v>1932781.55285289</v>
      </c>
      <c r="AC128" s="2">
        <v>1840751.6675059153</v>
      </c>
      <c r="AD128" s="2">
        <v>2183812.3695629952</v>
      </c>
      <c r="AE128" s="2">
        <v>1981432.8568071125</v>
      </c>
      <c r="AF128" s="2">
        <v>1735404.4294848633</v>
      </c>
      <c r="AG128" s="2">
        <v>1917231.1492455909</v>
      </c>
      <c r="AH128" s="2">
        <v>2364552.7463084734</v>
      </c>
      <c r="AI128" s="2">
        <v>2529433.5173079707</v>
      </c>
    </row>
    <row r="129" spans="1:35" x14ac:dyDescent="0.2">
      <c r="A129" s="1" t="s">
        <v>288</v>
      </c>
      <c r="B129" s="1" t="s">
        <v>303</v>
      </c>
      <c r="C129" s="1" t="s">
        <v>304</v>
      </c>
      <c r="E129" s="2">
        <v>343549.8002812328</v>
      </c>
      <c r="F129" s="2">
        <v>1991269.978034446</v>
      </c>
      <c r="G129" s="2">
        <v>1874953.1810095697</v>
      </c>
      <c r="H129" s="2">
        <v>1457746.0478501727</v>
      </c>
      <c r="I129" s="2">
        <v>2148413.7824413716</v>
      </c>
      <c r="J129" s="2">
        <v>2227613.2113846522</v>
      </c>
      <c r="K129" s="2">
        <v>2463649.0814895206</v>
      </c>
      <c r="L129" s="2">
        <v>1458846.6995094072</v>
      </c>
      <c r="M129" s="2">
        <v>446972.83581490157</v>
      </c>
      <c r="N129" s="2">
        <v>446557.25380624057</v>
      </c>
      <c r="O129" s="2">
        <v>603294.38307255995</v>
      </c>
      <c r="P129" s="2">
        <v>1224430.3743879129</v>
      </c>
      <c r="Q129" s="2">
        <v>1238522.9929111924</v>
      </c>
      <c r="R129" s="2">
        <v>1164264.7557622618</v>
      </c>
      <c r="S129" s="2">
        <v>1131234.561983407</v>
      </c>
      <c r="T129" s="2">
        <v>1355507.6297315445</v>
      </c>
      <c r="U129" s="2">
        <v>1313131.7441964035</v>
      </c>
      <c r="V129" s="2">
        <v>1190608.1681078454</v>
      </c>
      <c r="W129" s="2">
        <v>1555757.8426114046</v>
      </c>
      <c r="X129" s="2">
        <v>1427713.6130000001</v>
      </c>
      <c r="Y129" s="2">
        <v>1403587.7662891613</v>
      </c>
      <c r="Z129" s="2">
        <v>1457453.0565691006</v>
      </c>
      <c r="AA129" s="2">
        <v>1498187.0092847033</v>
      </c>
      <c r="AB129" s="2">
        <v>1312304.5036269792</v>
      </c>
      <c r="AC129" s="2">
        <v>1265903.7836860656</v>
      </c>
      <c r="AD129" s="2">
        <v>1442435.2305061722</v>
      </c>
      <c r="AE129" s="2">
        <v>1417979.7694469108</v>
      </c>
      <c r="AF129" s="2">
        <v>1028671.2640524609</v>
      </c>
      <c r="AG129" s="2">
        <v>1075180.9414648772</v>
      </c>
      <c r="AH129" s="2">
        <v>1303134.2371095731</v>
      </c>
      <c r="AI129" s="2">
        <v>1317783.0117922858</v>
      </c>
    </row>
    <row r="130" spans="1:35" x14ac:dyDescent="0.2">
      <c r="A130" s="1" t="s">
        <v>288</v>
      </c>
      <c r="B130" s="1" t="s">
        <v>305</v>
      </c>
      <c r="C130" s="1" t="s">
        <v>306</v>
      </c>
      <c r="D130" s="2">
        <v>7877.2586709456</v>
      </c>
      <c r="E130" s="2">
        <v>516761.51553992386</v>
      </c>
      <c r="F130" s="2">
        <v>938516.83867882576</v>
      </c>
      <c r="G130" s="2">
        <v>759742.84038176259</v>
      </c>
      <c r="H130" s="2">
        <v>646554.1230241491</v>
      </c>
      <c r="I130" s="2">
        <v>918977.04549632687</v>
      </c>
      <c r="J130" s="2">
        <v>744417.37838293868</v>
      </c>
      <c r="K130" s="2">
        <v>1389224.9657597123</v>
      </c>
      <c r="L130" s="2">
        <v>1173962.9692229601</v>
      </c>
      <c r="M130" s="2">
        <v>195662.99961095766</v>
      </c>
      <c r="N130" s="2">
        <v>181208.95704674121</v>
      </c>
      <c r="O130" s="2">
        <v>223541.46820607749</v>
      </c>
      <c r="P130" s="2">
        <v>771351.42620010383</v>
      </c>
      <c r="Q130" s="2">
        <v>803101.99341917085</v>
      </c>
      <c r="R130" s="2">
        <v>767804.57490304729</v>
      </c>
      <c r="S130" s="2">
        <v>668520.81553604535</v>
      </c>
      <c r="T130" s="2">
        <v>644888.77079235902</v>
      </c>
      <c r="U130" s="2">
        <v>822344.83700034523</v>
      </c>
      <c r="V130" s="2">
        <v>694321.02862298174</v>
      </c>
      <c r="W130" s="2">
        <v>858214.73304655962</v>
      </c>
      <c r="X130" s="2">
        <v>782248.27599999995</v>
      </c>
      <c r="Y130" s="2">
        <v>689154.58990825107</v>
      </c>
      <c r="Z130" s="2">
        <v>768832.07539961406</v>
      </c>
      <c r="AA130" s="2">
        <v>760845.70534731296</v>
      </c>
      <c r="AB130" s="2">
        <v>732430.72000050591</v>
      </c>
      <c r="AC130" s="2">
        <v>852345.51816146949</v>
      </c>
      <c r="AD130" s="2">
        <v>793822.36971736909</v>
      </c>
      <c r="AE130" s="2">
        <v>940671.3074360186</v>
      </c>
      <c r="AF130" s="2">
        <v>727951.35234382178</v>
      </c>
      <c r="AG130" s="2">
        <v>810136.60385097621</v>
      </c>
      <c r="AH130" s="2">
        <v>828796.85770683363</v>
      </c>
      <c r="AI130" s="2">
        <v>758378.06859321205</v>
      </c>
    </row>
    <row r="131" spans="1:35" x14ac:dyDescent="0.2">
      <c r="A131" s="1" t="s">
        <v>288</v>
      </c>
      <c r="B131" s="1" t="s">
        <v>307</v>
      </c>
      <c r="C131" s="1" t="s">
        <v>308</v>
      </c>
      <c r="D131" s="2">
        <v>124737.99329733329</v>
      </c>
      <c r="E131" s="2">
        <v>416691.80862915824</v>
      </c>
      <c r="F131" s="2">
        <v>753671.19511570816</v>
      </c>
      <c r="G131" s="2">
        <v>926852.95792425715</v>
      </c>
      <c r="H131" s="2">
        <v>584279.47373590723</v>
      </c>
      <c r="I131" s="2">
        <v>850003.44218929007</v>
      </c>
      <c r="J131" s="2">
        <v>1122412.3425326708</v>
      </c>
      <c r="K131" s="2">
        <v>2491974.907004579</v>
      </c>
      <c r="L131" s="2">
        <v>1374490.9354621968</v>
      </c>
      <c r="M131" s="2">
        <v>586804.22174215643</v>
      </c>
      <c r="N131" s="2">
        <v>593422.10952510638</v>
      </c>
      <c r="O131" s="2">
        <v>898224.51487341546</v>
      </c>
      <c r="P131" s="2">
        <v>1459555.1853415454</v>
      </c>
      <c r="Q131" s="2">
        <v>1514301.2595205985</v>
      </c>
      <c r="R131" s="2">
        <v>1160031.9758224259</v>
      </c>
      <c r="S131" s="2">
        <v>1116689.4888764317</v>
      </c>
      <c r="T131" s="2">
        <v>1453508.4452949509</v>
      </c>
      <c r="U131" s="2">
        <v>1250910.5355045709</v>
      </c>
      <c r="V131" s="2">
        <v>1155997.3540575304</v>
      </c>
      <c r="W131" s="2">
        <v>1273894.6687390476</v>
      </c>
      <c r="X131" s="2">
        <v>1146010.9589999998</v>
      </c>
      <c r="Y131" s="2">
        <v>1169799.0585404255</v>
      </c>
      <c r="Z131" s="2">
        <v>1106933.8366798176</v>
      </c>
      <c r="AA131" s="2">
        <v>1155120.0160982776</v>
      </c>
      <c r="AB131" s="2">
        <v>1015667.6960130646</v>
      </c>
      <c r="AC131" s="2">
        <v>886659.3678992429</v>
      </c>
      <c r="AD131" s="2">
        <v>1097882.4900246901</v>
      </c>
      <c r="AE131" s="2">
        <v>1095809.7138316205</v>
      </c>
      <c r="AF131" s="2">
        <v>926844.69725649105</v>
      </c>
      <c r="AG131" s="2">
        <v>847019.37824418326</v>
      </c>
      <c r="AH131" s="2">
        <v>1142749.6214623351</v>
      </c>
      <c r="AI131" s="2">
        <v>1009587.4149597014</v>
      </c>
    </row>
    <row r="132" spans="1:35" x14ac:dyDescent="0.2">
      <c r="A132" s="1" t="s">
        <v>288</v>
      </c>
      <c r="B132" s="1" t="s">
        <v>309</v>
      </c>
      <c r="C132" s="1" t="s">
        <v>310</v>
      </c>
      <c r="D132" s="2">
        <v>114002.47248099069</v>
      </c>
      <c r="E132" s="2">
        <v>202711.31055408239</v>
      </c>
      <c r="F132" s="2">
        <v>388622.86748379609</v>
      </c>
      <c r="G132" s="2">
        <v>552696.44450728456</v>
      </c>
      <c r="H132" s="2">
        <v>743939.41905921767</v>
      </c>
      <c r="I132" s="2">
        <v>988840.4983423301</v>
      </c>
      <c r="J132" s="2">
        <v>1574671.5966672404</v>
      </c>
      <c r="K132" s="2">
        <v>1198626.5427129914</v>
      </c>
      <c r="L132" s="2">
        <v>1080751.7879372938</v>
      </c>
      <c r="M132" s="2">
        <v>633592.5742122829</v>
      </c>
      <c r="N132" s="2">
        <v>666689.08654176863</v>
      </c>
      <c r="O132" s="2">
        <v>1106929.116367934</v>
      </c>
      <c r="P132" s="2">
        <v>1551822.500361504</v>
      </c>
      <c r="Q132" s="2">
        <v>1769481.7755565615</v>
      </c>
      <c r="R132" s="2">
        <v>1804793.531648217</v>
      </c>
      <c r="S132" s="2">
        <v>1768277.6549145407</v>
      </c>
      <c r="T132" s="2">
        <v>1764278.0929587067</v>
      </c>
      <c r="U132" s="2">
        <v>2299252.332256787</v>
      </c>
      <c r="V132" s="2">
        <v>1850866.7816366286</v>
      </c>
      <c r="W132" s="2">
        <v>2347101.1101840148</v>
      </c>
      <c r="X132" s="2">
        <v>1643398.5600000003</v>
      </c>
      <c r="Y132" s="2">
        <v>1528818.8325552065</v>
      </c>
      <c r="Z132" s="2">
        <v>1319578.8529057098</v>
      </c>
      <c r="AA132" s="2">
        <v>1798022.7282086483</v>
      </c>
      <c r="AB132" s="2">
        <v>2083871.2526717109</v>
      </c>
      <c r="AC132" s="2">
        <v>1948195.8669476144</v>
      </c>
      <c r="AD132" s="2">
        <v>2138419.9283160777</v>
      </c>
      <c r="AE132" s="2">
        <v>1609262.962173708</v>
      </c>
      <c r="AF132" s="2">
        <v>1470497.7112394969</v>
      </c>
      <c r="AG132" s="2">
        <v>1662357.20450361</v>
      </c>
      <c r="AH132" s="2">
        <v>2695492.5883390857</v>
      </c>
      <c r="AI132" s="2">
        <v>2227008.7751591122</v>
      </c>
    </row>
    <row r="133" spans="1:35" x14ac:dyDescent="0.2">
      <c r="A133" s="1" t="s">
        <v>288</v>
      </c>
      <c r="B133" s="1" t="s">
        <v>311</v>
      </c>
      <c r="C133" s="1" t="s">
        <v>312</v>
      </c>
      <c r="D133" s="2">
        <v>180374.80834277594</v>
      </c>
      <c r="E133" s="2">
        <v>273942.08228269615</v>
      </c>
      <c r="F133" s="2">
        <v>321509.00563967152</v>
      </c>
      <c r="G133" s="2">
        <v>678767.98342227761</v>
      </c>
      <c r="H133" s="2">
        <v>857970.05927286029</v>
      </c>
      <c r="I133" s="2">
        <v>1111498.7915897137</v>
      </c>
      <c r="J133" s="2">
        <v>1195430.1980205586</v>
      </c>
      <c r="K133" s="2">
        <v>1910316.066015129</v>
      </c>
      <c r="L133" s="2">
        <v>1231390.4411822134</v>
      </c>
      <c r="M133" s="2">
        <v>680882.85036834027</v>
      </c>
      <c r="N133" s="2">
        <v>649338.12611207471</v>
      </c>
      <c r="O133" s="2">
        <v>1024965.4558873604</v>
      </c>
      <c r="P133" s="2">
        <v>1470119.7305550233</v>
      </c>
      <c r="Q133" s="2">
        <v>1442369.8734791407</v>
      </c>
      <c r="R133" s="2">
        <v>1367410.5888225713</v>
      </c>
      <c r="S133" s="2">
        <v>1366083.4288684384</v>
      </c>
      <c r="T133" s="2">
        <v>1343263.9701048261</v>
      </c>
      <c r="U133" s="2">
        <v>1582045.3253902751</v>
      </c>
      <c r="V133" s="2">
        <v>1233669.6112947145</v>
      </c>
      <c r="W133" s="2">
        <v>1473186.1649040151</v>
      </c>
      <c r="X133" s="2">
        <v>1263016.496</v>
      </c>
      <c r="Y133" s="2">
        <v>1349487.892205107</v>
      </c>
      <c r="Z133" s="2">
        <v>1194894.1091250039</v>
      </c>
      <c r="AA133" s="2">
        <v>1695011.1010979165</v>
      </c>
      <c r="AB133" s="2">
        <v>1935837.7800991745</v>
      </c>
      <c r="AC133" s="2">
        <v>1809940.2580713097</v>
      </c>
      <c r="AD133" s="2">
        <v>1798050.1593073881</v>
      </c>
      <c r="AE133" s="2">
        <v>1514881.9173753236</v>
      </c>
      <c r="AF133" s="2">
        <v>1386362.2389318107</v>
      </c>
      <c r="AG133" s="2">
        <v>1555361.5924482553</v>
      </c>
      <c r="AH133" s="2">
        <v>2092073.9948486369</v>
      </c>
      <c r="AI133" s="2">
        <v>1875478.1871841263</v>
      </c>
    </row>
    <row r="134" spans="1:35" x14ac:dyDescent="0.2">
      <c r="A134" s="1" t="s">
        <v>288</v>
      </c>
      <c r="B134" s="1" t="s">
        <v>313</v>
      </c>
      <c r="C134" s="1" t="s">
        <v>314</v>
      </c>
      <c r="D134" s="2">
        <v>164187.6438062705</v>
      </c>
      <c r="E134" s="2">
        <v>228058.79647882568</v>
      </c>
      <c r="F134" s="2">
        <v>320161.93863357475</v>
      </c>
      <c r="G134" s="2">
        <v>277232.68168472097</v>
      </c>
      <c r="H134" s="2">
        <v>519168.96791859437</v>
      </c>
      <c r="I134" s="2">
        <v>709906.37078637618</v>
      </c>
      <c r="J134" s="2">
        <v>1005199.948805873</v>
      </c>
      <c r="K134" s="2">
        <v>754592.54238495347</v>
      </c>
      <c r="L134" s="2">
        <v>1076843.3787900032</v>
      </c>
      <c r="M134" s="2">
        <v>195287.45680847191</v>
      </c>
      <c r="N134" s="2">
        <v>196585.25960240673</v>
      </c>
      <c r="O134" s="2">
        <v>235949.58255754673</v>
      </c>
      <c r="P134" s="2">
        <v>436261.30232820078</v>
      </c>
      <c r="Q134" s="2">
        <v>577238.01561347919</v>
      </c>
      <c r="R134" s="2">
        <v>359272.67995515594</v>
      </c>
      <c r="S134" s="2">
        <v>332240.13306278217</v>
      </c>
      <c r="T134" s="2">
        <v>363822.05954517698</v>
      </c>
      <c r="U134" s="2">
        <v>396573.44455199031</v>
      </c>
      <c r="V134" s="2">
        <v>270134.29644211626</v>
      </c>
      <c r="W134" s="2">
        <v>341686.03269991302</v>
      </c>
      <c r="X134" s="2">
        <v>299438.56600000011</v>
      </c>
      <c r="Y134" s="2">
        <v>289531.85005067877</v>
      </c>
      <c r="Z134" s="2">
        <v>273353.81297012797</v>
      </c>
      <c r="AA134" s="2">
        <v>297629.61612012511</v>
      </c>
      <c r="AB134" s="2">
        <v>310157.59960712137</v>
      </c>
      <c r="AC134" s="2">
        <v>263615.10813445889</v>
      </c>
      <c r="AD134" s="2">
        <v>281060.245387314</v>
      </c>
      <c r="AE134" s="2">
        <v>253654.7946291157</v>
      </c>
      <c r="AF134" s="2">
        <v>221269.85638211016</v>
      </c>
      <c r="AG134" s="2">
        <v>215449.27446718872</v>
      </c>
      <c r="AH134" s="2">
        <v>301921.96504422597</v>
      </c>
      <c r="AI134" s="2">
        <v>296831.00391970697</v>
      </c>
    </row>
    <row r="135" spans="1:35" x14ac:dyDescent="0.2">
      <c r="A135" s="1" t="s">
        <v>288</v>
      </c>
      <c r="B135" s="1" t="s">
        <v>315</v>
      </c>
      <c r="C135" s="1" t="s">
        <v>316</v>
      </c>
      <c r="D135" s="2">
        <v>25670.026106524299</v>
      </c>
      <c r="E135" s="2">
        <v>100497.2135390097</v>
      </c>
      <c r="F135" s="2">
        <v>153902.15707243458</v>
      </c>
      <c r="G135" s="2">
        <v>237978.34213035397</v>
      </c>
      <c r="H135" s="2">
        <v>149437.05471715124</v>
      </c>
      <c r="I135" s="2">
        <v>399752.27624272124</v>
      </c>
      <c r="J135" s="2">
        <v>309858.91778811213</v>
      </c>
      <c r="K135" s="2">
        <v>539250.13137731142</v>
      </c>
      <c r="L135" s="2">
        <v>454367.57094630337</v>
      </c>
      <c r="M135" s="2">
        <v>180103.3415070452</v>
      </c>
      <c r="N135" s="2">
        <v>198713.50315664013</v>
      </c>
      <c r="O135" s="2">
        <v>230570.37087952785</v>
      </c>
      <c r="P135" s="2">
        <v>731448.15502575226</v>
      </c>
      <c r="Q135" s="2">
        <v>572373.26295916154</v>
      </c>
      <c r="R135" s="2">
        <v>568267.00850423495</v>
      </c>
      <c r="S135" s="2">
        <v>604118.63037897635</v>
      </c>
      <c r="T135" s="2">
        <v>684364.83182843297</v>
      </c>
      <c r="U135" s="2">
        <v>550126.69759205973</v>
      </c>
      <c r="V135" s="2">
        <v>467318.39082844823</v>
      </c>
      <c r="W135" s="2">
        <v>585884.81997926824</v>
      </c>
      <c r="X135" s="2">
        <v>1006647.601</v>
      </c>
      <c r="Y135" s="2">
        <v>723498.3846695869</v>
      </c>
      <c r="Z135" s="2">
        <v>765075.78048608662</v>
      </c>
      <c r="AA135" s="2">
        <v>556279.18838074303</v>
      </c>
      <c r="AB135" s="2">
        <v>639566.76179094601</v>
      </c>
      <c r="AC135" s="2">
        <v>520682.04575943423</v>
      </c>
      <c r="AD135" s="2">
        <v>841405.46869932662</v>
      </c>
      <c r="AE135" s="2">
        <v>1016861.2469311291</v>
      </c>
      <c r="AF135" s="2">
        <v>767856.16041118768</v>
      </c>
      <c r="AG135" s="2">
        <v>685415.14491846936</v>
      </c>
      <c r="AH135" s="2">
        <v>730332.4906947806</v>
      </c>
      <c r="AI135" s="2">
        <v>651587.89965209214</v>
      </c>
    </row>
    <row r="136" spans="1:35" x14ac:dyDescent="0.2">
      <c r="A136" s="1" t="s">
        <v>288</v>
      </c>
      <c r="B136" s="1" t="s">
        <v>317</v>
      </c>
      <c r="C136" s="1" t="s">
        <v>318</v>
      </c>
      <c r="D136" s="2">
        <v>53223.494565277295</v>
      </c>
      <c r="E136" s="2">
        <v>114262.27171637351</v>
      </c>
      <c r="F136" s="2">
        <v>143353.18041325841</v>
      </c>
      <c r="G136" s="2">
        <v>230631.76385180079</v>
      </c>
      <c r="H136" s="2">
        <v>335130.17840837041</v>
      </c>
      <c r="I136" s="2">
        <v>1038609.0654902168</v>
      </c>
      <c r="J136" s="2">
        <v>1095689.242496602</v>
      </c>
      <c r="K136" s="2">
        <v>790645.17777990317</v>
      </c>
      <c r="L136" s="2">
        <v>296446.56938172027</v>
      </c>
      <c r="M136" s="2">
        <v>246881.43212034073</v>
      </c>
      <c r="N136" s="2">
        <v>285269.84601351479</v>
      </c>
      <c r="O136" s="2">
        <v>359760.0616331643</v>
      </c>
      <c r="P136" s="2">
        <v>709495.88385209301</v>
      </c>
      <c r="Q136" s="2">
        <v>680633.09131004557</v>
      </c>
      <c r="R136" s="2">
        <v>604405.62806721381</v>
      </c>
      <c r="S136" s="2">
        <v>588729.43636304885</v>
      </c>
      <c r="T136" s="2">
        <v>571809.74781052629</v>
      </c>
      <c r="U136" s="2">
        <v>729471.95385263173</v>
      </c>
      <c r="V136" s="2">
        <v>483644.48898752878</v>
      </c>
      <c r="W136" s="2">
        <v>601466.31841532979</v>
      </c>
      <c r="X136" s="2">
        <v>543427.06500000006</v>
      </c>
      <c r="Y136" s="2">
        <v>560350.69009560172</v>
      </c>
      <c r="Z136" s="2">
        <v>537275.69255637622</v>
      </c>
      <c r="AA136" s="2">
        <v>846563.314841146</v>
      </c>
      <c r="AB136" s="2">
        <v>1060360.5048865078</v>
      </c>
      <c r="AC136" s="2">
        <v>989229.04429715197</v>
      </c>
      <c r="AD136" s="2">
        <v>971161.30846715393</v>
      </c>
      <c r="AE136" s="2">
        <v>795100.8545698165</v>
      </c>
      <c r="AF136" s="2">
        <v>721644.98370614112</v>
      </c>
      <c r="AG136" s="2">
        <v>784005.75686493213</v>
      </c>
      <c r="AH136" s="2">
        <v>1113040.4405759682</v>
      </c>
      <c r="AI136" s="2">
        <v>974087.60613602586</v>
      </c>
    </row>
    <row r="137" spans="1:35" x14ac:dyDescent="0.2">
      <c r="A137" s="1" t="s">
        <v>319</v>
      </c>
      <c r="B137" s="1" t="s">
        <v>320</v>
      </c>
      <c r="C137" s="1" t="s">
        <v>321</v>
      </c>
      <c r="D137" s="2">
        <v>5390.7901028796005</v>
      </c>
      <c r="E137" s="2">
        <v>78962.080040017099</v>
      </c>
      <c r="F137" s="2">
        <v>45950.448259540703</v>
      </c>
      <c r="G137" s="2">
        <v>218512.47367854172</v>
      </c>
      <c r="H137" s="2">
        <v>285959.80172315257</v>
      </c>
      <c r="I137" s="2">
        <v>521026.56140901404</v>
      </c>
      <c r="J137" s="2">
        <v>924262.30322508363</v>
      </c>
      <c r="K137" s="2">
        <v>1231652.6355582348</v>
      </c>
      <c r="L137" s="2">
        <v>1206514.9148688752</v>
      </c>
      <c r="M137" s="2">
        <v>1396088.6359747185</v>
      </c>
      <c r="N137" s="2">
        <v>1188851.5016063952</v>
      </c>
      <c r="O137" s="2">
        <v>1443873.5862749817</v>
      </c>
      <c r="P137" s="2">
        <v>775366.94356672536</v>
      </c>
      <c r="Q137" s="2">
        <v>1255940.2338503692</v>
      </c>
      <c r="R137" s="2">
        <v>1004674.4108778914</v>
      </c>
      <c r="S137" s="2">
        <v>787668.45536747633</v>
      </c>
      <c r="T137" s="2">
        <v>639309.33918520773</v>
      </c>
      <c r="U137" s="2">
        <v>649727.12840223522</v>
      </c>
      <c r="V137" s="2">
        <v>895731.60459678201</v>
      </c>
      <c r="W137" s="2">
        <v>1045339.0586802354</v>
      </c>
      <c r="X137" s="2">
        <v>1065107.827</v>
      </c>
      <c r="Y137" s="2">
        <v>1065000.6470445676</v>
      </c>
      <c r="Z137" s="2">
        <v>1106706.8974203952</v>
      </c>
      <c r="AA137" s="2">
        <v>1270208.162319402</v>
      </c>
      <c r="AB137" s="2">
        <v>1454580.0811108614</v>
      </c>
      <c r="AC137" s="2">
        <v>1520285.4790857318</v>
      </c>
      <c r="AD137" s="2">
        <v>1599176.3161676831</v>
      </c>
      <c r="AE137" s="2">
        <v>1642570.8955653862</v>
      </c>
      <c r="AF137" s="2">
        <v>1583700.8054311599</v>
      </c>
      <c r="AG137" s="2">
        <v>1853816.9151865053</v>
      </c>
      <c r="AH137" s="2">
        <v>2737188.2400530642</v>
      </c>
      <c r="AI137" s="2">
        <v>4100780.2595165293</v>
      </c>
    </row>
    <row r="138" spans="1:35" x14ac:dyDescent="0.2">
      <c r="A138" s="1" t="s">
        <v>319</v>
      </c>
      <c r="B138" s="1" t="s">
        <v>322</v>
      </c>
      <c r="C138" s="1" t="s">
        <v>323</v>
      </c>
      <c r="D138" s="2">
        <v>17555.639547504801</v>
      </c>
      <c r="E138" s="2">
        <v>125839.88652064439</v>
      </c>
      <c r="F138" s="2">
        <v>105270.2609800646</v>
      </c>
      <c r="G138" s="2">
        <v>166399.94101775021</v>
      </c>
      <c r="H138" s="2">
        <v>141096.81381633959</v>
      </c>
      <c r="I138" s="2">
        <v>192907.25976589043</v>
      </c>
      <c r="J138" s="2">
        <v>299489.48653873475</v>
      </c>
      <c r="K138" s="2">
        <v>316119.57003807538</v>
      </c>
      <c r="L138" s="2">
        <v>290103.08330219687</v>
      </c>
      <c r="M138" s="2">
        <v>509056.24088424008</v>
      </c>
      <c r="N138" s="2">
        <v>437785.01585446316</v>
      </c>
      <c r="O138" s="2">
        <v>509573.21663440816</v>
      </c>
      <c r="P138" s="2">
        <v>330561.14321397891</v>
      </c>
      <c r="Q138" s="2">
        <v>521277.23595558485</v>
      </c>
      <c r="R138" s="2">
        <v>525314.75145904545</v>
      </c>
      <c r="S138" s="2">
        <v>454675.46816797898</v>
      </c>
      <c r="T138" s="2">
        <v>335318.08786233544</v>
      </c>
      <c r="U138" s="2">
        <v>347908.74802260316</v>
      </c>
      <c r="V138" s="2">
        <v>571858.39915805927</v>
      </c>
      <c r="W138" s="2">
        <v>693992.6507376259</v>
      </c>
      <c r="X138" s="2">
        <v>674684.35599999991</v>
      </c>
      <c r="Y138" s="2">
        <v>869146.90886873042</v>
      </c>
      <c r="Z138" s="2">
        <v>896381.85687786737</v>
      </c>
      <c r="AA138" s="2">
        <v>889278.31504006882</v>
      </c>
      <c r="AB138" s="2">
        <v>986064.58278894587</v>
      </c>
      <c r="AC138" s="2">
        <v>822049.78459876066</v>
      </c>
      <c r="AD138" s="2">
        <v>696936.95022352191</v>
      </c>
      <c r="AE138" s="2">
        <v>902553.08479551692</v>
      </c>
      <c r="AF138" s="2">
        <v>871278.49789502833</v>
      </c>
      <c r="AG138" s="2">
        <v>976264.44543103152</v>
      </c>
      <c r="AH138" s="2">
        <v>1502022.36913416</v>
      </c>
      <c r="AI138" s="2">
        <v>2231195.2002660837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532A-E034-49E0-AE4E-F5EF14A48116}">
  <sheetPr>
    <tabColor theme="2" tint="-9.9978637043366805E-2"/>
  </sheetPr>
  <dimension ref="A1:AJ143"/>
  <sheetViews>
    <sheetView zoomScaleNormal="100" workbookViewId="0">
      <selection activeCell="L3" sqref="L3"/>
    </sheetView>
  </sheetViews>
  <sheetFormatPr defaultRowHeight="12.75" customHeight="1" x14ac:dyDescent="0.25"/>
  <cols>
    <col min="1" max="1" width="4" style="11" customWidth="1"/>
    <col min="2" max="2" width="10" style="11" customWidth="1"/>
    <col min="3" max="3" width="30" style="11" customWidth="1"/>
    <col min="4" max="11" width="10" style="12" customWidth="1"/>
    <col min="13" max="25" width="10" style="12" customWidth="1"/>
    <col min="26" max="257" width="10.28515625" style="11" customWidth="1"/>
    <col min="258" max="258" width="4" style="11" customWidth="1"/>
    <col min="259" max="259" width="10" style="11" customWidth="1"/>
    <col min="260" max="260" width="30" style="11" customWidth="1"/>
    <col min="261" max="281" width="10" style="11" customWidth="1"/>
    <col min="282" max="513" width="10.28515625" style="11" customWidth="1"/>
    <col min="514" max="514" width="4" style="11" customWidth="1"/>
    <col min="515" max="515" width="10" style="11" customWidth="1"/>
    <col min="516" max="516" width="30" style="11" customWidth="1"/>
    <col min="517" max="537" width="10" style="11" customWidth="1"/>
    <col min="538" max="769" width="10.28515625" style="11" customWidth="1"/>
    <col min="770" max="770" width="4" style="11" customWidth="1"/>
    <col min="771" max="771" width="10" style="11" customWidth="1"/>
    <col min="772" max="772" width="30" style="11" customWidth="1"/>
    <col min="773" max="793" width="10" style="11" customWidth="1"/>
    <col min="794" max="1025" width="10.28515625" style="11" customWidth="1"/>
    <col min="1026" max="1026" width="4" style="11" customWidth="1"/>
    <col min="1027" max="1027" width="10" style="11" customWidth="1"/>
    <col min="1028" max="1028" width="30" style="11" customWidth="1"/>
    <col min="1029" max="1049" width="10" style="11" customWidth="1"/>
    <col min="1050" max="1281" width="10.28515625" style="11" customWidth="1"/>
    <col min="1282" max="1282" width="4" style="11" customWidth="1"/>
    <col min="1283" max="1283" width="10" style="11" customWidth="1"/>
    <col min="1284" max="1284" width="30" style="11" customWidth="1"/>
    <col min="1285" max="1305" width="10" style="11" customWidth="1"/>
    <col min="1306" max="1537" width="10.28515625" style="11" customWidth="1"/>
    <col min="1538" max="1538" width="4" style="11" customWidth="1"/>
    <col min="1539" max="1539" width="10" style="11" customWidth="1"/>
    <col min="1540" max="1540" width="30" style="11" customWidth="1"/>
    <col min="1541" max="1561" width="10" style="11" customWidth="1"/>
    <col min="1562" max="1793" width="10.28515625" style="11" customWidth="1"/>
    <col min="1794" max="1794" width="4" style="11" customWidth="1"/>
    <col min="1795" max="1795" width="10" style="11" customWidth="1"/>
    <col min="1796" max="1796" width="30" style="11" customWidth="1"/>
    <col min="1797" max="1817" width="10" style="11" customWidth="1"/>
    <col min="1818" max="2049" width="10.28515625" style="11" customWidth="1"/>
    <col min="2050" max="2050" width="4" style="11" customWidth="1"/>
    <col min="2051" max="2051" width="10" style="11" customWidth="1"/>
    <col min="2052" max="2052" width="30" style="11" customWidth="1"/>
    <col min="2053" max="2073" width="10" style="11" customWidth="1"/>
    <col min="2074" max="2305" width="10.28515625" style="11" customWidth="1"/>
    <col min="2306" max="2306" width="4" style="11" customWidth="1"/>
    <col min="2307" max="2307" width="10" style="11" customWidth="1"/>
    <col min="2308" max="2308" width="30" style="11" customWidth="1"/>
    <col min="2309" max="2329" width="10" style="11" customWidth="1"/>
    <col min="2330" max="2561" width="10.28515625" style="11" customWidth="1"/>
    <col min="2562" max="2562" width="4" style="11" customWidth="1"/>
    <col min="2563" max="2563" width="10" style="11" customWidth="1"/>
    <col min="2564" max="2564" width="30" style="11" customWidth="1"/>
    <col min="2565" max="2585" width="10" style="11" customWidth="1"/>
    <col min="2586" max="2817" width="10.28515625" style="11" customWidth="1"/>
    <col min="2818" max="2818" width="4" style="11" customWidth="1"/>
    <col min="2819" max="2819" width="10" style="11" customWidth="1"/>
    <col min="2820" max="2820" width="30" style="11" customWidth="1"/>
    <col min="2821" max="2841" width="10" style="11" customWidth="1"/>
    <col min="2842" max="3073" width="10.28515625" style="11" customWidth="1"/>
    <col min="3074" max="3074" width="4" style="11" customWidth="1"/>
    <col min="3075" max="3075" width="10" style="11" customWidth="1"/>
    <col min="3076" max="3076" width="30" style="11" customWidth="1"/>
    <col min="3077" max="3097" width="10" style="11" customWidth="1"/>
    <col min="3098" max="3329" width="10.28515625" style="11" customWidth="1"/>
    <col min="3330" max="3330" width="4" style="11" customWidth="1"/>
    <col min="3331" max="3331" width="10" style="11" customWidth="1"/>
    <col min="3332" max="3332" width="30" style="11" customWidth="1"/>
    <col min="3333" max="3353" width="10" style="11" customWidth="1"/>
    <col min="3354" max="3585" width="10.28515625" style="11" customWidth="1"/>
    <col min="3586" max="3586" width="4" style="11" customWidth="1"/>
    <col min="3587" max="3587" width="10" style="11" customWidth="1"/>
    <col min="3588" max="3588" width="30" style="11" customWidth="1"/>
    <col min="3589" max="3609" width="10" style="11" customWidth="1"/>
    <col min="3610" max="3841" width="10.28515625" style="11" customWidth="1"/>
    <col min="3842" max="3842" width="4" style="11" customWidth="1"/>
    <col min="3843" max="3843" width="10" style="11" customWidth="1"/>
    <col min="3844" max="3844" width="30" style="11" customWidth="1"/>
    <col min="3845" max="3865" width="10" style="11" customWidth="1"/>
    <col min="3866" max="4097" width="10.28515625" style="11" customWidth="1"/>
    <col min="4098" max="4098" width="4" style="11" customWidth="1"/>
    <col min="4099" max="4099" width="10" style="11" customWidth="1"/>
    <col min="4100" max="4100" width="30" style="11" customWidth="1"/>
    <col min="4101" max="4121" width="10" style="11" customWidth="1"/>
    <col min="4122" max="4353" width="10.28515625" style="11" customWidth="1"/>
    <col min="4354" max="4354" width="4" style="11" customWidth="1"/>
    <col min="4355" max="4355" width="10" style="11" customWidth="1"/>
    <col min="4356" max="4356" width="30" style="11" customWidth="1"/>
    <col min="4357" max="4377" width="10" style="11" customWidth="1"/>
    <col min="4378" max="4609" width="10.28515625" style="11" customWidth="1"/>
    <col min="4610" max="4610" width="4" style="11" customWidth="1"/>
    <col min="4611" max="4611" width="10" style="11" customWidth="1"/>
    <col min="4612" max="4612" width="30" style="11" customWidth="1"/>
    <col min="4613" max="4633" width="10" style="11" customWidth="1"/>
    <col min="4634" max="4865" width="10.28515625" style="11" customWidth="1"/>
    <col min="4866" max="4866" width="4" style="11" customWidth="1"/>
    <col min="4867" max="4867" width="10" style="11" customWidth="1"/>
    <col min="4868" max="4868" width="30" style="11" customWidth="1"/>
    <col min="4869" max="4889" width="10" style="11" customWidth="1"/>
    <col min="4890" max="5121" width="10.28515625" style="11" customWidth="1"/>
    <col min="5122" max="5122" width="4" style="11" customWidth="1"/>
    <col min="5123" max="5123" width="10" style="11" customWidth="1"/>
    <col min="5124" max="5124" width="30" style="11" customWidth="1"/>
    <col min="5125" max="5145" width="10" style="11" customWidth="1"/>
    <col min="5146" max="5377" width="10.28515625" style="11" customWidth="1"/>
    <col min="5378" max="5378" width="4" style="11" customWidth="1"/>
    <col min="5379" max="5379" width="10" style="11" customWidth="1"/>
    <col min="5380" max="5380" width="30" style="11" customWidth="1"/>
    <col min="5381" max="5401" width="10" style="11" customWidth="1"/>
    <col min="5402" max="5633" width="10.28515625" style="11" customWidth="1"/>
    <col min="5634" max="5634" width="4" style="11" customWidth="1"/>
    <col min="5635" max="5635" width="10" style="11" customWidth="1"/>
    <col min="5636" max="5636" width="30" style="11" customWidth="1"/>
    <col min="5637" max="5657" width="10" style="11" customWidth="1"/>
    <col min="5658" max="5889" width="10.28515625" style="11" customWidth="1"/>
    <col min="5890" max="5890" width="4" style="11" customWidth="1"/>
    <col min="5891" max="5891" width="10" style="11" customWidth="1"/>
    <col min="5892" max="5892" width="30" style="11" customWidth="1"/>
    <col min="5893" max="5913" width="10" style="11" customWidth="1"/>
    <col min="5914" max="6145" width="10.28515625" style="11" customWidth="1"/>
    <col min="6146" max="6146" width="4" style="11" customWidth="1"/>
    <col min="6147" max="6147" width="10" style="11" customWidth="1"/>
    <col min="6148" max="6148" width="30" style="11" customWidth="1"/>
    <col min="6149" max="6169" width="10" style="11" customWidth="1"/>
    <col min="6170" max="6401" width="10.28515625" style="11" customWidth="1"/>
    <col min="6402" max="6402" width="4" style="11" customWidth="1"/>
    <col min="6403" max="6403" width="10" style="11" customWidth="1"/>
    <col min="6404" max="6404" width="30" style="11" customWidth="1"/>
    <col min="6405" max="6425" width="10" style="11" customWidth="1"/>
    <col min="6426" max="6657" width="10.28515625" style="11" customWidth="1"/>
    <col min="6658" max="6658" width="4" style="11" customWidth="1"/>
    <col min="6659" max="6659" width="10" style="11" customWidth="1"/>
    <col min="6660" max="6660" width="30" style="11" customWidth="1"/>
    <col min="6661" max="6681" width="10" style="11" customWidth="1"/>
    <col min="6682" max="6913" width="10.28515625" style="11" customWidth="1"/>
    <col min="6914" max="6914" width="4" style="11" customWidth="1"/>
    <col min="6915" max="6915" width="10" style="11" customWidth="1"/>
    <col min="6916" max="6916" width="30" style="11" customWidth="1"/>
    <col min="6917" max="6937" width="10" style="11" customWidth="1"/>
    <col min="6938" max="7169" width="10.28515625" style="11" customWidth="1"/>
    <col min="7170" max="7170" width="4" style="11" customWidth="1"/>
    <col min="7171" max="7171" width="10" style="11" customWidth="1"/>
    <col min="7172" max="7172" width="30" style="11" customWidth="1"/>
    <col min="7173" max="7193" width="10" style="11" customWidth="1"/>
    <col min="7194" max="7425" width="10.28515625" style="11" customWidth="1"/>
    <col min="7426" max="7426" width="4" style="11" customWidth="1"/>
    <col min="7427" max="7427" width="10" style="11" customWidth="1"/>
    <col min="7428" max="7428" width="30" style="11" customWidth="1"/>
    <col min="7429" max="7449" width="10" style="11" customWidth="1"/>
    <col min="7450" max="7681" width="10.28515625" style="11" customWidth="1"/>
    <col min="7682" max="7682" width="4" style="11" customWidth="1"/>
    <col min="7683" max="7683" width="10" style="11" customWidth="1"/>
    <col min="7684" max="7684" width="30" style="11" customWidth="1"/>
    <col min="7685" max="7705" width="10" style="11" customWidth="1"/>
    <col min="7706" max="7937" width="10.28515625" style="11" customWidth="1"/>
    <col min="7938" max="7938" width="4" style="11" customWidth="1"/>
    <col min="7939" max="7939" width="10" style="11" customWidth="1"/>
    <col min="7940" max="7940" width="30" style="11" customWidth="1"/>
    <col min="7941" max="7961" width="10" style="11" customWidth="1"/>
    <col min="7962" max="8193" width="10.28515625" style="11" customWidth="1"/>
    <col min="8194" max="8194" width="4" style="11" customWidth="1"/>
    <col min="8195" max="8195" width="10" style="11" customWidth="1"/>
    <col min="8196" max="8196" width="30" style="11" customWidth="1"/>
    <col min="8197" max="8217" width="10" style="11" customWidth="1"/>
    <col min="8218" max="8449" width="10.28515625" style="11" customWidth="1"/>
    <col min="8450" max="8450" width="4" style="11" customWidth="1"/>
    <col min="8451" max="8451" width="10" style="11" customWidth="1"/>
    <col min="8452" max="8452" width="30" style="11" customWidth="1"/>
    <col min="8453" max="8473" width="10" style="11" customWidth="1"/>
    <col min="8474" max="8705" width="10.28515625" style="11" customWidth="1"/>
    <col min="8706" max="8706" width="4" style="11" customWidth="1"/>
    <col min="8707" max="8707" width="10" style="11" customWidth="1"/>
    <col min="8708" max="8708" width="30" style="11" customWidth="1"/>
    <col min="8709" max="8729" width="10" style="11" customWidth="1"/>
    <col min="8730" max="8961" width="10.28515625" style="11" customWidth="1"/>
    <col min="8962" max="8962" width="4" style="11" customWidth="1"/>
    <col min="8963" max="8963" width="10" style="11" customWidth="1"/>
    <col min="8964" max="8964" width="30" style="11" customWidth="1"/>
    <col min="8965" max="8985" width="10" style="11" customWidth="1"/>
    <col min="8986" max="9217" width="10.28515625" style="11" customWidth="1"/>
    <col min="9218" max="9218" width="4" style="11" customWidth="1"/>
    <col min="9219" max="9219" width="10" style="11" customWidth="1"/>
    <col min="9220" max="9220" width="30" style="11" customWidth="1"/>
    <col min="9221" max="9241" width="10" style="11" customWidth="1"/>
    <col min="9242" max="9473" width="10.28515625" style="11" customWidth="1"/>
    <col min="9474" max="9474" width="4" style="11" customWidth="1"/>
    <col min="9475" max="9475" width="10" style="11" customWidth="1"/>
    <col min="9476" max="9476" width="30" style="11" customWidth="1"/>
    <col min="9477" max="9497" width="10" style="11" customWidth="1"/>
    <col min="9498" max="9729" width="10.28515625" style="11" customWidth="1"/>
    <col min="9730" max="9730" width="4" style="11" customWidth="1"/>
    <col min="9731" max="9731" width="10" style="11" customWidth="1"/>
    <col min="9732" max="9732" width="30" style="11" customWidth="1"/>
    <col min="9733" max="9753" width="10" style="11" customWidth="1"/>
    <col min="9754" max="9985" width="10.28515625" style="11" customWidth="1"/>
    <col min="9986" max="9986" width="4" style="11" customWidth="1"/>
    <col min="9987" max="9987" width="10" style="11" customWidth="1"/>
    <col min="9988" max="9988" width="30" style="11" customWidth="1"/>
    <col min="9989" max="10009" width="10" style="11" customWidth="1"/>
    <col min="10010" max="10241" width="10.28515625" style="11" customWidth="1"/>
    <col min="10242" max="10242" width="4" style="11" customWidth="1"/>
    <col min="10243" max="10243" width="10" style="11" customWidth="1"/>
    <col min="10244" max="10244" width="30" style="11" customWidth="1"/>
    <col min="10245" max="10265" width="10" style="11" customWidth="1"/>
    <col min="10266" max="10497" width="10.28515625" style="11" customWidth="1"/>
    <col min="10498" max="10498" width="4" style="11" customWidth="1"/>
    <col min="10499" max="10499" width="10" style="11" customWidth="1"/>
    <col min="10500" max="10500" width="30" style="11" customWidth="1"/>
    <col min="10501" max="10521" width="10" style="11" customWidth="1"/>
    <col min="10522" max="10753" width="10.28515625" style="11" customWidth="1"/>
    <col min="10754" max="10754" width="4" style="11" customWidth="1"/>
    <col min="10755" max="10755" width="10" style="11" customWidth="1"/>
    <col min="10756" max="10756" width="30" style="11" customWidth="1"/>
    <col min="10757" max="10777" width="10" style="11" customWidth="1"/>
    <col min="10778" max="11009" width="10.28515625" style="11" customWidth="1"/>
    <col min="11010" max="11010" width="4" style="11" customWidth="1"/>
    <col min="11011" max="11011" width="10" style="11" customWidth="1"/>
    <col min="11012" max="11012" width="30" style="11" customWidth="1"/>
    <col min="11013" max="11033" width="10" style="11" customWidth="1"/>
    <col min="11034" max="11265" width="10.28515625" style="11" customWidth="1"/>
    <col min="11266" max="11266" width="4" style="11" customWidth="1"/>
    <col min="11267" max="11267" width="10" style="11" customWidth="1"/>
    <col min="11268" max="11268" width="30" style="11" customWidth="1"/>
    <col min="11269" max="11289" width="10" style="11" customWidth="1"/>
    <col min="11290" max="11521" width="10.28515625" style="11" customWidth="1"/>
    <col min="11522" max="11522" width="4" style="11" customWidth="1"/>
    <col min="11523" max="11523" width="10" style="11" customWidth="1"/>
    <col min="11524" max="11524" width="30" style="11" customWidth="1"/>
    <col min="11525" max="11545" width="10" style="11" customWidth="1"/>
    <col min="11546" max="11777" width="10.28515625" style="11" customWidth="1"/>
    <col min="11778" max="11778" width="4" style="11" customWidth="1"/>
    <col min="11779" max="11779" width="10" style="11" customWidth="1"/>
    <col min="11780" max="11780" width="30" style="11" customWidth="1"/>
    <col min="11781" max="11801" width="10" style="11" customWidth="1"/>
    <col min="11802" max="12033" width="10.28515625" style="11" customWidth="1"/>
    <col min="12034" max="12034" width="4" style="11" customWidth="1"/>
    <col min="12035" max="12035" width="10" style="11" customWidth="1"/>
    <col min="12036" max="12036" width="30" style="11" customWidth="1"/>
    <col min="12037" max="12057" width="10" style="11" customWidth="1"/>
    <col min="12058" max="12289" width="10.28515625" style="11" customWidth="1"/>
    <col min="12290" max="12290" width="4" style="11" customWidth="1"/>
    <col min="12291" max="12291" width="10" style="11" customWidth="1"/>
    <col min="12292" max="12292" width="30" style="11" customWidth="1"/>
    <col min="12293" max="12313" width="10" style="11" customWidth="1"/>
    <col min="12314" max="12545" width="10.28515625" style="11" customWidth="1"/>
    <col min="12546" max="12546" width="4" style="11" customWidth="1"/>
    <col min="12547" max="12547" width="10" style="11" customWidth="1"/>
    <col min="12548" max="12548" width="30" style="11" customWidth="1"/>
    <col min="12549" max="12569" width="10" style="11" customWidth="1"/>
    <col min="12570" max="12801" width="10.28515625" style="11" customWidth="1"/>
    <col min="12802" max="12802" width="4" style="11" customWidth="1"/>
    <col min="12803" max="12803" width="10" style="11" customWidth="1"/>
    <col min="12804" max="12804" width="30" style="11" customWidth="1"/>
    <col min="12805" max="12825" width="10" style="11" customWidth="1"/>
    <col min="12826" max="13057" width="10.28515625" style="11" customWidth="1"/>
    <col min="13058" max="13058" width="4" style="11" customWidth="1"/>
    <col min="13059" max="13059" width="10" style="11" customWidth="1"/>
    <col min="13060" max="13060" width="30" style="11" customWidth="1"/>
    <col min="13061" max="13081" width="10" style="11" customWidth="1"/>
    <col min="13082" max="13313" width="10.28515625" style="11" customWidth="1"/>
    <col min="13314" max="13314" width="4" style="11" customWidth="1"/>
    <col min="13315" max="13315" width="10" style="11" customWidth="1"/>
    <col min="13316" max="13316" width="30" style="11" customWidth="1"/>
    <col min="13317" max="13337" width="10" style="11" customWidth="1"/>
    <col min="13338" max="13569" width="10.28515625" style="11" customWidth="1"/>
    <col min="13570" max="13570" width="4" style="11" customWidth="1"/>
    <col min="13571" max="13571" width="10" style="11" customWidth="1"/>
    <col min="13572" max="13572" width="30" style="11" customWidth="1"/>
    <col min="13573" max="13593" width="10" style="11" customWidth="1"/>
    <col min="13594" max="13825" width="10.28515625" style="11" customWidth="1"/>
    <col min="13826" max="13826" width="4" style="11" customWidth="1"/>
    <col min="13827" max="13827" width="10" style="11" customWidth="1"/>
    <col min="13828" max="13828" width="30" style="11" customWidth="1"/>
    <col min="13829" max="13849" width="10" style="11" customWidth="1"/>
    <col min="13850" max="14081" width="10.28515625" style="11" customWidth="1"/>
    <col min="14082" max="14082" width="4" style="11" customWidth="1"/>
    <col min="14083" max="14083" width="10" style="11" customWidth="1"/>
    <col min="14084" max="14084" width="30" style="11" customWidth="1"/>
    <col min="14085" max="14105" width="10" style="11" customWidth="1"/>
    <col min="14106" max="14337" width="10.28515625" style="11" customWidth="1"/>
    <col min="14338" max="14338" width="4" style="11" customWidth="1"/>
    <col min="14339" max="14339" width="10" style="11" customWidth="1"/>
    <col min="14340" max="14340" width="30" style="11" customWidth="1"/>
    <col min="14341" max="14361" width="10" style="11" customWidth="1"/>
    <col min="14362" max="14593" width="10.28515625" style="11" customWidth="1"/>
    <col min="14594" max="14594" width="4" style="11" customWidth="1"/>
    <col min="14595" max="14595" width="10" style="11" customWidth="1"/>
    <col min="14596" max="14596" width="30" style="11" customWidth="1"/>
    <col min="14597" max="14617" width="10" style="11" customWidth="1"/>
    <col min="14618" max="14849" width="10.28515625" style="11" customWidth="1"/>
    <col min="14850" max="14850" width="4" style="11" customWidth="1"/>
    <col min="14851" max="14851" width="10" style="11" customWidth="1"/>
    <col min="14852" max="14852" width="30" style="11" customWidth="1"/>
    <col min="14853" max="14873" width="10" style="11" customWidth="1"/>
    <col min="14874" max="15105" width="10.28515625" style="11" customWidth="1"/>
    <col min="15106" max="15106" width="4" style="11" customWidth="1"/>
    <col min="15107" max="15107" width="10" style="11" customWidth="1"/>
    <col min="15108" max="15108" width="30" style="11" customWidth="1"/>
    <col min="15109" max="15129" width="10" style="11" customWidth="1"/>
    <col min="15130" max="15361" width="10.28515625" style="11" customWidth="1"/>
    <col min="15362" max="15362" width="4" style="11" customWidth="1"/>
    <col min="15363" max="15363" width="10" style="11" customWidth="1"/>
    <col min="15364" max="15364" width="30" style="11" customWidth="1"/>
    <col min="15365" max="15385" width="10" style="11" customWidth="1"/>
    <col min="15386" max="15617" width="10.28515625" style="11" customWidth="1"/>
    <col min="15618" max="15618" width="4" style="11" customWidth="1"/>
    <col min="15619" max="15619" width="10" style="11" customWidth="1"/>
    <col min="15620" max="15620" width="30" style="11" customWidth="1"/>
    <col min="15621" max="15641" width="10" style="11" customWidth="1"/>
    <col min="15642" max="15873" width="10.28515625" style="11" customWidth="1"/>
    <col min="15874" max="15874" width="4" style="11" customWidth="1"/>
    <col min="15875" max="15875" width="10" style="11" customWidth="1"/>
    <col min="15876" max="15876" width="30" style="11" customWidth="1"/>
    <col min="15877" max="15897" width="10" style="11" customWidth="1"/>
    <col min="15898" max="16129" width="10.28515625" style="11" customWidth="1"/>
    <col min="16130" max="16130" width="4" style="11" customWidth="1"/>
    <col min="16131" max="16131" width="10" style="11" customWidth="1"/>
    <col min="16132" max="16132" width="30" style="11" customWidth="1"/>
    <col min="16133" max="16153" width="10" style="11" customWidth="1"/>
    <col min="16154" max="16384" width="10.28515625" style="11" customWidth="1"/>
  </cols>
  <sheetData>
    <row r="1" spans="1:36" x14ac:dyDescent="0.2">
      <c r="A1" s="11" t="s">
        <v>0</v>
      </c>
      <c r="B1" s="11" t="s">
        <v>379</v>
      </c>
      <c r="C1" s="11" t="s">
        <v>378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1990</v>
      </c>
      <c r="M1" s="6">
        <v>1996</v>
      </c>
      <c r="N1" s="6">
        <v>1999</v>
      </c>
      <c r="O1" s="6">
        <v>2000</v>
      </c>
      <c r="P1" s="6">
        <v>2001</v>
      </c>
      <c r="Q1" s="6">
        <v>2002</v>
      </c>
      <c r="R1" s="6">
        <v>2003</v>
      </c>
      <c r="S1" s="6">
        <v>2004</v>
      </c>
      <c r="T1" s="6">
        <v>2005</v>
      </c>
      <c r="U1" s="6">
        <v>2006</v>
      </c>
      <c r="V1" s="6">
        <v>2007</v>
      </c>
      <c r="W1" s="6">
        <v>2008</v>
      </c>
      <c r="X1" s="6">
        <v>2009</v>
      </c>
      <c r="Y1" s="6">
        <v>2010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ht="15" x14ac:dyDescent="0.25">
      <c r="A2" s="11" t="s">
        <v>23</v>
      </c>
      <c r="B2" s="11" t="s">
        <v>24</v>
      </c>
      <c r="C2" s="11" t="s">
        <v>25</v>
      </c>
      <c r="D2" s="12">
        <v>40699.415858188302</v>
      </c>
      <c r="E2" s="12">
        <v>54892.896768831197</v>
      </c>
      <c r="F2" s="12">
        <v>47695.574780749601</v>
      </c>
      <c r="G2" s="12">
        <v>82840.149272106995</v>
      </c>
      <c r="H2" s="12">
        <v>219888.26320706389</v>
      </c>
      <c r="I2" s="12">
        <v>223279.1083372758</v>
      </c>
      <c r="J2" s="28">
        <v>340888.58864891459</v>
      </c>
      <c r="K2" s="31">
        <v>441824.20056579227</v>
      </c>
      <c r="L2" s="8">
        <f t="shared" ref="L2:L66" si="0">K2+5*(M2-K2)/11</f>
        <v>496384.62756462407</v>
      </c>
      <c r="M2" s="28">
        <v>561857.1399632222</v>
      </c>
      <c r="N2" s="28">
        <v>905204.31496775348</v>
      </c>
      <c r="O2" s="12">
        <v>969460.39724453725</v>
      </c>
      <c r="P2" s="12">
        <v>1003171.1697816906</v>
      </c>
      <c r="Q2" s="12">
        <v>1051514.3825088402</v>
      </c>
      <c r="R2" s="12">
        <v>1058737.8932089116</v>
      </c>
      <c r="S2" s="12">
        <v>1171925.5840499112</v>
      </c>
      <c r="T2" s="12">
        <v>1282620.5892165704</v>
      </c>
      <c r="U2" s="12">
        <v>1275141.9917939638</v>
      </c>
      <c r="V2" s="12">
        <v>1450310.5350447921</v>
      </c>
      <c r="W2" s="12">
        <v>1620976.0796804605</v>
      </c>
      <c r="X2" s="12">
        <v>1793734.5180890022</v>
      </c>
      <c r="Y2" s="12">
        <v>1997411.544</v>
      </c>
    </row>
    <row r="3" spans="1:36" ht="15" x14ac:dyDescent="0.25">
      <c r="A3" s="11" t="s">
        <v>23</v>
      </c>
      <c r="B3" s="11" t="s">
        <v>26</v>
      </c>
      <c r="C3" s="11" t="s">
        <v>27</v>
      </c>
      <c r="D3" s="12">
        <v>82435.120175284392</v>
      </c>
      <c r="E3" s="12">
        <v>139252.49602124293</v>
      </c>
      <c r="F3" s="12">
        <v>194818.67212715471</v>
      </c>
      <c r="G3" s="12">
        <v>204274.04424119889</v>
      </c>
      <c r="H3" s="12">
        <v>680432.97708114563</v>
      </c>
      <c r="I3" s="12">
        <v>693531.33503124642</v>
      </c>
      <c r="J3" s="12">
        <v>1687719.3764388873</v>
      </c>
      <c r="K3" s="12">
        <v>2302500.97283267</v>
      </c>
      <c r="L3" s="8">
        <f t="shared" si="0"/>
        <v>2847763.6088299374</v>
      </c>
      <c r="M3" s="12">
        <v>3502078.7720266585</v>
      </c>
      <c r="N3" s="12">
        <v>3544642.2670973749</v>
      </c>
      <c r="O3" s="12">
        <v>3893731.3126492957</v>
      </c>
      <c r="P3" s="12">
        <v>4159743.9319264577</v>
      </c>
      <c r="Q3" s="12">
        <v>4397814.03988495</v>
      </c>
      <c r="R3" s="12">
        <v>4444082.4301919639</v>
      </c>
      <c r="S3" s="12">
        <v>4917122.7792106466</v>
      </c>
      <c r="T3" s="12">
        <v>5165733.2079899264</v>
      </c>
      <c r="U3" s="12">
        <v>5125371.6021959595</v>
      </c>
      <c r="V3" s="12">
        <v>5840580.3669341253</v>
      </c>
      <c r="W3" s="12">
        <v>6209697.2102421541</v>
      </c>
      <c r="X3" s="12">
        <v>6214886.2829155587</v>
      </c>
      <c r="Y3" s="12">
        <v>6479103.1670000004</v>
      </c>
    </row>
    <row r="4" spans="1:36" ht="15" x14ac:dyDescent="0.25">
      <c r="A4" s="11" t="s">
        <v>28</v>
      </c>
      <c r="B4" s="11" t="s">
        <v>29</v>
      </c>
      <c r="C4" s="11" t="s">
        <v>30</v>
      </c>
      <c r="D4" s="12">
        <v>28429.373362680297</v>
      </c>
      <c r="E4" s="12">
        <v>57704.7108086558</v>
      </c>
      <c r="F4" s="12">
        <v>169035.97260832269</v>
      </c>
      <c r="G4" s="12">
        <v>246598.4843042616</v>
      </c>
      <c r="H4" s="12">
        <v>541463.91220681684</v>
      </c>
      <c r="I4" s="12">
        <v>718074.24931159778</v>
      </c>
      <c r="J4" s="12">
        <v>712389.66778746154</v>
      </c>
      <c r="K4" s="12">
        <v>982653.38894980797</v>
      </c>
      <c r="L4" s="8">
        <f t="shared" si="0"/>
        <v>915262.52166085027</v>
      </c>
      <c r="M4" s="12">
        <v>834393.480914101</v>
      </c>
      <c r="N4" s="12">
        <v>1339431.350699479</v>
      </c>
      <c r="O4" s="12">
        <v>1451147.0879844986</v>
      </c>
      <c r="P4" s="12">
        <v>1461162.665295349</v>
      </c>
      <c r="Q4" s="12">
        <v>1486515.114219334</v>
      </c>
      <c r="R4" s="12">
        <v>1390536.8203126539</v>
      </c>
      <c r="S4" s="12">
        <v>1508213.3220832588</v>
      </c>
      <c r="T4" s="12">
        <v>1557794.9161127782</v>
      </c>
      <c r="U4" s="12">
        <v>1593746.6276035057</v>
      </c>
      <c r="V4" s="12">
        <v>1763328.4091041097</v>
      </c>
      <c r="W4" s="12">
        <v>1736586.407617928</v>
      </c>
      <c r="X4" s="12">
        <v>1705831.9803475507</v>
      </c>
      <c r="Y4" s="12">
        <v>1779274.9279999998</v>
      </c>
    </row>
    <row r="5" spans="1:36" ht="15" x14ac:dyDescent="0.25">
      <c r="A5" s="11" t="s">
        <v>28</v>
      </c>
      <c r="B5" s="11" t="s">
        <v>31</v>
      </c>
      <c r="C5" s="11" t="s">
        <v>32</v>
      </c>
      <c r="D5" s="12">
        <v>33431.3250703265</v>
      </c>
      <c r="E5" s="12">
        <v>67664.067350419209</v>
      </c>
      <c r="F5" s="12">
        <v>185222.12439405429</v>
      </c>
      <c r="G5" s="12">
        <v>397077.14945597935</v>
      </c>
      <c r="H5" s="12">
        <v>646243.10003278905</v>
      </c>
      <c r="I5" s="12">
        <v>1067919.563869328</v>
      </c>
      <c r="J5" s="12">
        <v>1516991.2244541156</v>
      </c>
      <c r="K5" s="12">
        <v>1737558.8851667764</v>
      </c>
      <c r="L5" s="8">
        <f t="shared" si="0"/>
        <v>1632002.4021030213</v>
      </c>
      <c r="M5" s="12">
        <v>1505334.622426515</v>
      </c>
      <c r="N5" s="12">
        <v>2387781.9035391319</v>
      </c>
      <c r="O5" s="12">
        <v>2504868.3299855338</v>
      </c>
      <c r="P5" s="12">
        <v>2488860.0110397222</v>
      </c>
      <c r="Q5" s="12">
        <v>2561034.9793671481</v>
      </c>
      <c r="R5" s="12">
        <v>2390008.1859959536</v>
      </c>
      <c r="S5" s="12">
        <v>2526080.0436033187</v>
      </c>
      <c r="T5" s="12">
        <v>2679875.2535517914</v>
      </c>
      <c r="U5" s="12">
        <v>2805215.7044914844</v>
      </c>
      <c r="V5" s="12">
        <v>3161488.7277660207</v>
      </c>
      <c r="W5" s="12">
        <v>3221211.3509378624</v>
      </c>
      <c r="X5" s="12">
        <v>3406374.1497369269</v>
      </c>
      <c r="Y5" s="12">
        <v>3566230.7630000003</v>
      </c>
    </row>
    <row r="6" spans="1:36" ht="15" x14ac:dyDescent="0.25">
      <c r="A6" s="11" t="s">
        <v>28</v>
      </c>
      <c r="B6" s="11" t="s">
        <v>33</v>
      </c>
      <c r="C6" s="11" t="s">
        <v>34</v>
      </c>
      <c r="D6" s="12">
        <v>331813.18416526739</v>
      </c>
      <c r="E6" s="12">
        <v>788823.24476730567</v>
      </c>
      <c r="F6" s="12">
        <v>1251052.1911278081</v>
      </c>
      <c r="G6" s="12">
        <v>1933483.2040650828</v>
      </c>
      <c r="H6" s="12">
        <v>3589215.2220620131</v>
      </c>
      <c r="I6" s="12">
        <v>5756616.2424629666</v>
      </c>
      <c r="J6" s="12">
        <v>9313538.3069210127</v>
      </c>
      <c r="K6" s="12">
        <v>11335025.827852987</v>
      </c>
      <c r="L6" s="8">
        <f t="shared" si="0"/>
        <v>12285764.688645002</v>
      </c>
      <c r="M6" s="12">
        <v>13426651.321595417</v>
      </c>
      <c r="N6" s="12">
        <v>12806052.312397223</v>
      </c>
      <c r="O6" s="12">
        <v>13581565.559705071</v>
      </c>
      <c r="P6" s="12">
        <v>13755260.91505388</v>
      </c>
      <c r="Q6" s="12">
        <v>14593516.982510228</v>
      </c>
      <c r="R6" s="12">
        <v>14884570.578381723</v>
      </c>
      <c r="S6" s="12">
        <v>15885672.16884812</v>
      </c>
      <c r="T6" s="12">
        <v>16100750.334491674</v>
      </c>
      <c r="U6" s="12">
        <v>16449733.043292571</v>
      </c>
      <c r="V6" s="12">
        <v>17595528.557512786</v>
      </c>
      <c r="W6" s="12">
        <v>17704086.765747931</v>
      </c>
      <c r="X6" s="12">
        <v>17911436.241296031</v>
      </c>
      <c r="Y6" s="12">
        <v>19229302.321000006</v>
      </c>
    </row>
    <row r="7" spans="1:36" ht="15" x14ac:dyDescent="0.25">
      <c r="A7" s="11" t="s">
        <v>35</v>
      </c>
      <c r="B7" s="11" t="s">
        <v>36</v>
      </c>
      <c r="C7" s="11" t="s">
        <v>37</v>
      </c>
      <c r="D7" s="12">
        <v>8459.7638835745001</v>
      </c>
      <c r="E7" s="12">
        <v>14659.356126682898</v>
      </c>
      <c r="F7" s="12">
        <v>5381.3051696325001</v>
      </c>
      <c r="G7" s="12">
        <v>26160.7901318611</v>
      </c>
      <c r="H7" s="12">
        <v>119969.72987603011</v>
      </c>
      <c r="I7" s="12">
        <v>133953.36444826529</v>
      </c>
      <c r="J7" s="12">
        <v>166472.8828089014</v>
      </c>
      <c r="K7" s="12">
        <v>262360.8403902062</v>
      </c>
      <c r="L7" s="8">
        <f t="shared" si="0"/>
        <v>308254.52985533408</v>
      </c>
      <c r="M7" s="12">
        <v>363326.95721348759</v>
      </c>
      <c r="N7" s="12">
        <v>353775.12333265494</v>
      </c>
      <c r="O7" s="12">
        <v>327868.35311839398</v>
      </c>
      <c r="P7" s="12">
        <v>326102.82182493946</v>
      </c>
      <c r="Q7" s="12">
        <v>485360.6482368618</v>
      </c>
      <c r="R7" s="12">
        <v>426367.41731605318</v>
      </c>
      <c r="S7" s="12">
        <v>430759.93911419128</v>
      </c>
      <c r="T7" s="12">
        <v>409186.60371510789</v>
      </c>
      <c r="U7" s="12">
        <v>487492.62854418845</v>
      </c>
      <c r="V7" s="12">
        <v>521582.10351926542</v>
      </c>
      <c r="W7" s="12">
        <v>572220.23677415785</v>
      </c>
      <c r="X7" s="12">
        <v>578150.12671138893</v>
      </c>
      <c r="Y7" s="12">
        <v>542659.02600000007</v>
      </c>
    </row>
    <row r="8" spans="1:36" ht="15" x14ac:dyDescent="0.25">
      <c r="A8" s="11" t="s">
        <v>35</v>
      </c>
      <c r="B8" s="11" t="s">
        <v>38</v>
      </c>
      <c r="C8" s="11" t="s">
        <v>39</v>
      </c>
      <c r="D8" s="12">
        <v>48129.8851063088</v>
      </c>
      <c r="E8" s="12">
        <v>48603.021199995201</v>
      </c>
      <c r="F8" s="12">
        <v>17022.0254157204</v>
      </c>
      <c r="G8" s="12">
        <v>54812.7021367415</v>
      </c>
      <c r="H8" s="12">
        <v>266781.16488993767</v>
      </c>
      <c r="I8" s="12">
        <v>619755.54182252707</v>
      </c>
      <c r="J8" s="12">
        <v>579364.69379185536</v>
      </c>
      <c r="K8" s="12">
        <v>1413427.6247587369</v>
      </c>
      <c r="L8" s="8">
        <f t="shared" si="0"/>
        <v>1144496.9761032586</v>
      </c>
      <c r="M8" s="12">
        <v>821780.19771668466</v>
      </c>
      <c r="N8" s="12">
        <v>1224473.8262802293</v>
      </c>
      <c r="O8" s="12">
        <v>1089153.8771813742</v>
      </c>
      <c r="P8" s="12">
        <v>1150687.9510292076</v>
      </c>
      <c r="Q8" s="12">
        <v>1466709.0941467287</v>
      </c>
      <c r="R8" s="12">
        <v>1361082.2474464057</v>
      </c>
      <c r="S8" s="12">
        <v>1318665.3210046464</v>
      </c>
      <c r="T8" s="12">
        <v>1248777.5455675183</v>
      </c>
      <c r="U8" s="12">
        <v>1475316.1783168579</v>
      </c>
      <c r="V8" s="12">
        <v>1472312.1173450872</v>
      </c>
      <c r="W8" s="12">
        <v>1528652.4166026809</v>
      </c>
      <c r="X8" s="12">
        <v>1522617.9467478956</v>
      </c>
      <c r="Y8" s="12">
        <v>1614976.1459999999</v>
      </c>
    </row>
    <row r="9" spans="1:36" ht="15" x14ac:dyDescent="0.25">
      <c r="A9" s="11" t="s">
        <v>35</v>
      </c>
      <c r="B9" s="11" t="s">
        <v>40</v>
      </c>
      <c r="C9" s="11" t="s">
        <v>41</v>
      </c>
      <c r="D9" s="12">
        <v>142897.4802609371</v>
      </c>
      <c r="E9" s="12">
        <v>663489.23024269147</v>
      </c>
      <c r="F9" s="12">
        <v>856641.19131047616</v>
      </c>
      <c r="G9" s="12">
        <v>2029828.2927939247</v>
      </c>
      <c r="H9" s="12">
        <v>4156205.4780362598</v>
      </c>
      <c r="I9" s="12">
        <v>7809074.6181091629</v>
      </c>
      <c r="J9" s="12">
        <v>17703692.501687873</v>
      </c>
      <c r="K9" s="12">
        <v>22810480.638623323</v>
      </c>
      <c r="L9" s="8">
        <f t="shared" si="0"/>
        <v>25089080.418177284</v>
      </c>
      <c r="M9" s="12">
        <v>27823400.15364204</v>
      </c>
      <c r="N9" s="12">
        <v>30734053.994955912</v>
      </c>
      <c r="O9" s="12">
        <v>35540861.83396554</v>
      </c>
      <c r="P9" s="12">
        <v>35298657.253396228</v>
      </c>
      <c r="Q9" s="12">
        <v>38305369.576229401</v>
      </c>
      <c r="R9" s="12">
        <v>38662539.101385593</v>
      </c>
      <c r="S9" s="12">
        <v>44017659.2111945</v>
      </c>
      <c r="T9" s="12">
        <v>45019575.651029944</v>
      </c>
      <c r="U9" s="12">
        <v>48432515.879594646</v>
      </c>
      <c r="V9" s="12">
        <v>49848827.938310921</v>
      </c>
      <c r="W9" s="12">
        <v>50695707.553087048</v>
      </c>
      <c r="X9" s="12">
        <v>49991477.593054824</v>
      </c>
      <c r="Y9" s="12">
        <v>55853687.429000005</v>
      </c>
    </row>
    <row r="10" spans="1:36" ht="15" x14ac:dyDescent="0.25">
      <c r="A10" s="11" t="s">
        <v>35</v>
      </c>
      <c r="B10" s="11" t="s">
        <v>42</v>
      </c>
      <c r="C10" s="11" t="s">
        <v>43</v>
      </c>
      <c r="D10" s="12">
        <v>89986.521644002598</v>
      </c>
      <c r="E10" s="12">
        <v>126362.9952946776</v>
      </c>
      <c r="F10" s="12">
        <v>52026.197212830797</v>
      </c>
      <c r="G10" s="12">
        <v>75418.313621448397</v>
      </c>
      <c r="H10" s="12">
        <v>290663.36394570902</v>
      </c>
      <c r="I10" s="12">
        <v>343186.88885939168</v>
      </c>
      <c r="J10" s="12">
        <v>926265.8833377643</v>
      </c>
      <c r="K10" s="12">
        <v>1036425.0695406996</v>
      </c>
      <c r="L10" s="8">
        <f t="shared" si="0"/>
        <v>878366.08784184931</v>
      </c>
      <c r="M10" s="12">
        <v>688695.30980322883</v>
      </c>
      <c r="N10" s="12">
        <v>906234.92756595078</v>
      </c>
      <c r="O10" s="12">
        <v>853867.63126592326</v>
      </c>
      <c r="P10" s="12">
        <v>875534.37661541742</v>
      </c>
      <c r="Q10" s="12">
        <v>1140228.629579863</v>
      </c>
      <c r="R10" s="12">
        <v>1139851.9044456978</v>
      </c>
      <c r="S10" s="12">
        <v>1077337.5519601586</v>
      </c>
      <c r="T10" s="12">
        <v>1297083.4576431497</v>
      </c>
      <c r="U10" s="12">
        <v>1444172.6060561773</v>
      </c>
      <c r="V10" s="12">
        <v>1344786.9060419039</v>
      </c>
      <c r="W10" s="12">
        <v>1682817.7227607949</v>
      </c>
      <c r="X10" s="12">
        <v>1701181.0680055562</v>
      </c>
      <c r="Y10" s="12">
        <v>1767969.2309999999</v>
      </c>
    </row>
    <row r="11" spans="1:36" ht="15" x14ac:dyDescent="0.25">
      <c r="A11" s="11" t="s">
        <v>44</v>
      </c>
      <c r="B11" s="11" t="s">
        <v>45</v>
      </c>
      <c r="C11" s="11" t="s">
        <v>46</v>
      </c>
      <c r="D11" s="12">
        <v>2612.4544996232999</v>
      </c>
      <c r="E11" s="12">
        <v>4750.7625888992998</v>
      </c>
      <c r="F11" s="12">
        <v>3179.3960785147997</v>
      </c>
      <c r="G11" s="12">
        <v>9058.5764603546995</v>
      </c>
      <c r="H11" s="12">
        <v>53334.674193873798</v>
      </c>
      <c r="I11" s="12">
        <v>54561.8852246241</v>
      </c>
      <c r="J11" s="12">
        <v>63366.594651911801</v>
      </c>
      <c r="K11" s="12">
        <v>117537.948636913</v>
      </c>
      <c r="L11" s="8">
        <f t="shared" si="0"/>
        <v>139154.52305795855</v>
      </c>
      <c r="M11" s="12">
        <v>165094.4123632132</v>
      </c>
      <c r="N11" s="12">
        <v>272756.11331360607</v>
      </c>
      <c r="O11" s="12">
        <v>298941.35090508667</v>
      </c>
      <c r="P11" s="12">
        <v>359769.80897382298</v>
      </c>
      <c r="Q11" s="12">
        <v>386975.21710792131</v>
      </c>
      <c r="R11" s="12">
        <v>364805.16855216329</v>
      </c>
      <c r="S11" s="12">
        <v>422093.77814950538</v>
      </c>
      <c r="T11" s="12">
        <v>460442.38491131511</v>
      </c>
      <c r="U11" s="12">
        <v>513111.15464283375</v>
      </c>
      <c r="V11" s="12">
        <v>589728.70254351618</v>
      </c>
      <c r="W11" s="12">
        <v>589714.90161687485</v>
      </c>
      <c r="X11" s="12">
        <v>615563.05898235308</v>
      </c>
      <c r="Y11" s="12">
        <v>600983.58799999999</v>
      </c>
    </row>
    <row r="12" spans="1:36" ht="15" x14ac:dyDescent="0.25">
      <c r="A12" s="11" t="s">
        <v>44</v>
      </c>
      <c r="B12" s="11" t="s">
        <v>47</v>
      </c>
      <c r="C12" s="11" t="s">
        <v>48</v>
      </c>
      <c r="D12" s="12">
        <v>11445.742958303999</v>
      </c>
      <c r="E12" s="12">
        <v>17065.064692058499</v>
      </c>
      <c r="F12" s="12">
        <v>67887.134557585596</v>
      </c>
      <c r="G12" s="12">
        <v>625858.5887395856</v>
      </c>
      <c r="H12" s="12">
        <v>733268.52044051024</v>
      </c>
      <c r="I12" s="12">
        <v>655439.30583231943</v>
      </c>
      <c r="J12" s="12">
        <v>1354967.4756770316</v>
      </c>
      <c r="K12" s="12">
        <v>2040135.7567122108</v>
      </c>
      <c r="L12" s="8">
        <f t="shared" si="0"/>
        <v>2539566.1712546889</v>
      </c>
      <c r="M12" s="12">
        <v>3138882.6687056627</v>
      </c>
      <c r="N12" s="12">
        <v>4801138.9141786154</v>
      </c>
      <c r="O12" s="12">
        <v>5021951.1517949691</v>
      </c>
      <c r="P12" s="12">
        <v>5484719.2482663179</v>
      </c>
      <c r="Q12" s="12">
        <v>5866102.8657411132</v>
      </c>
      <c r="R12" s="12">
        <v>5353374.5832957169</v>
      </c>
      <c r="S12" s="12">
        <v>5521401.8841995951</v>
      </c>
      <c r="T12" s="12">
        <v>5812906.2063714992</v>
      </c>
      <c r="U12" s="12">
        <v>6450581.5703939693</v>
      </c>
      <c r="V12" s="12">
        <v>7032299.9484565714</v>
      </c>
      <c r="W12" s="12">
        <v>7281362.769646056</v>
      </c>
      <c r="X12" s="12">
        <v>7412522.8354136907</v>
      </c>
      <c r="Y12" s="12">
        <v>7664981.0750000002</v>
      </c>
    </row>
    <row r="13" spans="1:36" ht="15" x14ac:dyDescent="0.25">
      <c r="A13" s="11" t="s">
        <v>49</v>
      </c>
      <c r="B13" s="11" t="s">
        <v>50</v>
      </c>
      <c r="C13" s="11" t="s">
        <v>51</v>
      </c>
      <c r="D13" s="12">
        <v>39854.175455926401</v>
      </c>
      <c r="E13" s="12">
        <v>90996.168558913909</v>
      </c>
      <c r="F13" s="12">
        <v>129873.0010693044</v>
      </c>
      <c r="G13" s="12">
        <v>188910.2000337686</v>
      </c>
      <c r="H13" s="12">
        <v>316059.08605569758</v>
      </c>
      <c r="I13" s="12">
        <v>485853.56358708558</v>
      </c>
      <c r="J13" s="12">
        <v>799872.93697113707</v>
      </c>
      <c r="K13" s="12">
        <v>945636.06020648195</v>
      </c>
      <c r="L13" s="8">
        <f t="shared" si="0"/>
        <v>1513372.3821484048</v>
      </c>
      <c r="M13" s="12">
        <v>2194655.9684787123</v>
      </c>
      <c r="N13" s="12">
        <v>3871101.7211361825</v>
      </c>
      <c r="O13" s="12">
        <v>4444900.061270996</v>
      </c>
      <c r="P13" s="12">
        <v>4857003.3234808911</v>
      </c>
      <c r="Q13" s="12">
        <v>5260374.8848666102</v>
      </c>
      <c r="R13" s="12">
        <v>5897732.8362042755</v>
      </c>
      <c r="S13" s="12">
        <v>7536757.7837319532</v>
      </c>
      <c r="T13" s="12">
        <v>6851466.392900683</v>
      </c>
      <c r="U13" s="12">
        <v>5451453.1043013865</v>
      </c>
      <c r="V13" s="12">
        <v>6804735.6505812872</v>
      </c>
      <c r="W13" s="12">
        <v>7791274.1751897838</v>
      </c>
      <c r="X13" s="12">
        <v>8120655.0756216459</v>
      </c>
      <c r="Y13" s="12">
        <v>7740207.3760000002</v>
      </c>
    </row>
    <row r="14" spans="1:36" ht="15" x14ac:dyDescent="0.25">
      <c r="A14" s="11" t="s">
        <v>49</v>
      </c>
      <c r="B14" s="11" t="s">
        <v>52</v>
      </c>
      <c r="C14" s="11" t="s">
        <v>53</v>
      </c>
      <c r="D14" s="12">
        <v>111194.6343505219</v>
      </c>
      <c r="E14" s="12">
        <v>163708.17675282049</v>
      </c>
      <c r="F14" s="12">
        <v>276213.47363698977</v>
      </c>
      <c r="G14" s="12">
        <v>433644.7865718719</v>
      </c>
      <c r="H14" s="12">
        <v>697053.4765815537</v>
      </c>
      <c r="I14" s="12">
        <v>1226107.6727798074</v>
      </c>
      <c r="J14" s="12">
        <v>2044865.875046009</v>
      </c>
      <c r="K14" s="12">
        <v>2705397.2375794947</v>
      </c>
      <c r="L14" s="8">
        <f t="shared" si="0"/>
        <v>2588409.4768318506</v>
      </c>
      <c r="M14" s="12">
        <v>2448024.1639346774</v>
      </c>
      <c r="N14" s="12">
        <v>5117061.9878616007</v>
      </c>
      <c r="O14" s="12">
        <v>5752489.5112035666</v>
      </c>
      <c r="P14" s="12">
        <v>4907701.8057959676</v>
      </c>
      <c r="Q14" s="12">
        <v>6366598.1465487089</v>
      </c>
      <c r="R14" s="12">
        <v>6171914.8977110032</v>
      </c>
      <c r="S14" s="12">
        <v>6263683.5438148938</v>
      </c>
      <c r="T14" s="12">
        <v>6132066.482872922</v>
      </c>
      <c r="U14" s="12">
        <v>6626973.1217286885</v>
      </c>
      <c r="V14" s="12">
        <v>7662944.0691161053</v>
      </c>
      <c r="W14" s="12">
        <v>7160821.1887381487</v>
      </c>
      <c r="X14" s="12">
        <v>6783176.7154244585</v>
      </c>
      <c r="Y14" s="12">
        <v>7440784.4410000015</v>
      </c>
    </row>
    <row r="15" spans="1:36" ht="15" x14ac:dyDescent="0.25">
      <c r="A15" s="11" t="s">
        <v>49</v>
      </c>
      <c r="B15" s="11" t="s">
        <v>54</v>
      </c>
      <c r="C15" s="11" t="s">
        <v>55</v>
      </c>
      <c r="D15" s="12">
        <v>186218.04973991591</v>
      </c>
      <c r="E15" s="12">
        <v>439634.95923643064</v>
      </c>
      <c r="F15" s="12">
        <v>963602.25189472595</v>
      </c>
      <c r="G15" s="12">
        <v>1361175.1748704326</v>
      </c>
      <c r="H15" s="12">
        <v>3027353.4313060446</v>
      </c>
      <c r="I15" s="12">
        <v>4064138.4479210065</v>
      </c>
      <c r="J15" s="12">
        <v>6679406.8344336404</v>
      </c>
      <c r="K15" s="12">
        <v>7456805.1786166644</v>
      </c>
      <c r="L15" s="8">
        <f t="shared" si="0"/>
        <v>6911881.7928052153</v>
      </c>
      <c r="M15" s="12">
        <v>6257973.7298314767</v>
      </c>
      <c r="N15" s="12">
        <v>8630569.2019328699</v>
      </c>
      <c r="O15" s="12">
        <v>9181249.5330396388</v>
      </c>
      <c r="P15" s="12">
        <v>9250436.2517403085</v>
      </c>
      <c r="Q15" s="12">
        <v>10278243.350243861</v>
      </c>
      <c r="R15" s="12">
        <v>10553603.322964875</v>
      </c>
      <c r="S15" s="12">
        <v>10979817.260693127</v>
      </c>
      <c r="T15" s="12">
        <v>11905803.872921197</v>
      </c>
      <c r="U15" s="12">
        <v>12174353.359030383</v>
      </c>
      <c r="V15" s="12">
        <v>13585938.001743475</v>
      </c>
      <c r="W15" s="12">
        <v>14286224.438758748</v>
      </c>
      <c r="X15" s="12">
        <v>15639175.65665775</v>
      </c>
      <c r="Y15" s="12">
        <v>16522423.266000004</v>
      </c>
    </row>
    <row r="16" spans="1:36" ht="15" x14ac:dyDescent="0.25">
      <c r="A16" s="11" t="s">
        <v>49</v>
      </c>
      <c r="B16" s="11" t="s">
        <v>56</v>
      </c>
      <c r="C16" s="11" t="s">
        <v>57</v>
      </c>
      <c r="D16" s="12">
        <v>127458.1210391787</v>
      </c>
      <c r="E16" s="12">
        <v>283576.04318822501</v>
      </c>
      <c r="F16" s="12">
        <v>506617.87796028785</v>
      </c>
      <c r="G16" s="12">
        <v>828736.06252995098</v>
      </c>
      <c r="H16" s="12">
        <v>1240675.4400759726</v>
      </c>
      <c r="I16" s="12">
        <v>2540757.8890497247</v>
      </c>
      <c r="J16" s="12">
        <v>3228975.5229776758</v>
      </c>
      <c r="K16" s="12">
        <v>4544968.6734223152</v>
      </c>
      <c r="L16" s="8">
        <f t="shared" si="0"/>
        <v>4069511.1802887092</v>
      </c>
      <c r="M16" s="12">
        <v>3498962.1885283822</v>
      </c>
      <c r="N16" s="12">
        <v>4859476.4963800227</v>
      </c>
      <c r="O16" s="12">
        <v>5245701.030628494</v>
      </c>
      <c r="P16" s="12">
        <v>5427201.0253972905</v>
      </c>
      <c r="Q16" s="12">
        <v>6338309.1365209119</v>
      </c>
      <c r="R16" s="12">
        <v>5899105.0118487412</v>
      </c>
      <c r="S16" s="12">
        <v>6139483.0784824863</v>
      </c>
      <c r="T16" s="12">
        <v>6755404.5859406674</v>
      </c>
      <c r="U16" s="12">
        <v>6973298.4382912507</v>
      </c>
      <c r="V16" s="12">
        <v>7709869.2875999669</v>
      </c>
      <c r="W16" s="12">
        <v>7787130.0423393128</v>
      </c>
      <c r="X16" s="12">
        <v>7950525.2734124362</v>
      </c>
      <c r="Y16" s="12">
        <v>8644170.1210000012</v>
      </c>
    </row>
    <row r="17" spans="1:25" ht="15" x14ac:dyDescent="0.25">
      <c r="A17" s="11" t="s">
        <v>49</v>
      </c>
      <c r="B17" s="11" t="s">
        <v>58</v>
      </c>
      <c r="C17" s="11" t="s">
        <v>59</v>
      </c>
      <c r="D17" s="12">
        <v>621621.62910429901</v>
      </c>
      <c r="E17" s="12">
        <v>1997838.1869501073</v>
      </c>
      <c r="F17" s="12">
        <v>2696149.6314903959</v>
      </c>
      <c r="G17" s="12">
        <v>6180978.5518907104</v>
      </c>
      <c r="H17" s="12">
        <v>13732229.997401455</v>
      </c>
      <c r="I17" s="12">
        <v>24918667.29340427</v>
      </c>
      <c r="J17" s="12">
        <v>45262200.367832936</v>
      </c>
      <c r="K17" s="12">
        <v>57930646.532335453</v>
      </c>
      <c r="L17" s="8">
        <f t="shared" si="0"/>
        <v>55388598.454664461</v>
      </c>
      <c r="M17" s="12">
        <v>52338140.761459269</v>
      </c>
      <c r="N17" s="12">
        <v>56385594.316371515</v>
      </c>
      <c r="O17" s="12">
        <v>58954959.025164567</v>
      </c>
      <c r="P17" s="12">
        <v>59625069.022284754</v>
      </c>
      <c r="Q17" s="12">
        <v>62159711.67752409</v>
      </c>
      <c r="R17" s="12">
        <v>60123681.673199095</v>
      </c>
      <c r="S17" s="12">
        <v>65455006.989380226</v>
      </c>
      <c r="T17" s="12">
        <v>71747189.012169138</v>
      </c>
      <c r="U17" s="12">
        <v>69255059.988249138</v>
      </c>
      <c r="V17" s="12">
        <v>72676905.942767903</v>
      </c>
      <c r="W17" s="12">
        <v>72912108.69241114</v>
      </c>
      <c r="X17" s="12">
        <v>77532433.84198907</v>
      </c>
      <c r="Y17" s="12">
        <v>79679164.517000005</v>
      </c>
    </row>
    <row r="18" spans="1:25" ht="15" x14ac:dyDescent="0.25">
      <c r="A18" s="11" t="s">
        <v>49</v>
      </c>
      <c r="B18" s="11" t="s">
        <v>60</v>
      </c>
      <c r="C18" s="11" t="s">
        <v>61</v>
      </c>
      <c r="D18" s="12">
        <v>297758.27378699335</v>
      </c>
      <c r="E18" s="12">
        <v>631787.79693434911</v>
      </c>
      <c r="F18" s="12">
        <v>1065938.7791487414</v>
      </c>
      <c r="G18" s="12">
        <v>2093480.350728198</v>
      </c>
      <c r="H18" s="12">
        <v>3664597.1428225059</v>
      </c>
      <c r="I18" s="12">
        <v>4589294.3824252784</v>
      </c>
      <c r="J18" s="12">
        <v>6908875.4830423882</v>
      </c>
      <c r="K18" s="12">
        <v>10241149.849591311</v>
      </c>
      <c r="L18" s="8">
        <f t="shared" si="0"/>
        <v>8594212.1465628631</v>
      </c>
      <c r="M18" s="12">
        <v>6617886.9029287267</v>
      </c>
      <c r="N18" s="12">
        <v>9604404.5064162817</v>
      </c>
      <c r="O18" s="12">
        <v>9895016.1894356124</v>
      </c>
      <c r="P18" s="12">
        <v>10342709.214130532</v>
      </c>
      <c r="Q18" s="12">
        <v>11409038.366575461</v>
      </c>
      <c r="R18" s="12">
        <v>11392312.717626778</v>
      </c>
      <c r="S18" s="12">
        <v>11815387.738482557</v>
      </c>
      <c r="T18" s="12">
        <v>13018977.475859212</v>
      </c>
      <c r="U18" s="12">
        <v>13154420.758288531</v>
      </c>
      <c r="V18" s="12">
        <v>14509012.787257383</v>
      </c>
      <c r="W18" s="12">
        <v>14767101.949679468</v>
      </c>
      <c r="X18" s="12">
        <v>15751505.439083479</v>
      </c>
      <c r="Y18" s="12">
        <v>16078450.878</v>
      </c>
    </row>
    <row r="19" spans="1:25" ht="15" x14ac:dyDescent="0.25">
      <c r="A19" s="11" t="s">
        <v>49</v>
      </c>
      <c r="B19" s="11" t="s">
        <v>62</v>
      </c>
      <c r="C19" s="11" t="s">
        <v>63</v>
      </c>
      <c r="D19" s="12">
        <v>350596.73124833935</v>
      </c>
      <c r="E19" s="12">
        <v>876217.37153902755</v>
      </c>
      <c r="F19" s="12">
        <v>964229.37606829905</v>
      </c>
      <c r="G19" s="12">
        <v>2628802.4004771635</v>
      </c>
      <c r="H19" s="12">
        <v>4051826.2877854928</v>
      </c>
      <c r="I19" s="12">
        <v>6680004.9457306433</v>
      </c>
      <c r="J19" s="12">
        <v>10567629.7522818</v>
      </c>
      <c r="K19" s="12">
        <v>17132359.20941662</v>
      </c>
      <c r="L19" s="8">
        <f t="shared" si="0"/>
        <v>13037094.782315705</v>
      </c>
      <c r="M19" s="12">
        <v>8122777.4697946059</v>
      </c>
      <c r="N19" s="12">
        <v>11381388.96392058</v>
      </c>
      <c r="O19" s="12">
        <v>11549557.797151841</v>
      </c>
      <c r="P19" s="12">
        <v>12169929.259196578</v>
      </c>
      <c r="Q19" s="12">
        <v>13448801.996868642</v>
      </c>
      <c r="R19" s="12">
        <v>13434060.068203492</v>
      </c>
      <c r="S19" s="12">
        <v>14018760.234660642</v>
      </c>
      <c r="T19" s="12">
        <v>14369942.865760669</v>
      </c>
      <c r="U19" s="12">
        <v>14147394.59755557</v>
      </c>
      <c r="V19" s="12">
        <v>15833597.25777106</v>
      </c>
      <c r="W19" s="12">
        <v>16672275.079250904</v>
      </c>
      <c r="X19" s="12">
        <v>16843461.980552182</v>
      </c>
      <c r="Y19" s="12">
        <v>18235256.964999996</v>
      </c>
    </row>
    <row r="20" spans="1:25" ht="15" x14ac:dyDescent="0.25">
      <c r="A20" s="11" t="s">
        <v>64</v>
      </c>
      <c r="B20" s="11" t="s">
        <v>65</v>
      </c>
      <c r="C20" s="11" t="s">
        <v>66</v>
      </c>
      <c r="D20" s="12">
        <v>75850.985277675412</v>
      </c>
      <c r="E20" s="12">
        <v>422228.15995274251</v>
      </c>
      <c r="F20" s="12">
        <v>361411.33890945028</v>
      </c>
      <c r="G20" s="12">
        <v>609642.7909381151</v>
      </c>
      <c r="H20" s="12">
        <v>1058968.0157227521</v>
      </c>
      <c r="I20" s="12">
        <v>1414906.8048752504</v>
      </c>
      <c r="J20" s="12">
        <v>1935649.1627633884</v>
      </c>
      <c r="K20" s="12">
        <v>2683810.4903144338</v>
      </c>
      <c r="L20" s="8">
        <f t="shared" si="0"/>
        <v>2726192.439115257</v>
      </c>
      <c r="M20" s="12">
        <v>2777050.7776762447</v>
      </c>
      <c r="N20" s="12">
        <v>4823333.2372866189</v>
      </c>
      <c r="O20" s="12">
        <v>5050120.7430715505</v>
      </c>
      <c r="P20" s="12">
        <v>5137683.9696176164</v>
      </c>
      <c r="Q20" s="12">
        <v>5406813.3123206692</v>
      </c>
      <c r="R20" s="12">
        <v>5616767.6689636698</v>
      </c>
      <c r="S20" s="12">
        <v>6088713.4522296079</v>
      </c>
      <c r="T20" s="12">
        <v>6185841.7341723097</v>
      </c>
      <c r="U20" s="12">
        <v>6368381.876917311</v>
      </c>
      <c r="V20" s="12">
        <v>6614964.9234020524</v>
      </c>
      <c r="W20" s="12">
        <v>6923864.977945935</v>
      </c>
      <c r="X20" s="12">
        <v>7159700.745375528</v>
      </c>
      <c r="Y20" s="12">
        <v>7682791.8859999999</v>
      </c>
    </row>
    <row r="21" spans="1:25" ht="15" x14ac:dyDescent="0.25">
      <c r="A21" s="11" t="s">
        <v>64</v>
      </c>
      <c r="B21" s="11" t="s">
        <v>67</v>
      </c>
      <c r="C21" s="11" t="s">
        <v>68</v>
      </c>
      <c r="D21" s="12">
        <v>47722.825063010408</v>
      </c>
      <c r="E21" s="12">
        <v>214805.38631182956</v>
      </c>
      <c r="F21" s="12">
        <v>267551.40926043451</v>
      </c>
      <c r="G21" s="12">
        <v>482669.51437095559</v>
      </c>
      <c r="H21" s="12">
        <v>661733.78043657832</v>
      </c>
      <c r="I21" s="12">
        <v>1110468.5313824639</v>
      </c>
      <c r="J21" s="12">
        <v>1690460.8368355122</v>
      </c>
      <c r="K21" s="12">
        <v>2493699.676518498</v>
      </c>
      <c r="L21" s="8">
        <f t="shared" si="0"/>
        <v>2110667.4532287586</v>
      </c>
      <c r="M21" s="12">
        <v>1651028.7852810712</v>
      </c>
      <c r="N21" s="12">
        <v>3360979.1123438161</v>
      </c>
      <c r="O21" s="12">
        <v>3621802.4942426058</v>
      </c>
      <c r="P21" s="12">
        <v>3754582.8559085256</v>
      </c>
      <c r="Q21" s="12">
        <v>3908175.9449313576</v>
      </c>
      <c r="R21" s="12">
        <v>3859815.7761017401</v>
      </c>
      <c r="S21" s="12">
        <v>4125150.2333573797</v>
      </c>
      <c r="T21" s="12">
        <v>4156400.4756271848</v>
      </c>
      <c r="U21" s="12">
        <v>4713091.6500240574</v>
      </c>
      <c r="V21" s="12">
        <v>4675118.1588818599</v>
      </c>
      <c r="W21" s="12">
        <v>5266873.4492129013</v>
      </c>
      <c r="X21" s="12">
        <v>5121678.1468826495</v>
      </c>
      <c r="Y21" s="12">
        <v>6048599.4820000008</v>
      </c>
    </row>
    <row r="22" spans="1:25" ht="15" x14ac:dyDescent="0.25">
      <c r="A22" s="11" t="s">
        <v>64</v>
      </c>
      <c r="B22" s="11" t="s">
        <v>69</v>
      </c>
      <c r="C22" s="11" t="s">
        <v>70</v>
      </c>
      <c r="D22" s="12">
        <v>108092.02814257982</v>
      </c>
      <c r="E22" s="12">
        <v>690313.23320054531</v>
      </c>
      <c r="F22" s="12">
        <v>1103263.1741076305</v>
      </c>
      <c r="G22" s="12">
        <v>2065609.7744455927</v>
      </c>
      <c r="H22" s="12">
        <v>5915111.2377211163</v>
      </c>
      <c r="I22" s="12">
        <v>8920436.6513026562</v>
      </c>
      <c r="J22" s="12">
        <v>16803080.579199869</v>
      </c>
      <c r="K22" s="12">
        <v>20718367.98858998</v>
      </c>
      <c r="L22" s="8">
        <f t="shared" si="0"/>
        <v>24707872.632089429</v>
      </c>
      <c r="M22" s="12">
        <v>29495278.20428877</v>
      </c>
      <c r="N22" s="12">
        <v>31825839.937613972</v>
      </c>
      <c r="O22" s="12">
        <v>32703811.189050153</v>
      </c>
      <c r="P22" s="12">
        <v>32514690.465297565</v>
      </c>
      <c r="Q22" s="12">
        <v>35319131.686263643</v>
      </c>
      <c r="R22" s="12">
        <v>34297296.093156129</v>
      </c>
      <c r="S22" s="12">
        <v>35891941.767695867</v>
      </c>
      <c r="T22" s="12">
        <v>37591759.089445859</v>
      </c>
      <c r="U22" s="12">
        <v>38392429.486412406</v>
      </c>
      <c r="V22" s="12">
        <v>40262963.78229966</v>
      </c>
      <c r="W22" s="12">
        <v>44095781.418719046</v>
      </c>
      <c r="X22" s="12">
        <v>45211545.431557015</v>
      </c>
      <c r="Y22" s="12">
        <v>48860397.065000013</v>
      </c>
    </row>
    <row r="23" spans="1:25" ht="15" x14ac:dyDescent="0.25">
      <c r="A23" s="11" t="s">
        <v>64</v>
      </c>
      <c r="B23" s="11" t="s">
        <v>71</v>
      </c>
      <c r="C23" s="11" t="s">
        <v>72</v>
      </c>
      <c r="D23" s="12">
        <v>34126.418827581496</v>
      </c>
      <c r="E23" s="12">
        <v>244725.58317970595</v>
      </c>
      <c r="F23" s="12">
        <v>447860.19653583382</v>
      </c>
      <c r="G23" s="12">
        <v>673399.36099559919</v>
      </c>
      <c r="H23" s="12">
        <v>774689.72827385005</v>
      </c>
      <c r="I23" s="12">
        <v>1397249.1524614324</v>
      </c>
      <c r="J23" s="12">
        <v>2160561.9197309371</v>
      </c>
      <c r="K23" s="12">
        <v>2656417.3925744812</v>
      </c>
      <c r="L23" s="8">
        <f t="shared" si="0"/>
        <v>2250251.9611593406</v>
      </c>
      <c r="M23" s="12">
        <v>1762853.4434611714</v>
      </c>
      <c r="N23" s="12">
        <v>2686762.1288395789</v>
      </c>
      <c r="O23" s="12">
        <v>2734335.3638084307</v>
      </c>
      <c r="P23" s="12">
        <v>2760897.5673563462</v>
      </c>
      <c r="Q23" s="12">
        <v>2917519.384879651</v>
      </c>
      <c r="R23" s="12">
        <v>2993397.7590603572</v>
      </c>
      <c r="S23" s="12">
        <v>2972171.9913917552</v>
      </c>
      <c r="T23" s="12">
        <v>3080714.072590535</v>
      </c>
      <c r="U23" s="12">
        <v>3300386.2600859692</v>
      </c>
      <c r="V23" s="12">
        <v>3334766.1565056723</v>
      </c>
      <c r="W23" s="12">
        <v>3838552.9593937164</v>
      </c>
      <c r="X23" s="12">
        <v>3728794.2215170111</v>
      </c>
      <c r="Y23" s="12">
        <v>4008940.0809999993</v>
      </c>
    </row>
    <row r="24" spans="1:25" ht="15" x14ac:dyDescent="0.25">
      <c r="A24" s="11" t="s">
        <v>64</v>
      </c>
      <c r="B24" s="11" t="s">
        <v>73</v>
      </c>
      <c r="C24" s="11" t="s">
        <v>74</v>
      </c>
      <c r="D24" s="12">
        <v>28673.065922519105</v>
      </c>
      <c r="E24" s="12">
        <v>195714.63778103489</v>
      </c>
      <c r="F24" s="12">
        <v>201064.16483692586</v>
      </c>
      <c r="G24" s="12">
        <v>345541.29224986682</v>
      </c>
      <c r="H24" s="12">
        <v>408881.48067638767</v>
      </c>
      <c r="I24" s="12">
        <v>617315.7395887695</v>
      </c>
      <c r="J24" s="12">
        <v>1091713.4538306778</v>
      </c>
      <c r="K24" s="12">
        <v>1738652.9866194678</v>
      </c>
      <c r="L24" s="8">
        <f t="shared" si="0"/>
        <v>1573608.1846536535</v>
      </c>
      <c r="M24" s="12">
        <v>1375554.4222946763</v>
      </c>
      <c r="N24" s="12">
        <v>2292931.5676630288</v>
      </c>
      <c r="O24" s="12">
        <v>2349388.169794966</v>
      </c>
      <c r="P24" s="12">
        <v>2426468.8479014407</v>
      </c>
      <c r="Q24" s="12">
        <v>2586171.6234263885</v>
      </c>
      <c r="R24" s="12">
        <v>2620653.437621254</v>
      </c>
      <c r="S24" s="12">
        <v>2915100.627282422</v>
      </c>
      <c r="T24" s="12">
        <v>2881478.6656458825</v>
      </c>
      <c r="U24" s="12">
        <v>3141967.8993651532</v>
      </c>
      <c r="V24" s="12">
        <v>3259383.5523798792</v>
      </c>
      <c r="W24" s="12">
        <v>3577435.7024670779</v>
      </c>
      <c r="X24" s="12">
        <v>3311717.575295846</v>
      </c>
      <c r="Y24" s="12">
        <v>4167616.6030000006</v>
      </c>
    </row>
    <row r="25" spans="1:25" ht="15" x14ac:dyDescent="0.25">
      <c r="A25" s="11" t="s">
        <v>64</v>
      </c>
      <c r="B25" s="11" t="s">
        <v>75</v>
      </c>
      <c r="C25" s="11" t="s">
        <v>76</v>
      </c>
      <c r="D25" s="12">
        <v>34990.101543616503</v>
      </c>
      <c r="E25" s="12">
        <v>129218.86920364099</v>
      </c>
      <c r="F25" s="12">
        <v>301251.41961532162</v>
      </c>
      <c r="G25" s="12">
        <v>451714.06909610942</v>
      </c>
      <c r="H25" s="12">
        <v>478492.50867459516</v>
      </c>
      <c r="I25" s="12">
        <v>798938.07037325448</v>
      </c>
      <c r="J25" s="12">
        <v>1085811.6498425989</v>
      </c>
      <c r="K25" s="12">
        <v>1156464.3002351997</v>
      </c>
      <c r="L25" s="8">
        <f t="shared" si="0"/>
        <v>980057.62841219176</v>
      </c>
      <c r="M25" s="12">
        <v>768369.62222458213</v>
      </c>
      <c r="N25" s="12">
        <v>1298376.978918432</v>
      </c>
      <c r="O25" s="12">
        <v>1350605.0211135556</v>
      </c>
      <c r="P25" s="12">
        <v>1332879.0829906394</v>
      </c>
      <c r="Q25" s="12">
        <v>1346209.1231579897</v>
      </c>
      <c r="R25" s="12">
        <v>1376092.319389564</v>
      </c>
      <c r="S25" s="12">
        <v>1419484.8468831226</v>
      </c>
      <c r="T25" s="12">
        <v>1442570.8844311421</v>
      </c>
      <c r="U25" s="12">
        <v>1541251.804165472</v>
      </c>
      <c r="V25" s="12">
        <v>1558495.9532331908</v>
      </c>
      <c r="W25" s="12">
        <v>1694470.9411114284</v>
      </c>
      <c r="X25" s="12">
        <v>1740186.0636392806</v>
      </c>
      <c r="Y25" s="12">
        <v>1944310.0930000003</v>
      </c>
    </row>
    <row r="26" spans="1:25" ht="15" x14ac:dyDescent="0.25">
      <c r="A26" s="11" t="s">
        <v>64</v>
      </c>
      <c r="B26" s="11" t="s">
        <v>77</v>
      </c>
      <c r="C26" s="11" t="s">
        <v>78</v>
      </c>
      <c r="D26" s="12">
        <v>70810.859543281811</v>
      </c>
      <c r="E26" s="12">
        <v>196209.24351609297</v>
      </c>
      <c r="F26" s="12">
        <v>510367.30451021908</v>
      </c>
      <c r="G26" s="12">
        <v>1113331.7088447567</v>
      </c>
      <c r="H26" s="12">
        <v>819761.76584068709</v>
      </c>
      <c r="I26" s="12">
        <v>1269820.5627626004</v>
      </c>
      <c r="J26" s="12">
        <v>2085503.8568495873</v>
      </c>
      <c r="K26" s="12">
        <v>2289962.2731938045</v>
      </c>
      <c r="L26" s="8">
        <f t="shared" si="0"/>
        <v>2123681.9290470462</v>
      </c>
      <c r="M26" s="12">
        <v>1924145.5160709359</v>
      </c>
      <c r="N26" s="12">
        <v>3140933.9022323918</v>
      </c>
      <c r="O26" s="12">
        <v>3224428.9037353829</v>
      </c>
      <c r="P26" s="12">
        <v>3245257.0252364683</v>
      </c>
      <c r="Q26" s="12">
        <v>3411390.512393252</v>
      </c>
      <c r="R26" s="12">
        <v>3461175.7053742306</v>
      </c>
      <c r="S26" s="12">
        <v>3557628.1834660177</v>
      </c>
      <c r="T26" s="12">
        <v>3543611.7291572741</v>
      </c>
      <c r="U26" s="12">
        <v>3842723.9468141566</v>
      </c>
      <c r="V26" s="12">
        <v>3997208.0774406707</v>
      </c>
      <c r="W26" s="12">
        <v>4529783.5071107438</v>
      </c>
      <c r="X26" s="12">
        <v>4964588.4390913025</v>
      </c>
      <c r="Y26" s="12">
        <v>5152759.5199999996</v>
      </c>
    </row>
    <row r="27" spans="1:25" ht="15" x14ac:dyDescent="0.25">
      <c r="A27" s="11" t="s">
        <v>79</v>
      </c>
      <c r="B27" s="11" t="s">
        <v>80</v>
      </c>
      <c r="C27" s="11" t="s">
        <v>81</v>
      </c>
      <c r="H27" s="12">
        <v>8885167.5427220706</v>
      </c>
      <c r="I27" s="12">
        <v>16519712.313627301</v>
      </c>
      <c r="J27" s="12">
        <v>34766875.072279297</v>
      </c>
      <c r="K27" s="12">
        <v>42487468.301863298</v>
      </c>
      <c r="L27" s="8">
        <f t="shared" si="0"/>
        <v>52543741.087366432</v>
      </c>
      <c r="M27" s="12">
        <v>64611268.429970197</v>
      </c>
      <c r="N27" s="12">
        <v>115908400.11826999</v>
      </c>
      <c r="O27" s="12">
        <v>104914788.466475</v>
      </c>
      <c r="P27" s="12">
        <v>107471804.29779001</v>
      </c>
      <c r="Q27" s="12">
        <v>106647898.22273999</v>
      </c>
      <c r="R27" s="12">
        <v>105076864.90776999</v>
      </c>
      <c r="S27" s="12">
        <v>109291389.33339</v>
      </c>
      <c r="T27" s="12">
        <v>115831675.2097</v>
      </c>
      <c r="U27" s="12">
        <v>118658496.576221</v>
      </c>
      <c r="V27" s="12">
        <v>126498131.090964</v>
      </c>
      <c r="W27" s="12">
        <v>136798242.780642</v>
      </c>
      <c r="X27" s="12">
        <v>142562885.34287101</v>
      </c>
      <c r="Y27" s="12">
        <v>149906318.87900001</v>
      </c>
    </row>
    <row r="28" spans="1:25" ht="15" x14ac:dyDescent="0.25">
      <c r="A28" s="11" t="s">
        <v>82</v>
      </c>
      <c r="B28" s="11" t="s">
        <v>83</v>
      </c>
      <c r="C28" s="11" t="s">
        <v>84</v>
      </c>
      <c r="D28" s="12">
        <v>21620.956932731799</v>
      </c>
      <c r="E28" s="12">
        <v>109045.700183421</v>
      </c>
      <c r="F28" s="12">
        <v>334219.3673413262</v>
      </c>
      <c r="G28" s="12">
        <v>525623.99188837945</v>
      </c>
      <c r="H28" s="12">
        <v>1101095.0130933491</v>
      </c>
      <c r="I28" s="12">
        <v>1685961.6474608015</v>
      </c>
      <c r="J28" s="12">
        <v>2658467.9177806498</v>
      </c>
      <c r="K28" s="12">
        <v>2962855.0434569851</v>
      </c>
      <c r="L28" s="8">
        <f t="shared" si="0"/>
        <v>3048150.2456676597</v>
      </c>
      <c r="M28" s="12">
        <v>3150504.4883204689</v>
      </c>
      <c r="N28" s="12">
        <v>3418694.6026933789</v>
      </c>
      <c r="O28" s="12">
        <v>3848541.6513412949</v>
      </c>
      <c r="P28" s="12">
        <v>3686101.0524631748</v>
      </c>
      <c r="Q28" s="12">
        <v>3561096.0998548083</v>
      </c>
      <c r="R28" s="12">
        <v>3604564.461075604</v>
      </c>
      <c r="S28" s="12">
        <v>3918706.9222207027</v>
      </c>
      <c r="T28" s="12">
        <v>4191932.7305941246</v>
      </c>
      <c r="U28" s="12">
        <v>4524753.5940083219</v>
      </c>
      <c r="V28" s="12">
        <v>5103232.7752802595</v>
      </c>
      <c r="W28" s="12">
        <v>4969291.8573885448</v>
      </c>
      <c r="X28" s="12">
        <v>4886047.9356820742</v>
      </c>
      <c r="Y28" s="12">
        <v>4918947.7540000007</v>
      </c>
    </row>
    <row r="29" spans="1:25" ht="15" x14ac:dyDescent="0.25">
      <c r="A29" s="11" t="s">
        <v>82</v>
      </c>
      <c r="B29" s="11" t="s">
        <v>85</v>
      </c>
      <c r="C29" s="11" t="s">
        <v>86</v>
      </c>
      <c r="D29" s="12">
        <v>43317.715145476403</v>
      </c>
      <c r="E29" s="12">
        <v>106505.60106658851</v>
      </c>
      <c r="F29" s="12">
        <v>215367.47934734318</v>
      </c>
      <c r="G29" s="12">
        <v>309381.63794473198</v>
      </c>
      <c r="H29" s="12">
        <v>809139.05221789819</v>
      </c>
      <c r="I29" s="12">
        <v>1528158.106676863</v>
      </c>
      <c r="J29" s="12">
        <v>3265125.6579431854</v>
      </c>
      <c r="K29" s="12">
        <v>4787216.1846921751</v>
      </c>
      <c r="L29" s="8">
        <f t="shared" si="0"/>
        <v>4893990.0041766046</v>
      </c>
      <c r="M29" s="12">
        <v>5022118.5875579193</v>
      </c>
      <c r="N29" s="12">
        <v>6958876.2363409176</v>
      </c>
      <c r="O29" s="12">
        <v>8014847.298259235</v>
      </c>
      <c r="P29" s="12">
        <v>7172490.6464745328</v>
      </c>
      <c r="Q29" s="12">
        <v>7465842.7053805683</v>
      </c>
      <c r="R29" s="12">
        <v>7718514.5136805112</v>
      </c>
      <c r="S29" s="12">
        <v>8857620.3133992627</v>
      </c>
      <c r="T29" s="12">
        <v>9573143.7728903964</v>
      </c>
      <c r="U29" s="12">
        <v>10700509.640849704</v>
      </c>
      <c r="V29" s="12">
        <v>10438092.012411155</v>
      </c>
      <c r="W29" s="12">
        <v>10695130.316014137</v>
      </c>
      <c r="X29" s="12">
        <v>8488245.5613578279</v>
      </c>
      <c r="Y29" s="12">
        <v>9885088.3380000014</v>
      </c>
    </row>
    <row r="30" spans="1:25" ht="15" x14ac:dyDescent="0.25">
      <c r="A30" s="11" t="s">
        <v>82</v>
      </c>
      <c r="B30" s="11" t="s">
        <v>87</v>
      </c>
      <c r="C30" s="11" t="s">
        <v>88</v>
      </c>
      <c r="D30" s="12">
        <v>191108.70568177869</v>
      </c>
      <c r="E30" s="12">
        <v>514946.68027918373</v>
      </c>
      <c r="F30" s="12">
        <v>920453.0340616774</v>
      </c>
      <c r="G30" s="12">
        <v>1625545.9842718672</v>
      </c>
      <c r="H30" s="12">
        <v>5074315.5806320226</v>
      </c>
      <c r="I30" s="12">
        <v>7147988.0704083415</v>
      </c>
      <c r="J30" s="12">
        <v>16360489.085285723</v>
      </c>
      <c r="K30" s="12">
        <v>20743341.344947804</v>
      </c>
      <c r="L30" s="8">
        <f t="shared" si="0"/>
        <v>23258120.971637808</v>
      </c>
      <c r="M30" s="12">
        <v>26275856.523665808</v>
      </c>
      <c r="N30" s="12">
        <v>31870215.24770489</v>
      </c>
      <c r="O30" s="12">
        <v>35101120.820327103</v>
      </c>
      <c r="P30" s="12">
        <v>34722588.319159448</v>
      </c>
      <c r="Q30" s="12">
        <v>34768240.764210254</v>
      </c>
      <c r="R30" s="12">
        <v>34870576.300520852</v>
      </c>
      <c r="S30" s="12">
        <v>43471072.803324655</v>
      </c>
      <c r="T30" s="12">
        <v>48198072.51963371</v>
      </c>
      <c r="U30" s="12">
        <v>48570627.387431622</v>
      </c>
      <c r="V30" s="12">
        <v>53731723.412670404</v>
      </c>
      <c r="W30" s="12">
        <v>57989126.132452726</v>
      </c>
      <c r="X30" s="12">
        <v>52130078.010616191</v>
      </c>
      <c r="Y30" s="12">
        <v>59048863.603000015</v>
      </c>
    </row>
    <row r="31" spans="1:25" ht="15" x14ac:dyDescent="0.25">
      <c r="A31" s="11" t="s">
        <v>82</v>
      </c>
      <c r="B31" s="11" t="s">
        <v>89</v>
      </c>
      <c r="C31" s="11" t="s">
        <v>90</v>
      </c>
      <c r="D31" s="12">
        <v>183573.72121850593</v>
      </c>
      <c r="E31" s="12">
        <v>466001.56843100971</v>
      </c>
      <c r="F31" s="12">
        <v>904737.62081780389</v>
      </c>
      <c r="G31" s="12">
        <v>800487.10517662892</v>
      </c>
      <c r="H31" s="12">
        <v>1284378.3430645496</v>
      </c>
      <c r="I31" s="12">
        <v>2134703.4918866958</v>
      </c>
      <c r="J31" s="12">
        <v>3300358.4191359072</v>
      </c>
      <c r="K31" s="12">
        <v>3994689.3040543422</v>
      </c>
      <c r="L31" s="8">
        <f t="shared" si="0"/>
        <v>4235696.4868884748</v>
      </c>
      <c r="M31" s="12">
        <v>4524905.1062894333</v>
      </c>
      <c r="N31" s="12">
        <v>5057963.7196663013</v>
      </c>
      <c r="O31" s="12">
        <v>5518035.0231167553</v>
      </c>
      <c r="P31" s="12">
        <v>5176005.6821752908</v>
      </c>
      <c r="Q31" s="12">
        <v>5034513.7909957711</v>
      </c>
      <c r="R31" s="12">
        <v>5530980.8444501553</v>
      </c>
      <c r="S31" s="12">
        <v>5901350.1705371067</v>
      </c>
      <c r="T31" s="12">
        <v>5963096.4675716739</v>
      </c>
      <c r="U31" s="12">
        <v>6075861.0727699138</v>
      </c>
      <c r="V31" s="12">
        <v>7097222.789612202</v>
      </c>
      <c r="W31" s="12">
        <v>7642453.2444685018</v>
      </c>
      <c r="X31" s="12">
        <v>6882315.219013568</v>
      </c>
      <c r="Y31" s="12">
        <v>8268934.4499999993</v>
      </c>
    </row>
    <row r="32" spans="1:25" ht="15" x14ac:dyDescent="0.25">
      <c r="A32" s="11" t="s">
        <v>91</v>
      </c>
      <c r="B32" s="11" t="s">
        <v>92</v>
      </c>
      <c r="C32" s="11" t="s">
        <v>93</v>
      </c>
      <c r="D32" s="12">
        <v>16069.063493490101</v>
      </c>
      <c r="E32" s="12">
        <v>35297.428558125299</v>
      </c>
      <c r="F32" s="12">
        <v>112582.3727397302</v>
      </c>
      <c r="G32" s="12">
        <v>162881.3815227967</v>
      </c>
      <c r="H32" s="12">
        <v>376358.85066415498</v>
      </c>
      <c r="I32" s="12">
        <v>1042237.2898242809</v>
      </c>
      <c r="J32" s="12">
        <v>1448607.3653723218</v>
      </c>
      <c r="K32" s="12">
        <v>2056108.5016429923</v>
      </c>
      <c r="L32" s="8">
        <f t="shared" si="0"/>
        <v>1851675.8800219437</v>
      </c>
      <c r="M32" s="12">
        <v>1606356.7340766857</v>
      </c>
      <c r="N32" s="12">
        <v>1542894.2026220378</v>
      </c>
      <c r="O32" s="12">
        <v>1823242.1686183347</v>
      </c>
      <c r="P32" s="12">
        <v>1926800.7586967491</v>
      </c>
      <c r="Q32" s="12">
        <v>2241828.2196750394</v>
      </c>
      <c r="R32" s="12">
        <v>2328314.7678618883</v>
      </c>
      <c r="S32" s="12">
        <v>2421211.9538416318</v>
      </c>
      <c r="T32" s="12">
        <v>2412378.5552561856</v>
      </c>
      <c r="U32" s="12">
        <v>2439616.6180365686</v>
      </c>
      <c r="V32" s="12">
        <v>2517249.2781237885</v>
      </c>
      <c r="W32" s="12">
        <v>2558013.585033467</v>
      </c>
      <c r="X32" s="12">
        <v>2563011.2683445327</v>
      </c>
      <c r="Y32" s="12">
        <v>2682937.3450000002</v>
      </c>
    </row>
    <row r="33" spans="1:25" ht="15" x14ac:dyDescent="0.25">
      <c r="A33" s="11" t="s">
        <v>91</v>
      </c>
      <c r="B33" s="11" t="s">
        <v>94</v>
      </c>
      <c r="C33" s="11" t="s">
        <v>95</v>
      </c>
      <c r="D33" s="12">
        <v>9355.7949149037995</v>
      </c>
      <c r="E33" s="12">
        <v>46360.991515196605</v>
      </c>
      <c r="F33" s="12">
        <v>36276.484257540302</v>
      </c>
      <c r="G33" s="12">
        <v>133139.58441905191</v>
      </c>
      <c r="H33" s="12">
        <v>463274.3706284035</v>
      </c>
      <c r="I33" s="12">
        <v>726471.38525354024</v>
      </c>
      <c r="J33" s="12">
        <v>1685137.7129829107</v>
      </c>
      <c r="K33" s="12">
        <v>2453675.2518981327</v>
      </c>
      <c r="L33" s="8">
        <f t="shared" si="0"/>
        <v>2223488.9039989794</v>
      </c>
      <c r="M33" s="12">
        <v>1947265.286519995</v>
      </c>
      <c r="N33" s="12">
        <v>2224769.5596495173</v>
      </c>
      <c r="O33" s="12">
        <v>2527701.7901433301</v>
      </c>
      <c r="P33" s="12">
        <v>2838790.2227473524</v>
      </c>
      <c r="Q33" s="12">
        <v>2959957.5571481595</v>
      </c>
      <c r="R33" s="12">
        <v>3131167.8783284589</v>
      </c>
      <c r="S33" s="12">
        <v>3242163.0704729902</v>
      </c>
      <c r="T33" s="12">
        <v>3291043.5282664867</v>
      </c>
      <c r="U33" s="12">
        <v>3422096.043361282</v>
      </c>
      <c r="V33" s="12">
        <v>4250504.2972016484</v>
      </c>
      <c r="W33" s="12">
        <v>4148736.4886859981</v>
      </c>
      <c r="X33" s="12">
        <v>3782268.7084810892</v>
      </c>
      <c r="Y33" s="12">
        <v>4559000.7529999986</v>
      </c>
    </row>
    <row r="34" spans="1:25" ht="15" x14ac:dyDescent="0.25">
      <c r="A34" s="11" t="s">
        <v>91</v>
      </c>
      <c r="B34" s="11" t="s">
        <v>96</v>
      </c>
      <c r="C34" s="11" t="s">
        <v>97</v>
      </c>
      <c r="D34" s="12">
        <v>45576.3390737726</v>
      </c>
      <c r="E34" s="12">
        <v>258233.37617278038</v>
      </c>
      <c r="F34" s="12">
        <v>640573.18265006552</v>
      </c>
      <c r="G34" s="12">
        <v>2087842.4183666664</v>
      </c>
      <c r="H34" s="12">
        <v>5617221.0760661699</v>
      </c>
      <c r="I34" s="12">
        <v>9295955.9599526003</v>
      </c>
      <c r="J34" s="12">
        <v>16444762.030531945</v>
      </c>
      <c r="K34" s="12">
        <v>21115174.575721052</v>
      </c>
      <c r="L34" s="8">
        <f t="shared" si="0"/>
        <v>24239776.042512871</v>
      </c>
      <c r="M34" s="12">
        <v>27989297.802663051</v>
      </c>
      <c r="N34" s="12">
        <v>29033427.838768754</v>
      </c>
      <c r="O34" s="12">
        <v>31665459.125089314</v>
      </c>
      <c r="P34" s="12">
        <v>32006358.525459267</v>
      </c>
      <c r="Q34" s="12">
        <v>35362204.079164542</v>
      </c>
      <c r="R34" s="12">
        <v>34149426.277063079</v>
      </c>
      <c r="S34" s="12">
        <v>35409567.756011941</v>
      </c>
      <c r="T34" s="12">
        <v>36189809.277653866</v>
      </c>
      <c r="U34" s="12">
        <v>39774124.095721602</v>
      </c>
      <c r="V34" s="12">
        <v>43224200.719963014</v>
      </c>
      <c r="W34" s="12">
        <v>45156560.385499388</v>
      </c>
      <c r="X34" s="12">
        <v>48542907.672061488</v>
      </c>
      <c r="Y34" s="12">
        <v>52082947.983000003</v>
      </c>
    </row>
    <row r="35" spans="1:25" ht="15" x14ac:dyDescent="0.25">
      <c r="A35" s="11" t="s">
        <v>91</v>
      </c>
      <c r="B35" s="11" t="s">
        <v>98</v>
      </c>
      <c r="C35" s="11" t="s">
        <v>99</v>
      </c>
      <c r="D35" s="12">
        <v>31910.6131664575</v>
      </c>
      <c r="E35" s="12">
        <v>102255.4303427166</v>
      </c>
      <c r="F35" s="12">
        <v>89395.384267743299</v>
      </c>
      <c r="G35" s="12">
        <v>174706.09237098668</v>
      </c>
      <c r="H35" s="12">
        <v>445622.33583818784</v>
      </c>
      <c r="I35" s="12">
        <v>923461.09229199018</v>
      </c>
      <c r="J35" s="12">
        <v>1847672.8277148884</v>
      </c>
      <c r="K35" s="12">
        <v>2186138.8947990066</v>
      </c>
      <c r="L35" s="8">
        <f t="shared" si="0"/>
        <v>2719928.6585660344</v>
      </c>
      <c r="M35" s="12">
        <v>3360476.3750864682</v>
      </c>
      <c r="N35" s="12">
        <v>4524186.3247268833</v>
      </c>
      <c r="O35" s="12">
        <v>5156488.5099492883</v>
      </c>
      <c r="P35" s="12">
        <v>5392305.3497683518</v>
      </c>
      <c r="Q35" s="12">
        <v>6331724.5511321472</v>
      </c>
      <c r="R35" s="12">
        <v>6802449.8433040185</v>
      </c>
      <c r="S35" s="12">
        <v>7246908.3222275907</v>
      </c>
      <c r="T35" s="12">
        <v>7352770.2993929889</v>
      </c>
      <c r="U35" s="12">
        <v>7214391.8410945693</v>
      </c>
      <c r="V35" s="12">
        <v>7791885.5722697387</v>
      </c>
      <c r="W35" s="12">
        <v>8281561.0756162181</v>
      </c>
      <c r="X35" s="12">
        <v>8742961.8624126334</v>
      </c>
      <c r="Y35" s="12">
        <v>9284929.3320000004</v>
      </c>
    </row>
    <row r="36" spans="1:25" ht="15" x14ac:dyDescent="0.25">
      <c r="A36" s="11" t="s">
        <v>91</v>
      </c>
      <c r="B36" s="11" t="s">
        <v>100</v>
      </c>
      <c r="C36" s="11" t="s">
        <v>101</v>
      </c>
      <c r="D36" s="12">
        <v>158392.8504942999</v>
      </c>
      <c r="E36" s="12">
        <v>468933.94857408426</v>
      </c>
      <c r="F36" s="12">
        <v>564101.14641142834</v>
      </c>
      <c r="G36" s="12">
        <v>1345812.1880812289</v>
      </c>
      <c r="H36" s="12">
        <v>2919880.7891881517</v>
      </c>
      <c r="I36" s="12">
        <v>4827642.2366900584</v>
      </c>
      <c r="J36" s="12">
        <v>8209128.910979311</v>
      </c>
      <c r="K36" s="12">
        <v>10771435.711209361</v>
      </c>
      <c r="L36" s="8">
        <f t="shared" si="0"/>
        <v>10824381.400253659</v>
      </c>
      <c r="M36" s="12">
        <v>10887916.227106817</v>
      </c>
      <c r="N36" s="12">
        <v>15579005.176239498</v>
      </c>
      <c r="O36" s="12">
        <v>18083009.655922141</v>
      </c>
      <c r="P36" s="12">
        <v>20233147.151164733</v>
      </c>
      <c r="Q36" s="12">
        <v>24185168.673190739</v>
      </c>
      <c r="R36" s="12">
        <v>24916122.055935729</v>
      </c>
      <c r="S36" s="12">
        <v>25887883.904570639</v>
      </c>
      <c r="T36" s="12">
        <v>23444069.333831783</v>
      </c>
      <c r="U36" s="12">
        <v>22687154.318000771</v>
      </c>
      <c r="V36" s="12">
        <v>24750658.981768109</v>
      </c>
      <c r="W36" s="12">
        <v>27435279.511800263</v>
      </c>
      <c r="X36" s="12">
        <v>29195864.457732171</v>
      </c>
      <c r="Y36" s="12">
        <v>28966114.921999998</v>
      </c>
    </row>
    <row r="37" spans="1:25" ht="15" x14ac:dyDescent="0.25">
      <c r="A37" s="11" t="s">
        <v>102</v>
      </c>
      <c r="B37" s="11" t="s">
        <v>103</v>
      </c>
      <c r="C37" s="11" t="s">
        <v>104</v>
      </c>
      <c r="D37" s="12">
        <v>140574.37119707101</v>
      </c>
      <c r="E37" s="12">
        <v>584174.72045428341</v>
      </c>
      <c r="F37" s="12">
        <v>666780.86895983224</v>
      </c>
      <c r="G37" s="12">
        <v>1525950.2501649763</v>
      </c>
      <c r="H37" s="12">
        <v>2591418.3549163421</v>
      </c>
      <c r="I37" s="12">
        <v>3674973.352099183</v>
      </c>
      <c r="J37" s="12">
        <v>6245766.3017152073</v>
      </c>
      <c r="K37" s="12">
        <v>10706017.734911995</v>
      </c>
      <c r="L37" s="8">
        <f t="shared" si="0"/>
        <v>10969734.161857363</v>
      </c>
      <c r="M37" s="12">
        <v>11286193.874191804</v>
      </c>
      <c r="N37" s="12">
        <v>12490212.078126783</v>
      </c>
      <c r="O37" s="12">
        <v>13783390.728833931</v>
      </c>
      <c r="P37" s="12">
        <v>14222501.312315043</v>
      </c>
      <c r="Q37" s="12">
        <v>14690829.910255328</v>
      </c>
      <c r="R37" s="12">
        <v>15277860.798738377</v>
      </c>
      <c r="S37" s="12">
        <v>16922973.756199893</v>
      </c>
      <c r="T37" s="12">
        <v>18495533.779760014</v>
      </c>
      <c r="U37" s="12">
        <v>19236348.599136088</v>
      </c>
      <c r="V37" s="12">
        <v>20286865.695388325</v>
      </c>
      <c r="W37" s="12">
        <v>22500586.979780562</v>
      </c>
      <c r="X37" s="12">
        <v>21897969.085024331</v>
      </c>
      <c r="Y37" s="12">
        <v>23512355.390999999</v>
      </c>
    </row>
    <row r="38" spans="1:25" ht="15" x14ac:dyDescent="0.25">
      <c r="A38" s="11" t="s">
        <v>102</v>
      </c>
      <c r="B38" s="11" t="s">
        <v>105</v>
      </c>
      <c r="C38" s="11" t="s">
        <v>106</v>
      </c>
      <c r="D38" s="12">
        <v>6898.5862690199992</v>
      </c>
      <c r="E38" s="12">
        <v>45029.181951620703</v>
      </c>
      <c r="F38" s="12">
        <v>28042.208332605001</v>
      </c>
      <c r="G38" s="12">
        <v>302775.24620051123</v>
      </c>
      <c r="H38" s="12">
        <v>784960.15046660986</v>
      </c>
      <c r="I38" s="12">
        <v>1580557.4301736429</v>
      </c>
      <c r="J38" s="12">
        <v>3125939.7446371941</v>
      </c>
      <c r="K38" s="12">
        <v>3230131.5308028944</v>
      </c>
      <c r="L38" s="8">
        <f t="shared" si="0"/>
        <v>3038286.4176088069</v>
      </c>
      <c r="M38" s="12">
        <v>2808072.281775902</v>
      </c>
      <c r="N38" s="12">
        <v>4794420.4490078771</v>
      </c>
      <c r="O38" s="12">
        <v>5297815.4793792628</v>
      </c>
      <c r="P38" s="12">
        <v>5637890.0002231989</v>
      </c>
      <c r="Q38" s="12">
        <v>6084529.1676929193</v>
      </c>
      <c r="R38" s="12">
        <v>6430594.2199490117</v>
      </c>
      <c r="S38" s="12">
        <v>6824585.558554586</v>
      </c>
      <c r="T38" s="12">
        <v>7486793.7988215042</v>
      </c>
      <c r="U38" s="12">
        <v>8011247.749692305</v>
      </c>
      <c r="V38" s="12">
        <v>8940944.7975320723</v>
      </c>
      <c r="W38" s="12">
        <v>9408560.0889943279</v>
      </c>
      <c r="X38" s="12">
        <v>8355800.7147331266</v>
      </c>
      <c r="Y38" s="12">
        <v>8440901.3790000007</v>
      </c>
    </row>
    <row r="39" spans="1:25" ht="15" x14ac:dyDescent="0.25">
      <c r="A39" s="11" t="s">
        <v>102</v>
      </c>
      <c r="B39" s="11" t="s">
        <v>107</v>
      </c>
      <c r="C39" s="11" t="s">
        <v>108</v>
      </c>
      <c r="D39" s="12">
        <v>45844.100876716504</v>
      </c>
      <c r="E39" s="12">
        <v>134087.96426078409</v>
      </c>
      <c r="F39" s="12">
        <v>188652.93917772829</v>
      </c>
      <c r="G39" s="12">
        <v>684119.67741658632</v>
      </c>
      <c r="H39" s="12">
        <v>1125210.5973400271</v>
      </c>
      <c r="I39" s="12">
        <v>1565472.2582093584</v>
      </c>
      <c r="J39" s="12">
        <v>2211158.7803833014</v>
      </c>
      <c r="K39" s="12">
        <v>2017590.932169073</v>
      </c>
      <c r="L39" s="8">
        <f t="shared" si="0"/>
        <v>1796650.7662345879</v>
      </c>
      <c r="M39" s="12">
        <v>1531522.5671132058</v>
      </c>
      <c r="N39" s="12">
        <v>2285084.2021278809</v>
      </c>
      <c r="O39" s="12">
        <v>2460386.6008027815</v>
      </c>
      <c r="P39" s="12">
        <v>2622409.3453931459</v>
      </c>
      <c r="Q39" s="12">
        <v>2856061.0831751898</v>
      </c>
      <c r="R39" s="12">
        <v>2744328.2503929147</v>
      </c>
      <c r="S39" s="12">
        <v>3015028.5235870709</v>
      </c>
      <c r="T39" s="12">
        <v>3251786.4773757067</v>
      </c>
      <c r="U39" s="12">
        <v>3450528.4390180898</v>
      </c>
      <c r="V39" s="12">
        <v>3756086.4497804074</v>
      </c>
      <c r="W39" s="12">
        <v>4177567.6756825261</v>
      </c>
      <c r="X39" s="12">
        <v>4006975.6922795605</v>
      </c>
      <c r="Y39" s="12">
        <v>4349979.4140000017</v>
      </c>
    </row>
    <row r="40" spans="1:25" ht="15" x14ac:dyDescent="0.25">
      <c r="A40" s="11" t="s">
        <v>102</v>
      </c>
      <c r="B40" s="11" t="s">
        <v>109</v>
      </c>
      <c r="C40" s="11" t="s">
        <v>110</v>
      </c>
      <c r="D40" s="12">
        <v>81519.408934802093</v>
      </c>
      <c r="E40" s="12">
        <v>397569.88009059982</v>
      </c>
      <c r="F40" s="12">
        <v>291502.57664601825</v>
      </c>
      <c r="G40" s="12">
        <v>514669.54482809745</v>
      </c>
      <c r="H40" s="12">
        <v>1094464.6764244479</v>
      </c>
      <c r="I40" s="12">
        <v>1715998.8752919203</v>
      </c>
      <c r="J40" s="12">
        <v>2691354.1630374701</v>
      </c>
      <c r="K40" s="12">
        <v>3464784.3799738074</v>
      </c>
      <c r="L40" s="8">
        <f t="shared" si="0"/>
        <v>2853453.6027667793</v>
      </c>
      <c r="M40" s="12">
        <v>2119856.6701183454</v>
      </c>
      <c r="N40" s="12">
        <v>3128969.8436770122</v>
      </c>
      <c r="O40" s="12">
        <v>3350474.864389638</v>
      </c>
      <c r="P40" s="12">
        <v>3519213.6437388854</v>
      </c>
      <c r="Q40" s="12">
        <v>3672652.1797634801</v>
      </c>
      <c r="R40" s="12">
        <v>3899460.4648238416</v>
      </c>
      <c r="S40" s="12">
        <v>4169765.9918830902</v>
      </c>
      <c r="T40" s="12">
        <v>4332638.9445060901</v>
      </c>
      <c r="U40" s="12">
        <v>4815327.8087179326</v>
      </c>
      <c r="V40" s="12">
        <v>4854139.772040627</v>
      </c>
      <c r="W40" s="12">
        <v>5445631.1145780515</v>
      </c>
      <c r="X40" s="12">
        <v>5518624.8532228209</v>
      </c>
      <c r="Y40" s="12">
        <v>5650507.4839999983</v>
      </c>
    </row>
    <row r="41" spans="1:25" ht="15" x14ac:dyDescent="0.25">
      <c r="A41" s="11" t="s">
        <v>102</v>
      </c>
      <c r="B41" s="11" t="s">
        <v>111</v>
      </c>
      <c r="C41" s="11" t="s">
        <v>112</v>
      </c>
      <c r="D41" s="12">
        <v>32266.380838400204</v>
      </c>
      <c r="E41" s="12">
        <v>65184.6546307194</v>
      </c>
      <c r="F41" s="12">
        <v>59635.092474304205</v>
      </c>
      <c r="G41" s="12">
        <v>179412.71356090205</v>
      </c>
      <c r="H41" s="12">
        <v>190441.61697612668</v>
      </c>
      <c r="I41" s="12">
        <v>239877.37181852208</v>
      </c>
      <c r="J41" s="12">
        <v>424130.47311425535</v>
      </c>
      <c r="K41" s="12">
        <v>590722.50263287255</v>
      </c>
      <c r="L41" s="8">
        <f t="shared" si="0"/>
        <v>728698.86958443339</v>
      </c>
      <c r="M41" s="12">
        <v>894270.50992630643</v>
      </c>
      <c r="N41" s="12">
        <v>1876249.6801545466</v>
      </c>
      <c r="O41" s="12">
        <v>1991717.0950334487</v>
      </c>
      <c r="P41" s="12">
        <v>1989828.3587261545</v>
      </c>
      <c r="Q41" s="12">
        <v>2044671.9084957098</v>
      </c>
      <c r="R41" s="12">
        <v>2424560.8539584093</v>
      </c>
      <c r="S41" s="12">
        <v>2453631.9693469508</v>
      </c>
      <c r="T41" s="12">
        <v>2875213.482009416</v>
      </c>
      <c r="U41" s="12">
        <v>2376653.0191426282</v>
      </c>
      <c r="V41" s="12">
        <v>2164749.3035860388</v>
      </c>
      <c r="W41" s="12">
        <v>3247227.3409151584</v>
      </c>
      <c r="X41" s="12">
        <v>3432400.5410806453</v>
      </c>
      <c r="Y41" s="12">
        <v>3302198.787</v>
      </c>
    </row>
    <row r="42" spans="1:25" ht="15" x14ac:dyDescent="0.25">
      <c r="A42" s="11" t="s">
        <v>113</v>
      </c>
      <c r="B42" s="11" t="s">
        <v>114</v>
      </c>
      <c r="C42" s="11" t="s">
        <v>115</v>
      </c>
      <c r="D42" s="12">
        <v>32246.777062547699</v>
      </c>
      <c r="E42" s="12">
        <v>69066.287493429496</v>
      </c>
      <c r="F42" s="12">
        <v>120481.8868284535</v>
      </c>
      <c r="G42" s="12">
        <v>298218.44356900832</v>
      </c>
      <c r="H42" s="12">
        <v>796177.76839898899</v>
      </c>
      <c r="I42" s="12">
        <v>1184712.5063105086</v>
      </c>
      <c r="J42" s="12">
        <v>2378350.5167631628</v>
      </c>
      <c r="K42" s="12">
        <v>2289093.0968583683</v>
      </c>
      <c r="L42" s="8">
        <f t="shared" si="0"/>
        <v>2325823.2614657064</v>
      </c>
      <c r="M42" s="12">
        <v>2369899.4589945124</v>
      </c>
      <c r="N42" s="12">
        <v>3598480.1157797314</v>
      </c>
      <c r="O42" s="12">
        <v>3687750.4041935448</v>
      </c>
      <c r="P42" s="12">
        <v>3529105.5862894394</v>
      </c>
      <c r="Q42" s="12">
        <v>4356830.3547853688</v>
      </c>
      <c r="R42" s="12">
        <v>4765379.0641667359</v>
      </c>
      <c r="S42" s="12">
        <v>4903478.8163351174</v>
      </c>
      <c r="T42" s="12">
        <v>4975339.8897476252</v>
      </c>
      <c r="U42" s="12">
        <v>4344450.3001887957</v>
      </c>
      <c r="V42" s="12">
        <v>4836515.4117807494</v>
      </c>
      <c r="W42" s="12">
        <v>5836744.558966917</v>
      </c>
      <c r="X42" s="12">
        <v>5729124.2596124103</v>
      </c>
      <c r="Y42" s="12">
        <v>6000868.472000001</v>
      </c>
    </row>
    <row r="43" spans="1:25" ht="15" x14ac:dyDescent="0.25">
      <c r="A43" s="11" t="s">
        <v>113</v>
      </c>
      <c r="B43" s="11" t="s">
        <v>116</v>
      </c>
      <c r="C43" s="11" t="s">
        <v>117</v>
      </c>
      <c r="D43" s="12">
        <v>178034.9677775887</v>
      </c>
      <c r="E43" s="12">
        <v>445459.98698214203</v>
      </c>
      <c r="F43" s="12">
        <v>613652.5568419873</v>
      </c>
      <c r="G43" s="12">
        <v>1371574.9736275012</v>
      </c>
      <c r="H43" s="12">
        <v>2010624.5219310671</v>
      </c>
      <c r="I43" s="12">
        <v>3543263.8076310628</v>
      </c>
      <c r="J43" s="12">
        <v>5933702.4670954449</v>
      </c>
      <c r="K43" s="12">
        <v>7019370.6748968819</v>
      </c>
      <c r="L43" s="8">
        <f t="shared" si="0"/>
        <v>6943013.6605715463</v>
      </c>
      <c r="M43" s="12">
        <v>6851385.2433811426</v>
      </c>
      <c r="N43" s="12">
        <v>8698674.365726484</v>
      </c>
      <c r="O43" s="12">
        <v>9142508.0480552875</v>
      </c>
      <c r="P43" s="12">
        <v>9203935.2625818979</v>
      </c>
      <c r="Q43" s="12">
        <v>9812993.8744458742</v>
      </c>
      <c r="R43" s="12">
        <v>10017489.931247761</v>
      </c>
      <c r="S43" s="12">
        <v>10580924.999523683</v>
      </c>
      <c r="T43" s="12">
        <v>11105100.670071721</v>
      </c>
      <c r="U43" s="12">
        <v>11147535.898208434</v>
      </c>
      <c r="V43" s="12">
        <v>12205694.371246574</v>
      </c>
      <c r="W43" s="12">
        <v>13103943.174809732</v>
      </c>
      <c r="X43" s="12">
        <v>12684612.434796156</v>
      </c>
      <c r="Y43" s="12">
        <v>13578407.396000002</v>
      </c>
    </row>
    <row r="44" spans="1:25" ht="15" x14ac:dyDescent="0.25">
      <c r="A44" s="11" t="s">
        <v>113</v>
      </c>
      <c r="B44" s="11" t="s">
        <v>118</v>
      </c>
      <c r="C44" s="11" t="s">
        <v>119</v>
      </c>
      <c r="D44" s="12">
        <v>123101.90620611509</v>
      </c>
      <c r="E44" s="12">
        <v>308101.31008198491</v>
      </c>
      <c r="F44" s="12">
        <v>455291.94449985219</v>
      </c>
      <c r="G44" s="12">
        <v>683292.88415553619</v>
      </c>
      <c r="H44" s="12">
        <v>865490.29830558051</v>
      </c>
      <c r="I44" s="12">
        <v>1314306.8401302577</v>
      </c>
      <c r="J44" s="12">
        <v>2790684.0992621696</v>
      </c>
      <c r="K44" s="12">
        <v>2538405.9883953761</v>
      </c>
      <c r="L44" s="8">
        <f t="shared" si="0"/>
        <v>2339727.4666629708</v>
      </c>
      <c r="M44" s="12">
        <v>2101313.2405840843</v>
      </c>
      <c r="N44" s="12">
        <v>2595863.6868565418</v>
      </c>
      <c r="O44" s="12">
        <v>2910086.9713889007</v>
      </c>
      <c r="P44" s="12">
        <v>2881633.5019864799</v>
      </c>
      <c r="Q44" s="12">
        <v>2996514.4375172323</v>
      </c>
      <c r="R44" s="12">
        <v>3101153.8570670113</v>
      </c>
      <c r="S44" s="12">
        <v>3107418.7026156853</v>
      </c>
      <c r="T44" s="12">
        <v>3274289.721308636</v>
      </c>
      <c r="U44" s="12">
        <v>3270400.9421279086</v>
      </c>
      <c r="V44" s="12">
        <v>3546378.4524432914</v>
      </c>
      <c r="W44" s="12">
        <v>3889011.5880442467</v>
      </c>
      <c r="X44" s="12">
        <v>3845618.3215414039</v>
      </c>
      <c r="Y44" s="12">
        <v>4135619.2349999994</v>
      </c>
    </row>
    <row r="45" spans="1:25" ht="15" x14ac:dyDescent="0.25">
      <c r="A45" s="11" t="s">
        <v>113</v>
      </c>
      <c r="B45" s="11" t="s">
        <v>120</v>
      </c>
      <c r="C45" s="11" t="s">
        <v>121</v>
      </c>
      <c r="D45" s="12">
        <v>57588.632542089101</v>
      </c>
      <c r="E45" s="12">
        <v>184544.20365396672</v>
      </c>
      <c r="F45" s="12">
        <v>281851.43154128583</v>
      </c>
      <c r="G45" s="12">
        <v>721202.69325640355</v>
      </c>
      <c r="H45" s="12">
        <v>865064.33900292451</v>
      </c>
      <c r="I45" s="12">
        <v>1573016.1150659227</v>
      </c>
      <c r="J45" s="12">
        <v>2056680.213174172</v>
      </c>
      <c r="K45" s="12">
        <v>1908359.8079935731</v>
      </c>
      <c r="L45" s="8">
        <f t="shared" si="0"/>
        <v>1987589.2400660976</v>
      </c>
      <c r="M45" s="12">
        <v>2082664.5585531269</v>
      </c>
      <c r="N45" s="12">
        <v>1993592.1991318383</v>
      </c>
      <c r="O45" s="12">
        <v>2091611.1741335574</v>
      </c>
      <c r="P45" s="12">
        <v>2136400.5990934018</v>
      </c>
      <c r="Q45" s="12">
        <v>2277995.5647694771</v>
      </c>
      <c r="R45" s="12">
        <v>2244156.0803458518</v>
      </c>
      <c r="S45" s="12">
        <v>2292370.9480611151</v>
      </c>
      <c r="T45" s="12">
        <v>2401513.4120878847</v>
      </c>
      <c r="U45" s="12">
        <v>2469169.632403106</v>
      </c>
      <c r="V45" s="12">
        <v>2605280.9764059642</v>
      </c>
      <c r="W45" s="12">
        <v>2852455.828913989</v>
      </c>
      <c r="X45" s="12">
        <v>2892122.087953194</v>
      </c>
      <c r="Y45" s="12">
        <v>3012361.963</v>
      </c>
    </row>
    <row r="46" spans="1:25" ht="15" x14ac:dyDescent="0.25">
      <c r="A46" s="11" t="s">
        <v>113</v>
      </c>
      <c r="B46" s="11" t="s">
        <v>122</v>
      </c>
      <c r="C46" s="11" t="s">
        <v>123</v>
      </c>
      <c r="D46" s="12">
        <v>289949.41299708385</v>
      </c>
      <c r="E46" s="12">
        <v>989225.838192111</v>
      </c>
      <c r="F46" s="12">
        <v>2307888.9607310025</v>
      </c>
      <c r="G46" s="12">
        <v>4142042.5455955961</v>
      </c>
      <c r="H46" s="12">
        <v>6024585.053796933</v>
      </c>
      <c r="I46" s="12">
        <v>11043554.344887614</v>
      </c>
      <c r="J46" s="12">
        <v>18501507.088921104</v>
      </c>
      <c r="K46" s="12">
        <v>22560425.719422162</v>
      </c>
      <c r="L46" s="8">
        <f t="shared" si="0"/>
        <v>23705695.019200549</v>
      </c>
      <c r="M46" s="12">
        <v>25080018.178934615</v>
      </c>
      <c r="N46" s="12">
        <v>33006043.09494333</v>
      </c>
      <c r="O46" s="12">
        <v>34906263.580787465</v>
      </c>
      <c r="P46" s="12">
        <v>35405457.125358127</v>
      </c>
      <c r="Q46" s="12">
        <v>37133914.26662375</v>
      </c>
      <c r="R46" s="12">
        <v>40385951.646510407</v>
      </c>
      <c r="S46" s="12">
        <v>43021716.909359373</v>
      </c>
      <c r="T46" s="12">
        <v>42231132.889396027</v>
      </c>
      <c r="U46" s="12">
        <v>42664865.8324527</v>
      </c>
      <c r="V46" s="12">
        <v>46882866.842122532</v>
      </c>
      <c r="W46" s="12">
        <v>49832927.923299365</v>
      </c>
      <c r="X46" s="12">
        <v>49551590.883946925</v>
      </c>
      <c r="Y46" s="12">
        <v>52692743.243000001</v>
      </c>
    </row>
    <row r="47" spans="1:25" ht="15" x14ac:dyDescent="0.25">
      <c r="A47" s="11" t="s">
        <v>113</v>
      </c>
      <c r="B47" s="11" t="s">
        <v>124</v>
      </c>
      <c r="C47" s="11" t="s">
        <v>125</v>
      </c>
      <c r="D47" s="12">
        <v>78902.301068372006</v>
      </c>
      <c r="E47" s="12">
        <v>241985.17005957809</v>
      </c>
      <c r="F47" s="12">
        <v>432598.07530803332</v>
      </c>
      <c r="G47" s="12">
        <v>781482.95141372678</v>
      </c>
      <c r="H47" s="12">
        <v>1077803.1619294877</v>
      </c>
      <c r="I47" s="12">
        <v>1657266.8243031551</v>
      </c>
      <c r="J47" s="12">
        <v>2714374.6838589134</v>
      </c>
      <c r="K47" s="12">
        <v>3045065.3700539623</v>
      </c>
      <c r="L47" s="8">
        <f t="shared" si="0"/>
        <v>2867176.8381312122</v>
      </c>
      <c r="M47" s="12">
        <v>2653710.5998239121</v>
      </c>
      <c r="N47" s="12">
        <v>3559552.2766334089</v>
      </c>
      <c r="O47" s="12">
        <v>3702305.4731572303</v>
      </c>
      <c r="P47" s="12">
        <v>3692463.83610179</v>
      </c>
      <c r="Q47" s="12">
        <v>3997240.7691901615</v>
      </c>
      <c r="R47" s="12">
        <v>4305330.4630218567</v>
      </c>
      <c r="S47" s="12">
        <v>4680232.5836442839</v>
      </c>
      <c r="T47" s="12">
        <v>4853751.2071833909</v>
      </c>
      <c r="U47" s="12">
        <v>5114952.6818532161</v>
      </c>
      <c r="V47" s="12">
        <v>5248495.9748609075</v>
      </c>
      <c r="W47" s="12">
        <v>5547502.9703064477</v>
      </c>
      <c r="X47" s="12">
        <v>5265373.2224451704</v>
      </c>
      <c r="Y47" s="12">
        <v>5787441.5320000006</v>
      </c>
    </row>
    <row r="48" spans="1:25" ht="15" x14ac:dyDescent="0.25">
      <c r="A48" s="11" t="s">
        <v>113</v>
      </c>
      <c r="B48" s="11" t="s">
        <v>126</v>
      </c>
      <c r="C48" s="11" t="s">
        <v>127</v>
      </c>
      <c r="D48" s="12">
        <v>444070.30441999552</v>
      </c>
      <c r="E48" s="12">
        <v>2538833.1652032458</v>
      </c>
      <c r="F48" s="12">
        <v>4252813.1555869021</v>
      </c>
      <c r="G48" s="12">
        <v>9848342.0874376968</v>
      </c>
      <c r="H48" s="12">
        <v>24726350.607510582</v>
      </c>
      <c r="I48" s="12">
        <v>45841680.599291153</v>
      </c>
      <c r="J48" s="12">
        <v>68820140.259648725</v>
      </c>
      <c r="K48" s="12">
        <v>75363562.924660504</v>
      </c>
      <c r="L48" s="8">
        <f t="shared" si="0"/>
        <v>84689742.639687851</v>
      </c>
      <c r="M48" s="12">
        <v>95881158.297720656</v>
      </c>
      <c r="N48" s="12">
        <v>85303297.009656027</v>
      </c>
      <c r="O48" s="12">
        <v>92453501.532120824</v>
      </c>
      <c r="P48" s="12">
        <v>96554128.779528126</v>
      </c>
      <c r="Q48" s="12">
        <v>99698674.381401777</v>
      </c>
      <c r="R48" s="12">
        <v>100647317.71390413</v>
      </c>
      <c r="S48" s="12">
        <v>112989705.43901883</v>
      </c>
      <c r="T48" s="12">
        <v>115935272.62070517</v>
      </c>
      <c r="U48" s="12">
        <v>121048310.13519947</v>
      </c>
      <c r="V48" s="12">
        <v>132326430.69004226</v>
      </c>
      <c r="W48" s="12">
        <v>144922849.4417195</v>
      </c>
      <c r="X48" s="12">
        <v>133884239.32869901</v>
      </c>
      <c r="Y48" s="12">
        <v>158207289.92600006</v>
      </c>
    </row>
    <row r="49" spans="1:25" ht="15" x14ac:dyDescent="0.25">
      <c r="A49" s="11" t="s">
        <v>113</v>
      </c>
      <c r="B49" s="11" t="s">
        <v>128</v>
      </c>
      <c r="C49" s="11" t="s">
        <v>129</v>
      </c>
      <c r="D49" s="12">
        <v>217621.64334798261</v>
      </c>
      <c r="E49" s="12">
        <v>544323.02367312647</v>
      </c>
      <c r="F49" s="12">
        <v>1400692.9038336694</v>
      </c>
      <c r="G49" s="12">
        <v>2320271.0469989269</v>
      </c>
      <c r="H49" s="12">
        <v>4806759.1488608541</v>
      </c>
      <c r="I49" s="12">
        <v>7025275.5137425717</v>
      </c>
      <c r="J49" s="12">
        <v>18369156.949307468</v>
      </c>
      <c r="K49" s="12">
        <v>18855731.61659367</v>
      </c>
      <c r="L49" s="8">
        <f t="shared" si="0"/>
        <v>16243700.101154402</v>
      </c>
      <c r="M49" s="12">
        <v>13109262.282627281</v>
      </c>
      <c r="N49" s="12">
        <v>14202704.18390348</v>
      </c>
      <c r="O49" s="12">
        <v>15142151.121348247</v>
      </c>
      <c r="P49" s="12">
        <v>15574065.548820551</v>
      </c>
      <c r="Q49" s="12">
        <v>16424384.093031084</v>
      </c>
      <c r="R49" s="12">
        <v>16953378.090933561</v>
      </c>
      <c r="S49" s="12">
        <v>19469726.442261722</v>
      </c>
      <c r="T49" s="12">
        <v>18898810.656795029</v>
      </c>
      <c r="U49" s="12">
        <v>19276185.225495454</v>
      </c>
      <c r="V49" s="12">
        <v>20473097.935707975</v>
      </c>
      <c r="W49" s="12">
        <v>20680110.436678011</v>
      </c>
      <c r="X49" s="12">
        <v>18736291.681685489</v>
      </c>
      <c r="Y49" s="12">
        <v>20980572.659000006</v>
      </c>
    </row>
    <row r="50" spans="1:25" ht="15" x14ac:dyDescent="0.25">
      <c r="A50" s="11" t="s">
        <v>113</v>
      </c>
      <c r="B50" s="11" t="s">
        <v>130</v>
      </c>
      <c r="C50" s="11" t="s">
        <v>131</v>
      </c>
      <c r="D50" s="12">
        <v>206903.73155523941</v>
      </c>
      <c r="E50" s="12">
        <v>497941.99913315516</v>
      </c>
      <c r="F50" s="12">
        <v>848875.7097711775</v>
      </c>
      <c r="G50" s="12">
        <v>1406274.4959097987</v>
      </c>
      <c r="H50" s="12">
        <v>2163103.3015437713</v>
      </c>
      <c r="I50" s="12">
        <v>3957878.1499104607</v>
      </c>
      <c r="J50" s="12">
        <v>6114059.0279114041</v>
      </c>
      <c r="K50" s="12">
        <v>8204191.2385180211</v>
      </c>
      <c r="L50" s="8">
        <f t="shared" si="0"/>
        <v>7677425.7470534202</v>
      </c>
      <c r="M50" s="12">
        <v>7045307.1572958995</v>
      </c>
      <c r="N50" s="12">
        <v>8283310.4039703989</v>
      </c>
      <c r="O50" s="12">
        <v>8732051.1157178208</v>
      </c>
      <c r="P50" s="12">
        <v>8920540.6151379757</v>
      </c>
      <c r="Q50" s="12">
        <v>9479391.1375404</v>
      </c>
      <c r="R50" s="12">
        <v>9824519.2102323379</v>
      </c>
      <c r="S50" s="12">
        <v>11122837.804823259</v>
      </c>
      <c r="T50" s="12">
        <v>11283401.350283856</v>
      </c>
      <c r="U50" s="12">
        <v>11369808.533757433</v>
      </c>
      <c r="V50" s="12">
        <v>11807411.133663299</v>
      </c>
      <c r="W50" s="12">
        <v>12601072.192425331</v>
      </c>
      <c r="X50" s="12">
        <v>11800174.012457104</v>
      </c>
      <c r="Y50" s="12">
        <v>13187276.122000001</v>
      </c>
    </row>
    <row r="51" spans="1:25" ht="15" x14ac:dyDescent="0.25">
      <c r="A51" s="11" t="s">
        <v>113</v>
      </c>
      <c r="B51" s="11" t="s">
        <v>132</v>
      </c>
      <c r="C51" s="11" t="s">
        <v>133</v>
      </c>
      <c r="D51" s="12">
        <v>926596.95337094297</v>
      </c>
      <c r="E51" s="12">
        <v>1904397.1027811836</v>
      </c>
      <c r="F51" s="12">
        <v>3669965.9022908476</v>
      </c>
      <c r="G51" s="12">
        <v>5013413.0741169257</v>
      </c>
      <c r="H51" s="12">
        <v>6925667.6338014752</v>
      </c>
      <c r="I51" s="12">
        <v>12111641.99409923</v>
      </c>
      <c r="J51" s="12">
        <v>17912377.018901885</v>
      </c>
      <c r="K51" s="12">
        <v>28698847.429647278</v>
      </c>
      <c r="L51" s="8">
        <f t="shared" si="0"/>
        <v>26318238.716346074</v>
      </c>
      <c r="M51" s="12">
        <v>23461508.260384627</v>
      </c>
      <c r="N51" s="12">
        <v>29225677.889389314</v>
      </c>
      <c r="O51" s="12">
        <v>30033517.353924703</v>
      </c>
      <c r="P51" s="12">
        <v>29947801.890943076</v>
      </c>
      <c r="Q51" s="12">
        <v>30945676.496517967</v>
      </c>
      <c r="R51" s="12">
        <v>30073219.99218107</v>
      </c>
      <c r="S51" s="12">
        <v>34076800.697340339</v>
      </c>
      <c r="T51" s="12">
        <v>34097461.59406203</v>
      </c>
      <c r="U51" s="12">
        <v>35293296.352800913</v>
      </c>
      <c r="V51" s="12">
        <v>35835201.729312152</v>
      </c>
      <c r="W51" s="12">
        <v>38020890.418537132</v>
      </c>
      <c r="X51" s="12">
        <v>36369804.211358093</v>
      </c>
      <c r="Y51" s="12">
        <v>41374976.047999963</v>
      </c>
    </row>
    <row r="52" spans="1:25" ht="15" x14ac:dyDescent="0.25">
      <c r="A52" s="11" t="s">
        <v>113</v>
      </c>
      <c r="B52" s="11" t="s">
        <v>134</v>
      </c>
      <c r="C52" s="11" t="s">
        <v>135</v>
      </c>
      <c r="D52" s="12">
        <v>150430.00639826769</v>
      </c>
      <c r="E52" s="12">
        <v>421309.52485753398</v>
      </c>
      <c r="F52" s="12">
        <v>587661.55728682911</v>
      </c>
      <c r="G52" s="12">
        <v>991577.25442330632</v>
      </c>
      <c r="H52" s="12">
        <v>1705956.1935055517</v>
      </c>
      <c r="I52" s="12">
        <v>2642668.6549105574</v>
      </c>
      <c r="J52" s="12">
        <v>4110736.0437734034</v>
      </c>
      <c r="K52" s="12">
        <v>3784543.5210129875</v>
      </c>
      <c r="L52" s="8">
        <f t="shared" si="0"/>
        <v>3807221.155358057</v>
      </c>
      <c r="M52" s="12">
        <v>3834434.3165721404</v>
      </c>
      <c r="N52" s="12">
        <v>4725613.5699728839</v>
      </c>
      <c r="O52" s="12">
        <v>4883777.7240536809</v>
      </c>
      <c r="P52" s="12">
        <v>4977084.3381928168</v>
      </c>
      <c r="Q52" s="12">
        <v>5285368.6965388507</v>
      </c>
      <c r="R52" s="12">
        <v>5437538.9038930507</v>
      </c>
      <c r="S52" s="12">
        <v>6008617.2027660878</v>
      </c>
      <c r="T52" s="12">
        <v>5894425.1755405394</v>
      </c>
      <c r="U52" s="12">
        <v>5803199.8910359479</v>
      </c>
      <c r="V52" s="12">
        <v>6174881.7127519315</v>
      </c>
      <c r="W52" s="12">
        <v>6519462.8582360223</v>
      </c>
      <c r="X52" s="12">
        <v>6321350.1773333959</v>
      </c>
      <c r="Y52" s="12">
        <v>6794157.001000002</v>
      </c>
    </row>
    <row r="53" spans="1:25" ht="15" x14ac:dyDescent="0.25">
      <c r="A53" s="11" t="s">
        <v>113</v>
      </c>
      <c r="B53" s="11" t="s">
        <v>136</v>
      </c>
      <c r="C53" s="11" t="s">
        <v>137</v>
      </c>
      <c r="D53" s="12">
        <v>1224361.7752269069</v>
      </c>
      <c r="E53" s="12">
        <v>2136457.158710897</v>
      </c>
      <c r="F53" s="12">
        <v>3585751.1754679596</v>
      </c>
      <c r="G53" s="12">
        <v>4819383.1896626847</v>
      </c>
      <c r="H53" s="12">
        <v>6203398.1486974936</v>
      </c>
      <c r="I53" s="12">
        <v>9613828.868713893</v>
      </c>
      <c r="J53" s="12">
        <v>14563486.432884764</v>
      </c>
      <c r="K53" s="12">
        <v>16914440.100956079</v>
      </c>
      <c r="L53" s="8">
        <f t="shared" si="0"/>
        <v>16952888.935637664</v>
      </c>
      <c r="M53" s="12">
        <v>16999027.53725557</v>
      </c>
      <c r="N53" s="12">
        <v>18866497.373716298</v>
      </c>
      <c r="O53" s="12">
        <v>19441798.86931362</v>
      </c>
      <c r="P53" s="12">
        <v>19368133.71155329</v>
      </c>
      <c r="Q53" s="12">
        <v>20344155.778487317</v>
      </c>
      <c r="R53" s="12">
        <v>20051500.745825358</v>
      </c>
      <c r="S53" s="12">
        <v>21769761.457601309</v>
      </c>
      <c r="T53" s="12">
        <v>22147061.256970067</v>
      </c>
      <c r="U53" s="12">
        <v>22508829.459833588</v>
      </c>
      <c r="V53" s="12">
        <v>23455021.900873058</v>
      </c>
      <c r="W53" s="12">
        <v>24913997.008741841</v>
      </c>
      <c r="X53" s="12">
        <v>24154039.618134364</v>
      </c>
      <c r="Y53" s="12">
        <v>25629191.506999999</v>
      </c>
    </row>
    <row r="54" spans="1:25" ht="15" x14ac:dyDescent="0.25">
      <c r="A54" s="11" t="s">
        <v>138</v>
      </c>
      <c r="B54" s="11" t="s">
        <v>139</v>
      </c>
      <c r="C54" s="11" t="s">
        <v>140</v>
      </c>
      <c r="D54" s="12">
        <v>41105.134656186798</v>
      </c>
      <c r="E54" s="12">
        <v>177955.86167344928</v>
      </c>
      <c r="F54" s="12">
        <v>278572.15247595217</v>
      </c>
      <c r="G54" s="12">
        <v>450731.53778522648</v>
      </c>
      <c r="H54" s="12">
        <v>1656418.0317851475</v>
      </c>
      <c r="I54" s="12">
        <v>1675764.7650679622</v>
      </c>
      <c r="J54" s="12">
        <v>2411969.4004142047</v>
      </c>
      <c r="K54" s="12">
        <v>1697147.3050870926</v>
      </c>
      <c r="L54" s="8">
        <f t="shared" si="0"/>
        <v>1746639.326223304</v>
      </c>
      <c r="M54" s="12">
        <v>1806029.7515867576</v>
      </c>
      <c r="N54" s="12">
        <v>1827726.0317583843</v>
      </c>
      <c r="O54" s="12">
        <v>2191837.2430105959</v>
      </c>
      <c r="P54" s="12">
        <v>2497614.912639969</v>
      </c>
      <c r="Q54" s="12">
        <v>2634334.8107063933</v>
      </c>
      <c r="R54" s="12">
        <v>2994832.1150639467</v>
      </c>
      <c r="S54" s="12">
        <v>3125123.8716376615</v>
      </c>
      <c r="T54" s="12">
        <v>3328683.0130251367</v>
      </c>
      <c r="U54" s="12">
        <v>3846079.4085464999</v>
      </c>
      <c r="V54" s="12">
        <v>3936786.3888934329</v>
      </c>
      <c r="W54" s="12">
        <v>4708696.034642606</v>
      </c>
      <c r="X54" s="12">
        <v>4381722.9228470745</v>
      </c>
      <c r="Y54" s="12">
        <v>4746802.4910000004</v>
      </c>
    </row>
    <row r="55" spans="1:25" ht="15" x14ac:dyDescent="0.25">
      <c r="A55" s="11" t="s">
        <v>138</v>
      </c>
      <c r="B55" s="11" t="s">
        <v>141</v>
      </c>
      <c r="C55" s="11" t="s">
        <v>142</v>
      </c>
      <c r="D55" s="12">
        <v>25135.7526634717</v>
      </c>
      <c r="E55" s="12">
        <v>189678.92644616318</v>
      </c>
      <c r="F55" s="12">
        <v>371816.85540917102</v>
      </c>
      <c r="G55" s="12">
        <v>888105.04982115701</v>
      </c>
      <c r="H55" s="12">
        <v>1709578.8537793937</v>
      </c>
      <c r="I55" s="12">
        <v>3099257.8143955567</v>
      </c>
      <c r="J55" s="12">
        <v>6143723.3339060312</v>
      </c>
      <c r="K55" s="12">
        <v>7529791.890495793</v>
      </c>
      <c r="L55" s="8">
        <f t="shared" si="0"/>
        <v>8948939.1095645856</v>
      </c>
      <c r="M55" s="12">
        <v>10651915.772447137</v>
      </c>
      <c r="N55" s="12">
        <v>10285614.399385391</v>
      </c>
      <c r="O55" s="12">
        <v>10919500.490227992</v>
      </c>
      <c r="P55" s="12">
        <v>11207921.340546994</v>
      </c>
      <c r="Q55" s="12">
        <v>11856022.953075612</v>
      </c>
      <c r="R55" s="12">
        <v>12271223.278842246</v>
      </c>
      <c r="S55" s="12">
        <v>12942909.578825584</v>
      </c>
      <c r="T55" s="12">
        <v>12724602.503848854</v>
      </c>
      <c r="U55" s="12">
        <v>13090731.241780767</v>
      </c>
      <c r="V55" s="12">
        <v>14377477.057625931</v>
      </c>
      <c r="W55" s="12">
        <v>15465772.968451288</v>
      </c>
      <c r="X55" s="12">
        <v>16012865.062514346</v>
      </c>
      <c r="Y55" s="12">
        <v>17329535.164000001</v>
      </c>
    </row>
    <row r="56" spans="1:25" ht="15" x14ac:dyDescent="0.25">
      <c r="A56" s="11" t="s">
        <v>138</v>
      </c>
      <c r="B56" s="11" t="s">
        <v>143</v>
      </c>
      <c r="C56" s="11" t="s">
        <v>144</v>
      </c>
      <c r="D56" s="12">
        <v>17115.100321166999</v>
      </c>
      <c r="E56" s="12">
        <v>50085.225090955195</v>
      </c>
      <c r="F56" s="12">
        <v>105368.4234312381</v>
      </c>
      <c r="G56" s="12">
        <v>191137.39608157118</v>
      </c>
      <c r="H56" s="12">
        <v>782911.3576425073</v>
      </c>
      <c r="I56" s="12">
        <v>1382484.5091842283</v>
      </c>
      <c r="J56" s="12">
        <v>2255440.9510148829</v>
      </c>
      <c r="K56" s="12">
        <v>2198397.1877014814</v>
      </c>
      <c r="L56" s="8">
        <f t="shared" si="0"/>
        <v>3020852.7014996931</v>
      </c>
      <c r="M56" s="12">
        <v>4007799.3180575469</v>
      </c>
      <c r="N56" s="12">
        <v>4345620.661803172</v>
      </c>
      <c r="O56" s="12">
        <v>4593707.1646395912</v>
      </c>
      <c r="P56" s="12">
        <v>5075167.5157102309</v>
      </c>
      <c r="Q56" s="12">
        <v>5070788.485025377</v>
      </c>
      <c r="R56" s="12">
        <v>5864719.8776852135</v>
      </c>
      <c r="S56" s="12">
        <v>6442219.3841261035</v>
      </c>
      <c r="T56" s="12">
        <v>5931465.4373876983</v>
      </c>
      <c r="U56" s="12">
        <v>6050125.5477434117</v>
      </c>
      <c r="V56" s="12">
        <v>6454018.2805142365</v>
      </c>
      <c r="W56" s="12">
        <v>6832993.1693517799</v>
      </c>
      <c r="X56" s="12">
        <v>7371953.6282043606</v>
      </c>
      <c r="Y56" s="12">
        <v>8532571.9250000007</v>
      </c>
    </row>
    <row r="57" spans="1:25" ht="15" x14ac:dyDescent="0.25">
      <c r="A57" s="11" t="s">
        <v>138</v>
      </c>
      <c r="B57" s="11" t="s">
        <v>145</v>
      </c>
      <c r="C57" s="11" t="s">
        <v>146</v>
      </c>
      <c r="D57" s="12">
        <v>28110.259992713</v>
      </c>
      <c r="E57" s="12">
        <v>252918.56016482532</v>
      </c>
      <c r="F57" s="12">
        <v>229112.86634356738</v>
      </c>
      <c r="G57" s="12">
        <v>727865.77329390484</v>
      </c>
      <c r="H57" s="12">
        <v>1599531.5872650789</v>
      </c>
      <c r="I57" s="12">
        <v>3328056.1336176679</v>
      </c>
      <c r="J57" s="12">
        <v>8217508.2728176033</v>
      </c>
      <c r="K57" s="12">
        <v>8443409.7226526532</v>
      </c>
      <c r="L57" s="8">
        <f t="shared" si="0"/>
        <v>7679156.2622069605</v>
      </c>
      <c r="M57" s="12">
        <v>6762052.1096721282</v>
      </c>
      <c r="N57" s="12">
        <v>7791635.5158484047</v>
      </c>
      <c r="O57" s="12">
        <v>7850165.6164584057</v>
      </c>
      <c r="P57" s="12">
        <v>8651680.2809565347</v>
      </c>
      <c r="Q57" s="12">
        <v>9226736.0119923931</v>
      </c>
      <c r="R57" s="12">
        <v>10962104.641170491</v>
      </c>
      <c r="S57" s="12">
        <v>10103988.726444507</v>
      </c>
      <c r="T57" s="12">
        <v>9158427.4663508702</v>
      </c>
      <c r="U57" s="12">
        <v>9238223.2111373898</v>
      </c>
      <c r="V57" s="12">
        <v>10824144.639358249</v>
      </c>
      <c r="W57" s="12">
        <v>11555070.612545228</v>
      </c>
      <c r="X57" s="12">
        <v>11664959.651036916</v>
      </c>
      <c r="Y57" s="12">
        <v>12905297.151999999</v>
      </c>
    </row>
    <row r="58" spans="1:25" ht="15" x14ac:dyDescent="0.25">
      <c r="A58" s="11" t="s">
        <v>147</v>
      </c>
      <c r="B58" s="11" t="s">
        <v>148</v>
      </c>
      <c r="C58" s="11" t="s">
        <v>149</v>
      </c>
      <c r="D58" s="12">
        <v>2839.9394471154001</v>
      </c>
      <c r="E58" s="12">
        <v>18493.643369609999</v>
      </c>
      <c r="F58" s="12">
        <v>12021.771421482799</v>
      </c>
      <c r="G58" s="12">
        <v>3798.8291579791999</v>
      </c>
      <c r="H58" s="12">
        <v>17142.145566953797</v>
      </c>
      <c r="I58" s="12">
        <v>234235.60973393352</v>
      </c>
      <c r="J58" s="12">
        <v>1826950.2193969153</v>
      </c>
      <c r="K58" s="12">
        <v>3018599.1686083758</v>
      </c>
      <c r="L58" s="8">
        <f t="shared" si="0"/>
        <v>3554157.5698212339</v>
      </c>
      <c r="M58" s="12">
        <v>4196827.6512766629</v>
      </c>
      <c r="N58" s="12">
        <v>8331143.2511009779</v>
      </c>
      <c r="O58" s="12">
        <v>10484224.728253607</v>
      </c>
      <c r="P58" s="12">
        <v>10708542.027520904</v>
      </c>
      <c r="Q58" s="12">
        <v>13234197.869455459</v>
      </c>
      <c r="R58" s="12">
        <v>15864660.719257034</v>
      </c>
      <c r="S58" s="12">
        <v>20721133.528919447</v>
      </c>
      <c r="T58" s="12">
        <v>17936586.613348104</v>
      </c>
      <c r="U58" s="12">
        <v>14922215.208084542</v>
      </c>
      <c r="V58" s="12">
        <v>18669652.167579774</v>
      </c>
      <c r="W58" s="12">
        <v>23467985.260796294</v>
      </c>
      <c r="X58" s="12">
        <v>23360287.560212869</v>
      </c>
      <c r="Y58" s="12">
        <v>20512370.485000003</v>
      </c>
    </row>
    <row r="59" spans="1:25" ht="15" x14ac:dyDescent="0.25">
      <c r="A59" s="11" t="s">
        <v>147</v>
      </c>
      <c r="B59" s="11" t="s">
        <v>150</v>
      </c>
      <c r="C59" s="11" t="s">
        <v>151</v>
      </c>
      <c r="D59" s="12">
        <v>2584.8414115495002</v>
      </c>
      <c r="E59" s="12">
        <v>5027.5492946431996</v>
      </c>
      <c r="F59" s="12">
        <v>7948.7001839246996</v>
      </c>
      <c r="G59" s="12">
        <v>13272.6843773322</v>
      </c>
      <c r="H59" s="12">
        <v>39319.412762644701</v>
      </c>
      <c r="I59" s="12">
        <v>307776.51606441161</v>
      </c>
      <c r="J59" s="12">
        <v>744676.36510849069</v>
      </c>
      <c r="K59" s="12">
        <v>1026151.0384734292</v>
      </c>
      <c r="L59" s="8">
        <f t="shared" si="0"/>
        <v>1208410.1706661931</v>
      </c>
      <c r="M59" s="12">
        <v>1427121.1292975098</v>
      </c>
      <c r="N59" s="12">
        <v>2082052.9862660647</v>
      </c>
      <c r="O59" s="12">
        <v>2429987.155844057</v>
      </c>
      <c r="P59" s="12">
        <v>2502756.859069725</v>
      </c>
      <c r="Q59" s="12">
        <v>2976673.4602223965</v>
      </c>
      <c r="R59" s="12">
        <v>3300208.9935773392</v>
      </c>
      <c r="S59" s="12">
        <v>4184589.5284514269</v>
      </c>
      <c r="T59" s="12">
        <v>4025913.746662708</v>
      </c>
      <c r="U59" s="12">
        <v>3426748.5548768346</v>
      </c>
      <c r="V59" s="12">
        <v>3946080.4208222753</v>
      </c>
      <c r="W59" s="12">
        <v>4783389.0245284745</v>
      </c>
      <c r="X59" s="12">
        <v>4628212.5120300334</v>
      </c>
      <c r="Y59" s="12">
        <v>4340413.3520000009</v>
      </c>
    </row>
    <row r="60" spans="1:25" ht="15" x14ac:dyDescent="0.25">
      <c r="A60" s="11" t="s">
        <v>147</v>
      </c>
      <c r="B60" s="11" t="s">
        <v>152</v>
      </c>
      <c r="C60" s="11" t="s">
        <v>153</v>
      </c>
      <c r="D60" s="12">
        <v>182.7556227149</v>
      </c>
      <c r="E60" s="12">
        <v>4478.2709056456997</v>
      </c>
      <c r="F60" s="12">
        <v>6142.2920735685002</v>
      </c>
      <c r="G60" s="12">
        <v>6647.6884497623996</v>
      </c>
      <c r="H60" s="12">
        <v>70188.301835934195</v>
      </c>
      <c r="I60" s="12">
        <v>317033.86446955538</v>
      </c>
      <c r="J60" s="12">
        <v>1366147.4844147917</v>
      </c>
      <c r="K60" s="12">
        <v>1583326.6998849921</v>
      </c>
      <c r="L60" s="8">
        <f t="shared" si="0"/>
        <v>1770763.9538133363</v>
      </c>
      <c r="M60" s="12">
        <v>1995688.6585273496</v>
      </c>
      <c r="N60" s="12">
        <v>2639773.1313401517</v>
      </c>
      <c r="O60" s="12">
        <v>2890858.5453814291</v>
      </c>
      <c r="P60" s="12">
        <v>3037273.3181171757</v>
      </c>
      <c r="Q60" s="12">
        <v>3529527.3440036736</v>
      </c>
      <c r="R60" s="12">
        <v>3688996.0474861856</v>
      </c>
      <c r="S60" s="12">
        <v>4007882.8170226081</v>
      </c>
      <c r="T60" s="12">
        <v>4053693.9459249177</v>
      </c>
      <c r="U60" s="12">
        <v>4015136.1537828348</v>
      </c>
      <c r="V60" s="12">
        <v>4318372.1805970566</v>
      </c>
      <c r="W60" s="12">
        <v>4530101.3935973253</v>
      </c>
      <c r="X60" s="12">
        <v>4601248.2956736302</v>
      </c>
      <c r="Y60" s="12">
        <v>4825184.7149999999</v>
      </c>
    </row>
    <row r="61" spans="1:25" ht="15" x14ac:dyDescent="0.25">
      <c r="A61" s="11" t="s">
        <v>147</v>
      </c>
      <c r="B61" s="11" t="s">
        <v>154</v>
      </c>
      <c r="C61" s="11" t="s">
        <v>155</v>
      </c>
      <c r="D61" s="12">
        <v>47772.781059650893</v>
      </c>
      <c r="E61" s="12">
        <v>206264.53491171109</v>
      </c>
      <c r="F61" s="12">
        <v>298170.48581394315</v>
      </c>
      <c r="G61" s="12">
        <v>389737.82147797087</v>
      </c>
      <c r="H61" s="12">
        <v>1252149.4784987036</v>
      </c>
      <c r="I61" s="12">
        <v>3226350.2925302419</v>
      </c>
      <c r="J61" s="12">
        <v>4837476.2877918752</v>
      </c>
      <c r="K61" s="12">
        <v>7899979.0977021698</v>
      </c>
      <c r="L61" s="8">
        <f t="shared" si="0"/>
        <v>9039361.9681715593</v>
      </c>
      <c r="M61" s="12">
        <v>10406621.412734829</v>
      </c>
      <c r="N61" s="12">
        <v>11113379.316743782</v>
      </c>
      <c r="O61" s="12">
        <v>11693080.853311583</v>
      </c>
      <c r="P61" s="12">
        <v>11511353.82750624</v>
      </c>
      <c r="Q61" s="12">
        <v>11914134.379539603</v>
      </c>
      <c r="R61" s="12">
        <v>12979795.154605554</v>
      </c>
      <c r="S61" s="12">
        <v>15145970.672926467</v>
      </c>
      <c r="T61" s="12">
        <v>15225093.624995587</v>
      </c>
      <c r="U61" s="12">
        <v>14419271.327128667</v>
      </c>
      <c r="V61" s="12">
        <v>15228660.378440475</v>
      </c>
      <c r="W61" s="12">
        <v>15995467.477369353</v>
      </c>
      <c r="X61" s="12">
        <v>16453630.135107702</v>
      </c>
      <c r="Y61" s="12">
        <v>17043192.25</v>
      </c>
    </row>
    <row r="62" spans="1:25" ht="15" x14ac:dyDescent="0.25">
      <c r="A62" s="11" t="s">
        <v>147</v>
      </c>
      <c r="B62" s="11" t="s">
        <v>156</v>
      </c>
      <c r="C62" s="11" t="s">
        <v>157</v>
      </c>
      <c r="E62" s="12">
        <v>39502.2144164774</v>
      </c>
      <c r="F62" s="12">
        <v>83814.308712860395</v>
      </c>
      <c r="G62" s="12">
        <v>150314.48593351943</v>
      </c>
      <c r="H62" s="12">
        <v>529817.28179223626</v>
      </c>
      <c r="I62" s="12">
        <v>1057172.6409241459</v>
      </c>
      <c r="J62" s="12">
        <v>1779030.0755958552</v>
      </c>
      <c r="K62" s="12">
        <v>2707522.4826984424</v>
      </c>
      <c r="L62" s="8">
        <f t="shared" si="0"/>
        <v>3025916.6026230659</v>
      </c>
      <c r="M62" s="12">
        <v>3407989.5465326137</v>
      </c>
      <c r="N62" s="12">
        <v>5311648.9953354597</v>
      </c>
      <c r="O62" s="12">
        <v>6071347.9054904347</v>
      </c>
      <c r="P62" s="12">
        <v>6260783.5591073362</v>
      </c>
      <c r="Q62" s="12">
        <v>8128157.9751703711</v>
      </c>
      <c r="R62" s="12">
        <v>10604139.2155462</v>
      </c>
      <c r="S62" s="12">
        <v>13057187.728075271</v>
      </c>
      <c r="T62" s="12">
        <v>12650737.656501861</v>
      </c>
      <c r="U62" s="12">
        <v>9893891.0862008054</v>
      </c>
      <c r="V62" s="12">
        <v>11865023.086376857</v>
      </c>
      <c r="W62" s="12">
        <v>13339762.359851748</v>
      </c>
      <c r="X62" s="12">
        <v>13076897.302974526</v>
      </c>
      <c r="Y62" s="12">
        <v>12878829.314999999</v>
      </c>
    </row>
    <row r="63" spans="1:25" ht="15" x14ac:dyDescent="0.25">
      <c r="A63" s="11" t="s">
        <v>158</v>
      </c>
      <c r="B63" s="11" t="s">
        <v>159</v>
      </c>
      <c r="C63" s="11" t="s">
        <v>160</v>
      </c>
      <c r="D63" s="12">
        <v>47587.486580044097</v>
      </c>
      <c r="E63" s="12">
        <v>126572.11980888949</v>
      </c>
      <c r="F63" s="12">
        <v>151211.9050078991</v>
      </c>
      <c r="G63" s="12">
        <v>367114.62294055743</v>
      </c>
      <c r="H63" s="12">
        <v>736229.24057078955</v>
      </c>
      <c r="I63" s="12">
        <v>1064351.9059923203</v>
      </c>
      <c r="J63" s="12">
        <v>4148900.2915455285</v>
      </c>
      <c r="K63" s="12">
        <v>7212095.1046145083</v>
      </c>
      <c r="L63" s="8">
        <f t="shared" si="0"/>
        <v>5320595.3568363441</v>
      </c>
      <c r="M63" s="12">
        <v>3050795.6595025472</v>
      </c>
      <c r="N63" s="12">
        <v>3458608.7262452831</v>
      </c>
      <c r="O63" s="12">
        <v>3704996.1854652669</v>
      </c>
      <c r="P63" s="12">
        <v>4122236.9597965628</v>
      </c>
      <c r="Q63" s="12">
        <v>4537232.1144621791</v>
      </c>
      <c r="R63" s="12">
        <v>4640601.4346123962</v>
      </c>
      <c r="S63" s="12">
        <v>4954957.9948281161</v>
      </c>
      <c r="T63" s="12">
        <v>4753371.9895229358</v>
      </c>
      <c r="U63" s="12">
        <v>4480842.0793437194</v>
      </c>
      <c r="V63" s="12">
        <v>4618788.3965300601</v>
      </c>
      <c r="W63" s="12">
        <v>5282385.2286073528</v>
      </c>
      <c r="X63" s="12">
        <v>4741858.5299300253</v>
      </c>
      <c r="Y63" s="12">
        <v>5631265.5250000004</v>
      </c>
    </row>
    <row r="64" spans="1:25" ht="15" x14ac:dyDescent="0.25">
      <c r="A64" s="11" t="s">
        <v>158</v>
      </c>
      <c r="B64" s="11" t="s">
        <v>161</v>
      </c>
      <c r="C64" s="11" t="s">
        <v>162</v>
      </c>
      <c r="D64" s="12">
        <v>81114.309400859696</v>
      </c>
      <c r="E64" s="12">
        <v>113852.1830861083</v>
      </c>
      <c r="F64" s="12">
        <v>82512.701841301503</v>
      </c>
      <c r="G64" s="12">
        <v>141503.84558938979</v>
      </c>
      <c r="H64" s="12">
        <v>440138.22154032125</v>
      </c>
      <c r="I64" s="12">
        <v>699423.30901484948</v>
      </c>
      <c r="J64" s="12">
        <v>1408689.5651918577</v>
      </c>
      <c r="K64" s="12">
        <v>1438624.5294518529</v>
      </c>
      <c r="L64" s="8">
        <f t="shared" si="0"/>
        <v>1243595.8193639903</v>
      </c>
      <c r="M64" s="12">
        <v>1009561.367258555</v>
      </c>
      <c r="N64" s="12">
        <v>1057760.2714119151</v>
      </c>
      <c r="O64" s="12">
        <v>1093080.7493513839</v>
      </c>
      <c r="P64" s="12">
        <v>1274570.8478606471</v>
      </c>
      <c r="Q64" s="12">
        <v>1338270.6383402513</v>
      </c>
      <c r="R64" s="12">
        <v>1253007.6797001068</v>
      </c>
      <c r="S64" s="12">
        <v>1262295.4750165651</v>
      </c>
      <c r="T64" s="12">
        <v>1270424.19886544</v>
      </c>
      <c r="U64" s="12">
        <v>1279537.2195229302</v>
      </c>
      <c r="V64" s="12">
        <v>1408703.8550357076</v>
      </c>
      <c r="W64" s="12">
        <v>1417827.8214400997</v>
      </c>
      <c r="X64" s="12">
        <v>1485036.042125301</v>
      </c>
      <c r="Y64" s="12">
        <v>1592425.4929999998</v>
      </c>
    </row>
    <row r="65" spans="1:25" ht="15" x14ac:dyDescent="0.25">
      <c r="A65" s="11" t="s">
        <v>158</v>
      </c>
      <c r="B65" s="11" t="s">
        <v>163</v>
      </c>
      <c r="C65" s="11" t="s">
        <v>164</v>
      </c>
      <c r="D65" s="12">
        <v>291653.75576725201</v>
      </c>
      <c r="E65" s="12">
        <v>914283.2525060433</v>
      </c>
      <c r="F65" s="12">
        <v>1158814.520629508</v>
      </c>
      <c r="G65" s="12">
        <v>2458410.4202487483</v>
      </c>
      <c r="H65" s="12">
        <v>4771739.9303261312</v>
      </c>
      <c r="I65" s="12">
        <v>7300192.4772195052</v>
      </c>
      <c r="J65" s="12">
        <v>12858847.009432504</v>
      </c>
      <c r="K65" s="12">
        <v>15180112.942222964</v>
      </c>
      <c r="L65" s="8">
        <f t="shared" si="0"/>
        <v>16618347.608997505</v>
      </c>
      <c r="M65" s="12">
        <v>18344229.209126957</v>
      </c>
      <c r="N65" s="12">
        <v>19370174.311900456</v>
      </c>
      <c r="O65" s="12">
        <v>21576820.761112273</v>
      </c>
      <c r="P65" s="12">
        <v>22023199.286795273</v>
      </c>
      <c r="Q65" s="12">
        <v>22699514.918909173</v>
      </c>
      <c r="R65" s="12">
        <v>22884590.350745581</v>
      </c>
      <c r="S65" s="12">
        <v>25450857.91522095</v>
      </c>
      <c r="T65" s="12">
        <v>25671488.183851145</v>
      </c>
      <c r="U65" s="12">
        <v>27001178.094792277</v>
      </c>
      <c r="V65" s="12">
        <v>28594151.475185789</v>
      </c>
      <c r="W65" s="12">
        <v>28694753.552156672</v>
      </c>
      <c r="X65" s="12">
        <v>28321731.354937311</v>
      </c>
      <c r="Y65" s="12">
        <v>28489280.610999998</v>
      </c>
    </row>
    <row r="66" spans="1:25" ht="15" x14ac:dyDescent="0.25">
      <c r="A66" s="11" t="s">
        <v>158</v>
      </c>
      <c r="B66" s="11" t="s">
        <v>165</v>
      </c>
      <c r="C66" s="11" t="s">
        <v>166</v>
      </c>
      <c r="D66" s="12">
        <v>207647.01178562024</v>
      </c>
      <c r="E66" s="12">
        <v>364988.4024410675</v>
      </c>
      <c r="F66" s="12">
        <v>280702.18866111687</v>
      </c>
      <c r="G66" s="12">
        <v>598876.72382523876</v>
      </c>
      <c r="H66" s="12">
        <v>1470325.6873558494</v>
      </c>
      <c r="I66" s="12">
        <v>2400699.4376116125</v>
      </c>
      <c r="J66" s="12">
        <v>4574794.4910420813</v>
      </c>
      <c r="K66" s="12">
        <v>4934999.7528970828</v>
      </c>
      <c r="L66" s="8">
        <f t="shared" si="0"/>
        <v>4158141.7359230616</v>
      </c>
      <c r="M66" s="12">
        <v>3225912.1155542363</v>
      </c>
      <c r="N66" s="12">
        <v>4584119.5359099265</v>
      </c>
      <c r="O66" s="12">
        <v>4508857.9897703808</v>
      </c>
      <c r="P66" s="12">
        <v>5103517.0312915556</v>
      </c>
      <c r="Q66" s="12">
        <v>5343553.931926175</v>
      </c>
      <c r="R66" s="12">
        <v>5271636.4456333034</v>
      </c>
      <c r="S66" s="12">
        <v>5331723.166044144</v>
      </c>
      <c r="T66" s="12">
        <v>5503629.6413001018</v>
      </c>
      <c r="U66" s="12">
        <v>5722179.6341289077</v>
      </c>
      <c r="V66" s="12">
        <v>6311607.7179032527</v>
      </c>
      <c r="W66" s="12">
        <v>6352232.6186534548</v>
      </c>
      <c r="X66" s="12">
        <v>6652706.8649615487</v>
      </c>
      <c r="Y66" s="12">
        <v>7200948.222000001</v>
      </c>
    </row>
    <row r="67" spans="1:25" ht="15" x14ac:dyDescent="0.25">
      <c r="A67" s="11" t="s">
        <v>158</v>
      </c>
      <c r="B67" s="11" t="s">
        <v>167</v>
      </c>
      <c r="C67" s="11" t="s">
        <v>168</v>
      </c>
      <c r="D67" s="12">
        <v>26058.829593266699</v>
      </c>
      <c r="E67" s="12">
        <v>30745.026096559002</v>
      </c>
      <c r="F67" s="12">
        <v>18824.262216765499</v>
      </c>
      <c r="G67" s="12">
        <v>20265.7073564852</v>
      </c>
      <c r="H67" s="12">
        <v>96478.790812356106</v>
      </c>
      <c r="I67" s="12">
        <v>206130.877860393</v>
      </c>
      <c r="J67" s="12">
        <v>745599.87238071719</v>
      </c>
      <c r="K67" s="12">
        <v>1841400.2532491069</v>
      </c>
      <c r="L67" s="8">
        <f t="shared" ref="L67:L130" si="1">K67+5*(M67-K67)/11</f>
        <v>1449710.9944982207</v>
      </c>
      <c r="M67" s="12">
        <v>979683.88399715722</v>
      </c>
      <c r="N67" s="12">
        <v>1629863.2056569546</v>
      </c>
      <c r="O67" s="12">
        <v>1536611.0344902202</v>
      </c>
      <c r="P67" s="12">
        <v>1825914.2497606662</v>
      </c>
      <c r="Q67" s="12">
        <v>2030367.4173402283</v>
      </c>
      <c r="R67" s="12">
        <v>2096285.3301234937</v>
      </c>
      <c r="S67" s="12">
        <v>2248664.5516566811</v>
      </c>
      <c r="T67" s="12">
        <v>2267179.6640339205</v>
      </c>
      <c r="U67" s="12">
        <v>2338785.7280040924</v>
      </c>
      <c r="V67" s="12">
        <v>2666570.7636682056</v>
      </c>
      <c r="W67" s="12">
        <v>2640922.9729489279</v>
      </c>
      <c r="X67" s="12">
        <v>2641744.3023283393</v>
      </c>
      <c r="Y67" s="12">
        <v>2833288.8</v>
      </c>
    </row>
    <row r="68" spans="1:25" ht="15" x14ac:dyDescent="0.25">
      <c r="A68" s="11" t="s">
        <v>158</v>
      </c>
      <c r="B68" s="11" t="s">
        <v>169</v>
      </c>
      <c r="C68" s="11" t="s">
        <v>170</v>
      </c>
      <c r="D68" s="12">
        <v>7233.6941563649007</v>
      </c>
      <c r="E68" s="12">
        <v>20117.232259808403</v>
      </c>
      <c r="F68" s="12">
        <v>41663.855136031903</v>
      </c>
      <c r="G68" s="12">
        <v>84333.494010409195</v>
      </c>
      <c r="H68" s="12">
        <v>199177.69066679568</v>
      </c>
      <c r="I68" s="12">
        <v>665308.02986734197</v>
      </c>
      <c r="J68" s="12">
        <v>3316663.583988918</v>
      </c>
      <c r="K68" s="12">
        <v>5294940.6751141613</v>
      </c>
      <c r="L68" s="8">
        <f t="shared" si="1"/>
        <v>5208319.0707822423</v>
      </c>
      <c r="M68" s="12">
        <v>5104373.1455839397</v>
      </c>
      <c r="N68" s="12">
        <v>9245044.5576796047</v>
      </c>
      <c r="O68" s="12">
        <v>10584502.102219991</v>
      </c>
      <c r="P68" s="12">
        <v>12210557.612234004</v>
      </c>
      <c r="Q68" s="12">
        <v>12796848.772689642</v>
      </c>
      <c r="R68" s="12">
        <v>13398626.488230875</v>
      </c>
      <c r="S68" s="12">
        <v>15707479.270596044</v>
      </c>
      <c r="T68" s="12">
        <v>16806818.532287858</v>
      </c>
      <c r="U68" s="12">
        <v>17918121.242130883</v>
      </c>
      <c r="V68" s="12">
        <v>19059863.746786129</v>
      </c>
      <c r="W68" s="12">
        <v>23699892.65103377</v>
      </c>
      <c r="X68" s="12">
        <v>19478136.261540592</v>
      </c>
      <c r="Y68" s="12">
        <v>32100387.857000005</v>
      </c>
    </row>
    <row r="69" spans="1:25" ht="15" x14ac:dyDescent="0.25">
      <c r="A69" s="11" t="s">
        <v>171</v>
      </c>
      <c r="B69" s="11" t="s">
        <v>172</v>
      </c>
      <c r="C69" s="11" t="s">
        <v>173</v>
      </c>
      <c r="D69" s="12">
        <v>34608.492204149297</v>
      </c>
      <c r="E69" s="12">
        <v>315203.04369703686</v>
      </c>
      <c r="F69" s="12">
        <v>713269.03080613306</v>
      </c>
      <c r="G69" s="12">
        <v>919847.86490903504</v>
      </c>
      <c r="H69" s="12">
        <v>866511.4475023069</v>
      </c>
      <c r="I69" s="12">
        <v>1642245.9413349601</v>
      </c>
      <c r="J69" s="12">
        <v>1756004.8621997689</v>
      </c>
      <c r="K69" s="12">
        <v>2308123.6447794368</v>
      </c>
      <c r="L69" s="8">
        <f t="shared" si="1"/>
        <v>2145857.8174787587</v>
      </c>
      <c r="M69" s="12">
        <v>1951138.824717945</v>
      </c>
      <c r="N69" s="12">
        <v>3149241.8480353728</v>
      </c>
      <c r="O69" s="12">
        <v>3249750.1200671829</v>
      </c>
      <c r="P69" s="12">
        <v>3356334.2067450071</v>
      </c>
      <c r="Q69" s="12">
        <v>3384525.9089595694</v>
      </c>
      <c r="R69" s="12">
        <v>3404721.0894806162</v>
      </c>
      <c r="S69" s="12">
        <v>3419339.3861180707</v>
      </c>
      <c r="T69" s="12">
        <v>3375799.0666886158</v>
      </c>
      <c r="U69" s="12">
        <v>3804823.813894534</v>
      </c>
      <c r="V69" s="12">
        <v>4070894.1097195963</v>
      </c>
      <c r="W69" s="12">
        <v>4464088.6156582041</v>
      </c>
      <c r="X69" s="12">
        <v>4636058.3337985408</v>
      </c>
      <c r="Y69" s="12">
        <v>4776788.2360000005</v>
      </c>
    </row>
    <row r="70" spans="1:25" ht="15" x14ac:dyDescent="0.25">
      <c r="A70" s="11" t="s">
        <v>171</v>
      </c>
      <c r="B70" s="11" t="s">
        <v>174</v>
      </c>
      <c r="C70" s="11" t="s">
        <v>175</v>
      </c>
      <c r="D70" s="12">
        <v>37598.681708146192</v>
      </c>
      <c r="E70" s="12">
        <v>73424.975430047794</v>
      </c>
      <c r="F70" s="12">
        <v>194266.2940115789</v>
      </c>
      <c r="G70" s="12">
        <v>168782.16446094529</v>
      </c>
      <c r="H70" s="12">
        <v>285315.77892186388</v>
      </c>
      <c r="I70" s="12">
        <v>508005.23233914922</v>
      </c>
      <c r="J70" s="12">
        <v>534848.85209208902</v>
      </c>
      <c r="K70" s="12">
        <v>821089.70676064526</v>
      </c>
      <c r="L70" s="8">
        <f t="shared" si="1"/>
        <v>738714.12108811701</v>
      </c>
      <c r="M70" s="12">
        <v>639863.41828108311</v>
      </c>
      <c r="N70" s="12">
        <v>933216.26158714271</v>
      </c>
      <c r="O70" s="12">
        <v>985701.92208277434</v>
      </c>
      <c r="P70" s="12">
        <v>1106476.2686460868</v>
      </c>
      <c r="Q70" s="12">
        <v>1094713.6423329997</v>
      </c>
      <c r="R70" s="12">
        <v>1053799.470907564</v>
      </c>
      <c r="S70" s="12">
        <v>1070120.1331687842</v>
      </c>
      <c r="T70" s="12">
        <v>1131225.1589843053</v>
      </c>
      <c r="U70" s="12">
        <v>1227907.630792611</v>
      </c>
      <c r="V70" s="12">
        <v>1340816.4271706941</v>
      </c>
      <c r="W70" s="12">
        <v>1436494.4586146798</v>
      </c>
      <c r="X70" s="12">
        <v>1486495.6056632134</v>
      </c>
      <c r="Y70" s="12">
        <v>1505592.8860000002</v>
      </c>
    </row>
    <row r="71" spans="1:25" ht="15" x14ac:dyDescent="0.25">
      <c r="A71" s="11" t="s">
        <v>171</v>
      </c>
      <c r="B71" s="11" t="s">
        <v>176</v>
      </c>
      <c r="C71" s="11" t="s">
        <v>177</v>
      </c>
      <c r="D71" s="12">
        <v>138588.7252077742</v>
      </c>
      <c r="E71" s="12">
        <v>498644.50880771852</v>
      </c>
      <c r="F71" s="12">
        <v>789092.72060397197</v>
      </c>
      <c r="G71" s="12">
        <v>1493320.6176497368</v>
      </c>
      <c r="H71" s="12">
        <v>1765089.679134018</v>
      </c>
      <c r="I71" s="12">
        <v>2833718.362145918</v>
      </c>
      <c r="J71" s="12">
        <v>3544223.6251509595</v>
      </c>
      <c r="K71" s="12">
        <v>3526578.8357922379</v>
      </c>
      <c r="L71" s="8">
        <f t="shared" si="1"/>
        <v>3973991.6200419869</v>
      </c>
      <c r="M71" s="12">
        <v>4510886.961141686</v>
      </c>
      <c r="N71" s="12">
        <v>5810874.1828731401</v>
      </c>
      <c r="O71" s="12">
        <v>6137786.7907213587</v>
      </c>
      <c r="P71" s="12">
        <v>6227648.8585250583</v>
      </c>
      <c r="Q71" s="12">
        <v>6275247.9547046227</v>
      </c>
      <c r="R71" s="12">
        <v>6564484.163586949</v>
      </c>
      <c r="S71" s="12">
        <v>6544058.0485708602</v>
      </c>
      <c r="T71" s="12">
        <v>6480970.0407540929</v>
      </c>
      <c r="U71" s="12">
        <v>7224103.1532455552</v>
      </c>
      <c r="V71" s="12">
        <v>7742290.2643392887</v>
      </c>
      <c r="W71" s="12">
        <v>8114691.8812867785</v>
      </c>
      <c r="X71" s="12">
        <v>8371708.9100353327</v>
      </c>
      <c r="Y71" s="12">
        <v>8563714.4689999986</v>
      </c>
    </row>
    <row r="72" spans="1:25" ht="15" x14ac:dyDescent="0.25">
      <c r="A72" s="11" t="s">
        <v>171</v>
      </c>
      <c r="B72" s="11" t="s">
        <v>178</v>
      </c>
      <c r="C72" s="11" t="s">
        <v>179</v>
      </c>
      <c r="D72" s="12">
        <v>108441.7073866166</v>
      </c>
      <c r="E72" s="12">
        <v>447427.44183580671</v>
      </c>
      <c r="F72" s="12">
        <v>716146.4573346494</v>
      </c>
      <c r="G72" s="12">
        <v>1130397.8359154188</v>
      </c>
      <c r="H72" s="12">
        <v>2087269.6359890806</v>
      </c>
      <c r="I72" s="12">
        <v>3366118.6833079387</v>
      </c>
      <c r="J72" s="12">
        <v>5566188.8178889314</v>
      </c>
      <c r="K72" s="12">
        <v>6829993.8637829153</v>
      </c>
      <c r="L72" s="8">
        <f t="shared" si="1"/>
        <v>8868144.384012714</v>
      </c>
      <c r="M72" s="12">
        <v>11313925.008288471</v>
      </c>
      <c r="N72" s="12">
        <v>10126190.290852254</v>
      </c>
      <c r="O72" s="12">
        <v>10705832.579536967</v>
      </c>
      <c r="P72" s="12">
        <v>11938358.109891007</v>
      </c>
      <c r="Q72" s="12">
        <v>12866765.694410376</v>
      </c>
      <c r="R72" s="12">
        <v>12551405.909018937</v>
      </c>
      <c r="S72" s="12">
        <v>12180896.421470288</v>
      </c>
      <c r="T72" s="12">
        <v>13276315.399468942</v>
      </c>
      <c r="U72" s="12">
        <v>14156545.216423118</v>
      </c>
      <c r="V72" s="12">
        <v>14946078.878316676</v>
      </c>
      <c r="W72" s="12">
        <v>15883501.926056987</v>
      </c>
      <c r="X72" s="12">
        <v>16643400.331730369</v>
      </c>
      <c r="Y72" s="12">
        <v>17100962.927000001</v>
      </c>
    </row>
    <row r="73" spans="1:25" ht="15" x14ac:dyDescent="0.25">
      <c r="A73" s="11" t="s">
        <v>180</v>
      </c>
      <c r="B73" s="11" t="s">
        <v>181</v>
      </c>
      <c r="C73" s="11" t="s">
        <v>182</v>
      </c>
      <c r="D73" s="12">
        <v>48271.911123252597</v>
      </c>
      <c r="E73" s="12">
        <v>196436.98940678957</v>
      </c>
      <c r="F73" s="12">
        <v>489206.6814811512</v>
      </c>
      <c r="G73" s="12">
        <v>781982.62467992865</v>
      </c>
      <c r="H73" s="12">
        <v>909369.86388555937</v>
      </c>
      <c r="I73" s="12">
        <v>2171243.1826721481</v>
      </c>
      <c r="J73" s="12">
        <v>2240912.8227937007</v>
      </c>
      <c r="K73" s="12">
        <v>2360521.1757646869</v>
      </c>
      <c r="L73" s="8">
        <f t="shared" si="1"/>
        <v>2315988.1948804804</v>
      </c>
      <c r="M73" s="12">
        <v>2262548.6178194331</v>
      </c>
      <c r="N73" s="12">
        <v>3300975.4371192027</v>
      </c>
      <c r="O73" s="12">
        <v>3370695.8148576422</v>
      </c>
      <c r="P73" s="12">
        <v>3446515.8203062024</v>
      </c>
      <c r="Q73" s="12">
        <v>3624394.6663056496</v>
      </c>
      <c r="R73" s="12">
        <v>3466434.1592923356</v>
      </c>
      <c r="S73" s="12">
        <v>3504589.7337838635</v>
      </c>
      <c r="T73" s="12">
        <v>3805303.4024557187</v>
      </c>
      <c r="U73" s="12">
        <v>4062849.6920847967</v>
      </c>
      <c r="V73" s="12">
        <v>4316473.607885723</v>
      </c>
      <c r="W73" s="12">
        <v>4623044.6461289134</v>
      </c>
      <c r="X73" s="12">
        <v>4890946.9596545883</v>
      </c>
      <c r="Y73" s="12">
        <v>5392022.602</v>
      </c>
    </row>
    <row r="74" spans="1:25" ht="15" x14ac:dyDescent="0.25">
      <c r="A74" s="11" t="s">
        <v>180</v>
      </c>
      <c r="B74" s="11" t="s">
        <v>183</v>
      </c>
      <c r="C74" s="11" t="s">
        <v>184</v>
      </c>
      <c r="D74" s="12">
        <v>24405.180081657098</v>
      </c>
      <c r="E74" s="12">
        <v>63705.449501590105</v>
      </c>
      <c r="F74" s="12">
        <v>90748.242518516199</v>
      </c>
      <c r="G74" s="12">
        <v>167797.6067317402</v>
      </c>
      <c r="H74" s="12">
        <v>400758.99341292563</v>
      </c>
      <c r="I74" s="12">
        <v>724786.95260168985</v>
      </c>
      <c r="J74" s="12">
        <v>1233435.1513752702</v>
      </c>
      <c r="K74" s="12">
        <v>1569214.9849565057</v>
      </c>
      <c r="L74" s="8">
        <f t="shared" si="1"/>
        <v>1720112.3924742448</v>
      </c>
      <c r="M74" s="12">
        <v>1901189.2814955316</v>
      </c>
      <c r="N74" s="12">
        <v>3133189.3159292494</v>
      </c>
      <c r="O74" s="12">
        <v>3202514.1313301371</v>
      </c>
      <c r="P74" s="12">
        <v>3485616.318891719</v>
      </c>
      <c r="Q74" s="12">
        <v>3719900.3107910329</v>
      </c>
      <c r="R74" s="12">
        <v>4173296.7470530961</v>
      </c>
      <c r="S74" s="12">
        <v>4331254.4178300155</v>
      </c>
      <c r="T74" s="12">
        <v>4283588.7067290572</v>
      </c>
      <c r="U74" s="12">
        <v>4157733.2383370758</v>
      </c>
      <c r="V74" s="12">
        <v>4421960.7919331435</v>
      </c>
      <c r="W74" s="12">
        <v>4961118.7228430584</v>
      </c>
      <c r="X74" s="12">
        <v>4637461.2179521015</v>
      </c>
      <c r="Y74" s="12">
        <v>5522915.1579999998</v>
      </c>
    </row>
    <row r="75" spans="1:25" ht="15" x14ac:dyDescent="0.25">
      <c r="A75" s="11" t="s">
        <v>180</v>
      </c>
      <c r="B75" s="11" t="s">
        <v>185</v>
      </c>
      <c r="C75" s="11" t="s">
        <v>186</v>
      </c>
      <c r="D75" s="12">
        <v>320880.25323325361</v>
      </c>
      <c r="E75" s="12">
        <v>857182.97837359633</v>
      </c>
      <c r="F75" s="12">
        <v>1320432.0103119391</v>
      </c>
      <c r="G75" s="12">
        <v>1864916.317601579</v>
      </c>
      <c r="H75" s="12">
        <v>2662197.241503492</v>
      </c>
      <c r="I75" s="12">
        <v>4064055.2456323183</v>
      </c>
      <c r="J75" s="12">
        <v>5343176.9315266749</v>
      </c>
      <c r="K75" s="12">
        <v>6019115.5577812521</v>
      </c>
      <c r="L75" s="8">
        <f t="shared" si="1"/>
        <v>5962510.3307898929</v>
      </c>
      <c r="M75" s="12">
        <v>5894584.0584002612</v>
      </c>
      <c r="N75" s="12">
        <v>8109503.2297217054</v>
      </c>
      <c r="O75" s="12">
        <v>8362587.4012621306</v>
      </c>
      <c r="P75" s="12">
        <v>8930016.7406833228</v>
      </c>
      <c r="Q75" s="12">
        <v>9176775.6993933525</v>
      </c>
      <c r="R75" s="12">
        <v>8986198.8495191894</v>
      </c>
      <c r="S75" s="12">
        <v>9320211.0823018942</v>
      </c>
      <c r="T75" s="12">
        <v>9956758.3674686439</v>
      </c>
      <c r="U75" s="12">
        <v>10546091.71144172</v>
      </c>
      <c r="V75" s="12">
        <v>11355401.569217913</v>
      </c>
      <c r="W75" s="12">
        <v>11820018.483722141</v>
      </c>
      <c r="X75" s="12">
        <v>12466504.233066458</v>
      </c>
      <c r="Y75" s="12">
        <v>13896596.734999999</v>
      </c>
    </row>
    <row r="76" spans="1:25" ht="15" x14ac:dyDescent="0.25">
      <c r="A76" s="11" t="s">
        <v>180</v>
      </c>
      <c r="B76" s="11" t="s">
        <v>187</v>
      </c>
      <c r="C76" s="11" t="s">
        <v>188</v>
      </c>
      <c r="D76" s="12">
        <v>300712.30323650525</v>
      </c>
      <c r="E76" s="12">
        <v>1056515.6943677068</v>
      </c>
      <c r="F76" s="12">
        <v>1379997.7933102411</v>
      </c>
      <c r="G76" s="12">
        <v>1997225.6020549745</v>
      </c>
      <c r="H76" s="12">
        <v>2473262.7978766868</v>
      </c>
      <c r="I76" s="12">
        <v>4034567.114223843</v>
      </c>
      <c r="J76" s="12">
        <v>5660687.6650804207</v>
      </c>
      <c r="K76" s="12">
        <v>7006851.8714789636</v>
      </c>
      <c r="L76" s="8">
        <f t="shared" si="1"/>
        <v>5998165.9542967258</v>
      </c>
      <c r="M76" s="12">
        <v>4787742.8536780402</v>
      </c>
      <c r="N76" s="12">
        <v>5948641.1418850347</v>
      </c>
      <c r="O76" s="12">
        <v>6010527.3440431859</v>
      </c>
      <c r="P76" s="12">
        <v>6441415.5733723044</v>
      </c>
      <c r="Q76" s="12">
        <v>6436213.4000369245</v>
      </c>
      <c r="R76" s="12">
        <v>6207443.3891923418</v>
      </c>
      <c r="S76" s="12">
        <v>6350415.7776782196</v>
      </c>
      <c r="T76" s="12">
        <v>6695315.7392964186</v>
      </c>
      <c r="U76" s="12">
        <v>6846423.4320233483</v>
      </c>
      <c r="V76" s="12">
        <v>6900921.0049096169</v>
      </c>
      <c r="W76" s="12">
        <v>7300986.0798194539</v>
      </c>
      <c r="X76" s="12">
        <v>8040117.6994736539</v>
      </c>
      <c r="Y76" s="12">
        <v>8898369.699000001</v>
      </c>
    </row>
    <row r="77" spans="1:25" ht="15" x14ac:dyDescent="0.25">
      <c r="A77" s="11" t="s">
        <v>180</v>
      </c>
      <c r="B77" s="11" t="s">
        <v>189</v>
      </c>
      <c r="C77" s="11" t="s">
        <v>190</v>
      </c>
      <c r="D77" s="12">
        <v>450645.54173926864</v>
      </c>
      <c r="E77" s="12">
        <v>2325149.3001474203</v>
      </c>
      <c r="F77" s="12">
        <v>3820996.9349735929</v>
      </c>
      <c r="G77" s="12">
        <v>7207752.7958501484</v>
      </c>
      <c r="H77" s="12">
        <v>14012590.009100782</v>
      </c>
      <c r="I77" s="12">
        <v>21394047.47835445</v>
      </c>
      <c r="J77" s="12">
        <v>29679441.185754292</v>
      </c>
      <c r="K77" s="12">
        <v>29847478.691182721</v>
      </c>
      <c r="L77" s="8">
        <f t="shared" si="1"/>
        <v>34711752.970871888</v>
      </c>
      <c r="M77" s="12">
        <v>40548882.106498882</v>
      </c>
      <c r="N77" s="12">
        <v>38819008.050373331</v>
      </c>
      <c r="O77" s="12">
        <v>39912551.063284189</v>
      </c>
      <c r="P77" s="12">
        <v>40783987.891246498</v>
      </c>
      <c r="Q77" s="12">
        <v>44011390.805871777</v>
      </c>
      <c r="R77" s="12">
        <v>42619650.378489546</v>
      </c>
      <c r="S77" s="12">
        <v>44504461.977215394</v>
      </c>
      <c r="T77" s="12">
        <v>47067832.224475197</v>
      </c>
      <c r="U77" s="12">
        <v>47854076.507228509</v>
      </c>
      <c r="V77" s="12">
        <v>51800372.21091029</v>
      </c>
      <c r="W77" s="12">
        <v>53254786.215915918</v>
      </c>
      <c r="X77" s="12">
        <v>54999559.777840056</v>
      </c>
      <c r="Y77" s="12">
        <v>61476809.895000011</v>
      </c>
    </row>
    <row r="78" spans="1:25" ht="15" x14ac:dyDescent="0.25">
      <c r="A78" s="11" t="s">
        <v>191</v>
      </c>
      <c r="B78" s="11" t="s">
        <v>192</v>
      </c>
      <c r="C78" s="11" t="s">
        <v>193</v>
      </c>
      <c r="D78" s="12">
        <v>47114.338004373305</v>
      </c>
      <c r="E78" s="12">
        <v>307218.93470189086</v>
      </c>
      <c r="F78" s="12">
        <v>175254.6176578</v>
      </c>
      <c r="G78" s="12">
        <v>250574.63563464888</v>
      </c>
      <c r="H78" s="12">
        <v>480405.06085828441</v>
      </c>
      <c r="I78" s="12">
        <v>658910.47291750391</v>
      </c>
      <c r="J78" s="12">
        <v>1034856.0194148909</v>
      </c>
      <c r="K78" s="12">
        <v>1133503.8937729208</v>
      </c>
      <c r="L78" s="8">
        <f t="shared" si="1"/>
        <v>1198631.2510835312</v>
      </c>
      <c r="M78" s="12">
        <v>1276784.0798562635</v>
      </c>
      <c r="N78" s="12">
        <v>1865854.3876102513</v>
      </c>
      <c r="O78" s="12">
        <v>1985960.3804723984</v>
      </c>
      <c r="P78" s="12">
        <v>1972528.4268460721</v>
      </c>
      <c r="Q78" s="12">
        <v>1849820.4505942038</v>
      </c>
      <c r="R78" s="12">
        <v>1879997.3340982813</v>
      </c>
      <c r="S78" s="12">
        <v>2045873.6724282417</v>
      </c>
      <c r="T78" s="12">
        <v>2127713.9555585119</v>
      </c>
      <c r="U78" s="12">
        <v>2249426.2786834957</v>
      </c>
      <c r="V78" s="12">
        <v>2444656.2515123226</v>
      </c>
      <c r="W78" s="12">
        <v>2516502.6949711824</v>
      </c>
      <c r="X78" s="12">
        <v>2609912.2402146095</v>
      </c>
      <c r="Y78" s="12">
        <v>2901954.7740000002</v>
      </c>
    </row>
    <row r="79" spans="1:25" ht="15" x14ac:dyDescent="0.25">
      <c r="A79" s="11" t="s">
        <v>191</v>
      </c>
      <c r="B79" s="11" t="s">
        <v>194</v>
      </c>
      <c r="C79" s="11" t="s">
        <v>195</v>
      </c>
      <c r="D79" s="12">
        <v>74466.396745155012</v>
      </c>
      <c r="E79" s="12">
        <v>302641.1659925151</v>
      </c>
      <c r="F79" s="12">
        <v>386167.50143153535</v>
      </c>
      <c r="G79" s="12">
        <v>542670.03925541101</v>
      </c>
      <c r="H79" s="12">
        <v>1333359.2869929231</v>
      </c>
      <c r="I79" s="12">
        <v>2411063.6816242947</v>
      </c>
      <c r="J79" s="12">
        <v>3653812.2940679328</v>
      </c>
      <c r="K79" s="12">
        <v>4836983.4705029316</v>
      </c>
      <c r="L79" s="8">
        <f t="shared" si="1"/>
        <v>6390659.2539508743</v>
      </c>
      <c r="M79" s="12">
        <v>8255070.1940884059</v>
      </c>
      <c r="N79" s="12">
        <v>7852620.1138509447</v>
      </c>
      <c r="O79" s="12">
        <v>8369087.8849833906</v>
      </c>
      <c r="P79" s="12">
        <v>8126184.0960581321</v>
      </c>
      <c r="Q79" s="12">
        <v>8837289.2142171543</v>
      </c>
      <c r="R79" s="12">
        <v>9006641.5096920375</v>
      </c>
      <c r="S79" s="12">
        <v>8913210.3553529233</v>
      </c>
      <c r="T79" s="12">
        <v>9518042.6685104556</v>
      </c>
      <c r="U79" s="12">
        <v>10027515.77815816</v>
      </c>
      <c r="V79" s="12">
        <v>10561515.850561159</v>
      </c>
      <c r="W79" s="12">
        <v>11274572.366566535</v>
      </c>
      <c r="X79" s="12">
        <v>11990245.470914902</v>
      </c>
      <c r="Y79" s="12">
        <v>13218126.380000003</v>
      </c>
    </row>
    <row r="80" spans="1:25" ht="15" x14ac:dyDescent="0.25">
      <c r="A80" s="11" t="s">
        <v>191</v>
      </c>
      <c r="B80" s="11" t="s">
        <v>196</v>
      </c>
      <c r="C80" s="11" t="s">
        <v>197</v>
      </c>
      <c r="D80" s="12">
        <v>39230.517851893703</v>
      </c>
      <c r="E80" s="12">
        <v>134148.87372276609</v>
      </c>
      <c r="F80" s="12">
        <v>102908.43698971449</v>
      </c>
      <c r="G80" s="12">
        <v>265136.22526352532</v>
      </c>
      <c r="H80" s="12">
        <v>352764.73262952227</v>
      </c>
      <c r="I80" s="12">
        <v>562242.57137108699</v>
      </c>
      <c r="J80" s="12">
        <v>787149.17461376113</v>
      </c>
      <c r="K80" s="12">
        <v>907070.77744623576</v>
      </c>
      <c r="L80" s="8">
        <f t="shared" si="1"/>
        <v>970083.89679475687</v>
      </c>
      <c r="M80" s="12">
        <v>1045699.6400129823</v>
      </c>
      <c r="N80" s="12">
        <v>1631337.6961825751</v>
      </c>
      <c r="O80" s="12">
        <v>1742688.5483049604</v>
      </c>
      <c r="P80" s="12">
        <v>1772071.2540732746</v>
      </c>
      <c r="Q80" s="12">
        <v>1753649.2567687964</v>
      </c>
      <c r="R80" s="12">
        <v>2016766.1436097308</v>
      </c>
      <c r="S80" s="12">
        <v>2329760.4717446198</v>
      </c>
      <c r="T80" s="12">
        <v>2378990.3682035026</v>
      </c>
      <c r="U80" s="12">
        <v>2508915.7389922971</v>
      </c>
      <c r="V80" s="12">
        <v>2643488.7880977909</v>
      </c>
      <c r="W80" s="12">
        <v>3215474.3881509607</v>
      </c>
      <c r="X80" s="12">
        <v>3463734.850080051</v>
      </c>
      <c r="Y80" s="12">
        <v>3226159.0589999994</v>
      </c>
    </row>
    <row r="81" spans="1:25" ht="15" x14ac:dyDescent="0.25">
      <c r="A81" s="11" t="s">
        <v>191</v>
      </c>
      <c r="B81" s="11" t="s">
        <v>198</v>
      </c>
      <c r="C81" s="11" t="s">
        <v>199</v>
      </c>
      <c r="D81" s="12">
        <v>50547.393194224402</v>
      </c>
      <c r="E81" s="12">
        <v>104447.13916678471</v>
      </c>
      <c r="F81" s="12">
        <v>101185.9839580824</v>
      </c>
      <c r="G81" s="12">
        <v>197604.35563953972</v>
      </c>
      <c r="H81" s="12">
        <v>416416.61601584888</v>
      </c>
      <c r="I81" s="12">
        <v>680480.67579479329</v>
      </c>
      <c r="J81" s="12">
        <v>1067919.4279434644</v>
      </c>
      <c r="K81" s="12">
        <v>1275045.7118020756</v>
      </c>
      <c r="L81" s="8">
        <f t="shared" si="1"/>
        <v>1196567.5240762627</v>
      </c>
      <c r="M81" s="12">
        <v>1102393.698805287</v>
      </c>
      <c r="N81" s="12">
        <v>1478850.3442559359</v>
      </c>
      <c r="O81" s="12">
        <v>1588569.4324242761</v>
      </c>
      <c r="P81" s="12">
        <v>1630439.1924786272</v>
      </c>
      <c r="Q81" s="12">
        <v>1665061.245905567</v>
      </c>
      <c r="R81" s="12">
        <v>1711375.7859969789</v>
      </c>
      <c r="S81" s="12">
        <v>1881152.69502641</v>
      </c>
      <c r="T81" s="12">
        <v>1983799.3238536774</v>
      </c>
      <c r="U81" s="12">
        <v>2144684.339885449</v>
      </c>
      <c r="V81" s="12">
        <v>2241679.2798976675</v>
      </c>
      <c r="W81" s="12">
        <v>2494506.5415740875</v>
      </c>
      <c r="X81" s="12">
        <v>2548751.0036986344</v>
      </c>
      <c r="Y81" s="12">
        <v>2683955.864000001</v>
      </c>
    </row>
    <row r="82" spans="1:25" ht="15" x14ac:dyDescent="0.25">
      <c r="A82" s="11" t="s">
        <v>200</v>
      </c>
      <c r="B82" s="11" t="s">
        <v>201</v>
      </c>
      <c r="C82" s="11" t="s">
        <v>202</v>
      </c>
      <c r="G82" s="12">
        <v>1955327.7546164654</v>
      </c>
      <c r="H82" s="12">
        <v>2858521.5469005909</v>
      </c>
      <c r="I82" s="12">
        <v>7463168.1804180061</v>
      </c>
      <c r="J82" s="12">
        <v>5622307.0246694721</v>
      </c>
      <c r="K82" s="12">
        <v>7885226.2200167114</v>
      </c>
      <c r="L82" s="8">
        <f t="shared" si="1"/>
        <v>6482648.5585253155</v>
      </c>
      <c r="M82" s="12">
        <v>4799555.3647356397</v>
      </c>
      <c r="N82" s="12">
        <v>6107547.1774810478</v>
      </c>
      <c r="O82" s="12">
        <v>6185519.861143386</v>
      </c>
      <c r="P82" s="12">
        <v>5965307.4635918438</v>
      </c>
      <c r="Q82" s="12">
        <v>6726558.646110354</v>
      </c>
      <c r="R82" s="12">
        <v>7719484.2195698842</v>
      </c>
      <c r="S82" s="12">
        <v>7800374.5057321256</v>
      </c>
      <c r="T82" s="12">
        <v>7413811.6006580647</v>
      </c>
      <c r="U82" s="12">
        <v>7602289.0260614976</v>
      </c>
      <c r="V82" s="12">
        <v>8087240.0718044722</v>
      </c>
      <c r="W82" s="12">
        <v>8238816.748659987</v>
      </c>
      <c r="X82" s="12">
        <v>8742491.9101264719</v>
      </c>
      <c r="Y82" s="12">
        <v>9526223.5069999993</v>
      </c>
    </row>
    <row r="83" spans="1:25" ht="15" x14ac:dyDescent="0.25">
      <c r="A83" s="11" t="s">
        <v>200</v>
      </c>
      <c r="B83" s="11" t="s">
        <v>203</v>
      </c>
      <c r="C83" s="11" t="s">
        <v>204</v>
      </c>
      <c r="F83" s="12">
        <v>45485.061736556097</v>
      </c>
      <c r="G83" s="12">
        <v>752054.40643405274</v>
      </c>
      <c r="H83" s="12">
        <v>1744027.0864743874</v>
      </c>
      <c r="I83" s="12">
        <v>3205511.1080695549</v>
      </c>
      <c r="J83" s="12">
        <v>3452121.0410222942</v>
      </c>
      <c r="K83" s="12">
        <v>4531887.9910817277</v>
      </c>
      <c r="L83" s="8">
        <f t="shared" si="1"/>
        <v>3792862.5902705668</v>
      </c>
      <c r="M83" s="12">
        <v>2906032.1092971736</v>
      </c>
      <c r="N83" s="12">
        <v>4457902.970023849</v>
      </c>
      <c r="O83" s="12">
        <v>4402441.9811643213</v>
      </c>
      <c r="P83" s="12">
        <v>4548612.8630640144</v>
      </c>
      <c r="Q83" s="12">
        <v>5134976.0185197862</v>
      </c>
      <c r="R83" s="12">
        <v>5757054.5433878591</v>
      </c>
      <c r="S83" s="12">
        <v>5578846.3009291049</v>
      </c>
      <c r="T83" s="12">
        <v>4676665.1507858047</v>
      </c>
      <c r="U83" s="12">
        <v>4627406.0835405178</v>
      </c>
      <c r="V83" s="12">
        <v>4930162.6353725502</v>
      </c>
      <c r="W83" s="12">
        <v>5613012.8525661305</v>
      </c>
      <c r="X83" s="12">
        <v>5255431.6013997532</v>
      </c>
      <c r="Y83" s="12">
        <v>5155594.8650000002</v>
      </c>
    </row>
    <row r="84" spans="1:25" ht="15" x14ac:dyDescent="0.25">
      <c r="A84" s="11" t="s">
        <v>200</v>
      </c>
      <c r="B84" s="11" t="s">
        <v>205</v>
      </c>
      <c r="C84" s="11" t="s">
        <v>206</v>
      </c>
      <c r="D84" s="12">
        <v>2311.8156350957001</v>
      </c>
      <c r="E84" s="12">
        <v>146868.90244068051</v>
      </c>
      <c r="F84" s="12">
        <v>2039767.7054140007</v>
      </c>
      <c r="G84" s="12">
        <v>5575785.3555291956</v>
      </c>
      <c r="H84" s="12">
        <v>7381681.2397539793</v>
      </c>
      <c r="I84" s="12">
        <v>16686304.851572167</v>
      </c>
      <c r="J84" s="12">
        <v>16700016.495924002</v>
      </c>
      <c r="K84" s="12">
        <v>20599855.290975496</v>
      </c>
      <c r="L84" s="8">
        <f t="shared" si="1"/>
        <v>20837905.146305054</v>
      </c>
      <c r="M84" s="12">
        <v>21123564.972700521</v>
      </c>
      <c r="N84" s="12">
        <v>25779447.611866541</v>
      </c>
      <c r="O84" s="12">
        <v>26333092.766383581</v>
      </c>
      <c r="P84" s="12">
        <v>26024332.205404419</v>
      </c>
      <c r="Q84" s="12">
        <v>27452482.605681121</v>
      </c>
      <c r="R84" s="12">
        <v>29994438.837559238</v>
      </c>
      <c r="S84" s="12">
        <v>30808448.261406057</v>
      </c>
      <c r="T84" s="12">
        <v>29819625.104787998</v>
      </c>
      <c r="U84" s="12">
        <v>29847903.297826841</v>
      </c>
      <c r="V84" s="12">
        <v>33368446.38072129</v>
      </c>
      <c r="W84" s="12">
        <v>32586807.332342699</v>
      </c>
      <c r="X84" s="12">
        <v>34110803.137447491</v>
      </c>
      <c r="Y84" s="12">
        <v>35055343.213</v>
      </c>
    </row>
    <row r="85" spans="1:25" ht="15" x14ac:dyDescent="0.25">
      <c r="A85" s="11" t="s">
        <v>200</v>
      </c>
      <c r="B85" s="11" t="s">
        <v>207</v>
      </c>
      <c r="C85" s="11" t="s">
        <v>208</v>
      </c>
      <c r="D85" s="12">
        <v>86664.19351097889</v>
      </c>
      <c r="E85" s="12">
        <v>604986.03048406879</v>
      </c>
      <c r="F85" s="12">
        <v>1657252.2054941552</v>
      </c>
      <c r="G85" s="12">
        <v>2471388.0731091457</v>
      </c>
      <c r="H85" s="12">
        <v>2919959.6168764327</v>
      </c>
      <c r="I85" s="12">
        <v>4504934.2018684633</v>
      </c>
      <c r="J85" s="12">
        <v>5328675.2066980638</v>
      </c>
      <c r="K85" s="12">
        <v>6952223.3223255286</v>
      </c>
      <c r="L85" s="8">
        <f t="shared" si="1"/>
        <v>5620576.5819747038</v>
      </c>
      <c r="M85" s="12">
        <v>4022600.4935537139</v>
      </c>
      <c r="N85" s="12">
        <v>5115402.5629009278</v>
      </c>
      <c r="O85" s="12">
        <v>5056526.1429558061</v>
      </c>
      <c r="P85" s="12">
        <v>5151810.5465933327</v>
      </c>
      <c r="Q85" s="12">
        <v>5721482.5159023767</v>
      </c>
      <c r="R85" s="12">
        <v>6543809.7561516296</v>
      </c>
      <c r="S85" s="12">
        <v>6685747.868164436</v>
      </c>
      <c r="T85" s="12">
        <v>5916607.1711946316</v>
      </c>
      <c r="U85" s="12">
        <v>5668878.3686890975</v>
      </c>
      <c r="V85" s="12">
        <v>6154639.4503991352</v>
      </c>
      <c r="W85" s="12">
        <v>6421977.2924219044</v>
      </c>
      <c r="X85" s="12">
        <v>6220325.8037350737</v>
      </c>
      <c r="Y85" s="12">
        <v>6670299.5370000005</v>
      </c>
    </row>
    <row r="86" spans="1:25" ht="15" x14ac:dyDescent="0.25">
      <c r="A86" s="11" t="s">
        <v>200</v>
      </c>
      <c r="B86" s="11" t="s">
        <v>209</v>
      </c>
      <c r="C86" s="11" t="s">
        <v>210</v>
      </c>
      <c r="D86" s="12">
        <v>100851.70746055759</v>
      </c>
      <c r="E86" s="12">
        <v>377020.12447699625</v>
      </c>
      <c r="F86" s="12">
        <v>773680.38298267173</v>
      </c>
      <c r="G86" s="12">
        <v>899521.60813175025</v>
      </c>
      <c r="H86" s="12">
        <v>2321006.6327513438</v>
      </c>
      <c r="I86" s="12">
        <v>5641925.6446841303</v>
      </c>
      <c r="J86" s="12">
        <v>7022979.5331517253</v>
      </c>
      <c r="K86" s="12">
        <v>8764243.1488362066</v>
      </c>
      <c r="L86" s="8">
        <f t="shared" si="1"/>
        <v>8398276.1204022076</v>
      </c>
      <c r="M86" s="12">
        <v>7959115.6862814091</v>
      </c>
      <c r="N86" s="12">
        <v>9046432.4125210457</v>
      </c>
      <c r="O86" s="12">
        <v>9518418.0561204497</v>
      </c>
      <c r="P86" s="12">
        <v>9776609.1978588924</v>
      </c>
      <c r="Q86" s="12">
        <v>11020931.740666129</v>
      </c>
      <c r="R86" s="12">
        <v>12076105.25321148</v>
      </c>
      <c r="S86" s="12">
        <v>12828150.142740082</v>
      </c>
      <c r="T86" s="12">
        <v>12096253.459561672</v>
      </c>
      <c r="U86" s="12">
        <v>12413097.472346399</v>
      </c>
      <c r="V86" s="12">
        <v>13138386.815337436</v>
      </c>
      <c r="W86" s="12">
        <v>12673985.11269756</v>
      </c>
      <c r="X86" s="12">
        <v>12086409.662117446</v>
      </c>
      <c r="Y86" s="12">
        <v>12623610.932</v>
      </c>
    </row>
    <row r="87" spans="1:25" ht="15" x14ac:dyDescent="0.25">
      <c r="A87" s="11" t="s">
        <v>200</v>
      </c>
      <c r="B87" s="11" t="s">
        <v>211</v>
      </c>
      <c r="C87" s="11" t="s">
        <v>212</v>
      </c>
      <c r="D87" s="12">
        <v>16492.504483230001</v>
      </c>
      <c r="E87" s="12">
        <v>22046.1054436509</v>
      </c>
      <c r="F87" s="12">
        <v>34449.407162432501</v>
      </c>
      <c r="G87" s="12">
        <v>451348.89982530795</v>
      </c>
      <c r="H87" s="12">
        <v>3109110.9203196228</v>
      </c>
      <c r="I87" s="12">
        <v>8123630.3595514223</v>
      </c>
      <c r="J87" s="12">
        <v>11155900.530126125</v>
      </c>
      <c r="K87" s="12">
        <v>12845483.870721042</v>
      </c>
      <c r="L87" s="8">
        <f t="shared" si="1"/>
        <v>12394559.034852169</v>
      </c>
      <c r="M87" s="12">
        <v>11853449.231809523</v>
      </c>
      <c r="N87" s="12">
        <v>18441452.410284664</v>
      </c>
      <c r="O87" s="12">
        <v>19415895.440561373</v>
      </c>
      <c r="P87" s="12">
        <v>18930320.395984441</v>
      </c>
      <c r="Q87" s="12">
        <v>21971468.927425548</v>
      </c>
      <c r="R87" s="12">
        <v>23220121.727878898</v>
      </c>
      <c r="S87" s="12">
        <v>23344231.512202784</v>
      </c>
      <c r="T87" s="12">
        <v>22463646.737139948</v>
      </c>
      <c r="U87" s="12">
        <v>21923258.30942674</v>
      </c>
      <c r="V87" s="12">
        <v>24945727.194274392</v>
      </c>
      <c r="W87" s="12">
        <v>25086574.354562901</v>
      </c>
      <c r="X87" s="12">
        <v>24806995.932720236</v>
      </c>
      <c r="Y87" s="12">
        <v>24449812.348000005</v>
      </c>
    </row>
    <row r="88" spans="1:25" ht="15" x14ac:dyDescent="0.25">
      <c r="A88" s="11" t="s">
        <v>200</v>
      </c>
      <c r="B88" s="11" t="s">
        <v>213</v>
      </c>
      <c r="C88" s="11" t="s">
        <v>214</v>
      </c>
      <c r="G88" s="12">
        <v>578364.87855545792</v>
      </c>
      <c r="H88" s="12">
        <v>1643190.4746253788</v>
      </c>
      <c r="I88" s="12">
        <v>3315164.929757515</v>
      </c>
      <c r="J88" s="12">
        <v>4499759.8887841664</v>
      </c>
      <c r="K88" s="12">
        <v>4504744.8599216603</v>
      </c>
      <c r="L88" s="8">
        <f t="shared" si="1"/>
        <v>5044189.5233422332</v>
      </c>
      <c r="M88" s="12">
        <v>5691523.1194469202</v>
      </c>
      <c r="N88" s="12">
        <v>4942247.5356575744</v>
      </c>
      <c r="O88" s="12">
        <v>5156227.9323779549</v>
      </c>
      <c r="P88" s="12">
        <v>4905746.7078607269</v>
      </c>
      <c r="Q88" s="12">
        <v>5694861.0172378095</v>
      </c>
      <c r="R88" s="12">
        <v>6694273.895080355</v>
      </c>
      <c r="S88" s="12">
        <v>6731726.9420263357</v>
      </c>
      <c r="T88" s="12">
        <v>6136231.040537294</v>
      </c>
      <c r="U88" s="12">
        <v>5953982.1040803315</v>
      </c>
      <c r="V88" s="12">
        <v>6823752.8181925984</v>
      </c>
      <c r="W88" s="12">
        <v>7659822.2296054335</v>
      </c>
      <c r="X88" s="12">
        <v>7836405.1018219274</v>
      </c>
      <c r="Y88" s="12">
        <v>8044214.4609999992</v>
      </c>
    </row>
    <row r="89" spans="1:25" ht="15" x14ac:dyDescent="0.25">
      <c r="A89" s="11" t="s">
        <v>200</v>
      </c>
      <c r="B89" s="11" t="s">
        <v>215</v>
      </c>
      <c r="C89" s="11" t="s">
        <v>216</v>
      </c>
      <c r="D89" s="12">
        <v>36990.554653905499</v>
      </c>
      <c r="E89" s="12">
        <v>160057.51479070782</v>
      </c>
      <c r="F89" s="12">
        <v>384254.79843587219</v>
      </c>
      <c r="G89" s="12">
        <v>831593.50001961819</v>
      </c>
      <c r="H89" s="12">
        <v>2224035.8428661921</v>
      </c>
      <c r="I89" s="12">
        <v>5592129.4432794573</v>
      </c>
      <c r="J89" s="12">
        <v>4683269.5058420794</v>
      </c>
      <c r="K89" s="12">
        <v>4393816.7537683668</v>
      </c>
      <c r="L89" s="8">
        <f t="shared" si="1"/>
        <v>4108842.3262786078</v>
      </c>
      <c r="M89" s="12">
        <v>3766873.013290897</v>
      </c>
      <c r="N89" s="12">
        <v>6371742.2303920202</v>
      </c>
      <c r="O89" s="12">
        <v>6429561.2290169774</v>
      </c>
      <c r="P89" s="12">
        <v>7004810.2697901996</v>
      </c>
      <c r="Q89" s="12">
        <v>7181427.4074956886</v>
      </c>
      <c r="R89" s="12">
        <v>7901310.6060671397</v>
      </c>
      <c r="S89" s="12">
        <v>8200946.1789971916</v>
      </c>
      <c r="T89" s="12">
        <v>7506531.5354193952</v>
      </c>
      <c r="U89" s="12">
        <v>6726119.8348663617</v>
      </c>
      <c r="V89" s="12">
        <v>8272301.3475390701</v>
      </c>
      <c r="W89" s="12">
        <v>7634355.444909594</v>
      </c>
      <c r="X89" s="12">
        <v>7347498.9816897931</v>
      </c>
      <c r="Y89" s="12">
        <v>7512342.0430000015</v>
      </c>
    </row>
    <row r="90" spans="1:25" ht="15" x14ac:dyDescent="0.25">
      <c r="A90" s="11" t="s">
        <v>200</v>
      </c>
      <c r="B90" s="11" t="s">
        <v>217</v>
      </c>
      <c r="C90" s="11" t="s">
        <v>218</v>
      </c>
      <c r="D90" s="12">
        <v>92598.067324352596</v>
      </c>
      <c r="E90" s="12">
        <v>409403.85637872422</v>
      </c>
      <c r="F90" s="12">
        <v>601692.73153227801</v>
      </c>
      <c r="G90" s="12">
        <v>730138.14036452072</v>
      </c>
      <c r="H90" s="12">
        <v>2212676.5860999092</v>
      </c>
      <c r="I90" s="12">
        <v>2098376.1643126733</v>
      </c>
      <c r="J90" s="12">
        <v>2960466.4422067627</v>
      </c>
      <c r="K90" s="12">
        <v>3080781.5654952973</v>
      </c>
      <c r="L90" s="8">
        <f t="shared" si="1"/>
        <v>2896633.3152443115</v>
      </c>
      <c r="M90" s="12">
        <v>2675655.4149431284</v>
      </c>
      <c r="N90" s="12">
        <v>3336646.789536084</v>
      </c>
      <c r="O90" s="12">
        <v>3519227.9178003217</v>
      </c>
      <c r="P90" s="12">
        <v>3416043.1470342702</v>
      </c>
      <c r="Q90" s="12">
        <v>3979444.0399458474</v>
      </c>
      <c r="R90" s="12">
        <v>4528668.5391992219</v>
      </c>
      <c r="S90" s="12">
        <v>4647622.4474144597</v>
      </c>
      <c r="T90" s="12">
        <v>4322722.1535640117</v>
      </c>
      <c r="U90" s="12">
        <v>4424508.0997542934</v>
      </c>
      <c r="V90" s="12">
        <v>4703692.2506498089</v>
      </c>
      <c r="W90" s="12">
        <v>4840595.3895542799</v>
      </c>
      <c r="X90" s="12">
        <v>4397106.2385999337</v>
      </c>
      <c r="Y90" s="12">
        <v>4652220.1969999988</v>
      </c>
    </row>
    <row r="91" spans="1:25" ht="15" x14ac:dyDescent="0.25">
      <c r="A91" s="11" t="s">
        <v>200</v>
      </c>
      <c r="B91" s="11" t="s">
        <v>219</v>
      </c>
      <c r="C91" s="11" t="s">
        <v>220</v>
      </c>
      <c r="D91" s="12">
        <v>398037.55054753687</v>
      </c>
      <c r="E91" s="12">
        <v>1218889.0878037419</v>
      </c>
      <c r="F91" s="12">
        <v>1919347.6445345855</v>
      </c>
      <c r="G91" s="12">
        <v>5029622.8845457295</v>
      </c>
      <c r="H91" s="12">
        <v>11739982.273951553</v>
      </c>
      <c r="I91" s="12">
        <v>22300174.911149237</v>
      </c>
      <c r="J91" s="12">
        <v>38982129.346660502</v>
      </c>
      <c r="K91" s="12">
        <v>45521054.916466698</v>
      </c>
      <c r="L91" s="8">
        <f t="shared" si="1"/>
        <v>53287501.459072605</v>
      </c>
      <c r="M91" s="12">
        <v>62607237.3101997</v>
      </c>
      <c r="N91" s="12">
        <v>67520984.435503259</v>
      </c>
      <c r="O91" s="12">
        <v>70042368.783275649</v>
      </c>
      <c r="P91" s="12">
        <v>73665833.153793454</v>
      </c>
      <c r="Q91" s="12">
        <v>73067337.279164493</v>
      </c>
      <c r="R91" s="12">
        <v>77826259.596862778</v>
      </c>
      <c r="S91" s="12">
        <v>82573203.498724625</v>
      </c>
      <c r="T91" s="12">
        <v>81863321.826384276</v>
      </c>
      <c r="U91" s="12">
        <v>81675540.925008863</v>
      </c>
      <c r="V91" s="12">
        <v>94084874.53231436</v>
      </c>
      <c r="W91" s="12">
        <v>97821901.523245394</v>
      </c>
      <c r="X91" s="12">
        <v>95192144.843854055</v>
      </c>
      <c r="Y91" s="12">
        <v>103600015.49599999</v>
      </c>
    </row>
    <row r="92" spans="1:25" ht="15" x14ac:dyDescent="0.25">
      <c r="A92" s="11" t="s">
        <v>221</v>
      </c>
      <c r="B92" s="11" t="s">
        <v>222</v>
      </c>
      <c r="C92" s="11" t="s">
        <v>223</v>
      </c>
      <c r="D92" s="12">
        <v>259357.89916423502</v>
      </c>
      <c r="E92" s="12">
        <v>374471.71210900549</v>
      </c>
      <c r="F92" s="12">
        <v>677891.63798325427</v>
      </c>
      <c r="G92" s="12">
        <v>763778.12335583917</v>
      </c>
      <c r="H92" s="12">
        <v>761193.2125114745</v>
      </c>
      <c r="I92" s="12">
        <v>1436800.2015267611</v>
      </c>
      <c r="J92" s="12">
        <v>1493011.4921895317</v>
      </c>
      <c r="K92" s="12">
        <v>1766492.6218977566</v>
      </c>
      <c r="L92" s="8">
        <f t="shared" si="1"/>
        <v>1802375.208566173</v>
      </c>
      <c r="M92" s="12">
        <v>1845434.3125682725</v>
      </c>
      <c r="N92" s="12">
        <v>3531757.6082475754</v>
      </c>
      <c r="O92" s="12">
        <v>3512114.5270971018</v>
      </c>
      <c r="P92" s="12">
        <v>3327773.6288029198</v>
      </c>
      <c r="Q92" s="12">
        <v>3268967.6270024944</v>
      </c>
      <c r="R92" s="12">
        <v>3325908.7772420384</v>
      </c>
      <c r="S92" s="12">
        <v>3479039.5945929592</v>
      </c>
      <c r="T92" s="12">
        <v>4112365.103099192</v>
      </c>
      <c r="U92" s="12">
        <v>3896422.862980579</v>
      </c>
      <c r="V92" s="12">
        <v>3558368.192236627</v>
      </c>
      <c r="W92" s="12">
        <v>4240470.0449612895</v>
      </c>
      <c r="X92" s="12">
        <v>3819932.7611302035</v>
      </c>
      <c r="Y92" s="12">
        <v>3859535.8929999997</v>
      </c>
    </row>
    <row r="93" spans="1:25" ht="15" x14ac:dyDescent="0.25">
      <c r="A93" s="11" t="s">
        <v>221</v>
      </c>
      <c r="B93" s="11" t="s">
        <v>224</v>
      </c>
      <c r="C93" s="11" t="s">
        <v>225</v>
      </c>
      <c r="D93" s="12">
        <v>294920.75718837132</v>
      </c>
      <c r="E93" s="12">
        <v>836179.84383118921</v>
      </c>
      <c r="F93" s="12">
        <v>1214053.079396677</v>
      </c>
      <c r="G93" s="12">
        <v>2304669.2417723518</v>
      </c>
      <c r="H93" s="12">
        <v>2285727.6889330819</v>
      </c>
      <c r="I93" s="12">
        <v>3788317.7756053824</v>
      </c>
      <c r="J93" s="12">
        <v>4882389.6684013391</v>
      </c>
      <c r="K93" s="12">
        <v>5822172.3729722351</v>
      </c>
      <c r="L93" s="8">
        <f t="shared" si="1"/>
        <v>7553112.7894390021</v>
      </c>
      <c r="M93" s="12">
        <v>9630241.2891991232</v>
      </c>
      <c r="N93" s="12">
        <v>14223386.661508465</v>
      </c>
      <c r="O93" s="12">
        <v>20463838.057181731</v>
      </c>
      <c r="P93" s="12">
        <v>20731059.006539382</v>
      </c>
      <c r="Q93" s="12">
        <v>24369073.113859009</v>
      </c>
      <c r="R93" s="12">
        <v>26298967.134353135</v>
      </c>
      <c r="S93" s="12">
        <v>28523373.143220481</v>
      </c>
      <c r="T93" s="12">
        <v>36207503.227733359</v>
      </c>
      <c r="U93" s="12">
        <v>45158718.544975027</v>
      </c>
      <c r="V93" s="12">
        <v>40557889.632456169</v>
      </c>
      <c r="W93" s="12">
        <v>58195997.21798043</v>
      </c>
      <c r="X93" s="12">
        <v>39483813.112930536</v>
      </c>
      <c r="Y93" s="12">
        <v>45646937.394999996</v>
      </c>
    </row>
    <row r="94" spans="1:25" ht="15" x14ac:dyDescent="0.25">
      <c r="A94" s="11" t="s">
        <v>221</v>
      </c>
      <c r="B94" s="11" t="s">
        <v>226</v>
      </c>
      <c r="C94" s="11" t="s">
        <v>227</v>
      </c>
      <c r="D94" s="12">
        <v>228758.80721365061</v>
      </c>
      <c r="E94" s="12">
        <v>491855.92287359777</v>
      </c>
      <c r="F94" s="12">
        <v>702624.01967933471</v>
      </c>
      <c r="G94" s="12">
        <v>1135792.5079583293</v>
      </c>
      <c r="H94" s="12">
        <v>1616552.1401521391</v>
      </c>
      <c r="I94" s="12">
        <v>3105510.6376675717</v>
      </c>
      <c r="J94" s="12">
        <v>4366423.2484737914</v>
      </c>
      <c r="K94" s="12">
        <v>4624860.0658286745</v>
      </c>
      <c r="L94" s="8">
        <f t="shared" si="1"/>
        <v>4556352.6012521088</v>
      </c>
      <c r="M94" s="12">
        <v>4474143.6437602304</v>
      </c>
      <c r="N94" s="12">
        <v>6828861.2540482879</v>
      </c>
      <c r="O94" s="12">
        <v>6860862.8635991206</v>
      </c>
      <c r="P94" s="12">
        <v>6465082.2666737176</v>
      </c>
      <c r="Q94" s="12">
        <v>6617317.1214812249</v>
      </c>
      <c r="R94" s="12">
        <v>6391212.0065066162</v>
      </c>
      <c r="S94" s="12">
        <v>6533752.1006069696</v>
      </c>
      <c r="T94" s="12">
        <v>6267127.4896886479</v>
      </c>
      <c r="U94" s="12">
        <v>6409551.1233817441</v>
      </c>
      <c r="V94" s="12">
        <v>6617737.4105800912</v>
      </c>
      <c r="W94" s="12">
        <v>7401469.4968637675</v>
      </c>
      <c r="X94" s="12">
        <v>7628093.835613789</v>
      </c>
      <c r="Y94" s="12">
        <v>8101507.5529999994</v>
      </c>
    </row>
    <row r="95" spans="1:25" ht="15" x14ac:dyDescent="0.25">
      <c r="A95" s="11" t="s">
        <v>221</v>
      </c>
      <c r="B95" s="11" t="s">
        <v>228</v>
      </c>
      <c r="C95" s="11" t="s">
        <v>229</v>
      </c>
      <c r="D95" s="12">
        <v>64446.927278197603</v>
      </c>
      <c r="E95" s="12">
        <v>95262.1715383501</v>
      </c>
      <c r="F95" s="12">
        <v>160106.30753746233</v>
      </c>
      <c r="G95" s="12">
        <v>468803.93243572069</v>
      </c>
      <c r="H95" s="12">
        <v>947591.87429245375</v>
      </c>
      <c r="I95" s="12">
        <v>1274228.4558951475</v>
      </c>
      <c r="J95" s="12">
        <v>2101250.6959667527</v>
      </c>
      <c r="K95" s="12">
        <v>2504035.0352070625</v>
      </c>
      <c r="L95" s="8">
        <f t="shared" si="1"/>
        <v>2587008.9768745992</v>
      </c>
      <c r="M95" s="12">
        <v>2686577.7068756437</v>
      </c>
      <c r="N95" s="12">
        <v>7627604.0812577102</v>
      </c>
      <c r="O95" s="12">
        <v>9629008.0058809482</v>
      </c>
      <c r="P95" s="12">
        <v>10029894.577003377</v>
      </c>
      <c r="Q95" s="12">
        <v>12165104.901711544</v>
      </c>
      <c r="R95" s="12">
        <v>12329594.279650461</v>
      </c>
      <c r="S95" s="12">
        <v>13520677.551814463</v>
      </c>
      <c r="T95" s="12">
        <v>19118906.305830974</v>
      </c>
      <c r="U95" s="12">
        <v>23156363.160350129</v>
      </c>
      <c r="V95" s="12">
        <v>19364573.292382997</v>
      </c>
      <c r="W95" s="12">
        <v>22100202.865256872</v>
      </c>
      <c r="X95" s="12">
        <v>17243800.634051647</v>
      </c>
      <c r="Y95" s="12">
        <v>19615840.150999997</v>
      </c>
    </row>
    <row r="96" spans="1:25" ht="15" x14ac:dyDescent="0.25">
      <c r="A96" s="11" t="s">
        <v>221</v>
      </c>
      <c r="B96" s="11" t="s">
        <v>230</v>
      </c>
      <c r="C96" s="11" t="s">
        <v>231</v>
      </c>
      <c r="D96" s="12">
        <v>157767.24973537581</v>
      </c>
      <c r="E96" s="12">
        <v>499854.66190748813</v>
      </c>
      <c r="F96" s="12">
        <v>1504185.9132947831</v>
      </c>
      <c r="G96" s="12">
        <v>4900867.347258009</v>
      </c>
      <c r="H96" s="12">
        <v>6212581.9876422966</v>
      </c>
      <c r="I96" s="12">
        <v>11021800.519917296</v>
      </c>
      <c r="J96" s="12">
        <v>15363584.890528468</v>
      </c>
      <c r="K96" s="12">
        <v>19888890.782570463</v>
      </c>
      <c r="L96" s="8">
        <f t="shared" si="1"/>
        <v>18427232.059092194</v>
      </c>
      <c r="M96" s="12">
        <v>16673241.590918267</v>
      </c>
      <c r="N96" s="12">
        <v>23122547.982687574</v>
      </c>
      <c r="O96" s="12">
        <v>23748765.61210626</v>
      </c>
      <c r="P96" s="12">
        <v>23921087.055191435</v>
      </c>
      <c r="Q96" s="12">
        <v>23852651.169865601</v>
      </c>
      <c r="R96" s="12">
        <v>24760433.777762063</v>
      </c>
      <c r="S96" s="12">
        <v>30545903.361022949</v>
      </c>
      <c r="T96" s="12">
        <v>28245453.085682951</v>
      </c>
      <c r="U96" s="12">
        <v>26760515.585635792</v>
      </c>
      <c r="V96" s="12">
        <v>28517390.401213571</v>
      </c>
      <c r="W96" s="12">
        <v>34088894.572303087</v>
      </c>
      <c r="X96" s="12">
        <v>35289707.001625724</v>
      </c>
      <c r="Y96" s="12">
        <v>40178084.264999993</v>
      </c>
    </row>
    <row r="97" spans="1:25" ht="15" x14ac:dyDescent="0.25">
      <c r="A97" s="11" t="s">
        <v>221</v>
      </c>
      <c r="B97" s="11" t="s">
        <v>232</v>
      </c>
      <c r="C97" s="11" t="s">
        <v>233</v>
      </c>
      <c r="D97" s="12">
        <v>3595248.4176111026</v>
      </c>
      <c r="E97" s="12">
        <v>19086687.566166144</v>
      </c>
      <c r="F97" s="12">
        <v>33526231.95899871</v>
      </c>
      <c r="G97" s="12">
        <v>56571730.634389646</v>
      </c>
      <c r="H97" s="12">
        <v>105300711.85604471</v>
      </c>
      <c r="I97" s="12">
        <v>163458604.83799061</v>
      </c>
      <c r="J97" s="12">
        <v>211246173.07791826</v>
      </c>
      <c r="K97" s="12">
        <v>206008309.97360158</v>
      </c>
      <c r="L97" s="8">
        <f t="shared" si="1"/>
        <v>214540661.02284408</v>
      </c>
      <c r="M97" s="12">
        <v>224779482.28193507</v>
      </c>
      <c r="N97" s="12">
        <v>247956379.58397919</v>
      </c>
      <c r="O97" s="12">
        <v>251275014.84830904</v>
      </c>
      <c r="P97" s="12">
        <v>252785949.2112301</v>
      </c>
      <c r="Q97" s="12">
        <v>255290107.8680833</v>
      </c>
      <c r="R97" s="12">
        <v>239960261.71916813</v>
      </c>
      <c r="S97" s="12">
        <v>261918693.2964468</v>
      </c>
      <c r="T97" s="12">
        <v>261365395.0681347</v>
      </c>
      <c r="U97" s="12">
        <v>259121726.57541615</v>
      </c>
      <c r="V97" s="12">
        <v>276993996.36777318</v>
      </c>
      <c r="W97" s="12">
        <v>273275118.09148908</v>
      </c>
      <c r="X97" s="12">
        <v>280221141.08569217</v>
      </c>
      <c r="Y97" s="12">
        <v>289720888.50599998</v>
      </c>
    </row>
    <row r="98" spans="1:25" ht="15" x14ac:dyDescent="0.25">
      <c r="A98" s="11" t="s">
        <v>234</v>
      </c>
      <c r="B98" s="11" t="s">
        <v>235</v>
      </c>
      <c r="C98" s="11" t="s">
        <v>236</v>
      </c>
      <c r="D98" s="12">
        <v>51664.760725501008</v>
      </c>
      <c r="E98" s="12">
        <v>249157.85371509558</v>
      </c>
      <c r="F98" s="12">
        <v>440145.90877443145</v>
      </c>
      <c r="G98" s="12">
        <v>883094.84076161555</v>
      </c>
      <c r="H98" s="12">
        <v>764055.01363176806</v>
      </c>
      <c r="I98" s="12">
        <v>1693818.0126817171</v>
      </c>
      <c r="J98" s="12">
        <v>2309414.0218884144</v>
      </c>
      <c r="K98" s="12">
        <v>3896037.0875696228</v>
      </c>
      <c r="L98" s="8">
        <f t="shared" si="1"/>
        <v>3376308.9560161703</v>
      </c>
      <c r="M98" s="12">
        <v>2752635.1981520276</v>
      </c>
      <c r="N98" s="12">
        <v>4445180.4831274925</v>
      </c>
      <c r="O98" s="12">
        <v>5119893.0910949763</v>
      </c>
      <c r="P98" s="12">
        <v>5256547.40735895</v>
      </c>
      <c r="Q98" s="12">
        <v>6177604.8017482804</v>
      </c>
      <c r="R98" s="12">
        <v>5713975.7831080016</v>
      </c>
      <c r="S98" s="12">
        <v>6216479.324772221</v>
      </c>
      <c r="T98" s="12">
        <v>6688704.6369149005</v>
      </c>
      <c r="U98" s="12">
        <v>7199976.941686729</v>
      </c>
      <c r="V98" s="12">
        <v>7613908.5617768094</v>
      </c>
      <c r="W98" s="12">
        <v>7462626.5325118704</v>
      </c>
      <c r="X98" s="12">
        <v>7020800.946745757</v>
      </c>
      <c r="Y98" s="12">
        <v>7799685.6209999975</v>
      </c>
    </row>
    <row r="99" spans="1:25" ht="15" x14ac:dyDescent="0.25">
      <c r="A99" s="11" t="s">
        <v>234</v>
      </c>
      <c r="B99" s="11" t="s">
        <v>237</v>
      </c>
      <c r="C99" s="11" t="s">
        <v>238</v>
      </c>
      <c r="D99" s="12">
        <v>48279.568530885103</v>
      </c>
      <c r="E99" s="12">
        <v>169092.05353491983</v>
      </c>
      <c r="F99" s="12">
        <v>300320.90366589162</v>
      </c>
      <c r="G99" s="12">
        <v>490819.86814696196</v>
      </c>
      <c r="H99" s="12">
        <v>593871.78234734247</v>
      </c>
      <c r="I99" s="12">
        <v>1194609.5320747516</v>
      </c>
      <c r="J99" s="12">
        <v>1269473.2899949569</v>
      </c>
      <c r="K99" s="12">
        <v>2300145.8915742608</v>
      </c>
      <c r="L99" s="8">
        <f t="shared" si="1"/>
        <v>1824321.434543543</v>
      </c>
      <c r="M99" s="12">
        <v>1253332.086106682</v>
      </c>
      <c r="N99" s="12">
        <v>1935487.2743815056</v>
      </c>
      <c r="O99" s="12">
        <v>2115349.3190752123</v>
      </c>
      <c r="P99" s="12">
        <v>2207769.2006461388</v>
      </c>
      <c r="Q99" s="12">
        <v>2451687.344437107</v>
      </c>
      <c r="R99" s="12">
        <v>2252148.4902449851</v>
      </c>
      <c r="S99" s="12">
        <v>2420157.509348412</v>
      </c>
      <c r="T99" s="12">
        <v>2740203.2804450742</v>
      </c>
      <c r="U99" s="12">
        <v>3053389.4667064836</v>
      </c>
      <c r="V99" s="12">
        <v>3607135.7497325279</v>
      </c>
      <c r="W99" s="12">
        <v>4106788.6924690879</v>
      </c>
      <c r="X99" s="12">
        <v>3771409.1678636917</v>
      </c>
      <c r="Y99" s="12">
        <v>3913680.08</v>
      </c>
    </row>
    <row r="100" spans="1:25" ht="15" x14ac:dyDescent="0.25">
      <c r="A100" s="11" t="s">
        <v>234</v>
      </c>
      <c r="B100" s="11" t="s">
        <v>239</v>
      </c>
      <c r="C100" s="11" t="s">
        <v>240</v>
      </c>
      <c r="D100" s="12">
        <v>17637.0312978859</v>
      </c>
      <c r="E100" s="12">
        <v>66305.130214149613</v>
      </c>
      <c r="F100" s="12">
        <v>122103.65072687701</v>
      </c>
      <c r="G100" s="12">
        <v>398057.11168765463</v>
      </c>
      <c r="H100" s="12">
        <v>363941.11878402147</v>
      </c>
      <c r="I100" s="12">
        <v>698448.26661926124</v>
      </c>
      <c r="J100" s="12">
        <v>823182.80190711678</v>
      </c>
      <c r="K100" s="12">
        <v>829721.33568411449</v>
      </c>
      <c r="L100" s="8">
        <f t="shared" si="1"/>
        <v>775845.56683850219</v>
      </c>
      <c r="M100" s="12">
        <v>711194.64422376745</v>
      </c>
      <c r="N100" s="12">
        <v>1392650.6334736729</v>
      </c>
      <c r="O100" s="12">
        <v>1392573.977050089</v>
      </c>
      <c r="P100" s="12">
        <v>1490167.8537993613</v>
      </c>
      <c r="Q100" s="12">
        <v>1653759.4435475906</v>
      </c>
      <c r="R100" s="12">
        <v>1549810.955192985</v>
      </c>
      <c r="S100" s="12">
        <v>1664620.8856352605</v>
      </c>
      <c r="T100" s="12">
        <v>1697858.9786896158</v>
      </c>
      <c r="U100" s="12">
        <v>1787857.9224036487</v>
      </c>
      <c r="V100" s="12">
        <v>1985746.6033277621</v>
      </c>
      <c r="W100" s="12">
        <v>1979198.4343851004</v>
      </c>
      <c r="X100" s="12">
        <v>2104273.1950675785</v>
      </c>
      <c r="Y100" s="12">
        <v>2169383.02</v>
      </c>
    </row>
    <row r="101" spans="1:25" ht="15" x14ac:dyDescent="0.25">
      <c r="A101" s="11" t="s">
        <v>234</v>
      </c>
      <c r="B101" s="11" t="s">
        <v>241</v>
      </c>
      <c r="C101" s="11" t="s">
        <v>242</v>
      </c>
      <c r="D101" s="12">
        <v>69228.745874332817</v>
      </c>
      <c r="E101" s="12">
        <v>312545.61068638309</v>
      </c>
      <c r="F101" s="12">
        <v>669292.69964109361</v>
      </c>
      <c r="G101" s="12">
        <v>848335.63780228328</v>
      </c>
      <c r="H101" s="12">
        <v>2045477.4634622287</v>
      </c>
      <c r="I101" s="12">
        <v>3453859.5619069617</v>
      </c>
      <c r="J101" s="12">
        <v>6649663.9323390936</v>
      </c>
      <c r="K101" s="12">
        <v>9861410.7290813439</v>
      </c>
      <c r="L101" s="8">
        <f t="shared" si="1"/>
        <v>10593599.496013133</v>
      </c>
      <c r="M101" s="12">
        <v>11472226.01633128</v>
      </c>
      <c r="N101" s="12">
        <v>11578049.316873232</v>
      </c>
      <c r="O101" s="12">
        <v>11959704.614412777</v>
      </c>
      <c r="P101" s="12">
        <v>12620649.941522602</v>
      </c>
      <c r="Q101" s="12">
        <v>12889199.737316102</v>
      </c>
      <c r="R101" s="12">
        <v>12988241.174911873</v>
      </c>
      <c r="S101" s="12">
        <v>13775531.003393356</v>
      </c>
      <c r="T101" s="12">
        <v>14577232.196758198</v>
      </c>
      <c r="U101" s="12">
        <v>15170868.052279936</v>
      </c>
      <c r="V101" s="12">
        <v>15809396.774556872</v>
      </c>
      <c r="W101" s="12">
        <v>16099780.841962084</v>
      </c>
      <c r="X101" s="12">
        <v>17359036.952350903</v>
      </c>
      <c r="Y101" s="12">
        <v>18456145.994000003</v>
      </c>
    </row>
    <row r="102" spans="1:25" ht="15" x14ac:dyDescent="0.25">
      <c r="A102" s="11" t="s">
        <v>243</v>
      </c>
      <c r="B102" s="11" t="s">
        <v>244</v>
      </c>
      <c r="C102" s="11" t="s">
        <v>245</v>
      </c>
      <c r="D102" s="12">
        <v>19040.7050739033</v>
      </c>
      <c r="E102" s="12">
        <v>31504.462524222501</v>
      </c>
      <c r="F102" s="12">
        <v>126958.2810296308</v>
      </c>
      <c r="G102" s="12">
        <v>187536.54746747919</v>
      </c>
      <c r="H102" s="12">
        <v>729852.8214545371</v>
      </c>
      <c r="I102" s="12">
        <v>1406829.818272382</v>
      </c>
      <c r="J102" s="12">
        <v>2814044.369097325</v>
      </c>
      <c r="K102" s="12">
        <v>4563242.4849135038</v>
      </c>
      <c r="L102" s="8">
        <f t="shared" si="1"/>
        <v>4350314.1482219463</v>
      </c>
      <c r="M102" s="12">
        <v>4094800.1441920777</v>
      </c>
      <c r="N102" s="12">
        <v>4164532.4972857181</v>
      </c>
      <c r="O102" s="12">
        <v>4259923.786434954</v>
      </c>
      <c r="P102" s="12">
        <v>4725765.2394130826</v>
      </c>
      <c r="Q102" s="12">
        <v>5280336.1293679615</v>
      </c>
      <c r="R102" s="12">
        <v>5847099.8175123548</v>
      </c>
      <c r="S102" s="12">
        <v>6482996.5120413331</v>
      </c>
      <c r="T102" s="12">
        <v>6995004.970809048</v>
      </c>
      <c r="U102" s="12">
        <v>6716261.1365016261</v>
      </c>
      <c r="V102" s="12">
        <v>7376358.3574955361</v>
      </c>
      <c r="W102" s="12">
        <v>8035088.2875726419</v>
      </c>
      <c r="X102" s="12">
        <v>9343067.4028778467</v>
      </c>
      <c r="Y102" s="12">
        <v>9865386.4580000006</v>
      </c>
    </row>
    <row r="103" spans="1:25" ht="15" x14ac:dyDescent="0.25">
      <c r="A103" s="11" t="s">
        <v>243</v>
      </c>
      <c r="B103" s="11" t="s">
        <v>246</v>
      </c>
      <c r="C103" s="11" t="s">
        <v>247</v>
      </c>
      <c r="J103" s="12">
        <v>1888183.635936626</v>
      </c>
      <c r="K103" s="12">
        <v>5031521.7734306315</v>
      </c>
      <c r="L103" s="8">
        <f t="shared" si="1"/>
        <v>4989069.0613556625</v>
      </c>
      <c r="M103" s="12">
        <v>4938125.8068657005</v>
      </c>
      <c r="N103" s="12">
        <v>8708187.3617878482</v>
      </c>
      <c r="O103" s="12">
        <v>9163190.8459127545</v>
      </c>
      <c r="P103" s="12">
        <v>8934292.1312157158</v>
      </c>
      <c r="Q103" s="12">
        <v>9499458.1161930561</v>
      </c>
      <c r="R103" s="12">
        <v>10389126.340654764</v>
      </c>
      <c r="S103" s="12">
        <v>10917961.732545858</v>
      </c>
      <c r="T103" s="12">
        <v>11537759.527200071</v>
      </c>
      <c r="U103" s="12">
        <v>10636571.453794716</v>
      </c>
      <c r="V103" s="12">
        <v>11612145.752619008</v>
      </c>
      <c r="W103" s="12">
        <v>12777877.733711472</v>
      </c>
      <c r="X103" s="12">
        <v>12597689.360966217</v>
      </c>
      <c r="Y103" s="12">
        <v>13695257.266000001</v>
      </c>
    </row>
    <row r="104" spans="1:25" ht="15" x14ac:dyDescent="0.25">
      <c r="A104" s="11" t="s">
        <v>248</v>
      </c>
      <c r="B104" s="11" t="s">
        <v>249</v>
      </c>
      <c r="C104" s="11" t="s">
        <v>250</v>
      </c>
      <c r="D104" s="12">
        <v>5956.5880848172001</v>
      </c>
      <c r="E104" s="12">
        <v>20000.474136470399</v>
      </c>
      <c r="F104" s="12">
        <v>106587.77180736201</v>
      </c>
      <c r="G104" s="12">
        <v>108575.91712272901</v>
      </c>
      <c r="H104" s="12">
        <v>207751.001551525</v>
      </c>
      <c r="I104" s="12">
        <v>323176.711051349</v>
      </c>
      <c r="J104" s="12">
        <v>596120.21531972999</v>
      </c>
      <c r="K104" s="12">
        <v>1068968.6691360881</v>
      </c>
      <c r="L104" s="8">
        <f t="shared" si="1"/>
        <v>1778071.2937756842</v>
      </c>
      <c r="M104" s="12">
        <v>2628994.4433431998</v>
      </c>
      <c r="N104" s="12">
        <v>3219325.6932294741</v>
      </c>
      <c r="O104" s="12">
        <v>3399651.0464959638</v>
      </c>
      <c r="P104" s="12">
        <v>3554519.7443602895</v>
      </c>
      <c r="Q104" s="12">
        <v>3676692.1297606402</v>
      </c>
      <c r="R104" s="12">
        <v>3837244.3823320824</v>
      </c>
      <c r="S104" s="12">
        <v>3658941.8037927444</v>
      </c>
      <c r="T104" s="12">
        <v>3876904.2055461891</v>
      </c>
      <c r="U104" s="12">
        <v>4111208.0371285407</v>
      </c>
      <c r="V104" s="12">
        <v>4512593.6816728394</v>
      </c>
      <c r="W104" s="12">
        <v>4881362.4311254174</v>
      </c>
      <c r="X104" s="12">
        <v>5184835.5557226241</v>
      </c>
      <c r="Y104" s="12">
        <v>5457268.3029999984</v>
      </c>
    </row>
    <row r="105" spans="1:25" ht="15" x14ac:dyDescent="0.25">
      <c r="A105" s="11" t="s">
        <v>248</v>
      </c>
      <c r="B105" s="11" t="s">
        <v>251</v>
      </c>
      <c r="C105" s="11" t="s">
        <v>252</v>
      </c>
      <c r="D105" s="12">
        <v>653.4215608989</v>
      </c>
      <c r="E105" s="12">
        <v>777.8073724743</v>
      </c>
      <c r="F105" s="12">
        <v>92.675219584900006</v>
      </c>
      <c r="G105" s="12">
        <v>3327.7041275668998</v>
      </c>
      <c r="H105" s="12">
        <v>23883.831867761499</v>
      </c>
      <c r="I105" s="12">
        <v>64096.665888802003</v>
      </c>
      <c r="J105" s="12">
        <v>128105.949134628</v>
      </c>
      <c r="K105" s="12">
        <v>182373.71251262529</v>
      </c>
      <c r="L105" s="8">
        <f t="shared" si="1"/>
        <v>190578.78789484315</v>
      </c>
      <c r="M105" s="12">
        <v>200424.87835350458</v>
      </c>
      <c r="N105" s="12">
        <v>522600.72562012787</v>
      </c>
      <c r="O105" s="12">
        <v>611061.87920860481</v>
      </c>
      <c r="P105" s="12">
        <v>686376.32405364781</v>
      </c>
      <c r="Q105" s="12">
        <v>716747.644763269</v>
      </c>
      <c r="R105" s="12">
        <v>720178.28945939348</v>
      </c>
      <c r="S105" s="12">
        <v>685075.21444532287</v>
      </c>
      <c r="T105" s="12">
        <v>696269.13061926886</v>
      </c>
      <c r="U105" s="12">
        <v>734345.5532901421</v>
      </c>
      <c r="V105" s="12">
        <v>763474.69481719215</v>
      </c>
      <c r="W105" s="12">
        <v>807478.59637454478</v>
      </c>
      <c r="X105" s="12">
        <v>879814.1799698231</v>
      </c>
      <c r="Y105" s="12">
        <v>883332.95799999987</v>
      </c>
    </row>
    <row r="106" spans="1:25" ht="15" x14ac:dyDescent="0.25">
      <c r="A106" s="11" t="s">
        <v>253</v>
      </c>
      <c r="B106" s="11" t="s">
        <v>254</v>
      </c>
      <c r="C106" s="11" t="s">
        <v>255</v>
      </c>
      <c r="D106" s="12">
        <v>347915.81203412358</v>
      </c>
      <c r="E106" s="12">
        <v>1573406.8792327021</v>
      </c>
      <c r="F106" s="12">
        <v>3112593.3218266359</v>
      </c>
      <c r="G106" s="12">
        <v>5845300.647331669</v>
      </c>
      <c r="H106" s="12">
        <v>11834351.270700879</v>
      </c>
      <c r="I106" s="12">
        <v>19436911.500321239</v>
      </c>
      <c r="J106" s="12">
        <v>21463461.956077561</v>
      </c>
      <c r="K106" s="12">
        <v>24355816.032076661</v>
      </c>
      <c r="L106" s="8">
        <f t="shared" si="1"/>
        <v>23556621.227497593</v>
      </c>
      <c r="M106" s="12">
        <v>22597587.46200271</v>
      </c>
      <c r="N106" s="12">
        <v>26821181.732573867</v>
      </c>
      <c r="O106" s="12">
        <v>27699059.784585673</v>
      </c>
      <c r="P106" s="12">
        <v>30473919.888592798</v>
      </c>
      <c r="Q106" s="12">
        <v>31251687.99242419</v>
      </c>
      <c r="R106" s="12">
        <v>37637009.844254747</v>
      </c>
      <c r="S106" s="12">
        <v>33992285.005638748</v>
      </c>
      <c r="T106" s="12">
        <v>28890063.940139394</v>
      </c>
      <c r="U106" s="12">
        <v>31460471.24077579</v>
      </c>
      <c r="V106" s="12">
        <v>36904195.470471159</v>
      </c>
      <c r="W106" s="12">
        <v>38232283.22172761</v>
      </c>
      <c r="X106" s="12">
        <v>37584068.586539656</v>
      </c>
      <c r="Y106" s="12">
        <v>40277267.172000013</v>
      </c>
    </row>
    <row r="107" spans="1:25" ht="15" x14ac:dyDescent="0.25">
      <c r="A107" s="11" t="s">
        <v>253</v>
      </c>
      <c r="B107" s="11" t="s">
        <v>256</v>
      </c>
      <c r="C107" s="11" t="s">
        <v>257</v>
      </c>
      <c r="D107" s="12">
        <v>324839.127267948</v>
      </c>
      <c r="E107" s="12">
        <v>728285.58698726387</v>
      </c>
      <c r="F107" s="12">
        <v>1715119.6112962654</v>
      </c>
      <c r="G107" s="12">
        <v>2585738.3164269882</v>
      </c>
      <c r="H107" s="12">
        <v>5032297.4707210958</v>
      </c>
      <c r="I107" s="12">
        <v>9699704.0647314414</v>
      </c>
      <c r="J107" s="12">
        <v>13166565.860639133</v>
      </c>
      <c r="K107" s="12">
        <v>16287666.997325638</v>
      </c>
      <c r="L107" s="8">
        <f t="shared" si="1"/>
        <v>17035985.390748341</v>
      </c>
      <c r="M107" s="12">
        <v>17933967.462855585</v>
      </c>
      <c r="N107" s="12">
        <v>19940322.202156533</v>
      </c>
      <c r="O107" s="12">
        <v>21487445.550452914</v>
      </c>
      <c r="P107" s="12">
        <v>21935876.270176142</v>
      </c>
      <c r="Q107" s="12">
        <v>23107288.963237938</v>
      </c>
      <c r="R107" s="12">
        <v>23552262.547883589</v>
      </c>
      <c r="S107" s="12">
        <v>25067364.159392398</v>
      </c>
      <c r="T107" s="12">
        <v>25195907.824809235</v>
      </c>
      <c r="U107" s="12">
        <v>24784812.668169178</v>
      </c>
      <c r="V107" s="12">
        <v>26385904.633135419</v>
      </c>
      <c r="W107" s="12">
        <v>27308231.63717436</v>
      </c>
      <c r="X107" s="12">
        <v>27697639.561116036</v>
      </c>
      <c r="Y107" s="12">
        <v>31579321.220000003</v>
      </c>
    </row>
    <row r="108" spans="1:25" ht="15" x14ac:dyDescent="0.25">
      <c r="A108" s="11" t="s">
        <v>253</v>
      </c>
      <c r="B108" s="11" t="s">
        <v>258</v>
      </c>
      <c r="C108" s="11" t="s">
        <v>259</v>
      </c>
      <c r="D108" s="12">
        <v>138189.25789822201</v>
      </c>
      <c r="E108" s="12">
        <v>556897.84885421826</v>
      </c>
      <c r="F108" s="12">
        <v>765597.95187931706</v>
      </c>
      <c r="G108" s="12">
        <v>1592106.4504562521</v>
      </c>
      <c r="H108" s="12">
        <v>2748111.5452808761</v>
      </c>
      <c r="I108" s="12">
        <v>3892338.5889488859</v>
      </c>
      <c r="J108" s="12">
        <v>4736934.8218017025</v>
      </c>
      <c r="K108" s="12">
        <v>5401343.5813846001</v>
      </c>
      <c r="L108" s="8">
        <f t="shared" si="1"/>
        <v>5669083.3942850484</v>
      </c>
      <c r="M108" s="12">
        <v>5990371.169765586</v>
      </c>
      <c r="N108" s="12">
        <v>6211513.4032890014</v>
      </c>
      <c r="O108" s="12">
        <v>6216788.8310863208</v>
      </c>
      <c r="P108" s="12">
        <v>6559684.1021072017</v>
      </c>
      <c r="Q108" s="12">
        <v>7068019.9892224465</v>
      </c>
      <c r="R108" s="12">
        <v>7855714.4945203224</v>
      </c>
      <c r="S108" s="12">
        <v>7420797.4207213791</v>
      </c>
      <c r="T108" s="12">
        <v>6713014.4347476112</v>
      </c>
      <c r="U108" s="12">
        <v>7335886.0405236473</v>
      </c>
      <c r="V108" s="12">
        <v>8024760.1551884776</v>
      </c>
      <c r="W108" s="12">
        <v>8288504.6908685863</v>
      </c>
      <c r="X108" s="12">
        <v>8320859.2339109303</v>
      </c>
      <c r="Y108" s="12">
        <v>8602094.6719999965</v>
      </c>
    </row>
    <row r="109" spans="1:25" ht="15" x14ac:dyDescent="0.25">
      <c r="A109" s="11" t="s">
        <v>253</v>
      </c>
      <c r="B109" s="11" t="s">
        <v>260</v>
      </c>
      <c r="C109" s="11" t="s">
        <v>261</v>
      </c>
      <c r="D109" s="12">
        <v>381628.34438843146</v>
      </c>
      <c r="E109" s="12">
        <v>1067612.0321056726</v>
      </c>
      <c r="F109" s="12">
        <v>1830381.5649517102</v>
      </c>
      <c r="G109" s="12">
        <v>2422800.5684430655</v>
      </c>
      <c r="H109" s="12">
        <v>4365346.1576143429</v>
      </c>
      <c r="I109" s="12">
        <v>6588625.0589419398</v>
      </c>
      <c r="J109" s="12">
        <v>8370670.3015238252</v>
      </c>
      <c r="K109" s="12">
        <v>10349658.459032757</v>
      </c>
      <c r="L109" s="8">
        <f t="shared" si="1"/>
        <v>10444268.873709897</v>
      </c>
      <c r="M109" s="12">
        <v>10557801.371322464</v>
      </c>
      <c r="N109" s="12">
        <v>13041843.259370092</v>
      </c>
      <c r="O109" s="12">
        <v>13068799.816119093</v>
      </c>
      <c r="P109" s="12">
        <v>13815735.70054036</v>
      </c>
      <c r="Q109" s="12">
        <v>14898845.840863053</v>
      </c>
      <c r="R109" s="12">
        <v>15291939.480734795</v>
      </c>
      <c r="S109" s="12">
        <v>16232664.448515123</v>
      </c>
      <c r="T109" s="12">
        <v>15324509.348105932</v>
      </c>
      <c r="U109" s="12">
        <v>15056771.420682445</v>
      </c>
      <c r="V109" s="12">
        <v>15655370.35600822</v>
      </c>
      <c r="W109" s="12">
        <v>16023257.675103223</v>
      </c>
      <c r="X109" s="12">
        <v>17808594.167778227</v>
      </c>
      <c r="Y109" s="12">
        <v>18510279.707999997</v>
      </c>
    </row>
    <row r="110" spans="1:25" ht="15" x14ac:dyDescent="0.25">
      <c r="A110" s="11" t="s">
        <v>253</v>
      </c>
      <c r="B110" s="11" t="s">
        <v>262</v>
      </c>
      <c r="C110" s="11" t="s">
        <v>263</v>
      </c>
      <c r="D110" s="12">
        <v>738125.65032623033</v>
      </c>
      <c r="E110" s="12">
        <v>3653827.4238583483</v>
      </c>
      <c r="F110" s="12">
        <v>6101400.0210577939</v>
      </c>
      <c r="G110" s="12">
        <v>11641509.510190448</v>
      </c>
      <c r="H110" s="12">
        <v>27124267.157562304</v>
      </c>
      <c r="I110" s="12">
        <v>48393132.398832969</v>
      </c>
      <c r="J110" s="12">
        <v>70552168.76134786</v>
      </c>
      <c r="K110" s="12">
        <v>76348856.739243656</v>
      </c>
      <c r="L110" s="8">
        <f t="shared" si="1"/>
        <v>83086724.401347771</v>
      </c>
      <c r="M110" s="12">
        <v>91172165.595872715</v>
      </c>
      <c r="N110" s="12">
        <v>89720766.154915124</v>
      </c>
      <c r="O110" s="12">
        <v>95875474.358153775</v>
      </c>
      <c r="P110" s="12">
        <v>97749667.690806866</v>
      </c>
      <c r="Q110" s="12">
        <v>100841688.50374323</v>
      </c>
      <c r="R110" s="12">
        <v>99601843.947146922</v>
      </c>
      <c r="S110" s="12">
        <v>105920727.2905473</v>
      </c>
      <c r="T110" s="12">
        <v>108412061.95715673</v>
      </c>
      <c r="U110" s="12">
        <v>105333841.26583712</v>
      </c>
      <c r="V110" s="12">
        <v>111182278.5923581</v>
      </c>
      <c r="W110" s="12">
        <v>114033487.7905499</v>
      </c>
      <c r="X110" s="12">
        <v>114572354.52535452</v>
      </c>
      <c r="Y110" s="12">
        <v>123124437.234</v>
      </c>
    </row>
    <row r="111" spans="1:25" ht="15" x14ac:dyDescent="0.25">
      <c r="A111" s="11" t="s">
        <v>253</v>
      </c>
      <c r="B111" s="11" t="s">
        <v>264</v>
      </c>
      <c r="C111" s="11" t="s">
        <v>265</v>
      </c>
      <c r="D111" s="12">
        <v>406396.20848269534</v>
      </c>
      <c r="E111" s="12">
        <v>1223585.156567127</v>
      </c>
      <c r="F111" s="12">
        <v>1262804.2540771849</v>
      </c>
      <c r="G111" s="12">
        <v>2150049.9254357601</v>
      </c>
      <c r="H111" s="12">
        <v>4559380.2856836254</v>
      </c>
      <c r="I111" s="12">
        <v>6824441.190427308</v>
      </c>
      <c r="J111" s="12">
        <v>8768623.454922216</v>
      </c>
      <c r="K111" s="12">
        <v>9939200.5720104426</v>
      </c>
      <c r="L111" s="8">
        <f t="shared" si="1"/>
        <v>9161534.697718313</v>
      </c>
      <c r="M111" s="12">
        <v>8228335.6485677576</v>
      </c>
      <c r="N111" s="12">
        <v>9058814.4968515299</v>
      </c>
      <c r="O111" s="12">
        <v>8534251.7966989391</v>
      </c>
      <c r="P111" s="12">
        <v>9410339.7253002282</v>
      </c>
      <c r="Q111" s="12">
        <v>10211041.934649788</v>
      </c>
      <c r="R111" s="12">
        <v>10247142.3585383</v>
      </c>
      <c r="S111" s="12">
        <v>10588437.288558466</v>
      </c>
      <c r="T111" s="12">
        <v>10293010.763269497</v>
      </c>
      <c r="U111" s="12">
        <v>10829771.058527829</v>
      </c>
      <c r="V111" s="12">
        <v>10998809.055900617</v>
      </c>
      <c r="W111" s="12">
        <v>11882074.325437423</v>
      </c>
      <c r="X111" s="12">
        <v>11864472.317801276</v>
      </c>
      <c r="Y111" s="12">
        <v>12701767.381999999</v>
      </c>
    </row>
    <row r="112" spans="1:25" ht="15" x14ac:dyDescent="0.25">
      <c r="A112" s="11" t="s">
        <v>253</v>
      </c>
      <c r="B112" s="11" t="s">
        <v>266</v>
      </c>
      <c r="C112" s="11" t="s">
        <v>267</v>
      </c>
      <c r="D112" s="12">
        <v>513561.34961947013</v>
      </c>
      <c r="E112" s="12">
        <v>1619416.5780984031</v>
      </c>
      <c r="F112" s="12">
        <v>1767853.5877945367</v>
      </c>
      <c r="G112" s="12">
        <v>3726056.0938418186</v>
      </c>
      <c r="H112" s="12">
        <v>4788593.5688235974</v>
      </c>
      <c r="I112" s="12">
        <v>7751457.1390275573</v>
      </c>
      <c r="J112" s="12">
        <v>11173941.543908009</v>
      </c>
      <c r="K112" s="12">
        <v>11277121.982497351</v>
      </c>
      <c r="L112" s="8">
        <f t="shared" si="1"/>
        <v>10811658.771122571</v>
      </c>
      <c r="M112" s="12">
        <v>10253102.917472834</v>
      </c>
      <c r="N112" s="12">
        <v>11659566.727018544</v>
      </c>
      <c r="O112" s="12">
        <v>11810888.749876775</v>
      </c>
      <c r="P112" s="12">
        <v>12602985.401114274</v>
      </c>
      <c r="Q112" s="12">
        <v>13019561.902302885</v>
      </c>
      <c r="R112" s="12">
        <v>13206169.496570414</v>
      </c>
      <c r="S112" s="12">
        <v>13770240.094917296</v>
      </c>
      <c r="T112" s="12">
        <v>12618821.530031778</v>
      </c>
      <c r="U112" s="12">
        <v>12820318.22671538</v>
      </c>
      <c r="V112" s="12">
        <v>14385006.598081397</v>
      </c>
      <c r="W112" s="12">
        <v>16349422.33959385</v>
      </c>
      <c r="X112" s="12">
        <v>16198835.949232124</v>
      </c>
      <c r="Y112" s="12">
        <v>17687429.427000001</v>
      </c>
    </row>
    <row r="113" spans="1:25" ht="15" x14ac:dyDescent="0.25">
      <c r="A113" s="11" t="s">
        <v>268</v>
      </c>
      <c r="B113" s="11" t="s">
        <v>269</v>
      </c>
      <c r="C113" s="11" t="s">
        <v>270</v>
      </c>
      <c r="D113" s="12">
        <v>16332.183901264199</v>
      </c>
      <c r="E113" s="12">
        <v>213485.6598779964</v>
      </c>
      <c r="F113" s="12">
        <v>974423.31713458395</v>
      </c>
      <c r="G113" s="12">
        <v>1775026.2253776763</v>
      </c>
      <c r="H113" s="12">
        <v>3998880.9072571904</v>
      </c>
      <c r="I113" s="12">
        <v>7439323.8777090805</v>
      </c>
      <c r="J113" s="12">
        <v>11830646.330602432</v>
      </c>
      <c r="K113" s="12">
        <v>13492193.967405455</v>
      </c>
      <c r="L113" s="8">
        <f t="shared" si="1"/>
        <v>17077901.716677193</v>
      </c>
      <c r="M113" s="12">
        <v>21380751.015803277</v>
      </c>
      <c r="N113" s="12">
        <v>18558507.637563817</v>
      </c>
      <c r="O113" s="12">
        <v>19632017.787449311</v>
      </c>
      <c r="P113" s="12">
        <v>20770034.523066815</v>
      </c>
      <c r="Q113" s="12">
        <v>21854390.731054638</v>
      </c>
      <c r="R113" s="12">
        <v>23467301.311961316</v>
      </c>
      <c r="S113" s="12">
        <v>24978028.733476225</v>
      </c>
      <c r="T113" s="12">
        <v>24194367.317671336</v>
      </c>
      <c r="U113" s="12">
        <v>22986500.721110795</v>
      </c>
      <c r="V113" s="12">
        <v>25409121.618568659</v>
      </c>
      <c r="W113" s="12">
        <v>28424336.220400255</v>
      </c>
      <c r="X113" s="12">
        <v>27003184.840469025</v>
      </c>
      <c r="Y113" s="12">
        <v>25575327.666999999</v>
      </c>
    </row>
    <row r="114" spans="1:25" ht="15" x14ac:dyDescent="0.25">
      <c r="A114" s="11" t="s">
        <v>268</v>
      </c>
      <c r="B114" s="11" t="s">
        <v>271</v>
      </c>
      <c r="C114" s="11" t="s">
        <v>272</v>
      </c>
      <c r="D114" s="12">
        <v>119324.7755839032</v>
      </c>
      <c r="E114" s="12">
        <v>523879.50722695835</v>
      </c>
      <c r="F114" s="12">
        <v>974924.27129615424</v>
      </c>
      <c r="G114" s="12">
        <v>1620975.4462960712</v>
      </c>
      <c r="H114" s="12">
        <v>3732400.586014776</v>
      </c>
      <c r="I114" s="12">
        <v>7706697.287489092</v>
      </c>
      <c r="J114" s="12">
        <v>13150988.553100675</v>
      </c>
      <c r="K114" s="12">
        <v>13018623.402987899</v>
      </c>
      <c r="L114" s="8">
        <f t="shared" si="1"/>
        <v>15493094.443952998</v>
      </c>
      <c r="M114" s="12">
        <v>18462459.693111118</v>
      </c>
      <c r="N114" s="12">
        <v>20241996.467760552</v>
      </c>
      <c r="O114" s="12">
        <v>22514099.042703498</v>
      </c>
      <c r="P114" s="12">
        <v>23503065.133909766</v>
      </c>
      <c r="Q114" s="12">
        <v>24993245.916553691</v>
      </c>
      <c r="R114" s="12">
        <v>26318048.740179148</v>
      </c>
      <c r="S114" s="12">
        <v>28369322.594512347</v>
      </c>
      <c r="T114" s="12">
        <v>29869945.232193887</v>
      </c>
      <c r="U114" s="12">
        <v>30151702.527221411</v>
      </c>
      <c r="V114" s="12">
        <v>32383149.634707831</v>
      </c>
      <c r="W114" s="12">
        <v>34238476.318089627</v>
      </c>
      <c r="X114" s="12">
        <v>32685326.247990448</v>
      </c>
      <c r="Y114" s="12">
        <v>37789830.237000003</v>
      </c>
    </row>
    <row r="115" spans="1:25" ht="15" x14ac:dyDescent="0.25">
      <c r="A115" s="11" t="s">
        <v>268</v>
      </c>
      <c r="B115" s="11" t="s">
        <v>273</v>
      </c>
      <c r="C115" s="11" t="s">
        <v>274</v>
      </c>
      <c r="D115" s="12">
        <v>38730.2572626072</v>
      </c>
      <c r="E115" s="12">
        <v>262053.48933382152</v>
      </c>
      <c r="F115" s="12">
        <v>388180.53886059939</v>
      </c>
      <c r="G115" s="12">
        <v>901063.87705868401</v>
      </c>
      <c r="H115" s="12">
        <v>2147379.9637703989</v>
      </c>
      <c r="I115" s="12">
        <v>2870199.1674184431</v>
      </c>
      <c r="J115" s="12">
        <v>3995648.8190161055</v>
      </c>
      <c r="K115" s="12">
        <v>3653281.997588906</v>
      </c>
      <c r="L115" s="8">
        <f t="shared" si="1"/>
        <v>3850253.2822420904</v>
      </c>
      <c r="M115" s="12">
        <v>4086618.8238259116</v>
      </c>
      <c r="N115" s="12">
        <v>4820081.4089033436</v>
      </c>
      <c r="O115" s="12">
        <v>5271273.1129773362</v>
      </c>
      <c r="P115" s="12">
        <v>5623416.5238829982</v>
      </c>
      <c r="Q115" s="12">
        <v>5845635.1642108979</v>
      </c>
      <c r="R115" s="12">
        <v>6245202.5392401665</v>
      </c>
      <c r="S115" s="12">
        <v>6256861.4117084099</v>
      </c>
      <c r="T115" s="12">
        <v>6198646.6828279495</v>
      </c>
      <c r="U115" s="12">
        <v>6347828.7656169627</v>
      </c>
      <c r="V115" s="12">
        <v>6359052.6709421156</v>
      </c>
      <c r="W115" s="12">
        <v>6814587.1381505672</v>
      </c>
      <c r="X115" s="12">
        <v>6755929.9326690957</v>
      </c>
      <c r="Y115" s="12">
        <v>7152449.2039999999</v>
      </c>
    </row>
    <row r="116" spans="1:25" ht="15" x14ac:dyDescent="0.25">
      <c r="A116" s="11" t="s">
        <v>268</v>
      </c>
      <c r="B116" s="11" t="s">
        <v>275</v>
      </c>
      <c r="C116" s="11" t="s">
        <v>276</v>
      </c>
      <c r="D116" s="12">
        <v>101467.87501616569</v>
      </c>
      <c r="E116" s="12">
        <v>620452.36484379938</v>
      </c>
      <c r="F116" s="12">
        <v>1204978.8074057375</v>
      </c>
      <c r="G116" s="12">
        <v>2356777.1267064945</v>
      </c>
      <c r="H116" s="12">
        <v>4524792.3248713063</v>
      </c>
      <c r="I116" s="12">
        <v>8527390.2073398791</v>
      </c>
      <c r="J116" s="12">
        <v>14597250.838629158</v>
      </c>
      <c r="K116" s="12">
        <v>15624245.961222721</v>
      </c>
      <c r="L116" s="8">
        <f t="shared" si="1"/>
        <v>16705527.113666462</v>
      </c>
      <c r="M116" s="12">
        <v>18003064.496598952</v>
      </c>
      <c r="N116" s="12">
        <v>21692879.79197504</v>
      </c>
      <c r="O116" s="12">
        <v>24556417.053618904</v>
      </c>
      <c r="P116" s="12">
        <v>25361889.292596791</v>
      </c>
      <c r="Q116" s="12">
        <v>26602523.217145234</v>
      </c>
      <c r="R116" s="12">
        <v>27839211.252572734</v>
      </c>
      <c r="S116" s="12">
        <v>30609814.08755723</v>
      </c>
      <c r="T116" s="12">
        <v>32127810.652402751</v>
      </c>
      <c r="U116" s="12">
        <v>32695499.656012766</v>
      </c>
      <c r="V116" s="12">
        <v>35814427.618680879</v>
      </c>
      <c r="W116" s="12">
        <v>38638226.222148791</v>
      </c>
      <c r="X116" s="12">
        <v>38903862.344543524</v>
      </c>
      <c r="Y116" s="12">
        <v>44829452.783000015</v>
      </c>
    </row>
    <row r="117" spans="1:25" ht="15" x14ac:dyDescent="0.25">
      <c r="A117" s="11" t="s">
        <v>268</v>
      </c>
      <c r="B117" s="11" t="s">
        <v>277</v>
      </c>
      <c r="C117" s="11" t="s">
        <v>278</v>
      </c>
      <c r="D117" s="12">
        <v>94197.015215104097</v>
      </c>
      <c r="E117" s="12">
        <v>308064.53030854429</v>
      </c>
      <c r="F117" s="12">
        <v>318568.92989133997</v>
      </c>
      <c r="G117" s="12">
        <v>503152.14624650928</v>
      </c>
      <c r="H117" s="12">
        <v>2032044.3347288703</v>
      </c>
      <c r="I117" s="12">
        <v>3450483.6552150757</v>
      </c>
      <c r="J117" s="12">
        <v>6651691.9130379725</v>
      </c>
      <c r="K117" s="12">
        <v>8846097.3624920957</v>
      </c>
      <c r="L117" s="8">
        <f t="shared" si="1"/>
        <v>11207515.254807957</v>
      </c>
      <c r="M117" s="12">
        <v>14041216.72558699</v>
      </c>
      <c r="N117" s="12">
        <v>12137110.679430485</v>
      </c>
      <c r="O117" s="12">
        <v>13289346.089772649</v>
      </c>
      <c r="P117" s="12">
        <v>13699991.651686374</v>
      </c>
      <c r="Q117" s="12">
        <v>14419570.420336092</v>
      </c>
      <c r="R117" s="12">
        <v>14704897.00802774</v>
      </c>
      <c r="S117" s="12">
        <v>15604594.1725972</v>
      </c>
      <c r="T117" s="12">
        <v>16615771.822839711</v>
      </c>
      <c r="U117" s="12">
        <v>17403669.267197926</v>
      </c>
      <c r="V117" s="12">
        <v>17999711.401207902</v>
      </c>
      <c r="W117" s="12">
        <v>19615040.27633974</v>
      </c>
      <c r="X117" s="12">
        <v>19213700.654990245</v>
      </c>
      <c r="Y117" s="12">
        <v>20679581.992999997</v>
      </c>
    </row>
    <row r="118" spans="1:25" ht="15" x14ac:dyDescent="0.25">
      <c r="A118" s="11" t="s">
        <v>268</v>
      </c>
      <c r="B118" s="11" t="s">
        <v>279</v>
      </c>
      <c r="C118" s="11" t="s">
        <v>280</v>
      </c>
      <c r="D118" s="12">
        <v>109628.44847771699</v>
      </c>
      <c r="E118" s="12">
        <v>338805.79087198462</v>
      </c>
      <c r="F118" s="12">
        <v>702108.10325240239</v>
      </c>
      <c r="G118" s="12">
        <v>1270387.7457824419</v>
      </c>
      <c r="H118" s="12">
        <v>2383752.0669577424</v>
      </c>
      <c r="I118" s="12">
        <v>3930526.7222320428</v>
      </c>
      <c r="J118" s="12">
        <v>7108028.6887562471</v>
      </c>
      <c r="K118" s="12">
        <v>8103151.3208907628</v>
      </c>
      <c r="L118" s="8">
        <f t="shared" si="1"/>
        <v>8492018.5172484983</v>
      </c>
      <c r="M118" s="12">
        <v>8958659.1528777815</v>
      </c>
      <c r="N118" s="12">
        <v>11118149.484660242</v>
      </c>
      <c r="O118" s="12">
        <v>12511372.219075976</v>
      </c>
      <c r="P118" s="12">
        <v>12724843.172678879</v>
      </c>
      <c r="Q118" s="12">
        <v>12161005.820226988</v>
      </c>
      <c r="R118" s="12">
        <v>12735781.415496752</v>
      </c>
      <c r="S118" s="12">
        <v>13778319.361874696</v>
      </c>
      <c r="T118" s="12">
        <v>13714715.399600718</v>
      </c>
      <c r="U118" s="12">
        <v>13731012.846332107</v>
      </c>
      <c r="V118" s="12">
        <v>14452618.090993617</v>
      </c>
      <c r="W118" s="12">
        <v>15711810.985415265</v>
      </c>
      <c r="X118" s="12">
        <v>16178272.417915698</v>
      </c>
      <c r="Y118" s="12">
        <v>16455696.224999998</v>
      </c>
    </row>
    <row r="119" spans="1:25" ht="15" x14ac:dyDescent="0.25">
      <c r="A119" s="11" t="s">
        <v>281</v>
      </c>
      <c r="B119" s="11" t="s">
        <v>282</v>
      </c>
      <c r="C119" s="11" t="s">
        <v>283</v>
      </c>
      <c r="D119" s="12">
        <v>19488.892787891698</v>
      </c>
      <c r="E119" s="12">
        <v>27946.161551281602</v>
      </c>
      <c r="F119" s="12">
        <v>60159.030684792393</v>
      </c>
      <c r="G119" s="12">
        <v>100658.50747135421</v>
      </c>
      <c r="H119" s="12">
        <v>212014.01022379912</v>
      </c>
      <c r="I119" s="12">
        <v>311486.0998528729</v>
      </c>
      <c r="J119" s="12">
        <v>436242.94800027827</v>
      </c>
      <c r="K119" s="12">
        <v>659032.94584644365</v>
      </c>
      <c r="L119" s="8">
        <f t="shared" si="1"/>
        <v>676206.75434882194</v>
      </c>
      <c r="M119" s="12">
        <v>696815.32455167582</v>
      </c>
      <c r="N119" s="12">
        <v>924712.86073417659</v>
      </c>
      <c r="O119" s="12">
        <v>951820.60047162615</v>
      </c>
      <c r="P119" s="12">
        <v>2016544.741067254</v>
      </c>
      <c r="Q119" s="12">
        <v>2303945.5887869024</v>
      </c>
      <c r="R119" s="12">
        <v>2480246.9347333219</v>
      </c>
      <c r="S119" s="12">
        <v>2575876.5030157794</v>
      </c>
      <c r="T119" s="12">
        <v>2290928.4939285344</v>
      </c>
      <c r="U119" s="12">
        <v>2174148.0511382287</v>
      </c>
      <c r="V119" s="12">
        <v>2369958.6264958116</v>
      </c>
      <c r="W119" s="12">
        <v>2697656.1611429057</v>
      </c>
      <c r="X119" s="12">
        <v>2398942.8078109883</v>
      </c>
      <c r="Y119" s="12">
        <v>2876502.9350000005</v>
      </c>
    </row>
    <row r="120" spans="1:25" ht="15" x14ac:dyDescent="0.25">
      <c r="A120" s="11" t="s">
        <v>281</v>
      </c>
      <c r="B120" s="11" t="s">
        <v>284</v>
      </c>
      <c r="C120" s="11" t="s">
        <v>285</v>
      </c>
      <c r="D120" s="12">
        <v>69272.505820497885</v>
      </c>
      <c r="E120" s="12">
        <v>91000.551562561901</v>
      </c>
      <c r="F120" s="12">
        <v>226623.53224932161</v>
      </c>
      <c r="G120" s="12">
        <v>398778.02312408201</v>
      </c>
      <c r="H120" s="12">
        <v>504942.05908520659</v>
      </c>
      <c r="I120" s="12">
        <v>715792.68355426565</v>
      </c>
      <c r="J120" s="12">
        <v>1072357.7263637939</v>
      </c>
      <c r="K120" s="12">
        <v>1394342.7063301168</v>
      </c>
      <c r="L120" s="8">
        <f t="shared" si="1"/>
        <v>1312706.7859058874</v>
      </c>
      <c r="M120" s="12">
        <v>1214743.681396812</v>
      </c>
      <c r="N120" s="12">
        <v>2070985.7976173863</v>
      </c>
      <c r="O120" s="12">
        <v>2117023.8984999396</v>
      </c>
      <c r="P120" s="12">
        <v>2236840.9518267526</v>
      </c>
      <c r="Q120" s="12">
        <v>2351478.1573526715</v>
      </c>
      <c r="R120" s="12">
        <v>2456843.8996823588</v>
      </c>
      <c r="S120" s="12">
        <v>2422660.4317652145</v>
      </c>
      <c r="T120" s="12">
        <v>2448447.1753010945</v>
      </c>
      <c r="U120" s="12">
        <v>2595930.4583085645</v>
      </c>
      <c r="V120" s="12">
        <v>2774262.6403334849</v>
      </c>
      <c r="W120" s="12">
        <v>2881732.5391579964</v>
      </c>
      <c r="X120" s="12">
        <v>2911202.3045151872</v>
      </c>
      <c r="Y120" s="12">
        <v>3103232.6789999995</v>
      </c>
    </row>
    <row r="121" spans="1:25" ht="15" x14ac:dyDescent="0.25">
      <c r="A121" s="11" t="s">
        <v>281</v>
      </c>
      <c r="B121" s="11" t="s">
        <v>286</v>
      </c>
      <c r="C121" s="11" t="s">
        <v>287</v>
      </c>
      <c r="D121" s="12">
        <v>173570.67335853691</v>
      </c>
      <c r="E121" s="12">
        <v>521980.22611865326</v>
      </c>
      <c r="F121" s="12">
        <v>702122.18126391363</v>
      </c>
      <c r="G121" s="12">
        <v>1131032.2749779895</v>
      </c>
      <c r="H121" s="12">
        <v>2316151.0248508621</v>
      </c>
      <c r="I121" s="12">
        <v>3770168.9676678027</v>
      </c>
      <c r="J121" s="12">
        <v>5273592.1661980711</v>
      </c>
      <c r="K121" s="12">
        <v>10988949.118374325</v>
      </c>
      <c r="L121" s="8">
        <f t="shared" si="1"/>
        <v>10727555.484311011</v>
      </c>
      <c r="M121" s="12">
        <v>10413883.123435033</v>
      </c>
      <c r="N121" s="12">
        <v>11171014.022693273</v>
      </c>
      <c r="O121" s="12">
        <v>11694440.942719694</v>
      </c>
      <c r="P121" s="12">
        <v>12473162.66720444</v>
      </c>
      <c r="Q121" s="12">
        <v>13305616.817583652</v>
      </c>
      <c r="R121" s="12">
        <v>13169085.946623117</v>
      </c>
      <c r="S121" s="12">
        <v>13804035.352538878</v>
      </c>
      <c r="T121" s="12">
        <v>14575015.377507595</v>
      </c>
      <c r="U121" s="12">
        <v>15252815.969359417</v>
      </c>
      <c r="V121" s="12">
        <v>16240140.434737502</v>
      </c>
      <c r="W121" s="12">
        <v>17169692.912563324</v>
      </c>
      <c r="X121" s="12">
        <v>16122016.452725006</v>
      </c>
      <c r="Y121" s="12">
        <v>17952419.714000002</v>
      </c>
    </row>
    <row r="122" spans="1:25" ht="15" x14ac:dyDescent="0.25">
      <c r="A122" s="11" t="s">
        <v>288</v>
      </c>
      <c r="B122" s="11" t="s">
        <v>289</v>
      </c>
      <c r="C122" s="11" t="s">
        <v>290</v>
      </c>
      <c r="D122" s="12">
        <v>347110.65584785893</v>
      </c>
      <c r="E122" s="12">
        <v>1345199.8965631176</v>
      </c>
      <c r="F122" s="12">
        <v>2828495.6843988639</v>
      </c>
      <c r="G122" s="12">
        <v>4146591.353587897</v>
      </c>
      <c r="H122" s="12">
        <v>5482075.7405920709</v>
      </c>
      <c r="I122" s="12">
        <v>8960298.3463802189</v>
      </c>
      <c r="J122" s="12">
        <v>12465685.989162814</v>
      </c>
      <c r="K122" s="12">
        <v>15979957.787768019</v>
      </c>
      <c r="L122" s="8">
        <f t="shared" si="1"/>
        <v>16558510.295260431</v>
      </c>
      <c r="M122" s="12">
        <v>17252773.304251324</v>
      </c>
      <c r="N122" s="12">
        <v>22703111.81344822</v>
      </c>
      <c r="O122" s="12">
        <v>23123901.979854532</v>
      </c>
      <c r="P122" s="12">
        <v>23729148.357296467</v>
      </c>
      <c r="Q122" s="12">
        <v>25719627.462863896</v>
      </c>
      <c r="R122" s="12">
        <v>24569274.755932279</v>
      </c>
      <c r="S122" s="12">
        <v>24375434.735087302</v>
      </c>
      <c r="T122" s="12">
        <v>25695582.570007179</v>
      </c>
      <c r="U122" s="12">
        <v>27328680.053244539</v>
      </c>
      <c r="V122" s="12">
        <v>28078256.613611411</v>
      </c>
      <c r="W122" s="12">
        <v>27646464.651895899</v>
      </c>
      <c r="X122" s="12">
        <v>29047950.31022615</v>
      </c>
      <c r="Y122" s="12">
        <v>31381636.489999987</v>
      </c>
    </row>
    <row r="123" spans="1:25" ht="15" x14ac:dyDescent="0.25">
      <c r="A123" s="11" t="s">
        <v>288</v>
      </c>
      <c r="B123" s="11" t="s">
        <v>291</v>
      </c>
      <c r="C123" s="11" t="s">
        <v>292</v>
      </c>
      <c r="D123" s="12">
        <v>917165.7281594323</v>
      </c>
      <c r="E123" s="12">
        <v>2162461.049497731</v>
      </c>
      <c r="F123" s="12">
        <v>3953682.308067393</v>
      </c>
      <c r="G123" s="12">
        <v>5845955.670385601</v>
      </c>
      <c r="H123" s="12">
        <v>9086959.305324398</v>
      </c>
      <c r="I123" s="12">
        <v>14354321.327257199</v>
      </c>
      <c r="J123" s="12">
        <v>23089810.54180456</v>
      </c>
      <c r="K123" s="12">
        <v>30658838.384982593</v>
      </c>
      <c r="L123" s="8">
        <f t="shared" si="1"/>
        <v>30354102.044703841</v>
      </c>
      <c r="M123" s="12">
        <v>29988418.436369337</v>
      </c>
      <c r="N123" s="12">
        <v>40521149.518407077</v>
      </c>
      <c r="O123" s="12">
        <v>42045210.753819697</v>
      </c>
      <c r="P123" s="12">
        <v>42299288.342014283</v>
      </c>
      <c r="Q123" s="12">
        <v>47102857.693299793</v>
      </c>
      <c r="R123" s="12">
        <v>48018540.746558458</v>
      </c>
      <c r="S123" s="12">
        <v>48374366.647941642</v>
      </c>
      <c r="T123" s="12">
        <v>46400680.371685117</v>
      </c>
      <c r="U123" s="12">
        <v>50406451.870316498</v>
      </c>
      <c r="V123" s="12">
        <v>50081943.633815333</v>
      </c>
      <c r="W123" s="12">
        <v>48585133.955533765</v>
      </c>
      <c r="X123" s="12">
        <v>50088401.26263655</v>
      </c>
      <c r="Y123" s="12">
        <v>53984725.138999999</v>
      </c>
    </row>
    <row r="124" spans="1:25" ht="15" x14ac:dyDescent="0.25">
      <c r="A124" s="11" t="s">
        <v>288</v>
      </c>
      <c r="B124" s="11" t="s">
        <v>293</v>
      </c>
      <c r="C124" s="11" t="s">
        <v>294</v>
      </c>
      <c r="D124" s="12">
        <v>69106.199997324497</v>
      </c>
      <c r="E124" s="12">
        <v>743936.54965120158</v>
      </c>
      <c r="F124" s="12">
        <v>1964927.8054051192</v>
      </c>
      <c r="G124" s="12">
        <v>2494217.4694370572</v>
      </c>
      <c r="H124" s="12">
        <v>4007364.3703734162</v>
      </c>
      <c r="I124" s="12">
        <v>5120384.8785628788</v>
      </c>
      <c r="J124" s="12">
        <v>6026165.55732428</v>
      </c>
      <c r="K124" s="12">
        <v>7560075.4943515267</v>
      </c>
      <c r="L124" s="8">
        <f t="shared" si="1"/>
        <v>7684799.5800539805</v>
      </c>
      <c r="M124" s="12">
        <v>7834468.482896925</v>
      </c>
      <c r="N124" s="12">
        <v>10771154.486408714</v>
      </c>
      <c r="O124" s="12">
        <v>11479013.73272459</v>
      </c>
      <c r="P124" s="12">
        <v>10874018.716751954</v>
      </c>
      <c r="Q124" s="12">
        <v>11806117.100489</v>
      </c>
      <c r="R124" s="12">
        <v>11154697.319655903</v>
      </c>
      <c r="S124" s="12">
        <v>11573626.230554588</v>
      </c>
      <c r="T124" s="12">
        <v>11721945.335547565</v>
      </c>
      <c r="U124" s="12">
        <v>12187408.493258014</v>
      </c>
      <c r="V124" s="12">
        <v>12398155.105714517</v>
      </c>
      <c r="W124" s="12">
        <v>12107740.134022672</v>
      </c>
      <c r="X124" s="12">
        <v>12995889.087637464</v>
      </c>
      <c r="Y124" s="12">
        <v>14208050.697999999</v>
      </c>
    </row>
    <row r="125" spans="1:25" ht="15" x14ac:dyDescent="0.25">
      <c r="A125" s="11" t="s">
        <v>288</v>
      </c>
      <c r="B125" s="11" t="s">
        <v>295</v>
      </c>
      <c r="C125" s="11" t="s">
        <v>296</v>
      </c>
      <c r="D125" s="12">
        <v>593094.37725565257</v>
      </c>
      <c r="E125" s="12">
        <v>2157801.1586655458</v>
      </c>
      <c r="F125" s="12">
        <v>3858330.9406252303</v>
      </c>
      <c r="G125" s="12">
        <v>4353315.1164689614</v>
      </c>
      <c r="H125" s="12">
        <v>6272835.5552027235</v>
      </c>
      <c r="I125" s="12">
        <v>9556524.4778348617</v>
      </c>
      <c r="J125" s="12">
        <v>14007672.102231609</v>
      </c>
      <c r="K125" s="12">
        <v>17393690.26990835</v>
      </c>
      <c r="L125" s="8">
        <f t="shared" si="1"/>
        <v>17960193.776159648</v>
      </c>
      <c r="M125" s="12">
        <v>18639997.983661205</v>
      </c>
      <c r="N125" s="12">
        <v>19750773.153134786</v>
      </c>
      <c r="O125" s="12">
        <v>20494622.417856582</v>
      </c>
      <c r="P125" s="12">
        <v>20618936.070752192</v>
      </c>
      <c r="Q125" s="12">
        <v>21877569.749772049</v>
      </c>
      <c r="R125" s="12">
        <v>21851572.966877703</v>
      </c>
      <c r="S125" s="12">
        <v>22763167.399384636</v>
      </c>
      <c r="T125" s="12">
        <v>23882070.222177852</v>
      </c>
      <c r="U125" s="12">
        <v>25651197.269808456</v>
      </c>
      <c r="V125" s="12">
        <v>26114117.212475147</v>
      </c>
      <c r="W125" s="12">
        <v>25955541.791201297</v>
      </c>
      <c r="X125" s="12">
        <v>28013801.605863608</v>
      </c>
      <c r="Y125" s="12">
        <v>30002357.727000009</v>
      </c>
    </row>
    <row r="126" spans="1:25" ht="15" x14ac:dyDescent="0.25">
      <c r="A126" s="11" t="s">
        <v>288</v>
      </c>
      <c r="B126" s="11" t="s">
        <v>297</v>
      </c>
      <c r="C126" s="11" t="s">
        <v>298</v>
      </c>
      <c r="D126" s="12">
        <v>348263.72028888995</v>
      </c>
      <c r="E126" s="12">
        <v>861254.91429122176</v>
      </c>
      <c r="F126" s="12">
        <v>1279956.4883584576</v>
      </c>
      <c r="G126" s="12">
        <v>1895830.8193804873</v>
      </c>
      <c r="H126" s="12">
        <v>3345266.947287607</v>
      </c>
      <c r="I126" s="12">
        <v>6091821.6895787073</v>
      </c>
      <c r="J126" s="12">
        <v>9808205.416469695</v>
      </c>
      <c r="K126" s="12">
        <v>13199285.503942881</v>
      </c>
      <c r="L126" s="8">
        <f t="shared" si="1"/>
        <v>12673496.808686089</v>
      </c>
      <c r="M126" s="12">
        <v>12042550.37437794</v>
      </c>
      <c r="N126" s="12">
        <v>17624979.595777147</v>
      </c>
      <c r="O126" s="12">
        <v>17266268.883600067</v>
      </c>
      <c r="P126" s="12">
        <v>16908020.149583094</v>
      </c>
      <c r="Q126" s="12">
        <v>17834847.274981443</v>
      </c>
      <c r="R126" s="12">
        <v>21040893.884665783</v>
      </c>
      <c r="S126" s="12">
        <v>16955673.643072281</v>
      </c>
      <c r="T126" s="12">
        <v>17366329.307590421</v>
      </c>
      <c r="U126" s="12">
        <v>17701654.120521758</v>
      </c>
      <c r="V126" s="12">
        <v>18422846.23685943</v>
      </c>
      <c r="W126" s="12">
        <v>19616488.288851924</v>
      </c>
      <c r="X126" s="12">
        <v>19746308.766269613</v>
      </c>
      <c r="Y126" s="12">
        <v>21346945.633999996</v>
      </c>
    </row>
    <row r="127" spans="1:25" ht="15" x14ac:dyDescent="0.25">
      <c r="A127" s="11" t="s">
        <v>288</v>
      </c>
      <c r="B127" s="11" t="s">
        <v>299</v>
      </c>
      <c r="C127" s="11" t="s">
        <v>300</v>
      </c>
      <c r="D127" s="12">
        <v>328322.49363015103</v>
      </c>
      <c r="E127" s="12">
        <v>1110838.3452805418</v>
      </c>
      <c r="F127" s="12">
        <v>2033965.7431262368</v>
      </c>
      <c r="G127" s="12">
        <v>3735773.0807555667</v>
      </c>
      <c r="H127" s="12">
        <v>6353283.0191680426</v>
      </c>
      <c r="I127" s="12">
        <v>11266559.224749982</v>
      </c>
      <c r="J127" s="12">
        <v>16815739.677006099</v>
      </c>
      <c r="K127" s="12">
        <v>19254355.842910133</v>
      </c>
      <c r="L127" s="8">
        <f t="shared" si="1"/>
        <v>19452398.536106423</v>
      </c>
      <c r="M127" s="12">
        <v>19690049.767941967</v>
      </c>
      <c r="N127" s="12">
        <v>23325612.882158797</v>
      </c>
      <c r="O127" s="12">
        <v>25049166.769110739</v>
      </c>
      <c r="P127" s="12">
        <v>26050705.864322834</v>
      </c>
      <c r="Q127" s="12">
        <v>27798230.521888714</v>
      </c>
      <c r="R127" s="12">
        <v>29143456.357443027</v>
      </c>
      <c r="S127" s="12">
        <v>28438136.128575966</v>
      </c>
      <c r="T127" s="12">
        <v>29752424.262300897</v>
      </c>
      <c r="U127" s="12">
        <v>31133728.563331775</v>
      </c>
      <c r="V127" s="12">
        <v>32887350.571313784</v>
      </c>
      <c r="W127" s="12">
        <v>32937406.35001928</v>
      </c>
      <c r="X127" s="12">
        <v>33238929.933736362</v>
      </c>
      <c r="Y127" s="12">
        <v>35001863.572999999</v>
      </c>
    </row>
    <row r="128" spans="1:25" ht="15" x14ac:dyDescent="0.25">
      <c r="A128" s="11" t="s">
        <v>288</v>
      </c>
      <c r="B128" s="11" t="s">
        <v>301</v>
      </c>
      <c r="C128" s="11" t="s">
        <v>302</v>
      </c>
      <c r="D128" s="12">
        <v>806926.83198448515</v>
      </c>
      <c r="E128" s="12">
        <v>1861165.7856837625</v>
      </c>
      <c r="F128" s="12">
        <v>3691603.1463089609</v>
      </c>
      <c r="G128" s="12">
        <v>7120788.1922541251</v>
      </c>
      <c r="H128" s="12">
        <v>16369688.801680269</v>
      </c>
      <c r="I128" s="12">
        <v>43486091.454397254</v>
      </c>
      <c r="J128" s="12">
        <v>61609816.2503208</v>
      </c>
      <c r="K128" s="12">
        <v>64969925.256407894</v>
      </c>
      <c r="L128" s="8">
        <f t="shared" si="1"/>
        <v>63481957.032313235</v>
      </c>
      <c r="M128" s="12">
        <v>61696395.163399652</v>
      </c>
      <c r="N128" s="12">
        <v>79958015.270042598</v>
      </c>
      <c r="O128" s="12">
        <v>88207535.298968628</v>
      </c>
      <c r="P128" s="12">
        <v>86563807.869523972</v>
      </c>
      <c r="Q128" s="12">
        <v>88540839.666202113</v>
      </c>
      <c r="R128" s="12">
        <v>88576477.674974218</v>
      </c>
      <c r="S128" s="12">
        <v>95558419.270283714</v>
      </c>
      <c r="T128" s="12">
        <v>100199912.12227891</v>
      </c>
      <c r="U128" s="12">
        <v>100501404.87368827</v>
      </c>
      <c r="V128" s="12">
        <v>106328184.69577694</v>
      </c>
      <c r="W128" s="12">
        <v>108540098.72403762</v>
      </c>
      <c r="X128" s="12">
        <v>111079199.31142354</v>
      </c>
      <c r="Y128" s="12">
        <v>117988353.082</v>
      </c>
    </row>
    <row r="129" spans="1:25" ht="15" x14ac:dyDescent="0.25">
      <c r="A129" s="11" t="s">
        <v>288</v>
      </c>
      <c r="B129" s="11" t="s">
        <v>303</v>
      </c>
      <c r="C129" s="11" t="s">
        <v>304</v>
      </c>
      <c r="E129" s="12">
        <v>549298.0668368449</v>
      </c>
      <c r="F129" s="12">
        <v>2981316.5411608038</v>
      </c>
      <c r="G129" s="12">
        <v>3753015.8882422126</v>
      </c>
      <c r="H129" s="12">
        <v>4465191.1689473744</v>
      </c>
      <c r="I129" s="12">
        <v>6456065.6440120526</v>
      </c>
      <c r="J129" s="12">
        <v>7954866.1287423177</v>
      </c>
      <c r="K129" s="12">
        <v>9215758.2997274324</v>
      </c>
      <c r="L129" s="8">
        <f t="shared" si="1"/>
        <v>9667572.7868447695</v>
      </c>
      <c r="M129" s="12">
        <v>10209750.171385573</v>
      </c>
      <c r="N129" s="12">
        <v>10968573.980519902</v>
      </c>
      <c r="O129" s="12">
        <v>10973808.711821225</v>
      </c>
      <c r="P129" s="12">
        <v>11239065.303762689</v>
      </c>
      <c r="Q129" s="12">
        <v>12296504.552068029</v>
      </c>
      <c r="R129" s="12">
        <v>11677363.142621404</v>
      </c>
      <c r="S129" s="12">
        <v>11920192.293956114</v>
      </c>
      <c r="T129" s="12">
        <v>12165930.668240201</v>
      </c>
      <c r="U129" s="12">
        <v>12483603.204072509</v>
      </c>
      <c r="V129" s="12">
        <v>12357962.112807896</v>
      </c>
      <c r="W129" s="12">
        <v>12401902.959999362</v>
      </c>
      <c r="X129" s="12">
        <v>13518735.905399276</v>
      </c>
      <c r="Y129" s="12">
        <v>14440004.092000004</v>
      </c>
    </row>
    <row r="130" spans="1:25" ht="15" x14ac:dyDescent="0.25">
      <c r="A130" s="11" t="s">
        <v>288</v>
      </c>
      <c r="B130" s="11" t="s">
        <v>305</v>
      </c>
      <c r="C130" s="11" t="s">
        <v>306</v>
      </c>
      <c r="D130" s="12">
        <v>10435.932134368601</v>
      </c>
      <c r="E130" s="12">
        <v>891615.88105875603</v>
      </c>
      <c r="F130" s="12">
        <v>1849363.5826890273</v>
      </c>
      <c r="G130" s="12">
        <v>1927521.8673340387</v>
      </c>
      <c r="H130" s="12">
        <v>2276072.0295573911</v>
      </c>
      <c r="I130" s="12">
        <v>3270245.6447080527</v>
      </c>
      <c r="J130" s="12">
        <v>3877208.9453934231</v>
      </c>
      <c r="K130" s="12">
        <v>5621997.0817212956</v>
      </c>
      <c r="L130" s="8">
        <f t="shared" si="1"/>
        <v>5796087.9808432665</v>
      </c>
      <c r="M130" s="12">
        <v>6004997.0597896324</v>
      </c>
      <c r="N130" s="12">
        <v>5990440.2315931795</v>
      </c>
      <c r="O130" s="12">
        <v>6090513.5698446305</v>
      </c>
      <c r="P130" s="12">
        <v>6016216.5764894774</v>
      </c>
      <c r="Q130" s="12">
        <v>6118402.2030986631</v>
      </c>
      <c r="R130" s="12">
        <v>6224885.8449556567</v>
      </c>
      <c r="S130" s="12">
        <v>6405137.0051630782</v>
      </c>
      <c r="T130" s="12">
        <v>6267410.2283924399</v>
      </c>
      <c r="U130" s="12">
        <v>6267875.5309885731</v>
      </c>
      <c r="V130" s="12">
        <v>6743307.2762974072</v>
      </c>
      <c r="W130" s="12">
        <v>6912444.5432726797</v>
      </c>
      <c r="X130" s="12">
        <v>7299120.8003834933</v>
      </c>
      <c r="Y130" s="12">
        <v>7766308.2989999996</v>
      </c>
    </row>
    <row r="131" spans="1:25" ht="15" x14ac:dyDescent="0.25">
      <c r="A131" s="11" t="s">
        <v>288</v>
      </c>
      <c r="B131" s="11" t="s">
        <v>307</v>
      </c>
      <c r="C131" s="11" t="s">
        <v>308</v>
      </c>
      <c r="D131" s="12">
        <v>170444.50038098102</v>
      </c>
      <c r="E131" s="12">
        <v>721269.5247668887</v>
      </c>
      <c r="F131" s="12">
        <v>1485959.0485119696</v>
      </c>
      <c r="G131" s="12">
        <v>2109300.3805179656</v>
      </c>
      <c r="H131" s="12">
        <v>2300554.4869295694</v>
      </c>
      <c r="I131" s="12">
        <v>3519764.1106817131</v>
      </c>
      <c r="J131" s="12">
        <v>4138333.5306650368</v>
      </c>
      <c r="K131" s="12">
        <v>6708806.9778508954</v>
      </c>
      <c r="L131" s="8">
        <f t="shared" ref="L131:L138" si="2">K131+5*(M131-K131)/11</f>
        <v>6200082.5502100969</v>
      </c>
      <c r="M131" s="12">
        <v>5589613.2370411381</v>
      </c>
      <c r="N131" s="12">
        <v>7806264.8516846988</v>
      </c>
      <c r="O131" s="12">
        <v>7851229.2664282564</v>
      </c>
      <c r="P131" s="12">
        <v>8452963.5748089962</v>
      </c>
      <c r="Q131" s="12">
        <v>9311551.0631313361</v>
      </c>
      <c r="R131" s="12">
        <v>9197288.1192722209</v>
      </c>
      <c r="S131" s="12">
        <v>8963688.2576339785</v>
      </c>
      <c r="T131" s="12">
        <v>8567613.7330421805</v>
      </c>
      <c r="U131" s="12">
        <v>8768670.4627683647</v>
      </c>
      <c r="V131" s="12">
        <v>9039246.6070580278</v>
      </c>
      <c r="W131" s="12">
        <v>9040000.8996236976</v>
      </c>
      <c r="X131" s="12">
        <v>9524695.6388994474</v>
      </c>
      <c r="Y131" s="12">
        <v>10391864.426000001</v>
      </c>
    </row>
    <row r="132" spans="1:25" ht="15" x14ac:dyDescent="0.25">
      <c r="A132" s="11" t="s">
        <v>288</v>
      </c>
      <c r="B132" s="11" t="s">
        <v>309</v>
      </c>
      <c r="C132" s="11" t="s">
        <v>310</v>
      </c>
      <c r="D132" s="12">
        <v>182578.30087823968</v>
      </c>
      <c r="E132" s="12">
        <v>462015.89592941123</v>
      </c>
      <c r="F132" s="12">
        <v>823176.828852579</v>
      </c>
      <c r="G132" s="12">
        <v>1354877.4345404708</v>
      </c>
      <c r="H132" s="12">
        <v>2288036.9016665579</v>
      </c>
      <c r="I132" s="12">
        <v>3761832.6391139696</v>
      </c>
      <c r="J132" s="12">
        <v>6276550.9126328407</v>
      </c>
      <c r="K132" s="12">
        <v>5982596.6005342836</v>
      </c>
      <c r="L132" s="8">
        <f t="shared" si="2"/>
        <v>6146606.898564429</v>
      </c>
      <c r="M132" s="12">
        <v>6343419.2562006032</v>
      </c>
      <c r="N132" s="12">
        <v>9586289.3735427558</v>
      </c>
      <c r="O132" s="12">
        <v>10394821.746431766</v>
      </c>
      <c r="P132" s="12">
        <v>10437346.20924177</v>
      </c>
      <c r="Q132" s="12">
        <v>11188634.482452285</v>
      </c>
      <c r="R132" s="12">
        <v>12030179.069409372</v>
      </c>
      <c r="S132" s="12">
        <v>12449903.819353582</v>
      </c>
      <c r="T132" s="12">
        <v>12447447.124563146</v>
      </c>
      <c r="U132" s="12">
        <v>12273504.373492153</v>
      </c>
      <c r="V132" s="12">
        <v>13523506.652666116</v>
      </c>
      <c r="W132" s="12">
        <v>14321419.351149809</v>
      </c>
      <c r="X132" s="12">
        <v>15546349.594522012</v>
      </c>
      <c r="Y132" s="12">
        <v>15519419.051000003</v>
      </c>
    </row>
    <row r="133" spans="1:25" ht="15" x14ac:dyDescent="0.25">
      <c r="A133" s="11" t="s">
        <v>288</v>
      </c>
      <c r="B133" s="11" t="s">
        <v>311</v>
      </c>
      <c r="C133" s="11" t="s">
        <v>312</v>
      </c>
      <c r="D133" s="12">
        <v>431232.07616385946</v>
      </c>
      <c r="E133" s="12">
        <v>1297564.6012871172</v>
      </c>
      <c r="F133" s="12">
        <v>2175389.6941939034</v>
      </c>
      <c r="G133" s="12">
        <v>4491912.9763649413</v>
      </c>
      <c r="H133" s="12">
        <v>9606702.0140225925</v>
      </c>
      <c r="I133" s="12">
        <v>18215249.884828344</v>
      </c>
      <c r="J133" s="12">
        <v>28584514.908064261</v>
      </c>
      <c r="K133" s="12">
        <v>34620090.780795649</v>
      </c>
      <c r="L133" s="8">
        <f t="shared" si="2"/>
        <v>34535479.726162829</v>
      </c>
      <c r="M133" s="12">
        <v>34433946.460603438</v>
      </c>
      <c r="N133" s="12">
        <v>47000015.682465114</v>
      </c>
      <c r="O133" s="12">
        <v>51312858.382399596</v>
      </c>
      <c r="P133" s="12">
        <v>52602237.352620803</v>
      </c>
      <c r="Q133" s="12">
        <v>53195196.833707161</v>
      </c>
      <c r="R133" s="12">
        <v>54407901.139427163</v>
      </c>
      <c r="S133" s="12">
        <v>59013017.317078047</v>
      </c>
      <c r="T133" s="12">
        <v>60229360.854016408</v>
      </c>
      <c r="U133" s="12">
        <v>63458545.612548508</v>
      </c>
      <c r="V133" s="12">
        <v>73255200.124385327</v>
      </c>
      <c r="W133" s="12">
        <v>72030017.027767107</v>
      </c>
      <c r="X133" s="12">
        <v>74356638.10774371</v>
      </c>
      <c r="Y133" s="12">
        <v>81311262.241999999</v>
      </c>
    </row>
    <row r="134" spans="1:25" ht="15" x14ac:dyDescent="0.25">
      <c r="A134" s="11" t="s">
        <v>288</v>
      </c>
      <c r="B134" s="11" t="s">
        <v>313</v>
      </c>
      <c r="C134" s="11" t="s">
        <v>314</v>
      </c>
      <c r="D134" s="12">
        <v>399249.32884138473</v>
      </c>
      <c r="E134" s="12">
        <v>931254.92720824189</v>
      </c>
      <c r="F134" s="12">
        <v>1813968.4384127781</v>
      </c>
      <c r="G134" s="12">
        <v>2889603.5162567734</v>
      </c>
      <c r="H134" s="12">
        <v>8761733.5222439598</v>
      </c>
      <c r="I134" s="12">
        <v>17190327.842876635</v>
      </c>
      <c r="J134" s="12">
        <v>28985541.34076754</v>
      </c>
      <c r="K134" s="12">
        <v>39150099.311754376</v>
      </c>
      <c r="L134" s="8">
        <f t="shared" si="2"/>
        <v>38456632.320181884</v>
      </c>
      <c r="M134" s="12">
        <v>37624471.930294901</v>
      </c>
      <c r="N134" s="12">
        <v>51874817.246069767</v>
      </c>
      <c r="O134" s="12">
        <v>62567277.631308354</v>
      </c>
      <c r="P134" s="12">
        <v>60067758.552962311</v>
      </c>
      <c r="Q134" s="12">
        <v>59605714.714870326</v>
      </c>
      <c r="R134" s="12">
        <v>54086412.564409763</v>
      </c>
      <c r="S134" s="12">
        <v>59466073.170814693</v>
      </c>
      <c r="T134" s="12">
        <v>56962640.882139623</v>
      </c>
      <c r="U134" s="12">
        <v>55245117.808321342</v>
      </c>
      <c r="V134" s="12">
        <v>58064156.939257048</v>
      </c>
      <c r="W134" s="12">
        <v>60490861.771494173</v>
      </c>
      <c r="X134" s="12">
        <v>60273590.367488518</v>
      </c>
      <c r="Y134" s="12">
        <v>61698187.889999963</v>
      </c>
    </row>
    <row r="135" spans="1:25" ht="15" x14ac:dyDescent="0.25">
      <c r="A135" s="11" t="s">
        <v>288</v>
      </c>
      <c r="B135" s="11" t="s">
        <v>315</v>
      </c>
      <c r="C135" s="11" t="s">
        <v>316</v>
      </c>
      <c r="D135" s="12">
        <v>41273.292744269304</v>
      </c>
      <c r="E135" s="12">
        <v>145037.57142618278</v>
      </c>
      <c r="F135" s="12">
        <v>256597.94650909831</v>
      </c>
      <c r="G135" s="12">
        <v>430287.36436413898</v>
      </c>
      <c r="H135" s="12">
        <v>796979.41204716545</v>
      </c>
      <c r="I135" s="12">
        <v>1883786.4684469791</v>
      </c>
      <c r="J135" s="12">
        <v>2339935.6426613475</v>
      </c>
      <c r="K135" s="12">
        <v>3073015.6284649894</v>
      </c>
      <c r="L135" s="8">
        <f t="shared" si="2"/>
        <v>2926558.0987077272</v>
      </c>
      <c r="M135" s="12">
        <v>2750809.0629990129</v>
      </c>
      <c r="N135" s="12">
        <v>3883676.0707176812</v>
      </c>
      <c r="O135" s="12">
        <v>4058785.9095566184</v>
      </c>
      <c r="P135" s="12">
        <v>4126869.3578922004</v>
      </c>
      <c r="Q135" s="12">
        <v>4471272.4297068333</v>
      </c>
      <c r="R135" s="12">
        <v>4306117.838907592</v>
      </c>
      <c r="S135" s="12">
        <v>4167791.7775381128</v>
      </c>
      <c r="T135" s="12">
        <v>4341133.2027935386</v>
      </c>
      <c r="U135" s="12">
        <v>4368554.7178426646</v>
      </c>
      <c r="V135" s="12">
        <v>4429059.9933414776</v>
      </c>
      <c r="W135" s="12">
        <v>4520245.131150974</v>
      </c>
      <c r="X135" s="12">
        <v>4889188.0934912032</v>
      </c>
      <c r="Y135" s="12">
        <v>5538169.2960000001</v>
      </c>
    </row>
    <row r="136" spans="1:25" ht="15" x14ac:dyDescent="0.25">
      <c r="A136" s="11" t="s">
        <v>288</v>
      </c>
      <c r="B136" s="11" t="s">
        <v>317</v>
      </c>
      <c r="C136" s="11" t="s">
        <v>318</v>
      </c>
      <c r="D136" s="12">
        <v>1503425.0792049263</v>
      </c>
      <c r="E136" s="12">
        <v>16784896.038093433</v>
      </c>
      <c r="F136" s="12">
        <v>33589868.254848652</v>
      </c>
      <c r="G136" s="12">
        <v>89712414.685909599</v>
      </c>
      <c r="H136" s="12">
        <v>195627419.58918533</v>
      </c>
      <c r="I136" s="12">
        <v>329202544.78168887</v>
      </c>
      <c r="J136" s="12">
        <v>431635833.74497896</v>
      </c>
      <c r="K136" s="12">
        <v>420601930.53459334</v>
      </c>
      <c r="L136" s="8">
        <f t="shared" si="2"/>
        <v>443032892.88631558</v>
      </c>
      <c r="M136" s="12">
        <v>469950047.70838231</v>
      </c>
      <c r="N136" s="12">
        <v>561904094.13744915</v>
      </c>
      <c r="O136" s="12">
        <v>576608375.03642011</v>
      </c>
      <c r="P136" s="12">
        <v>586774868.97895455</v>
      </c>
      <c r="Q136" s="12">
        <v>575300787.82351661</v>
      </c>
      <c r="R136" s="12">
        <v>569226265.20823491</v>
      </c>
      <c r="S136" s="12">
        <v>583969488.94111335</v>
      </c>
      <c r="T136" s="12">
        <v>629713198.43265557</v>
      </c>
      <c r="U136" s="12">
        <v>634851373.88221288</v>
      </c>
      <c r="V136" s="12">
        <v>690903288.23674417</v>
      </c>
      <c r="W136" s="12">
        <v>711931100.66830337</v>
      </c>
      <c r="X136" s="12">
        <v>706073454.02950048</v>
      </c>
      <c r="Y136" s="12">
        <v>747016778.97099996</v>
      </c>
    </row>
    <row r="137" spans="1:25" ht="15" x14ac:dyDescent="0.25">
      <c r="A137" s="11" t="s">
        <v>319</v>
      </c>
      <c r="B137" s="11" t="s">
        <v>320</v>
      </c>
      <c r="C137" s="11" t="s">
        <v>321</v>
      </c>
      <c r="D137" s="12">
        <v>7906.5644070182007</v>
      </c>
      <c r="E137" s="12">
        <v>92858.899488897601</v>
      </c>
      <c r="F137" s="12">
        <v>50022.2473631545</v>
      </c>
      <c r="G137" s="12">
        <v>277118.5838126372</v>
      </c>
      <c r="H137" s="12">
        <v>599808.6131905223</v>
      </c>
      <c r="I137" s="12">
        <v>1180527.9240312777</v>
      </c>
      <c r="J137" s="12">
        <v>2367789.3006956689</v>
      </c>
      <c r="K137" s="12">
        <v>2250060.857647046</v>
      </c>
      <c r="L137" s="8">
        <f t="shared" si="2"/>
        <v>2874041.5305209039</v>
      </c>
      <c r="M137" s="12">
        <v>3622818.3379695336</v>
      </c>
      <c r="N137" s="12">
        <v>4877864.3832879933</v>
      </c>
      <c r="O137" s="12">
        <v>5438548.9130144846</v>
      </c>
      <c r="P137" s="12">
        <v>6366777.7266953569</v>
      </c>
      <c r="Q137" s="12">
        <v>6555034.2845113361</v>
      </c>
      <c r="R137" s="12">
        <v>7898673.7512199972</v>
      </c>
      <c r="S137" s="12">
        <v>8169803.4354082588</v>
      </c>
      <c r="T137" s="12">
        <v>8291354.1501653232</v>
      </c>
      <c r="U137" s="12">
        <v>8056791.5420498066</v>
      </c>
      <c r="V137" s="12">
        <v>8805617.1420992892</v>
      </c>
      <c r="W137" s="12">
        <v>9339672.7857124191</v>
      </c>
      <c r="X137" s="12">
        <v>9620408.1048632599</v>
      </c>
      <c r="Y137" s="12">
        <v>10136558.750999998</v>
      </c>
    </row>
    <row r="138" spans="1:25" ht="15" x14ac:dyDescent="0.25">
      <c r="A138" s="11" t="s">
        <v>319</v>
      </c>
      <c r="B138" s="11" t="s">
        <v>322</v>
      </c>
      <c r="C138" s="11" t="s">
        <v>323</v>
      </c>
      <c r="D138" s="12">
        <v>27386.415924084697</v>
      </c>
      <c r="E138" s="12">
        <v>147209.36121116139</v>
      </c>
      <c r="F138" s="12">
        <v>110213.8776319312</v>
      </c>
      <c r="G138" s="12">
        <v>186673.83105828607</v>
      </c>
      <c r="H138" s="12">
        <v>241771.89295004593</v>
      </c>
      <c r="I138" s="12">
        <v>350451.03039990942</v>
      </c>
      <c r="J138" s="12">
        <v>580516.45441551972</v>
      </c>
      <c r="K138" s="12">
        <v>517447.73187464487</v>
      </c>
      <c r="L138" s="8">
        <f t="shared" si="2"/>
        <v>1193947.3611922702</v>
      </c>
      <c r="M138" s="12">
        <v>2005746.9163734207</v>
      </c>
      <c r="N138" s="12">
        <v>2311568.7023142264</v>
      </c>
      <c r="O138" s="12">
        <v>2850197.2676126487</v>
      </c>
      <c r="P138" s="12">
        <v>3735706.4017074443</v>
      </c>
      <c r="Q138" s="12">
        <v>4097168.6248207535</v>
      </c>
      <c r="R138" s="12">
        <v>4158662.5979495542</v>
      </c>
      <c r="S138" s="12">
        <v>4622070.7567222491</v>
      </c>
      <c r="T138" s="12">
        <v>4742128.5946412766</v>
      </c>
      <c r="U138" s="12">
        <v>4658777.9145864286</v>
      </c>
      <c r="V138" s="12">
        <v>5235801.3317877995</v>
      </c>
      <c r="W138" s="12">
        <v>5891225.9120756555</v>
      </c>
      <c r="X138" s="12">
        <v>6178352.9208818143</v>
      </c>
      <c r="Y138" s="12">
        <v>7103576.288999998</v>
      </c>
    </row>
    <row r="139" spans="1:25" ht="12.75" customHeight="1" x14ac:dyDescent="0.25">
      <c r="L139" s="19"/>
    </row>
    <row r="140" spans="1:25" ht="12.75" customHeight="1" x14ac:dyDescent="0.25">
      <c r="L140" s="15"/>
      <c r="Y140" s="16"/>
    </row>
    <row r="141" spans="1:25" ht="12.75" customHeight="1" x14ac:dyDescent="0.25">
      <c r="L141" s="15"/>
    </row>
    <row r="142" spans="1:25" ht="12.75" customHeight="1" x14ac:dyDescent="0.25">
      <c r="L142" s="15"/>
    </row>
    <row r="143" spans="1:25" ht="12.75" customHeight="1" x14ac:dyDescent="0.25">
      <c r="L143" s="15"/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3FFC-D2B4-4293-ADE5-D5BED8CD7E28}">
  <dimension ref="A1:AJ141"/>
  <sheetViews>
    <sheetView workbookViewId="0">
      <selection activeCell="L5" sqref="L5"/>
    </sheetView>
  </sheetViews>
  <sheetFormatPr defaultRowHeight="15" x14ac:dyDescent="0.25"/>
  <cols>
    <col min="1" max="1" width="4" style="1" customWidth="1"/>
    <col min="2" max="2" width="10" style="1" customWidth="1"/>
    <col min="3" max="3" width="30" style="1" customWidth="1"/>
    <col min="4" max="4" width="10.7109375" bestFit="1" customWidth="1"/>
    <col min="9" max="9" width="10.140625" bestFit="1" customWidth="1"/>
    <col min="36" max="36" width="10.140625" bestFit="1" customWidth="1"/>
  </cols>
  <sheetData>
    <row r="1" spans="1:36" x14ac:dyDescent="0.25">
      <c r="A1" s="1" t="s">
        <v>0</v>
      </c>
      <c r="B1" s="14" t="s">
        <v>379</v>
      </c>
      <c r="C1" s="14" t="s">
        <v>378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1990</v>
      </c>
      <c r="M1" s="6">
        <v>1996</v>
      </c>
      <c r="N1" s="6">
        <v>1999</v>
      </c>
      <c r="O1" s="6">
        <v>2000</v>
      </c>
      <c r="P1" s="6">
        <v>2001</v>
      </c>
      <c r="Q1" s="6">
        <v>2002</v>
      </c>
      <c r="R1" s="6">
        <v>2003</v>
      </c>
      <c r="S1" s="6">
        <v>2004</v>
      </c>
      <c r="T1" s="6">
        <v>2005</v>
      </c>
      <c r="U1" s="6">
        <v>2006</v>
      </c>
      <c r="V1" s="6">
        <v>2007</v>
      </c>
      <c r="W1" s="6">
        <v>2008</v>
      </c>
      <c r="X1" s="6">
        <v>2009</v>
      </c>
      <c r="Y1" s="6">
        <v>2010</v>
      </c>
      <c r="Z1" s="6">
        <v>2011</v>
      </c>
      <c r="AA1" s="6">
        <v>2012</v>
      </c>
      <c r="AB1" s="6">
        <v>2013</v>
      </c>
      <c r="AC1" s="6">
        <v>2014</v>
      </c>
      <c r="AD1" s="6">
        <v>2015</v>
      </c>
      <c r="AE1" s="6">
        <v>2016</v>
      </c>
      <c r="AF1" s="6">
        <v>2017</v>
      </c>
      <c r="AG1" s="6">
        <v>2018</v>
      </c>
      <c r="AH1" s="6">
        <v>2019</v>
      </c>
      <c r="AI1" s="6">
        <v>2020</v>
      </c>
      <c r="AJ1" s="6">
        <v>2021</v>
      </c>
    </row>
    <row r="2" spans="1:36" x14ac:dyDescent="0.25">
      <c r="A2" s="1" t="s">
        <v>23</v>
      </c>
      <c r="B2" s="1" t="s">
        <v>24</v>
      </c>
      <c r="C2" s="1" t="s">
        <v>25</v>
      </c>
      <c r="D2" s="5">
        <v>35911</v>
      </c>
      <c r="E2" s="5">
        <v>35913</v>
      </c>
      <c r="F2" s="5">
        <v>50503</v>
      </c>
      <c r="G2" s="5">
        <v>65253</v>
      </c>
      <c r="H2" s="5">
        <v>83214</v>
      </c>
      <c r="I2" s="8">
        <f>ROUND(MEDIAN(H2,J2), 0)</f>
        <v>94496</v>
      </c>
      <c r="J2" s="5">
        <v>105777</v>
      </c>
      <c r="K2" s="8">
        <f>ROUND(J2+5*(M2-J2)/16, 0)</f>
        <v>115656</v>
      </c>
      <c r="L2" s="8">
        <f>ROUND(J2+10*(M2-J2)/16, 0)</f>
        <v>125535</v>
      </c>
      <c r="M2" s="5">
        <v>137390</v>
      </c>
      <c r="N2" s="8">
        <f t="shared" ref="N2:N33" si="0">ROUND(MEDIAN(M2,O2), 0)</f>
        <v>147684</v>
      </c>
      <c r="O2" s="5">
        <v>157978</v>
      </c>
      <c r="P2" s="9">
        <f>ROUND(O2+($V2-$O2)/7, 0)</f>
        <v>162683</v>
      </c>
      <c r="Q2" s="9">
        <f t="shared" ref="Q2:U2" si="1">ROUND(P2+($V2-$O2)/7, 0)</f>
        <v>167388</v>
      </c>
      <c r="R2" s="9">
        <f t="shared" si="1"/>
        <v>172093</v>
      </c>
      <c r="S2" s="9">
        <f t="shared" si="1"/>
        <v>176798</v>
      </c>
      <c r="T2" s="9">
        <f t="shared" si="1"/>
        <v>181503</v>
      </c>
      <c r="U2" s="9">
        <f t="shared" si="1"/>
        <v>186208</v>
      </c>
      <c r="V2" s="5">
        <v>190910</v>
      </c>
      <c r="W2" s="9">
        <f>ROUND(V2+($Y2-$V2)/3, 0)</f>
        <v>195968</v>
      </c>
      <c r="X2" s="9">
        <f>ROUND(W2+($Y2-$V2)/3, 0)</f>
        <v>201026</v>
      </c>
      <c r="Y2" s="5">
        <v>206084</v>
      </c>
      <c r="Z2" s="10">
        <f>ROUND(Y2+($AJ2-$Y2)/11, 0)</f>
        <v>209355</v>
      </c>
      <c r="AA2" s="10">
        <f t="shared" ref="AA2:AI2" si="2">ROUND(Z2+($AJ2-$Y2)/11, 0)</f>
        <v>212626</v>
      </c>
      <c r="AB2" s="10">
        <f t="shared" si="2"/>
        <v>215897</v>
      </c>
      <c r="AC2" s="10">
        <f t="shared" si="2"/>
        <v>219168</v>
      </c>
      <c r="AD2" s="10">
        <f t="shared" si="2"/>
        <v>222439</v>
      </c>
      <c r="AE2" s="10">
        <f t="shared" si="2"/>
        <v>225710</v>
      </c>
      <c r="AF2" s="10">
        <f t="shared" si="2"/>
        <v>228981</v>
      </c>
      <c r="AG2" s="10">
        <f t="shared" si="2"/>
        <v>232252</v>
      </c>
      <c r="AH2" s="10">
        <f t="shared" si="2"/>
        <v>235523</v>
      </c>
      <c r="AI2" s="10">
        <f t="shared" si="2"/>
        <v>238794</v>
      </c>
      <c r="AJ2" s="5">
        <v>242063</v>
      </c>
    </row>
    <row r="3" spans="1:36" x14ac:dyDescent="0.25">
      <c r="A3" s="1" t="s">
        <v>23</v>
      </c>
      <c r="B3" s="1" t="s">
        <v>26</v>
      </c>
      <c r="C3" s="1" t="s">
        <v>27</v>
      </c>
      <c r="D3" s="5">
        <v>56468</v>
      </c>
      <c r="E3" s="5">
        <v>43855</v>
      </c>
      <c r="F3" s="5">
        <v>64252</v>
      </c>
      <c r="G3" s="5">
        <v>93599</v>
      </c>
      <c r="H3" s="5">
        <v>132085</v>
      </c>
      <c r="I3" s="8">
        <f t="shared" ref="I3:I66" si="3">ROUND(MEDIAN(H3,J3), 0)</f>
        <v>163792</v>
      </c>
      <c r="J3" s="5">
        <v>195499</v>
      </c>
      <c r="K3" s="8">
        <f t="shared" ref="K3:K66" si="4">ROUND(J3+5*(M3-J3)/16, 0)</f>
        <v>242594</v>
      </c>
      <c r="L3" s="8">
        <f t="shared" ref="L3:L66" si="5">ROUND(J3+10*(M3-J3)/16, 0)</f>
        <v>289689</v>
      </c>
      <c r="M3" s="5">
        <v>346203</v>
      </c>
      <c r="N3" s="8">
        <f t="shared" si="0"/>
        <v>373054</v>
      </c>
      <c r="O3" s="5">
        <v>399904</v>
      </c>
      <c r="P3" s="9">
        <f t="shared" ref="P3:U3" si="6">ROUND(O3+($V3-$O3)/7, 0)</f>
        <v>409128</v>
      </c>
      <c r="Q3" s="9">
        <f t="shared" si="6"/>
        <v>418352</v>
      </c>
      <c r="R3" s="9">
        <f t="shared" si="6"/>
        <v>427576</v>
      </c>
      <c r="S3" s="9">
        <f t="shared" si="6"/>
        <v>436800</v>
      </c>
      <c r="T3" s="9">
        <f t="shared" si="6"/>
        <v>446024</v>
      </c>
      <c r="U3" s="9">
        <f t="shared" si="6"/>
        <v>455248</v>
      </c>
      <c r="V3" s="5">
        <v>464475</v>
      </c>
      <c r="W3" s="9">
        <f t="shared" ref="W3:X3" si="7">ROUND(V3+($Y3-$V3)/3, 0)</f>
        <v>485475</v>
      </c>
      <c r="X3" s="9">
        <f t="shared" si="7"/>
        <v>506475</v>
      </c>
      <c r="Y3" s="5">
        <v>527475</v>
      </c>
      <c r="Z3" s="10">
        <f t="shared" ref="Z3:AI3" si="8">ROUND(Y3+($AJ3-$Y3)/11, 0)</f>
        <v>532973</v>
      </c>
      <c r="AA3" s="10">
        <f t="shared" si="8"/>
        <v>538471</v>
      </c>
      <c r="AB3" s="10">
        <f t="shared" si="8"/>
        <v>543969</v>
      </c>
      <c r="AC3" s="10">
        <f t="shared" si="8"/>
        <v>549467</v>
      </c>
      <c r="AD3" s="10">
        <f t="shared" si="8"/>
        <v>554965</v>
      </c>
      <c r="AE3" s="10">
        <f t="shared" si="8"/>
        <v>560463</v>
      </c>
      <c r="AF3" s="10">
        <f t="shared" si="8"/>
        <v>565961</v>
      </c>
      <c r="AG3" s="10">
        <f t="shared" si="8"/>
        <v>571459</v>
      </c>
      <c r="AH3" s="10">
        <f t="shared" si="8"/>
        <v>576957</v>
      </c>
      <c r="AI3" s="10">
        <f t="shared" si="8"/>
        <v>582455</v>
      </c>
      <c r="AJ3" s="5">
        <v>587955</v>
      </c>
    </row>
    <row r="4" spans="1:36" x14ac:dyDescent="0.25">
      <c r="A4" s="1" t="s">
        <v>28</v>
      </c>
      <c r="B4" s="1" t="s">
        <v>29</v>
      </c>
      <c r="C4" s="1" t="s">
        <v>30</v>
      </c>
      <c r="D4" s="5">
        <v>115516</v>
      </c>
      <c r="E4" s="5">
        <v>116956</v>
      </c>
      <c r="F4" s="5">
        <v>184696</v>
      </c>
      <c r="G4" s="5">
        <v>205593</v>
      </c>
      <c r="H4" s="5">
        <v>255448</v>
      </c>
      <c r="I4" s="8">
        <f t="shared" si="3"/>
        <v>285686</v>
      </c>
      <c r="J4" s="5">
        <v>315923</v>
      </c>
      <c r="K4" s="8">
        <f t="shared" si="4"/>
        <v>336881</v>
      </c>
      <c r="L4" s="8">
        <f t="shared" si="5"/>
        <v>357839</v>
      </c>
      <c r="M4" s="5">
        <v>382988</v>
      </c>
      <c r="N4" s="8">
        <f t="shared" si="0"/>
        <v>398398</v>
      </c>
      <c r="O4" s="5">
        <v>413808</v>
      </c>
      <c r="P4" s="9">
        <f t="shared" ref="P4:U4" si="9">ROUND(O4+($V4-$O4)/7, 0)</f>
        <v>415527</v>
      </c>
      <c r="Q4" s="9">
        <f t="shared" si="9"/>
        <v>417246</v>
      </c>
      <c r="R4" s="9">
        <f t="shared" si="9"/>
        <v>418965</v>
      </c>
      <c r="S4" s="9">
        <f t="shared" si="9"/>
        <v>420684</v>
      </c>
      <c r="T4" s="9">
        <f t="shared" si="9"/>
        <v>422403</v>
      </c>
      <c r="U4" s="9">
        <f t="shared" si="9"/>
        <v>424122</v>
      </c>
      <c r="V4" s="5">
        <v>425843</v>
      </c>
      <c r="W4" s="9">
        <f t="shared" ref="W4:X4" si="10">ROUND(V4+($Y4-$V4)/3, 0)</f>
        <v>428118</v>
      </c>
      <c r="X4" s="9">
        <f t="shared" si="10"/>
        <v>430393</v>
      </c>
      <c r="Y4" s="5">
        <v>432667</v>
      </c>
      <c r="Z4" s="10">
        <f t="shared" ref="Z4:AI4" si="11">ROUND(Y4+($AJ4-$Y4)/11, 0)</f>
        <v>431774</v>
      </c>
      <c r="AA4" s="10">
        <f t="shared" si="11"/>
        <v>430881</v>
      </c>
      <c r="AB4" s="10">
        <f t="shared" si="11"/>
        <v>429988</v>
      </c>
      <c r="AC4" s="10">
        <f t="shared" si="11"/>
        <v>429095</v>
      </c>
      <c r="AD4" s="10">
        <f t="shared" si="11"/>
        <v>428202</v>
      </c>
      <c r="AE4" s="10">
        <f t="shared" si="11"/>
        <v>427309</v>
      </c>
      <c r="AF4" s="10">
        <f t="shared" si="11"/>
        <v>426416</v>
      </c>
      <c r="AG4" s="10">
        <f t="shared" si="11"/>
        <v>425523</v>
      </c>
      <c r="AH4" s="10">
        <f t="shared" si="11"/>
        <v>424630</v>
      </c>
      <c r="AI4" s="10">
        <f t="shared" si="11"/>
        <v>423737</v>
      </c>
      <c r="AJ4" s="5">
        <v>422847</v>
      </c>
    </row>
    <row r="5" spans="1:36" x14ac:dyDescent="0.25">
      <c r="A5" s="1" t="s">
        <v>28</v>
      </c>
      <c r="B5" s="1" t="s">
        <v>31</v>
      </c>
      <c r="C5" s="1" t="s">
        <v>32</v>
      </c>
      <c r="D5" s="5">
        <v>136420</v>
      </c>
      <c r="E5" s="5">
        <v>168168</v>
      </c>
      <c r="F5" s="5">
        <v>196055</v>
      </c>
      <c r="G5" s="5">
        <v>249267</v>
      </c>
      <c r="H5" s="5">
        <v>375218</v>
      </c>
      <c r="I5" s="8">
        <f t="shared" si="3"/>
        <v>414364</v>
      </c>
      <c r="J5" s="5">
        <v>453509</v>
      </c>
      <c r="K5" s="8">
        <f t="shared" si="4"/>
        <v>483037</v>
      </c>
      <c r="L5" s="8">
        <f t="shared" si="5"/>
        <v>512565</v>
      </c>
      <c r="M5" s="5">
        <v>547998</v>
      </c>
      <c r="N5" s="8">
        <f t="shared" si="0"/>
        <v>564929</v>
      </c>
      <c r="O5" s="5">
        <v>581860</v>
      </c>
      <c r="P5" s="9">
        <f t="shared" ref="P5:U5" si="12">ROUND(O5+($V5-$O5)/7, 0)</f>
        <v>585184</v>
      </c>
      <c r="Q5" s="9">
        <f t="shared" si="12"/>
        <v>588508</v>
      </c>
      <c r="R5" s="9">
        <f t="shared" si="12"/>
        <v>591832</v>
      </c>
      <c r="S5" s="9">
        <f t="shared" si="12"/>
        <v>595156</v>
      </c>
      <c r="T5" s="9">
        <f t="shared" si="12"/>
        <v>598480</v>
      </c>
      <c r="U5" s="9">
        <f t="shared" si="12"/>
        <v>601804</v>
      </c>
      <c r="V5" s="5">
        <v>605126</v>
      </c>
      <c r="W5" s="9">
        <f t="shared" ref="W5:X5" si="13">ROUND(V5+($Y5-$V5)/3, 0)</f>
        <v>611185</v>
      </c>
      <c r="X5" s="9">
        <f t="shared" si="13"/>
        <v>617244</v>
      </c>
      <c r="Y5" s="5">
        <v>623302</v>
      </c>
      <c r="Z5" s="10">
        <f t="shared" ref="Z5:AI5" si="14">ROUND(Y5+($AJ5-$Y5)/11, 0)</f>
        <v>624607</v>
      </c>
      <c r="AA5" s="10">
        <f t="shared" si="14"/>
        <v>625912</v>
      </c>
      <c r="AB5" s="10">
        <f t="shared" si="14"/>
        <v>627217</v>
      </c>
      <c r="AC5" s="10">
        <f t="shared" si="14"/>
        <v>628522</v>
      </c>
      <c r="AD5" s="10">
        <f t="shared" si="14"/>
        <v>629827</v>
      </c>
      <c r="AE5" s="10">
        <f t="shared" si="14"/>
        <v>631132</v>
      </c>
      <c r="AF5" s="10">
        <f t="shared" si="14"/>
        <v>632437</v>
      </c>
      <c r="AG5" s="10">
        <f t="shared" si="14"/>
        <v>633742</v>
      </c>
      <c r="AH5" s="10">
        <f t="shared" si="14"/>
        <v>635047</v>
      </c>
      <c r="AI5" s="10">
        <f t="shared" si="14"/>
        <v>636352</v>
      </c>
      <c r="AJ5" s="5">
        <v>637658</v>
      </c>
    </row>
    <row r="6" spans="1:36" x14ac:dyDescent="0.25">
      <c r="A6" s="1" t="s">
        <v>28</v>
      </c>
      <c r="B6" s="1" t="s">
        <v>33</v>
      </c>
      <c r="C6" s="1" t="s">
        <v>34</v>
      </c>
      <c r="D6" s="5">
        <v>726812</v>
      </c>
      <c r="E6" s="5">
        <v>666176</v>
      </c>
      <c r="F6" s="5">
        <v>712386</v>
      </c>
      <c r="G6" s="5">
        <v>801299</v>
      </c>
      <c r="H6" s="5">
        <v>957402</v>
      </c>
      <c r="I6" s="8">
        <f t="shared" si="3"/>
        <v>1085443</v>
      </c>
      <c r="J6" s="5">
        <v>1213483</v>
      </c>
      <c r="K6" s="8">
        <f t="shared" si="4"/>
        <v>1366227</v>
      </c>
      <c r="L6" s="8">
        <f t="shared" si="5"/>
        <v>1518972</v>
      </c>
      <c r="M6" s="5">
        <v>1702265</v>
      </c>
      <c r="N6" s="8">
        <f t="shared" si="0"/>
        <v>1767227</v>
      </c>
      <c r="O6" s="5">
        <v>1832188</v>
      </c>
      <c r="P6" s="9">
        <f t="shared" ref="P6:U6" si="15">ROUND(O6+($V6-$O6)/7, 0)</f>
        <v>1857037</v>
      </c>
      <c r="Q6" s="9">
        <f t="shared" si="15"/>
        <v>1881886</v>
      </c>
      <c r="R6" s="9">
        <f t="shared" si="15"/>
        <v>1906735</v>
      </c>
      <c r="S6" s="9">
        <f t="shared" si="15"/>
        <v>1931584</v>
      </c>
      <c r="T6" s="9">
        <f t="shared" si="15"/>
        <v>1956433</v>
      </c>
      <c r="U6" s="9">
        <f t="shared" si="15"/>
        <v>1981282</v>
      </c>
      <c r="V6" s="5">
        <v>2006134</v>
      </c>
      <c r="W6" s="9">
        <f t="shared" ref="W6:X6" si="16">ROUND(V6+($Y6-$V6)/3, 0)</f>
        <v>2025598</v>
      </c>
      <c r="X6" s="9">
        <f t="shared" si="16"/>
        <v>2045062</v>
      </c>
      <c r="Y6" s="5">
        <v>2064525</v>
      </c>
      <c r="Z6" s="10">
        <f t="shared" ref="Z6:AI6" si="17">ROUND(Y6+($AJ6-$Y6)/11, 0)</f>
        <v>2064766</v>
      </c>
      <c r="AA6" s="10">
        <f t="shared" si="17"/>
        <v>2065007</v>
      </c>
      <c r="AB6" s="10">
        <f t="shared" si="17"/>
        <v>2065248</v>
      </c>
      <c r="AC6" s="10">
        <f t="shared" si="17"/>
        <v>2065489</v>
      </c>
      <c r="AD6" s="10">
        <f t="shared" si="17"/>
        <v>2065730</v>
      </c>
      <c r="AE6" s="10">
        <f t="shared" si="17"/>
        <v>2065971</v>
      </c>
      <c r="AF6" s="10">
        <f t="shared" si="17"/>
        <v>2066212</v>
      </c>
      <c r="AG6" s="10">
        <f t="shared" si="17"/>
        <v>2066453</v>
      </c>
      <c r="AH6" s="10">
        <f t="shared" si="17"/>
        <v>2066694</v>
      </c>
      <c r="AI6" s="10">
        <f t="shared" si="17"/>
        <v>2066935</v>
      </c>
      <c r="AJ6" s="5">
        <v>2067178</v>
      </c>
    </row>
    <row r="7" spans="1:36" x14ac:dyDescent="0.25">
      <c r="A7" s="1" t="s">
        <v>35</v>
      </c>
      <c r="B7" s="1" t="s">
        <v>36</v>
      </c>
      <c r="C7" s="1" t="s">
        <v>37</v>
      </c>
      <c r="D7" s="5">
        <v>18918</v>
      </c>
      <c r="E7" s="5">
        <v>18790</v>
      </c>
      <c r="F7" s="5">
        <v>19119</v>
      </c>
      <c r="G7" s="5">
        <v>45147</v>
      </c>
      <c r="H7" s="5">
        <v>43479</v>
      </c>
      <c r="I7" s="8">
        <f t="shared" si="3"/>
        <v>46441</v>
      </c>
      <c r="J7" s="5">
        <v>49403</v>
      </c>
      <c r="K7" s="8">
        <f t="shared" si="4"/>
        <v>62110</v>
      </c>
      <c r="L7" s="8">
        <f t="shared" si="5"/>
        <v>74817</v>
      </c>
      <c r="M7" s="5">
        <v>90065</v>
      </c>
      <c r="N7" s="8">
        <f t="shared" si="0"/>
        <v>95893</v>
      </c>
      <c r="O7" s="5">
        <v>101720</v>
      </c>
      <c r="P7" s="9">
        <f t="shared" ref="P7:U7" si="18">ROUND(O7+($V7-$O7)/7, 0)</f>
        <v>104051</v>
      </c>
      <c r="Q7" s="9">
        <f t="shared" si="18"/>
        <v>106382</v>
      </c>
      <c r="R7" s="9">
        <f t="shared" si="18"/>
        <v>108713</v>
      </c>
      <c r="S7" s="9">
        <f t="shared" si="18"/>
        <v>111044</v>
      </c>
      <c r="T7" s="9">
        <f t="shared" si="18"/>
        <v>113375</v>
      </c>
      <c r="U7" s="9">
        <f t="shared" si="18"/>
        <v>115706</v>
      </c>
      <c r="V7" s="5">
        <v>118035</v>
      </c>
      <c r="W7" s="9">
        <f t="shared" ref="W7:X7" si="19">ROUND(V7+($Y7-$V7)/3, 0)</f>
        <v>119136</v>
      </c>
      <c r="X7" s="9">
        <f t="shared" si="19"/>
        <v>120237</v>
      </c>
      <c r="Y7" s="5">
        <v>121337</v>
      </c>
      <c r="Z7" s="10">
        <f t="shared" ref="Z7:AI7" si="20">ROUND(Y7+($AJ7-$Y7)/11, 0)</f>
        <v>121665</v>
      </c>
      <c r="AA7" s="10">
        <f t="shared" si="20"/>
        <v>121993</v>
      </c>
      <c r="AB7" s="10">
        <f t="shared" si="20"/>
        <v>122321</v>
      </c>
      <c r="AC7" s="10">
        <f t="shared" si="20"/>
        <v>122649</v>
      </c>
      <c r="AD7" s="10">
        <f t="shared" si="20"/>
        <v>122977</v>
      </c>
      <c r="AE7" s="10">
        <f t="shared" si="20"/>
        <v>123305</v>
      </c>
      <c r="AF7" s="10">
        <f t="shared" si="20"/>
        <v>123633</v>
      </c>
      <c r="AG7" s="10">
        <f t="shared" si="20"/>
        <v>123961</v>
      </c>
      <c r="AH7" s="10">
        <f t="shared" si="20"/>
        <v>124289</v>
      </c>
      <c r="AI7" s="10">
        <f t="shared" si="20"/>
        <v>124617</v>
      </c>
      <c r="AJ7" s="5">
        <v>124941</v>
      </c>
    </row>
    <row r="8" spans="1:36" x14ac:dyDescent="0.25">
      <c r="A8" s="1" t="s">
        <v>35</v>
      </c>
      <c r="B8" s="1" t="s">
        <v>38</v>
      </c>
      <c r="C8" s="1" t="s">
        <v>39</v>
      </c>
      <c r="D8" s="5">
        <v>57787</v>
      </c>
      <c r="E8" s="5">
        <v>62322</v>
      </c>
      <c r="F8" s="5">
        <v>82672</v>
      </c>
      <c r="G8" s="5">
        <v>108392</v>
      </c>
      <c r="H8" s="5">
        <v>124293</v>
      </c>
      <c r="I8" s="8">
        <f t="shared" si="3"/>
        <v>144052</v>
      </c>
      <c r="J8" s="5">
        <v>163811</v>
      </c>
      <c r="K8" s="8">
        <f t="shared" si="4"/>
        <v>196692</v>
      </c>
      <c r="L8" s="8">
        <f t="shared" si="5"/>
        <v>229572</v>
      </c>
      <c r="M8" s="5">
        <v>269029</v>
      </c>
      <c r="N8" s="8">
        <f t="shared" si="0"/>
        <v>291099</v>
      </c>
      <c r="O8" s="5">
        <v>313169</v>
      </c>
      <c r="P8" s="9">
        <f t="shared" ref="P8:U8" si="21">ROUND(O8+($V8-$O8)/7, 0)</f>
        <v>315791</v>
      </c>
      <c r="Q8" s="9">
        <f t="shared" si="21"/>
        <v>318413</v>
      </c>
      <c r="R8" s="9">
        <f t="shared" si="21"/>
        <v>321035</v>
      </c>
      <c r="S8" s="9">
        <f t="shared" si="21"/>
        <v>323657</v>
      </c>
      <c r="T8" s="9">
        <f t="shared" si="21"/>
        <v>326279</v>
      </c>
      <c r="U8" s="9">
        <f t="shared" si="21"/>
        <v>328901</v>
      </c>
      <c r="V8" s="5">
        <v>331522</v>
      </c>
      <c r="W8" s="9">
        <f t="shared" ref="W8:X8" si="22">ROUND(V8+($Y8-$V8)/3, 0)</f>
        <v>338328</v>
      </c>
      <c r="X8" s="9">
        <f t="shared" si="22"/>
        <v>345134</v>
      </c>
      <c r="Y8" s="5">
        <v>351939</v>
      </c>
      <c r="Z8" s="10">
        <f t="shared" ref="Z8:AI8" si="23">ROUND(Y8+($AJ8-$Y8)/11, 0)</f>
        <v>356391</v>
      </c>
      <c r="AA8" s="10">
        <f t="shared" si="23"/>
        <v>360843</v>
      </c>
      <c r="AB8" s="10">
        <f t="shared" si="23"/>
        <v>365295</v>
      </c>
      <c r="AC8" s="10">
        <f t="shared" si="23"/>
        <v>369747</v>
      </c>
      <c r="AD8" s="10">
        <f t="shared" si="23"/>
        <v>374199</v>
      </c>
      <c r="AE8" s="10">
        <f t="shared" si="23"/>
        <v>378651</v>
      </c>
      <c r="AF8" s="10">
        <f t="shared" si="23"/>
        <v>383103</v>
      </c>
      <c r="AG8" s="10">
        <f t="shared" si="23"/>
        <v>387555</v>
      </c>
      <c r="AH8" s="10">
        <f t="shared" si="23"/>
        <v>392007</v>
      </c>
      <c r="AI8" s="10">
        <f t="shared" si="23"/>
        <v>396459</v>
      </c>
      <c r="AJ8" s="5">
        <v>400916</v>
      </c>
    </row>
    <row r="9" spans="1:36" x14ac:dyDescent="0.25">
      <c r="A9" s="1" t="s">
        <v>35</v>
      </c>
      <c r="B9" s="1" t="s">
        <v>40</v>
      </c>
      <c r="C9" s="1" t="s">
        <v>41</v>
      </c>
      <c r="D9" s="5">
        <v>185450</v>
      </c>
      <c r="E9" s="5">
        <v>243478</v>
      </c>
      <c r="F9" s="5">
        <v>313382</v>
      </c>
      <c r="G9" s="5">
        <v>442339</v>
      </c>
      <c r="H9" s="5">
        <v>655606</v>
      </c>
      <c r="I9" s="8">
        <f t="shared" si="3"/>
        <v>854205</v>
      </c>
      <c r="J9" s="5">
        <v>1052803</v>
      </c>
      <c r="K9" s="8">
        <f t="shared" si="4"/>
        <v>1293446</v>
      </c>
      <c r="L9" s="8">
        <f t="shared" si="5"/>
        <v>1534090</v>
      </c>
      <c r="M9" s="5">
        <v>1822862</v>
      </c>
      <c r="N9" s="8">
        <f t="shared" si="0"/>
        <v>1995226</v>
      </c>
      <c r="O9" s="5">
        <v>2167589</v>
      </c>
      <c r="P9" s="9">
        <f t="shared" ref="P9:U9" si="24">ROUND(O9+($V9-$O9)/7, 0)</f>
        <v>2216045</v>
      </c>
      <c r="Q9" s="9">
        <f t="shared" si="24"/>
        <v>2264501</v>
      </c>
      <c r="R9" s="9">
        <f t="shared" si="24"/>
        <v>2312957</v>
      </c>
      <c r="S9" s="9">
        <f t="shared" si="24"/>
        <v>2361413</v>
      </c>
      <c r="T9" s="9">
        <f t="shared" si="24"/>
        <v>2409869</v>
      </c>
      <c r="U9" s="9">
        <f t="shared" si="24"/>
        <v>2458325</v>
      </c>
      <c r="V9" s="5">
        <v>2506783</v>
      </c>
      <c r="W9" s="9">
        <f t="shared" ref="W9:X9" si="25">ROUND(V9+($Y9-$V9)/3, 0)</f>
        <v>2580099</v>
      </c>
      <c r="X9" s="9">
        <f t="shared" si="25"/>
        <v>2653415</v>
      </c>
      <c r="Y9" s="5">
        <v>2726732</v>
      </c>
      <c r="Z9" s="10">
        <f t="shared" ref="Z9:AI9" si="26">ROUND(Y9+($AJ9-$Y9)/11, 0)</f>
        <v>2759764</v>
      </c>
      <c r="AA9" s="10">
        <f t="shared" si="26"/>
        <v>2792796</v>
      </c>
      <c r="AB9" s="10">
        <f t="shared" si="26"/>
        <v>2825828</v>
      </c>
      <c r="AC9" s="10">
        <f t="shared" si="26"/>
        <v>2858860</v>
      </c>
      <c r="AD9" s="10">
        <f t="shared" si="26"/>
        <v>2891892</v>
      </c>
      <c r="AE9" s="10">
        <f t="shared" si="26"/>
        <v>2924924</v>
      </c>
      <c r="AF9" s="10">
        <f t="shared" si="26"/>
        <v>2957956</v>
      </c>
      <c r="AG9" s="10">
        <f t="shared" si="26"/>
        <v>2990988</v>
      </c>
      <c r="AH9" s="10">
        <f t="shared" si="26"/>
        <v>3024020</v>
      </c>
      <c r="AI9" s="10">
        <f t="shared" si="26"/>
        <v>3057052</v>
      </c>
      <c r="AJ9" s="5">
        <v>3090088</v>
      </c>
    </row>
    <row r="10" spans="1:36" x14ac:dyDescent="0.25">
      <c r="A10" s="1" t="s">
        <v>35</v>
      </c>
      <c r="B10" s="1" t="s">
        <v>42</v>
      </c>
      <c r="C10" s="1" t="s">
        <v>43</v>
      </c>
      <c r="D10" s="5">
        <v>86792</v>
      </c>
      <c r="E10" s="5">
        <v>91569</v>
      </c>
      <c r="F10" s="5">
        <v>98926</v>
      </c>
      <c r="G10" s="5">
        <v>118896</v>
      </c>
      <c r="H10" s="5">
        <v>131825</v>
      </c>
      <c r="I10" s="8">
        <f t="shared" si="3"/>
        <v>148168</v>
      </c>
      <c r="J10" s="5">
        <v>164511</v>
      </c>
      <c r="K10" s="8">
        <f t="shared" si="4"/>
        <v>177890</v>
      </c>
      <c r="L10" s="8">
        <f t="shared" si="5"/>
        <v>191269</v>
      </c>
      <c r="M10" s="5">
        <v>207323</v>
      </c>
      <c r="N10" s="8">
        <f t="shared" si="0"/>
        <v>221049</v>
      </c>
      <c r="O10" s="5">
        <v>234775</v>
      </c>
      <c r="P10" s="9">
        <f t="shared" ref="P10:U10" si="27">ROUND(O10+($V10-$O10)/7, 0)</f>
        <v>239178</v>
      </c>
      <c r="Q10" s="9">
        <f t="shared" si="27"/>
        <v>243581</v>
      </c>
      <c r="R10" s="9">
        <f t="shared" si="27"/>
        <v>247984</v>
      </c>
      <c r="S10" s="9">
        <f t="shared" si="27"/>
        <v>252387</v>
      </c>
      <c r="T10" s="9">
        <f t="shared" si="27"/>
        <v>256790</v>
      </c>
      <c r="U10" s="9">
        <f t="shared" si="27"/>
        <v>261193</v>
      </c>
      <c r="V10" s="5">
        <v>265599</v>
      </c>
      <c r="W10" s="9">
        <f t="shared" ref="W10:X10" si="28">ROUND(V10+($Y10-$V10)/3, 0)</f>
        <v>271725</v>
      </c>
      <c r="X10" s="9">
        <f t="shared" si="28"/>
        <v>277851</v>
      </c>
      <c r="Y10" s="5">
        <v>283977</v>
      </c>
      <c r="Z10" s="10">
        <f t="shared" ref="Z10:AI10" si="29">ROUND(Y10+($AJ10-$Y10)/11, 0)</f>
        <v>287767</v>
      </c>
      <c r="AA10" s="10">
        <f t="shared" si="29"/>
        <v>291557</v>
      </c>
      <c r="AB10" s="10">
        <f t="shared" si="29"/>
        <v>295347</v>
      </c>
      <c r="AC10" s="10">
        <f t="shared" si="29"/>
        <v>299137</v>
      </c>
      <c r="AD10" s="10">
        <f t="shared" si="29"/>
        <v>302927</v>
      </c>
      <c r="AE10" s="10">
        <f t="shared" si="29"/>
        <v>306717</v>
      </c>
      <c r="AF10" s="10">
        <f t="shared" si="29"/>
        <v>310507</v>
      </c>
      <c r="AG10" s="10">
        <f t="shared" si="29"/>
        <v>314297</v>
      </c>
      <c r="AH10" s="10">
        <f t="shared" si="29"/>
        <v>318087</v>
      </c>
      <c r="AI10" s="10">
        <f t="shared" si="29"/>
        <v>321877</v>
      </c>
      <c r="AJ10" s="5">
        <v>325668</v>
      </c>
    </row>
    <row r="11" spans="1:36" x14ac:dyDescent="0.25">
      <c r="A11" s="1" t="s">
        <v>44</v>
      </c>
      <c r="B11" s="1" t="s">
        <v>45</v>
      </c>
      <c r="C11" s="1" t="s">
        <v>46</v>
      </c>
      <c r="D11" s="5">
        <v>6032</v>
      </c>
      <c r="E11" s="5">
        <v>6374</v>
      </c>
      <c r="F11" s="5">
        <v>11778</v>
      </c>
      <c r="G11" s="5">
        <v>14178</v>
      </c>
      <c r="H11" s="5">
        <v>17636</v>
      </c>
      <c r="I11" s="8">
        <f t="shared" si="3"/>
        <v>17505</v>
      </c>
      <c r="J11" s="5">
        <v>17373</v>
      </c>
      <c r="K11" s="8">
        <f t="shared" si="4"/>
        <v>20766</v>
      </c>
      <c r="L11" s="8">
        <f t="shared" si="5"/>
        <v>24160</v>
      </c>
      <c r="M11" s="5">
        <v>28232</v>
      </c>
      <c r="N11" s="8">
        <f t="shared" si="0"/>
        <v>32188</v>
      </c>
      <c r="O11" s="5">
        <v>36144</v>
      </c>
      <c r="P11" s="9">
        <f t="shared" ref="P11:U11" si="30">ROUND(O11+($V11-$O11)/7, 0)</f>
        <v>38277</v>
      </c>
      <c r="Q11" s="9">
        <f t="shared" si="30"/>
        <v>40410</v>
      </c>
      <c r="R11" s="9">
        <f t="shared" si="30"/>
        <v>42543</v>
      </c>
      <c r="S11" s="9">
        <f t="shared" si="30"/>
        <v>44676</v>
      </c>
      <c r="T11" s="9">
        <f t="shared" si="30"/>
        <v>46809</v>
      </c>
      <c r="U11" s="9">
        <f t="shared" si="30"/>
        <v>48942</v>
      </c>
      <c r="V11" s="5">
        <v>51077</v>
      </c>
      <c r="W11" s="9">
        <f t="shared" ref="W11:X11" si="31">ROUND(V11+($Y11-$V11)/3, 0)</f>
        <v>52029</v>
      </c>
      <c r="X11" s="9">
        <f t="shared" si="31"/>
        <v>52981</v>
      </c>
      <c r="Y11" s="5">
        <v>53934</v>
      </c>
      <c r="Z11" s="10">
        <f t="shared" ref="Z11:AI11" si="32">ROUND(Y11+($AJ11-$Y11)/11, 0)</f>
        <v>54739</v>
      </c>
      <c r="AA11" s="10">
        <f t="shared" si="32"/>
        <v>55544</v>
      </c>
      <c r="AB11" s="10">
        <f t="shared" si="32"/>
        <v>56349</v>
      </c>
      <c r="AC11" s="10">
        <f t="shared" si="32"/>
        <v>57154</v>
      </c>
      <c r="AD11" s="10">
        <f t="shared" si="32"/>
        <v>57959</v>
      </c>
      <c r="AE11" s="10">
        <f t="shared" si="32"/>
        <v>58764</v>
      </c>
      <c r="AF11" s="10">
        <f t="shared" si="32"/>
        <v>59569</v>
      </c>
      <c r="AG11" s="10">
        <f t="shared" si="32"/>
        <v>60374</v>
      </c>
      <c r="AH11" s="10">
        <f t="shared" si="32"/>
        <v>61179</v>
      </c>
      <c r="AI11" s="10">
        <f t="shared" si="32"/>
        <v>61984</v>
      </c>
      <c r="AJ11" s="5">
        <v>62785</v>
      </c>
    </row>
    <row r="12" spans="1:36" x14ac:dyDescent="0.25">
      <c r="A12" s="1" t="s">
        <v>44</v>
      </c>
      <c r="B12" s="1" t="s">
        <v>47</v>
      </c>
      <c r="C12" s="1" t="s">
        <v>48</v>
      </c>
      <c r="D12" s="5">
        <v>30445</v>
      </c>
      <c r="E12" s="5">
        <v>24373</v>
      </c>
      <c r="F12" s="5">
        <v>25699</v>
      </c>
      <c r="G12" s="5">
        <v>54342</v>
      </c>
      <c r="H12" s="5">
        <v>96594</v>
      </c>
      <c r="I12" s="8">
        <f t="shared" si="3"/>
        <v>127240</v>
      </c>
      <c r="J12" s="5">
        <v>157885</v>
      </c>
      <c r="K12" s="8">
        <f t="shared" si="4"/>
        <v>218304</v>
      </c>
      <c r="L12" s="8">
        <f t="shared" si="5"/>
        <v>278724</v>
      </c>
      <c r="M12" s="5">
        <v>351227</v>
      </c>
      <c r="N12" s="8">
        <f t="shared" si="0"/>
        <v>396058</v>
      </c>
      <c r="O12" s="5">
        <v>440888</v>
      </c>
      <c r="P12" s="9">
        <f t="shared" ref="P12:U12" si="33">ROUND(O12+($V12-$O12)/7, 0)</f>
        <v>454509</v>
      </c>
      <c r="Q12" s="9">
        <f t="shared" si="33"/>
        <v>468130</v>
      </c>
      <c r="R12" s="9">
        <f t="shared" si="33"/>
        <v>481751</v>
      </c>
      <c r="S12" s="9">
        <f t="shared" si="33"/>
        <v>495372</v>
      </c>
      <c r="T12" s="9">
        <f t="shared" si="33"/>
        <v>508993</v>
      </c>
      <c r="U12" s="9">
        <f t="shared" si="33"/>
        <v>522614</v>
      </c>
      <c r="V12" s="5">
        <v>536234</v>
      </c>
      <c r="W12" s="9">
        <f t="shared" ref="W12:X12" si="34">ROUND(V12+($Y12-$V12)/3, 0)</f>
        <v>562687</v>
      </c>
      <c r="X12" s="9">
        <f t="shared" si="34"/>
        <v>589140</v>
      </c>
      <c r="Y12" s="5">
        <v>615592</v>
      </c>
      <c r="Z12" s="10">
        <f t="shared" ref="Z12:AI12" si="35">ROUND(Y12+($AJ12-$Y12)/11, 0)</f>
        <v>620627</v>
      </c>
      <c r="AA12" s="10">
        <f t="shared" si="35"/>
        <v>625662</v>
      </c>
      <c r="AB12" s="10">
        <f t="shared" si="35"/>
        <v>630697</v>
      </c>
      <c r="AC12" s="10">
        <f t="shared" si="35"/>
        <v>635732</v>
      </c>
      <c r="AD12" s="10">
        <f t="shared" si="35"/>
        <v>640767</v>
      </c>
      <c r="AE12" s="10">
        <f t="shared" si="35"/>
        <v>645802</v>
      </c>
      <c r="AF12" s="10">
        <f t="shared" si="35"/>
        <v>650837</v>
      </c>
      <c r="AG12" s="10">
        <f t="shared" si="35"/>
        <v>655872</v>
      </c>
      <c r="AH12" s="10">
        <f t="shared" si="35"/>
        <v>660907</v>
      </c>
      <c r="AI12" s="10">
        <f t="shared" si="35"/>
        <v>665942</v>
      </c>
      <c r="AJ12" s="5">
        <v>670974</v>
      </c>
    </row>
    <row r="13" spans="1:36" x14ac:dyDescent="0.25">
      <c r="A13" s="1" t="s">
        <v>49</v>
      </c>
      <c r="B13" s="1" t="s">
        <v>50</v>
      </c>
      <c r="C13" s="1" t="s">
        <v>51</v>
      </c>
      <c r="D13" s="5">
        <v>130606</v>
      </c>
      <c r="E13" s="5">
        <v>151295</v>
      </c>
      <c r="F13" s="5">
        <v>179347</v>
      </c>
      <c r="G13" s="5">
        <v>211104</v>
      </c>
      <c r="H13" s="5">
        <v>279332</v>
      </c>
      <c r="I13" s="8">
        <f t="shared" si="3"/>
        <v>312630</v>
      </c>
      <c r="J13" s="5">
        <v>345927</v>
      </c>
      <c r="K13" s="8">
        <f t="shared" si="4"/>
        <v>385655</v>
      </c>
      <c r="L13" s="8">
        <f t="shared" si="5"/>
        <v>425383</v>
      </c>
      <c r="M13" s="5">
        <v>473057</v>
      </c>
      <c r="N13" s="8">
        <f t="shared" si="0"/>
        <v>484553</v>
      </c>
      <c r="O13" s="5">
        <v>496048</v>
      </c>
      <c r="P13" s="9">
        <f t="shared" ref="P13:U13" si="36">ROUND(O13+($V13-$O13)/7, 0)</f>
        <v>504292</v>
      </c>
      <c r="Q13" s="9">
        <f t="shared" si="36"/>
        <v>512536</v>
      </c>
      <c r="R13" s="9">
        <f t="shared" si="36"/>
        <v>520780</v>
      </c>
      <c r="S13" s="9">
        <f t="shared" si="36"/>
        <v>529024</v>
      </c>
      <c r="T13" s="9">
        <f t="shared" si="36"/>
        <v>537268</v>
      </c>
      <c r="U13" s="9">
        <f t="shared" si="36"/>
        <v>545512</v>
      </c>
      <c r="V13" s="5">
        <v>553758</v>
      </c>
      <c r="W13" s="9">
        <f t="shared" ref="W13:X13" si="37">ROUND(V13+($Y13-$V13)/3, 0)</f>
        <v>562256</v>
      </c>
      <c r="X13" s="9">
        <f t="shared" si="37"/>
        <v>570754</v>
      </c>
      <c r="Y13" s="5">
        <v>579253</v>
      </c>
      <c r="Z13" s="10">
        <f t="shared" ref="Z13:AI13" si="38">ROUND(Y13+($AJ13-$Y13)/11, 0)</f>
        <v>586769</v>
      </c>
      <c r="AA13" s="10">
        <f t="shared" si="38"/>
        <v>594285</v>
      </c>
      <c r="AB13" s="10">
        <f t="shared" si="38"/>
        <v>601801</v>
      </c>
      <c r="AC13" s="10">
        <f t="shared" si="38"/>
        <v>609317</v>
      </c>
      <c r="AD13" s="10">
        <f t="shared" si="38"/>
        <v>616833</v>
      </c>
      <c r="AE13" s="10">
        <f t="shared" si="38"/>
        <v>624349</v>
      </c>
      <c r="AF13" s="10">
        <f t="shared" si="38"/>
        <v>631865</v>
      </c>
      <c r="AG13" s="10">
        <f t="shared" si="38"/>
        <v>639381</v>
      </c>
      <c r="AH13" s="10">
        <f t="shared" si="38"/>
        <v>646897</v>
      </c>
      <c r="AI13" s="10">
        <f t="shared" si="38"/>
        <v>654413</v>
      </c>
      <c r="AJ13" s="5">
        <v>661929</v>
      </c>
    </row>
    <row r="14" spans="1:36" x14ac:dyDescent="0.25">
      <c r="A14" s="1" t="s">
        <v>49</v>
      </c>
      <c r="B14" s="1" t="s">
        <v>52</v>
      </c>
      <c r="C14" s="1" t="s">
        <v>53</v>
      </c>
      <c r="D14" s="5">
        <v>243330</v>
      </c>
      <c r="E14" s="5">
        <v>223780</v>
      </c>
      <c r="F14" s="5">
        <v>300342</v>
      </c>
      <c r="G14" s="5">
        <v>329918</v>
      </c>
      <c r="H14" s="5">
        <v>459765</v>
      </c>
      <c r="I14" s="8">
        <f t="shared" si="3"/>
        <v>545681</v>
      </c>
      <c r="J14" s="5">
        <v>631596</v>
      </c>
      <c r="K14" s="8">
        <f t="shared" si="4"/>
        <v>693437</v>
      </c>
      <c r="L14" s="8">
        <f t="shared" si="5"/>
        <v>755277</v>
      </c>
      <c r="M14" s="5">
        <v>829486</v>
      </c>
      <c r="N14" s="8">
        <f t="shared" si="0"/>
        <v>853260</v>
      </c>
      <c r="O14" s="5">
        <v>877034</v>
      </c>
      <c r="P14" s="9">
        <f t="shared" ref="P14:U14" si="39">ROUND(O14+($V14-$O14)/7, 0)</f>
        <v>891517</v>
      </c>
      <c r="Q14" s="9">
        <f t="shared" si="39"/>
        <v>906000</v>
      </c>
      <c r="R14" s="9">
        <f t="shared" si="39"/>
        <v>920483</v>
      </c>
      <c r="S14" s="9">
        <f t="shared" si="39"/>
        <v>934966</v>
      </c>
      <c r="T14" s="9">
        <f t="shared" si="39"/>
        <v>949449</v>
      </c>
      <c r="U14" s="9">
        <f t="shared" si="39"/>
        <v>963932</v>
      </c>
      <c r="V14" s="5">
        <v>978414</v>
      </c>
      <c r="W14" s="9">
        <f t="shared" ref="W14:X14" si="40">ROUND(V14+($Y14-$V14)/3, 0)</f>
        <v>973744</v>
      </c>
      <c r="X14" s="9">
        <f t="shared" si="40"/>
        <v>969074</v>
      </c>
      <c r="Y14" s="5">
        <v>964405</v>
      </c>
      <c r="Z14" s="10">
        <f t="shared" ref="Z14:AI14" si="41">ROUND(Y14+($AJ14-$Y14)/11, 0)</f>
        <v>971090</v>
      </c>
      <c r="AA14" s="10">
        <f t="shared" si="41"/>
        <v>977775</v>
      </c>
      <c r="AB14" s="10">
        <f t="shared" si="41"/>
        <v>984460</v>
      </c>
      <c r="AC14" s="10">
        <f t="shared" si="41"/>
        <v>991145</v>
      </c>
      <c r="AD14" s="10">
        <f t="shared" si="41"/>
        <v>997830</v>
      </c>
      <c r="AE14" s="10">
        <f t="shared" si="41"/>
        <v>1004515</v>
      </c>
      <c r="AF14" s="10">
        <f t="shared" si="41"/>
        <v>1011200</v>
      </c>
      <c r="AG14" s="10">
        <f t="shared" si="41"/>
        <v>1017885</v>
      </c>
      <c r="AH14" s="10">
        <f t="shared" si="41"/>
        <v>1024570</v>
      </c>
      <c r="AI14" s="10">
        <f t="shared" si="41"/>
        <v>1031255</v>
      </c>
      <c r="AJ14" s="5">
        <v>1037935</v>
      </c>
    </row>
    <row r="15" spans="1:36" x14ac:dyDescent="0.25">
      <c r="A15" s="1" t="s">
        <v>49</v>
      </c>
      <c r="B15" s="1" t="s">
        <v>54</v>
      </c>
      <c r="C15" s="1" t="s">
        <v>55</v>
      </c>
      <c r="D15" s="5">
        <v>530718</v>
      </c>
      <c r="E15" s="5">
        <v>669394</v>
      </c>
      <c r="F15" s="5">
        <v>837209</v>
      </c>
      <c r="G15" s="5">
        <v>943774</v>
      </c>
      <c r="H15" s="5">
        <v>1274046</v>
      </c>
      <c r="I15" s="8">
        <f t="shared" si="3"/>
        <v>1432251</v>
      </c>
      <c r="J15" s="5">
        <v>1590455</v>
      </c>
      <c r="K15" s="8">
        <f t="shared" si="4"/>
        <v>1747295</v>
      </c>
      <c r="L15" s="8">
        <f t="shared" si="5"/>
        <v>1904135</v>
      </c>
      <c r="M15" s="5">
        <v>2092343</v>
      </c>
      <c r="N15" s="8">
        <f t="shared" si="0"/>
        <v>2087082</v>
      </c>
      <c r="O15" s="5">
        <v>2081821</v>
      </c>
      <c r="P15" s="9">
        <f t="shared" ref="P15:U15" si="42">ROUND(O15+($V15-$O15)/7, 0)</f>
        <v>2102143</v>
      </c>
      <c r="Q15" s="9">
        <f t="shared" si="42"/>
        <v>2122465</v>
      </c>
      <c r="R15" s="9">
        <f t="shared" si="42"/>
        <v>2142787</v>
      </c>
      <c r="S15" s="9">
        <f t="shared" si="42"/>
        <v>2163109</v>
      </c>
      <c r="T15" s="9">
        <f t="shared" si="42"/>
        <v>2183431</v>
      </c>
      <c r="U15" s="9">
        <f t="shared" si="42"/>
        <v>2203753</v>
      </c>
      <c r="V15" s="5">
        <v>2224075</v>
      </c>
      <c r="W15" s="9">
        <f t="shared" ref="W15:X15" si="43">ROUND(V15+($Y15-$V15)/3, 0)</f>
        <v>2224817</v>
      </c>
      <c r="X15" s="9">
        <f t="shared" si="43"/>
        <v>2225559</v>
      </c>
      <c r="Y15" s="5">
        <v>2226300</v>
      </c>
      <c r="Z15" s="10">
        <f t="shared" ref="Z15:AI15" si="44">ROUND(Y15+($AJ15-$Y15)/11, 0)</f>
        <v>2234043</v>
      </c>
      <c r="AA15" s="10">
        <f t="shared" si="44"/>
        <v>2241786</v>
      </c>
      <c r="AB15" s="10">
        <f t="shared" si="44"/>
        <v>2249529</v>
      </c>
      <c r="AC15" s="10">
        <f t="shared" si="44"/>
        <v>2257272</v>
      </c>
      <c r="AD15" s="10">
        <f t="shared" si="44"/>
        <v>2265015</v>
      </c>
      <c r="AE15" s="10">
        <f t="shared" si="44"/>
        <v>2272758</v>
      </c>
      <c r="AF15" s="10">
        <f t="shared" si="44"/>
        <v>2280501</v>
      </c>
      <c r="AG15" s="10">
        <f t="shared" si="44"/>
        <v>2288244</v>
      </c>
      <c r="AH15" s="10">
        <f t="shared" si="44"/>
        <v>2295987</v>
      </c>
      <c r="AI15" s="10">
        <f t="shared" si="44"/>
        <v>2303730</v>
      </c>
      <c r="AJ15" s="5">
        <v>2311471</v>
      </c>
    </row>
    <row r="16" spans="1:36" x14ac:dyDescent="0.25">
      <c r="A16" s="1" t="s">
        <v>49</v>
      </c>
      <c r="B16" s="1" t="s">
        <v>56</v>
      </c>
      <c r="C16" s="1" t="s">
        <v>57</v>
      </c>
      <c r="D16" s="5">
        <v>405217</v>
      </c>
      <c r="E16" s="5">
        <v>453206</v>
      </c>
      <c r="F16" s="5">
        <v>615423</v>
      </c>
      <c r="G16" s="5">
        <v>722929</v>
      </c>
      <c r="H16" s="5">
        <v>905945</v>
      </c>
      <c r="I16" s="8">
        <f t="shared" si="3"/>
        <v>997827</v>
      </c>
      <c r="J16" s="5">
        <v>1089708</v>
      </c>
      <c r="K16" s="8">
        <f t="shared" si="4"/>
        <v>1181122</v>
      </c>
      <c r="L16" s="8">
        <f t="shared" si="5"/>
        <v>1272536</v>
      </c>
      <c r="M16" s="5">
        <v>1382233</v>
      </c>
      <c r="N16" s="8">
        <f t="shared" si="0"/>
        <v>1423733</v>
      </c>
      <c r="O16" s="5">
        <v>1465232</v>
      </c>
      <c r="P16" s="9">
        <f t="shared" ref="P16:U16" si="45">ROUND(O16+($V16-$O16)/7, 0)</f>
        <v>1472210</v>
      </c>
      <c r="Q16" s="9">
        <f t="shared" si="45"/>
        <v>1479188</v>
      </c>
      <c r="R16" s="9">
        <f t="shared" si="45"/>
        <v>1486166</v>
      </c>
      <c r="S16" s="9">
        <f t="shared" si="45"/>
        <v>1493144</v>
      </c>
      <c r="T16" s="9">
        <f t="shared" si="45"/>
        <v>1500122</v>
      </c>
      <c r="U16" s="9">
        <f t="shared" si="45"/>
        <v>1507100</v>
      </c>
      <c r="V16" s="5">
        <v>1514079</v>
      </c>
      <c r="W16" s="9">
        <f t="shared" ref="W16:X16" si="46">ROUND(V16+($Y16-$V16)/3, 0)</f>
        <v>1524693</v>
      </c>
      <c r="X16" s="9">
        <f t="shared" si="46"/>
        <v>1535307</v>
      </c>
      <c r="Y16" s="5">
        <v>1545922</v>
      </c>
      <c r="Z16" s="10">
        <f t="shared" ref="Z16:AI16" si="47">ROUND(Y16+($AJ16-$Y16)/11, 0)</f>
        <v>1546360</v>
      </c>
      <c r="AA16" s="10">
        <f t="shared" si="47"/>
        <v>1546798</v>
      </c>
      <c r="AB16" s="10">
        <f t="shared" si="47"/>
        <v>1547236</v>
      </c>
      <c r="AC16" s="10">
        <f t="shared" si="47"/>
        <v>1547674</v>
      </c>
      <c r="AD16" s="10">
        <f t="shared" si="47"/>
        <v>1548112</v>
      </c>
      <c r="AE16" s="10">
        <f t="shared" si="47"/>
        <v>1548550</v>
      </c>
      <c r="AF16" s="10">
        <f t="shared" si="47"/>
        <v>1548988</v>
      </c>
      <c r="AG16" s="10">
        <f t="shared" si="47"/>
        <v>1549426</v>
      </c>
      <c r="AH16" s="10">
        <f t="shared" si="47"/>
        <v>1549864</v>
      </c>
      <c r="AI16" s="10">
        <f t="shared" si="47"/>
        <v>1550302</v>
      </c>
      <c r="AJ16" s="5">
        <v>1550743</v>
      </c>
    </row>
    <row r="17" spans="1:36" x14ac:dyDescent="0.25">
      <c r="A17" s="1" t="s">
        <v>49</v>
      </c>
      <c r="B17" s="1" t="s">
        <v>58</v>
      </c>
      <c r="C17" s="1" t="s">
        <v>59</v>
      </c>
      <c r="D17" s="5">
        <v>781144</v>
      </c>
      <c r="E17" s="5">
        <v>798785</v>
      </c>
      <c r="F17" s="5">
        <v>914076</v>
      </c>
      <c r="G17" s="5">
        <v>1232506</v>
      </c>
      <c r="H17" s="5">
        <v>1665333</v>
      </c>
      <c r="I17" s="8">
        <f t="shared" si="3"/>
        <v>2013424</v>
      </c>
      <c r="J17" s="5">
        <v>2361515</v>
      </c>
      <c r="K17" s="8">
        <f t="shared" si="4"/>
        <v>2678093</v>
      </c>
      <c r="L17" s="8">
        <f t="shared" si="5"/>
        <v>2994672</v>
      </c>
      <c r="M17" s="5">
        <v>3374566</v>
      </c>
      <c r="N17" s="8">
        <f t="shared" si="0"/>
        <v>3545975</v>
      </c>
      <c r="O17" s="5">
        <v>3717384</v>
      </c>
      <c r="P17" s="9">
        <f t="shared" ref="P17:U17" si="48">ROUND(O17+($V17-$O17)/7, 0)</f>
        <v>3803814</v>
      </c>
      <c r="Q17" s="9">
        <f t="shared" si="48"/>
        <v>3890244</v>
      </c>
      <c r="R17" s="9">
        <f t="shared" si="48"/>
        <v>3976674</v>
      </c>
      <c r="S17" s="9">
        <f t="shared" si="48"/>
        <v>4063104</v>
      </c>
      <c r="T17" s="9">
        <f t="shared" si="48"/>
        <v>4149534</v>
      </c>
      <c r="U17" s="9">
        <f t="shared" si="48"/>
        <v>4235964</v>
      </c>
      <c r="V17" s="5">
        <v>4322393</v>
      </c>
      <c r="W17" s="9">
        <f t="shared" ref="W17:X17" si="49">ROUND(V17+($Y17-$V17)/3, 0)</f>
        <v>4285095</v>
      </c>
      <c r="X17" s="9">
        <f t="shared" si="49"/>
        <v>4247797</v>
      </c>
      <c r="Y17" s="5">
        <v>4210499</v>
      </c>
      <c r="Z17" s="10">
        <f t="shared" ref="Z17:AI17" si="50">ROUND(Y17+($AJ17-$Y17)/11, 0)</f>
        <v>4195501</v>
      </c>
      <c r="AA17" s="10">
        <f t="shared" si="50"/>
        <v>4180503</v>
      </c>
      <c r="AB17" s="10">
        <f t="shared" si="50"/>
        <v>4165505</v>
      </c>
      <c r="AC17" s="10">
        <f t="shared" si="50"/>
        <v>4150507</v>
      </c>
      <c r="AD17" s="10">
        <f t="shared" si="50"/>
        <v>4135509</v>
      </c>
      <c r="AE17" s="10">
        <f t="shared" si="50"/>
        <v>4120511</v>
      </c>
      <c r="AF17" s="10">
        <f t="shared" si="50"/>
        <v>4105513</v>
      </c>
      <c r="AG17" s="10">
        <f t="shared" si="50"/>
        <v>4090515</v>
      </c>
      <c r="AH17" s="10">
        <f t="shared" si="50"/>
        <v>4075517</v>
      </c>
      <c r="AI17" s="10">
        <f t="shared" si="50"/>
        <v>4060519</v>
      </c>
      <c r="AJ17" s="5">
        <v>4045524</v>
      </c>
    </row>
    <row r="18" spans="1:36" x14ac:dyDescent="0.25">
      <c r="A18" s="1" t="s">
        <v>49</v>
      </c>
      <c r="B18" s="1" t="s">
        <v>60</v>
      </c>
      <c r="C18" s="1" t="s">
        <v>61</v>
      </c>
      <c r="D18" s="5">
        <v>902206</v>
      </c>
      <c r="E18" s="5">
        <v>1075470</v>
      </c>
      <c r="F18" s="5">
        <v>1267390</v>
      </c>
      <c r="G18" s="5">
        <v>1450978</v>
      </c>
      <c r="H18" s="5">
        <v>1674032</v>
      </c>
      <c r="I18" s="8">
        <f t="shared" si="3"/>
        <v>1787960</v>
      </c>
      <c r="J18" s="5">
        <v>1901887</v>
      </c>
      <c r="K18" s="8">
        <f t="shared" si="4"/>
        <v>2076040</v>
      </c>
      <c r="L18" s="8">
        <f t="shared" si="5"/>
        <v>2250194</v>
      </c>
      <c r="M18" s="5">
        <v>2459178</v>
      </c>
      <c r="N18" s="8">
        <f t="shared" si="0"/>
        <v>2468488</v>
      </c>
      <c r="O18" s="5">
        <v>2477798</v>
      </c>
      <c r="P18" s="9">
        <f t="shared" ref="P18:U18" si="51">ROUND(O18+($V18-$O18)/7, 0)</f>
        <v>2478205</v>
      </c>
      <c r="Q18" s="9">
        <f t="shared" si="51"/>
        <v>2478612</v>
      </c>
      <c r="R18" s="9">
        <f t="shared" si="51"/>
        <v>2479019</v>
      </c>
      <c r="S18" s="9">
        <f t="shared" si="51"/>
        <v>2479426</v>
      </c>
      <c r="T18" s="9">
        <f t="shared" si="51"/>
        <v>2479833</v>
      </c>
      <c r="U18" s="9">
        <f t="shared" si="51"/>
        <v>2480240</v>
      </c>
      <c r="V18" s="5">
        <v>2480647</v>
      </c>
      <c r="W18" s="9">
        <f t="shared" ref="W18:X18" si="52">ROUND(V18+($Y18-$V18)/3, 0)</f>
        <v>2480027</v>
      </c>
      <c r="X18" s="9">
        <f t="shared" si="52"/>
        <v>2479407</v>
      </c>
      <c r="Y18" s="5">
        <v>2478787</v>
      </c>
      <c r="Z18" s="10">
        <f t="shared" ref="Z18:AI18" si="53">ROUND(Y18+($AJ18-$Y18)/11, 0)</f>
        <v>2483258</v>
      </c>
      <c r="AA18" s="10">
        <f t="shared" si="53"/>
        <v>2487729</v>
      </c>
      <c r="AB18" s="10">
        <f t="shared" si="53"/>
        <v>2492200</v>
      </c>
      <c r="AC18" s="10">
        <f t="shared" si="53"/>
        <v>2496671</v>
      </c>
      <c r="AD18" s="10">
        <f t="shared" si="53"/>
        <v>2501142</v>
      </c>
      <c r="AE18" s="10">
        <f t="shared" si="53"/>
        <v>2505613</v>
      </c>
      <c r="AF18" s="10">
        <f t="shared" si="53"/>
        <v>2510084</v>
      </c>
      <c r="AG18" s="10">
        <f t="shared" si="53"/>
        <v>2514555</v>
      </c>
      <c r="AH18" s="10">
        <f t="shared" si="53"/>
        <v>2519026</v>
      </c>
      <c r="AI18" s="10">
        <f t="shared" si="53"/>
        <v>2523497</v>
      </c>
      <c r="AJ18" s="5">
        <v>2527972</v>
      </c>
    </row>
    <row r="19" spans="1:36" x14ac:dyDescent="0.25">
      <c r="A19" s="1" t="s">
        <v>49</v>
      </c>
      <c r="B19" s="1" t="s">
        <v>62</v>
      </c>
      <c r="C19" s="1" t="s">
        <v>63</v>
      </c>
      <c r="D19" s="5">
        <v>341244</v>
      </c>
      <c r="E19" s="5">
        <v>546182</v>
      </c>
      <c r="F19" s="5">
        <v>720788</v>
      </c>
      <c r="G19" s="5">
        <v>1027843</v>
      </c>
      <c r="H19" s="5">
        <v>1234984</v>
      </c>
      <c r="I19" s="8">
        <f t="shared" si="3"/>
        <v>1384644</v>
      </c>
      <c r="J19" s="5">
        <v>1534304</v>
      </c>
      <c r="K19" s="8">
        <f t="shared" si="4"/>
        <v>1658213</v>
      </c>
      <c r="L19" s="8">
        <f t="shared" si="5"/>
        <v>1782122</v>
      </c>
      <c r="M19" s="5">
        <v>1930812</v>
      </c>
      <c r="N19" s="8">
        <f t="shared" si="0"/>
        <v>1950632</v>
      </c>
      <c r="O19" s="5">
        <v>1970451</v>
      </c>
      <c r="P19" s="9">
        <f t="shared" ref="P19:U19" si="54">ROUND(O19+($V19-$O19)/7, 0)</f>
        <v>1975713</v>
      </c>
      <c r="Q19" s="9">
        <f t="shared" si="54"/>
        <v>1980975</v>
      </c>
      <c r="R19" s="9">
        <f t="shared" si="54"/>
        <v>1986237</v>
      </c>
      <c r="S19" s="9">
        <f t="shared" si="54"/>
        <v>1991499</v>
      </c>
      <c r="T19" s="9">
        <f t="shared" si="54"/>
        <v>1996761</v>
      </c>
      <c r="U19" s="9">
        <f t="shared" si="54"/>
        <v>2002023</v>
      </c>
      <c r="V19" s="5">
        <v>2007288</v>
      </c>
      <c r="W19" s="9">
        <f t="shared" ref="W19:X19" si="55">ROUND(V19+($Y19-$V19)/3, 0)</f>
        <v>2008772</v>
      </c>
      <c r="X19" s="9">
        <f t="shared" si="55"/>
        <v>2010256</v>
      </c>
      <c r="Y19" s="5">
        <v>2011740</v>
      </c>
      <c r="Z19" s="10">
        <f t="shared" ref="Z19:AI19" si="56">ROUND(Y19+($AJ19-$Y19)/11, 0)</f>
        <v>2011223</v>
      </c>
      <c r="AA19" s="10">
        <f t="shared" si="56"/>
        <v>2010706</v>
      </c>
      <c r="AB19" s="10">
        <f t="shared" si="56"/>
        <v>2010189</v>
      </c>
      <c r="AC19" s="10">
        <f t="shared" si="56"/>
        <v>2009672</v>
      </c>
      <c r="AD19" s="10">
        <f t="shared" si="56"/>
        <v>2009155</v>
      </c>
      <c r="AE19" s="10">
        <f t="shared" si="56"/>
        <v>2008638</v>
      </c>
      <c r="AF19" s="10">
        <f t="shared" si="56"/>
        <v>2008121</v>
      </c>
      <c r="AG19" s="10">
        <f t="shared" si="56"/>
        <v>2007604</v>
      </c>
      <c r="AH19" s="10">
        <f t="shared" si="56"/>
        <v>2007087</v>
      </c>
      <c r="AI19" s="10">
        <f t="shared" si="56"/>
        <v>2006570</v>
      </c>
      <c r="AJ19" s="5">
        <v>2006052</v>
      </c>
    </row>
    <row r="20" spans="1:36" x14ac:dyDescent="0.25">
      <c r="A20" s="1" t="s">
        <v>64</v>
      </c>
      <c r="B20" s="1" t="s">
        <v>65</v>
      </c>
      <c r="C20" s="1" t="s">
        <v>66</v>
      </c>
      <c r="D20" s="5">
        <v>326172</v>
      </c>
      <c r="E20" s="5">
        <v>449070</v>
      </c>
      <c r="F20" s="5">
        <v>572935</v>
      </c>
      <c r="G20" s="5">
        <v>637603</v>
      </c>
      <c r="H20" s="5">
        <v>800298</v>
      </c>
      <c r="I20" s="8">
        <f t="shared" si="3"/>
        <v>851401</v>
      </c>
      <c r="J20" s="5">
        <v>902503</v>
      </c>
      <c r="K20" s="8">
        <f t="shared" si="4"/>
        <v>959535</v>
      </c>
      <c r="L20" s="8">
        <f t="shared" si="5"/>
        <v>1016566</v>
      </c>
      <c r="M20" s="5">
        <v>1085004</v>
      </c>
      <c r="N20" s="8">
        <f t="shared" si="0"/>
        <v>1131656</v>
      </c>
      <c r="O20" s="5">
        <v>1178307</v>
      </c>
      <c r="P20" s="9">
        <f t="shared" ref="P20:U20" si="57">ROUND(O20+($V20-$O20)/7, 0)</f>
        <v>1192250</v>
      </c>
      <c r="Q20" s="9">
        <f t="shared" si="57"/>
        <v>1206193</v>
      </c>
      <c r="R20" s="9">
        <f t="shared" si="57"/>
        <v>1220136</v>
      </c>
      <c r="S20" s="9">
        <f t="shared" si="57"/>
        <v>1234079</v>
      </c>
      <c r="T20" s="9">
        <f t="shared" si="57"/>
        <v>1248022</v>
      </c>
      <c r="U20" s="9">
        <f t="shared" si="57"/>
        <v>1261965</v>
      </c>
      <c r="V20" s="5">
        <v>1275910</v>
      </c>
      <c r="W20" s="9">
        <f t="shared" ref="W20:X20" si="58">ROUND(V20+($Y20-$V20)/3, 0)</f>
        <v>1292864</v>
      </c>
      <c r="X20" s="9">
        <f t="shared" si="58"/>
        <v>1309818</v>
      </c>
      <c r="Y20" s="5">
        <v>1326771</v>
      </c>
      <c r="Z20" s="10">
        <f t="shared" ref="Z20:AI20" si="59">ROUND(Y20+($AJ20-$Y20)/11, 0)</f>
        <v>1334765</v>
      </c>
      <c r="AA20" s="10">
        <f t="shared" si="59"/>
        <v>1342759</v>
      </c>
      <c r="AB20" s="10">
        <f t="shared" si="59"/>
        <v>1350753</v>
      </c>
      <c r="AC20" s="10">
        <f t="shared" si="59"/>
        <v>1358747</v>
      </c>
      <c r="AD20" s="10">
        <f t="shared" si="59"/>
        <v>1366741</v>
      </c>
      <c r="AE20" s="10">
        <f t="shared" si="59"/>
        <v>1374735</v>
      </c>
      <c r="AF20" s="10">
        <f t="shared" si="59"/>
        <v>1382729</v>
      </c>
      <c r="AG20" s="10">
        <f t="shared" si="59"/>
        <v>1390723</v>
      </c>
      <c r="AH20" s="10">
        <f t="shared" si="59"/>
        <v>1398717</v>
      </c>
      <c r="AI20" s="10">
        <f t="shared" si="59"/>
        <v>1406711</v>
      </c>
      <c r="AJ20" s="5">
        <v>1414700</v>
      </c>
    </row>
    <row r="21" spans="1:36" x14ac:dyDescent="0.25">
      <c r="A21" s="1" t="s">
        <v>64</v>
      </c>
      <c r="B21" s="1" t="s">
        <v>67</v>
      </c>
      <c r="C21" s="1" t="s">
        <v>68</v>
      </c>
      <c r="D21" s="5">
        <v>217565</v>
      </c>
      <c r="E21" s="5">
        <v>341868</v>
      </c>
      <c r="F21" s="5">
        <v>434935</v>
      </c>
      <c r="G21" s="5">
        <v>516414</v>
      </c>
      <c r="H21" s="5">
        <v>611100</v>
      </c>
      <c r="I21" s="8">
        <f t="shared" si="3"/>
        <v>641841</v>
      </c>
      <c r="J21" s="5">
        <v>672581</v>
      </c>
      <c r="K21" s="8">
        <f t="shared" si="4"/>
        <v>709973</v>
      </c>
      <c r="L21" s="8">
        <f t="shared" si="5"/>
        <v>747365</v>
      </c>
      <c r="M21" s="5">
        <v>792235</v>
      </c>
      <c r="N21" s="8">
        <f t="shared" si="0"/>
        <v>834353</v>
      </c>
      <c r="O21" s="5">
        <v>876470</v>
      </c>
      <c r="P21" s="9">
        <f t="shared" ref="P21:U21" si="60">ROUND(O21+($V21-$O21)/7, 0)</f>
        <v>888050</v>
      </c>
      <c r="Q21" s="9">
        <f t="shared" si="60"/>
        <v>899630</v>
      </c>
      <c r="R21" s="9">
        <f t="shared" si="60"/>
        <v>911210</v>
      </c>
      <c r="S21" s="9">
        <f t="shared" si="60"/>
        <v>922790</v>
      </c>
      <c r="T21" s="9">
        <f t="shared" si="60"/>
        <v>934370</v>
      </c>
      <c r="U21" s="9">
        <f t="shared" si="60"/>
        <v>945950</v>
      </c>
      <c r="V21" s="5">
        <v>957529</v>
      </c>
      <c r="W21" s="9">
        <f t="shared" ref="W21:X21" si="61">ROUND(V21+($Y21-$V21)/3, 0)</f>
        <v>973880</v>
      </c>
      <c r="X21" s="9">
        <f t="shared" si="61"/>
        <v>990231</v>
      </c>
      <c r="Y21" s="5">
        <v>1006582</v>
      </c>
      <c r="Z21" s="10">
        <f t="shared" ref="Z21:AI21" si="62">ROUND(Y21+($AJ21-$Y21)/11, 0)</f>
        <v>1011947</v>
      </c>
      <c r="AA21" s="10">
        <f t="shared" si="62"/>
        <v>1017312</v>
      </c>
      <c r="AB21" s="10">
        <f t="shared" si="62"/>
        <v>1022677</v>
      </c>
      <c r="AC21" s="10">
        <f t="shared" si="62"/>
        <v>1028042</v>
      </c>
      <c r="AD21" s="10">
        <f t="shared" si="62"/>
        <v>1033407</v>
      </c>
      <c r="AE21" s="10">
        <f t="shared" si="62"/>
        <v>1038772</v>
      </c>
      <c r="AF21" s="10">
        <f t="shared" si="62"/>
        <v>1044137</v>
      </c>
      <c r="AG21" s="10">
        <f t="shared" si="62"/>
        <v>1049502</v>
      </c>
      <c r="AH21" s="10">
        <f t="shared" si="62"/>
        <v>1054867</v>
      </c>
      <c r="AI21" s="10">
        <f t="shared" si="62"/>
        <v>1060232</v>
      </c>
      <c r="AJ21" s="5">
        <v>1065595</v>
      </c>
    </row>
    <row r="22" spans="1:36" x14ac:dyDescent="0.25">
      <c r="A22" s="1" t="s">
        <v>64</v>
      </c>
      <c r="B22" s="1" t="s">
        <v>69</v>
      </c>
      <c r="C22" s="1" t="s">
        <v>70</v>
      </c>
      <c r="D22" s="5">
        <v>171124</v>
      </c>
      <c r="E22" s="5">
        <v>303974</v>
      </c>
      <c r="F22" s="5">
        <v>413108</v>
      </c>
      <c r="G22" s="5">
        <v>668166</v>
      </c>
      <c r="H22" s="5">
        <v>1070114</v>
      </c>
      <c r="I22" s="8">
        <f t="shared" si="3"/>
        <v>1348582</v>
      </c>
      <c r="J22" s="5">
        <v>1627050</v>
      </c>
      <c r="K22" s="8">
        <f t="shared" si="4"/>
        <v>1945246</v>
      </c>
      <c r="L22" s="8">
        <f t="shared" si="5"/>
        <v>2263443</v>
      </c>
      <c r="M22" s="5">
        <v>2645278</v>
      </c>
      <c r="N22" s="8">
        <f t="shared" si="0"/>
        <v>2787826</v>
      </c>
      <c r="O22" s="5">
        <v>2930374</v>
      </c>
      <c r="P22" s="9">
        <f t="shared" ref="P22:U22" si="63">ROUND(O22+($V22-$O22)/7, 0)</f>
        <v>2994161</v>
      </c>
      <c r="Q22" s="9">
        <f t="shared" si="63"/>
        <v>3057948</v>
      </c>
      <c r="R22" s="9">
        <f t="shared" si="63"/>
        <v>3121735</v>
      </c>
      <c r="S22" s="9">
        <f t="shared" si="63"/>
        <v>3185522</v>
      </c>
      <c r="T22" s="9">
        <f t="shared" si="63"/>
        <v>3249309</v>
      </c>
      <c r="U22" s="9">
        <f t="shared" si="63"/>
        <v>3313096</v>
      </c>
      <c r="V22" s="5">
        <v>3376883</v>
      </c>
      <c r="W22" s="9">
        <f t="shared" ref="W22:X22" si="64">ROUND(V22+($Y22-$V22)/3, 0)</f>
        <v>3407301</v>
      </c>
      <c r="X22" s="9">
        <f t="shared" si="64"/>
        <v>3437719</v>
      </c>
      <c r="Y22" s="5">
        <v>3468137</v>
      </c>
      <c r="Z22" s="10">
        <f t="shared" ref="Z22:AI22" si="65">ROUND(Y22+($AJ22-$Y22)/11, 0)</f>
        <v>3479674</v>
      </c>
      <c r="AA22" s="10">
        <f t="shared" si="65"/>
        <v>3491211</v>
      </c>
      <c r="AB22" s="10">
        <f t="shared" si="65"/>
        <v>3502748</v>
      </c>
      <c r="AC22" s="10">
        <f t="shared" si="65"/>
        <v>3514285</v>
      </c>
      <c r="AD22" s="10">
        <f t="shared" si="65"/>
        <v>3525822</v>
      </c>
      <c r="AE22" s="10">
        <f t="shared" si="65"/>
        <v>3537359</v>
      </c>
      <c r="AF22" s="10">
        <f t="shared" si="65"/>
        <v>3548896</v>
      </c>
      <c r="AG22" s="10">
        <f t="shared" si="65"/>
        <v>3560433</v>
      </c>
      <c r="AH22" s="10">
        <f t="shared" si="65"/>
        <v>3571970</v>
      </c>
      <c r="AI22" s="10">
        <f t="shared" si="65"/>
        <v>3583507</v>
      </c>
      <c r="AJ22" s="5">
        <v>3595041</v>
      </c>
    </row>
    <row r="23" spans="1:36" x14ac:dyDescent="0.25">
      <c r="A23" s="1" t="s">
        <v>64</v>
      </c>
      <c r="B23" s="1" t="s">
        <v>71</v>
      </c>
      <c r="C23" s="1" t="s">
        <v>72</v>
      </c>
      <c r="D23" s="5">
        <v>174758</v>
      </c>
      <c r="E23" s="5">
        <v>346679</v>
      </c>
      <c r="F23" s="5">
        <v>451871</v>
      </c>
      <c r="G23" s="5">
        <v>536001</v>
      </c>
      <c r="H23" s="5">
        <v>713769</v>
      </c>
      <c r="I23" s="8">
        <f t="shared" si="3"/>
        <v>743502</v>
      </c>
      <c r="J23" s="5">
        <v>773234</v>
      </c>
      <c r="K23" s="8">
        <f t="shared" si="4"/>
        <v>773857</v>
      </c>
      <c r="L23" s="8">
        <f t="shared" si="5"/>
        <v>774480</v>
      </c>
      <c r="M23" s="5">
        <v>775228</v>
      </c>
      <c r="N23" s="8">
        <f t="shared" si="0"/>
        <v>794677</v>
      </c>
      <c r="O23" s="5">
        <v>814125</v>
      </c>
      <c r="P23" s="9">
        <f t="shared" ref="P23:U23" si="66">ROUND(O23+($V23-$O23)/7, 0)</f>
        <v>819826</v>
      </c>
      <c r="Q23" s="9">
        <f t="shared" si="66"/>
        <v>825527</v>
      </c>
      <c r="R23" s="9">
        <f t="shared" si="66"/>
        <v>831228</v>
      </c>
      <c r="S23" s="9">
        <f t="shared" si="66"/>
        <v>836929</v>
      </c>
      <c r="T23" s="9">
        <f t="shared" si="66"/>
        <v>842630</v>
      </c>
      <c r="U23" s="9">
        <f t="shared" si="66"/>
        <v>848331</v>
      </c>
      <c r="V23" s="5">
        <v>854035</v>
      </c>
      <c r="W23" s="9">
        <f t="shared" ref="W23:X23" si="67">ROUND(V23+($Y23-$V23)/3, 0)</f>
        <v>859283</v>
      </c>
      <c r="X23" s="9">
        <f t="shared" si="67"/>
        <v>864531</v>
      </c>
      <c r="Y23" s="5">
        <v>869778</v>
      </c>
      <c r="Z23" s="10">
        <f t="shared" ref="Z23:AI23" si="68">ROUND(Y23+($AJ23-$Y23)/11, 0)</f>
        <v>869043</v>
      </c>
      <c r="AA23" s="10">
        <f t="shared" si="68"/>
        <v>868308</v>
      </c>
      <c r="AB23" s="10">
        <f t="shared" si="68"/>
        <v>867573</v>
      </c>
      <c r="AC23" s="10">
        <f t="shared" si="68"/>
        <v>866838</v>
      </c>
      <c r="AD23" s="10">
        <f t="shared" si="68"/>
        <v>866103</v>
      </c>
      <c r="AE23" s="10">
        <f t="shared" si="68"/>
        <v>865368</v>
      </c>
      <c r="AF23" s="10">
        <f t="shared" si="68"/>
        <v>864633</v>
      </c>
      <c r="AG23" s="10">
        <f t="shared" si="68"/>
        <v>863898</v>
      </c>
      <c r="AH23" s="10">
        <f t="shared" si="68"/>
        <v>863163</v>
      </c>
      <c r="AI23" s="10">
        <f t="shared" si="68"/>
        <v>862428</v>
      </c>
      <c r="AJ23" s="5">
        <v>861696</v>
      </c>
    </row>
    <row r="24" spans="1:36" x14ac:dyDescent="0.25">
      <c r="A24" s="1" t="s">
        <v>64</v>
      </c>
      <c r="B24" s="1" t="s">
        <v>73</v>
      </c>
      <c r="C24" s="1" t="s">
        <v>74</v>
      </c>
      <c r="D24" s="5">
        <v>124626</v>
      </c>
      <c r="E24" s="5">
        <v>178164</v>
      </c>
      <c r="F24" s="5">
        <v>237213</v>
      </c>
      <c r="G24" s="5">
        <v>265538</v>
      </c>
      <c r="H24" s="5">
        <v>338800</v>
      </c>
      <c r="I24" s="8">
        <f t="shared" si="3"/>
        <v>363314</v>
      </c>
      <c r="J24" s="5">
        <v>387827</v>
      </c>
      <c r="K24" s="8">
        <f t="shared" si="4"/>
        <v>408313</v>
      </c>
      <c r="L24" s="8">
        <f t="shared" si="5"/>
        <v>428799</v>
      </c>
      <c r="M24" s="5">
        <v>453382</v>
      </c>
      <c r="N24" s="8">
        <f t="shared" si="0"/>
        <v>469106</v>
      </c>
      <c r="O24" s="5">
        <v>484830</v>
      </c>
      <c r="P24" s="9">
        <f t="shared" ref="P24:U24" si="69">ROUND(O24+($V24-$O24)/7, 0)</f>
        <v>489259</v>
      </c>
      <c r="Q24" s="9">
        <f t="shared" si="69"/>
        <v>493688</v>
      </c>
      <c r="R24" s="9">
        <f t="shared" si="69"/>
        <v>498117</v>
      </c>
      <c r="S24" s="9">
        <f t="shared" si="69"/>
        <v>502546</v>
      </c>
      <c r="T24" s="9">
        <f t="shared" si="69"/>
        <v>506975</v>
      </c>
      <c r="U24" s="9">
        <f t="shared" si="69"/>
        <v>511404</v>
      </c>
      <c r="V24" s="5">
        <v>515830</v>
      </c>
      <c r="W24" s="9">
        <f t="shared" ref="W24:X24" si="70">ROUND(V24+($Y24-$V24)/3, 0)</f>
        <v>519978</v>
      </c>
      <c r="X24" s="9">
        <f t="shared" si="70"/>
        <v>524126</v>
      </c>
      <c r="Y24" s="5">
        <v>528274</v>
      </c>
      <c r="Z24" s="10">
        <f t="shared" ref="Z24:AI24" si="71">ROUND(Y24+($AJ24-$Y24)/11, 0)</f>
        <v>529571</v>
      </c>
      <c r="AA24" s="10">
        <f t="shared" si="71"/>
        <v>530868</v>
      </c>
      <c r="AB24" s="10">
        <f t="shared" si="71"/>
        <v>532165</v>
      </c>
      <c r="AC24" s="10">
        <f t="shared" si="71"/>
        <v>533462</v>
      </c>
      <c r="AD24" s="10">
        <f t="shared" si="71"/>
        <v>534759</v>
      </c>
      <c r="AE24" s="10">
        <f t="shared" si="71"/>
        <v>536056</v>
      </c>
      <c r="AF24" s="10">
        <f t="shared" si="71"/>
        <v>537353</v>
      </c>
      <c r="AG24" s="10">
        <f t="shared" si="71"/>
        <v>538650</v>
      </c>
      <c r="AH24" s="10">
        <f t="shared" si="71"/>
        <v>539947</v>
      </c>
      <c r="AI24" s="10">
        <f t="shared" si="71"/>
        <v>541244</v>
      </c>
      <c r="AJ24" s="5">
        <v>542538</v>
      </c>
    </row>
    <row r="25" spans="1:36" x14ac:dyDescent="0.25">
      <c r="A25" s="1" t="s">
        <v>64</v>
      </c>
      <c r="B25" s="1" t="s">
        <v>75</v>
      </c>
      <c r="C25" s="1" t="s">
        <v>76</v>
      </c>
      <c r="D25" s="5">
        <v>105395</v>
      </c>
      <c r="E25" s="5">
        <v>162102</v>
      </c>
      <c r="F25" s="5">
        <v>191716</v>
      </c>
      <c r="G25" s="5">
        <v>228522</v>
      </c>
      <c r="H25" s="5">
        <v>283757</v>
      </c>
      <c r="I25" s="8">
        <f t="shared" si="3"/>
        <v>294967</v>
      </c>
      <c r="J25" s="5">
        <v>306177</v>
      </c>
      <c r="K25" s="8">
        <f t="shared" si="4"/>
        <v>315647</v>
      </c>
      <c r="L25" s="8">
        <f t="shared" si="5"/>
        <v>325117</v>
      </c>
      <c r="M25" s="5">
        <v>336481</v>
      </c>
      <c r="N25" s="8">
        <f t="shared" si="0"/>
        <v>347052</v>
      </c>
      <c r="O25" s="5">
        <v>357623</v>
      </c>
      <c r="P25" s="9">
        <f t="shared" ref="P25:U25" si="72">ROUND(O25+($V25-$O25)/7, 0)</f>
        <v>358922</v>
      </c>
      <c r="Q25" s="9">
        <f t="shared" si="72"/>
        <v>360221</v>
      </c>
      <c r="R25" s="9">
        <f t="shared" si="72"/>
        <v>361520</v>
      </c>
      <c r="S25" s="9">
        <f t="shared" si="72"/>
        <v>362819</v>
      </c>
      <c r="T25" s="9">
        <f t="shared" si="72"/>
        <v>364118</v>
      </c>
      <c r="U25" s="9">
        <f t="shared" si="72"/>
        <v>365417</v>
      </c>
      <c r="V25" s="5">
        <v>366713</v>
      </c>
      <c r="W25" s="9">
        <f t="shared" ref="W25:X25" si="73">ROUND(V25+($Y25-$V25)/3, 0)</f>
        <v>369888</v>
      </c>
      <c r="X25" s="9">
        <f t="shared" si="73"/>
        <v>373063</v>
      </c>
      <c r="Y25" s="5">
        <v>376239</v>
      </c>
      <c r="Z25" s="10">
        <f t="shared" ref="Z25:AI25" si="74">ROUND(Y25+($AJ25-$Y25)/11, 0)</f>
        <v>375562</v>
      </c>
      <c r="AA25" s="10">
        <f t="shared" si="74"/>
        <v>374885</v>
      </c>
      <c r="AB25" s="10">
        <f t="shared" si="74"/>
        <v>374208</v>
      </c>
      <c r="AC25" s="10">
        <f t="shared" si="74"/>
        <v>373531</v>
      </c>
      <c r="AD25" s="10">
        <f t="shared" si="74"/>
        <v>372854</v>
      </c>
      <c r="AE25" s="10">
        <f t="shared" si="74"/>
        <v>372177</v>
      </c>
      <c r="AF25" s="10">
        <f t="shared" si="74"/>
        <v>371500</v>
      </c>
      <c r="AG25" s="10">
        <f t="shared" si="74"/>
        <v>370823</v>
      </c>
      <c r="AH25" s="10">
        <f t="shared" si="74"/>
        <v>370146</v>
      </c>
      <c r="AI25" s="10">
        <f t="shared" si="74"/>
        <v>369469</v>
      </c>
      <c r="AJ25" s="5">
        <v>368790</v>
      </c>
    </row>
    <row r="26" spans="1:36" x14ac:dyDescent="0.25">
      <c r="A26" s="1" t="s">
        <v>64</v>
      </c>
      <c r="B26" s="1" t="s">
        <v>77</v>
      </c>
      <c r="C26" s="1" t="s">
        <v>78</v>
      </c>
      <c r="D26" s="5">
        <v>199588</v>
      </c>
      <c r="E26" s="5">
        <v>309175</v>
      </c>
      <c r="F26" s="5">
        <v>393672</v>
      </c>
      <c r="G26" s="5">
        <v>437351</v>
      </c>
      <c r="H26" s="5">
        <v>543765</v>
      </c>
      <c r="I26" s="8">
        <f t="shared" si="3"/>
        <v>581411</v>
      </c>
      <c r="J26" s="5">
        <v>619057</v>
      </c>
      <c r="K26" s="8">
        <f t="shared" si="4"/>
        <v>651127</v>
      </c>
      <c r="L26" s="8">
        <f t="shared" si="5"/>
        <v>683198</v>
      </c>
      <c r="M26" s="5">
        <v>721682</v>
      </c>
      <c r="N26" s="8">
        <f t="shared" si="0"/>
        <v>755775</v>
      </c>
      <c r="O26" s="5">
        <v>789868</v>
      </c>
      <c r="P26" s="9">
        <f t="shared" ref="P26:U26" si="75">ROUND(O26+($V26-$O26)/7, 0)</f>
        <v>796799</v>
      </c>
      <c r="Q26" s="9">
        <f t="shared" si="75"/>
        <v>803730</v>
      </c>
      <c r="R26" s="9">
        <f t="shared" si="75"/>
        <v>810661</v>
      </c>
      <c r="S26" s="9">
        <f t="shared" si="75"/>
        <v>817592</v>
      </c>
      <c r="T26" s="9">
        <f t="shared" si="75"/>
        <v>824523</v>
      </c>
      <c r="U26" s="9">
        <f t="shared" si="75"/>
        <v>831454</v>
      </c>
      <c r="V26" s="5">
        <v>838386</v>
      </c>
      <c r="W26" s="9">
        <f t="shared" ref="W26:X26" si="76">ROUND(V26+($Y26-$V26)/3, 0)</f>
        <v>851124</v>
      </c>
      <c r="X26" s="9">
        <f t="shared" si="76"/>
        <v>863862</v>
      </c>
      <c r="Y26" s="5">
        <v>876600</v>
      </c>
      <c r="Z26" s="10">
        <f t="shared" ref="Z26:AI26" si="77">ROUND(Y26+($AJ26-$Y26)/11, 0)</f>
        <v>882963</v>
      </c>
      <c r="AA26" s="10">
        <f t="shared" si="77"/>
        <v>889326</v>
      </c>
      <c r="AB26" s="10">
        <f t="shared" si="77"/>
        <v>895689</v>
      </c>
      <c r="AC26" s="10">
        <f t="shared" si="77"/>
        <v>902052</v>
      </c>
      <c r="AD26" s="10">
        <f t="shared" si="77"/>
        <v>908415</v>
      </c>
      <c r="AE26" s="10">
        <f t="shared" si="77"/>
        <v>914778</v>
      </c>
      <c r="AF26" s="10">
        <f t="shared" si="77"/>
        <v>921141</v>
      </c>
      <c r="AG26" s="10">
        <f t="shared" si="77"/>
        <v>927504</v>
      </c>
      <c r="AH26" s="10">
        <f t="shared" si="77"/>
        <v>933867</v>
      </c>
      <c r="AI26" s="10">
        <f t="shared" si="77"/>
        <v>940230</v>
      </c>
      <c r="AJ26" s="5">
        <v>946597</v>
      </c>
    </row>
    <row r="27" spans="1:36" x14ac:dyDescent="0.25">
      <c r="A27" s="1" t="s">
        <v>79</v>
      </c>
      <c r="B27" s="1" t="s">
        <v>80</v>
      </c>
      <c r="C27" s="1" t="s">
        <v>81</v>
      </c>
      <c r="D27" s="5"/>
      <c r="E27" s="5"/>
      <c r="F27" s="5"/>
      <c r="G27" s="5">
        <v>139796</v>
      </c>
      <c r="H27" s="5">
        <v>537492</v>
      </c>
      <c r="I27" s="8">
        <f t="shared" si="3"/>
        <v>857200</v>
      </c>
      <c r="J27" s="5">
        <v>1176908</v>
      </c>
      <c r="K27" s="8">
        <f t="shared" si="4"/>
        <v>1378482</v>
      </c>
      <c r="L27" s="8">
        <f t="shared" si="5"/>
        <v>1580057</v>
      </c>
      <c r="M27" s="5">
        <v>1821946</v>
      </c>
      <c r="N27" s="8">
        <f t="shared" si="0"/>
        <v>1936546</v>
      </c>
      <c r="O27" s="5">
        <v>2051146</v>
      </c>
      <c r="P27" s="9">
        <f t="shared" ref="P27:U27" si="78">ROUND(O27+($V27-$O27)/7, 0)</f>
        <v>2108968</v>
      </c>
      <c r="Q27" s="9">
        <f t="shared" si="78"/>
        <v>2166790</v>
      </c>
      <c r="R27" s="9">
        <f t="shared" si="78"/>
        <v>2224612</v>
      </c>
      <c r="S27" s="9">
        <f t="shared" si="78"/>
        <v>2282434</v>
      </c>
      <c r="T27" s="9">
        <f t="shared" si="78"/>
        <v>2340256</v>
      </c>
      <c r="U27" s="9">
        <f t="shared" si="78"/>
        <v>2398078</v>
      </c>
      <c r="V27" s="5">
        <v>2455903</v>
      </c>
      <c r="W27" s="9">
        <f t="shared" ref="W27:X27" si="79">ROUND(V27+($Y27-$V27)/3, 0)</f>
        <v>2493989</v>
      </c>
      <c r="X27" s="9">
        <f t="shared" si="79"/>
        <v>2532075</v>
      </c>
      <c r="Y27" s="5">
        <v>2570160</v>
      </c>
      <c r="Z27" s="10">
        <f t="shared" ref="Z27:AI27" si="80">ROUND(Y27+($AJ27-$Y27)/11, 0)</f>
        <v>2592635</v>
      </c>
      <c r="AA27" s="10">
        <f t="shared" si="80"/>
        <v>2615110</v>
      </c>
      <c r="AB27" s="10">
        <f t="shared" si="80"/>
        <v>2637585</v>
      </c>
      <c r="AC27" s="10">
        <f t="shared" si="80"/>
        <v>2660060</v>
      </c>
      <c r="AD27" s="10">
        <f t="shared" si="80"/>
        <v>2682535</v>
      </c>
      <c r="AE27" s="10">
        <f t="shared" si="80"/>
        <v>2705010</v>
      </c>
      <c r="AF27" s="10">
        <f t="shared" si="80"/>
        <v>2727485</v>
      </c>
      <c r="AG27" s="10">
        <f t="shared" si="80"/>
        <v>2749960</v>
      </c>
      <c r="AH27" s="10">
        <f t="shared" si="80"/>
        <v>2772435</v>
      </c>
      <c r="AI27" s="10">
        <f t="shared" si="80"/>
        <v>2794910</v>
      </c>
      <c r="AJ27" s="5">
        <v>2817381</v>
      </c>
    </row>
    <row r="28" spans="1:36" x14ac:dyDescent="0.25">
      <c r="A28" s="1" t="s">
        <v>82</v>
      </c>
      <c r="B28" s="1" t="s">
        <v>83</v>
      </c>
      <c r="C28" s="1" t="s">
        <v>84</v>
      </c>
      <c r="D28" s="5">
        <v>22364</v>
      </c>
      <c r="E28" s="5">
        <v>124676</v>
      </c>
      <c r="F28" s="5">
        <v>218631</v>
      </c>
      <c r="G28" s="5">
        <v>472774</v>
      </c>
      <c r="H28" s="5">
        <v>367299</v>
      </c>
      <c r="I28" s="8">
        <f t="shared" si="3"/>
        <v>365310</v>
      </c>
      <c r="J28" s="5">
        <v>363320</v>
      </c>
      <c r="K28" s="8">
        <f t="shared" si="4"/>
        <v>363170</v>
      </c>
      <c r="L28" s="8">
        <f t="shared" si="5"/>
        <v>363021</v>
      </c>
      <c r="M28" s="5">
        <v>362841</v>
      </c>
      <c r="N28" s="8">
        <f t="shared" si="0"/>
        <v>375023</v>
      </c>
      <c r="O28" s="5">
        <v>387205</v>
      </c>
      <c r="P28" s="9">
        <f t="shared" ref="P28:U28" si="81">ROUND(O28+($V28-$O28)/7, 0)</f>
        <v>387892</v>
      </c>
      <c r="Q28" s="9">
        <f t="shared" si="81"/>
        <v>388579</v>
      </c>
      <c r="R28" s="9">
        <f t="shared" si="81"/>
        <v>389266</v>
      </c>
      <c r="S28" s="9">
        <f t="shared" si="81"/>
        <v>389953</v>
      </c>
      <c r="T28" s="9">
        <f t="shared" si="81"/>
        <v>390640</v>
      </c>
      <c r="U28" s="9">
        <f t="shared" si="81"/>
        <v>391327</v>
      </c>
      <c r="V28" s="5">
        <v>392015</v>
      </c>
      <c r="W28" s="9">
        <f t="shared" ref="W28:X28" si="82">ROUND(V28+($Y28-$V28)/3, 0)</f>
        <v>399032</v>
      </c>
      <c r="X28" s="9">
        <f t="shared" si="82"/>
        <v>406049</v>
      </c>
      <c r="Y28" s="5">
        <v>413065</v>
      </c>
      <c r="Z28" s="10">
        <f t="shared" ref="Z28:AI28" si="83">ROUND(Y28+($AJ28-$Y28)/11, 0)</f>
        <v>414204</v>
      </c>
      <c r="AA28" s="10">
        <f t="shared" si="83"/>
        <v>415343</v>
      </c>
      <c r="AB28" s="10">
        <f t="shared" si="83"/>
        <v>416482</v>
      </c>
      <c r="AC28" s="10">
        <f t="shared" si="83"/>
        <v>417621</v>
      </c>
      <c r="AD28" s="10">
        <f t="shared" si="83"/>
        <v>418760</v>
      </c>
      <c r="AE28" s="10">
        <f t="shared" si="83"/>
        <v>419899</v>
      </c>
      <c r="AF28" s="10">
        <f t="shared" si="83"/>
        <v>421038</v>
      </c>
      <c r="AG28" s="10">
        <f t="shared" si="83"/>
        <v>422177</v>
      </c>
      <c r="AH28" s="10">
        <f t="shared" si="83"/>
        <v>423316</v>
      </c>
      <c r="AI28" s="10">
        <f t="shared" si="83"/>
        <v>424455</v>
      </c>
      <c r="AJ28" s="5">
        <v>425596</v>
      </c>
    </row>
    <row r="29" spans="1:36" x14ac:dyDescent="0.25">
      <c r="A29" s="1" t="s">
        <v>82</v>
      </c>
      <c r="B29" s="1" t="s">
        <v>85</v>
      </c>
      <c r="C29" s="1" t="s">
        <v>86</v>
      </c>
      <c r="D29" s="5">
        <v>53210</v>
      </c>
      <c r="E29" s="5">
        <v>68790</v>
      </c>
      <c r="F29" s="5">
        <v>118415</v>
      </c>
      <c r="G29" s="5">
        <v>187847</v>
      </c>
      <c r="H29" s="5">
        <v>271639</v>
      </c>
      <c r="I29" s="8">
        <f t="shared" si="3"/>
        <v>296238</v>
      </c>
      <c r="J29" s="5">
        <v>320837</v>
      </c>
      <c r="K29" s="8">
        <f t="shared" si="4"/>
        <v>356853</v>
      </c>
      <c r="L29" s="8">
        <f t="shared" si="5"/>
        <v>392869</v>
      </c>
      <c r="M29" s="5">
        <v>436088</v>
      </c>
      <c r="N29" s="8">
        <f t="shared" si="0"/>
        <v>447794</v>
      </c>
      <c r="O29" s="5">
        <v>459500</v>
      </c>
      <c r="P29" s="9">
        <f t="shared" ref="P29:U29" si="84">ROUND(O29+($V29-$O29)/7, 0)</f>
        <v>464903</v>
      </c>
      <c r="Q29" s="9">
        <f t="shared" si="84"/>
        <v>470306</v>
      </c>
      <c r="R29" s="9">
        <f t="shared" si="84"/>
        <v>475709</v>
      </c>
      <c r="S29" s="9">
        <f t="shared" si="84"/>
        <v>481112</v>
      </c>
      <c r="T29" s="9">
        <f t="shared" si="84"/>
        <v>486515</v>
      </c>
      <c r="U29" s="9">
        <f t="shared" si="84"/>
        <v>491918</v>
      </c>
      <c r="V29" s="5">
        <v>497320</v>
      </c>
      <c r="W29" s="9">
        <f t="shared" ref="W29:X29" si="85">ROUND(V29+($Y29-$V29)/3, 0)</f>
        <v>514497</v>
      </c>
      <c r="X29" s="9">
        <f t="shared" si="85"/>
        <v>531674</v>
      </c>
      <c r="Y29" s="5">
        <v>548850</v>
      </c>
      <c r="Z29" s="10">
        <f t="shared" ref="Z29:AI29" si="86">ROUND(Y29+($AJ29-$Y29)/11, 0)</f>
        <v>554189</v>
      </c>
      <c r="AA29" s="10">
        <f t="shared" si="86"/>
        <v>559528</v>
      </c>
      <c r="AB29" s="10">
        <f t="shared" si="86"/>
        <v>564867</v>
      </c>
      <c r="AC29" s="10">
        <f t="shared" si="86"/>
        <v>570206</v>
      </c>
      <c r="AD29" s="10">
        <f t="shared" si="86"/>
        <v>575545</v>
      </c>
      <c r="AE29" s="10">
        <f t="shared" si="86"/>
        <v>580884</v>
      </c>
      <c r="AF29" s="10">
        <f t="shared" si="86"/>
        <v>586223</v>
      </c>
      <c r="AG29" s="10">
        <f t="shared" si="86"/>
        <v>591562</v>
      </c>
      <c r="AH29" s="10">
        <f t="shared" si="86"/>
        <v>596901</v>
      </c>
      <c r="AI29" s="10">
        <f t="shared" si="86"/>
        <v>602240</v>
      </c>
      <c r="AJ29" s="5">
        <v>607584</v>
      </c>
    </row>
    <row r="30" spans="1:36" x14ac:dyDescent="0.25">
      <c r="A30" s="1" t="s">
        <v>82</v>
      </c>
      <c r="B30" s="1" t="s">
        <v>87</v>
      </c>
      <c r="C30" s="1" t="s">
        <v>88</v>
      </c>
      <c r="D30" s="5">
        <v>186490</v>
      </c>
      <c r="E30" s="5">
        <v>248747</v>
      </c>
      <c r="F30" s="5">
        <v>273326</v>
      </c>
      <c r="G30" s="5">
        <v>380230</v>
      </c>
      <c r="H30" s="5">
        <v>606946</v>
      </c>
      <c r="I30" s="8">
        <f t="shared" si="3"/>
        <v>781199</v>
      </c>
      <c r="J30" s="5">
        <v>955452</v>
      </c>
      <c r="K30" s="8">
        <f t="shared" si="4"/>
        <v>1133198</v>
      </c>
      <c r="L30" s="8">
        <f t="shared" si="5"/>
        <v>1310945</v>
      </c>
      <c r="M30" s="5">
        <v>1524240</v>
      </c>
      <c r="N30" s="8">
        <f t="shared" si="0"/>
        <v>1621624</v>
      </c>
      <c r="O30" s="5">
        <v>1719008</v>
      </c>
      <c r="P30" s="9">
        <f t="shared" ref="P30:U30" si="87">ROUND(O30+($V30-$O30)/7, 0)</f>
        <v>1745939</v>
      </c>
      <c r="Q30" s="9">
        <f t="shared" si="87"/>
        <v>1772870</v>
      </c>
      <c r="R30" s="9">
        <f t="shared" si="87"/>
        <v>1799801</v>
      </c>
      <c r="S30" s="9">
        <f t="shared" si="87"/>
        <v>1826732</v>
      </c>
      <c r="T30" s="9">
        <f t="shared" si="87"/>
        <v>1853663</v>
      </c>
      <c r="U30" s="9">
        <f t="shared" si="87"/>
        <v>1880594</v>
      </c>
      <c r="V30" s="5">
        <v>1907522</v>
      </c>
      <c r="W30" s="9">
        <f t="shared" ref="W30:X30" si="88">ROUND(V30+($Y30-$V30)/3, 0)</f>
        <v>1934049</v>
      </c>
      <c r="X30" s="9">
        <f t="shared" si="88"/>
        <v>1960576</v>
      </c>
      <c r="Y30" s="5">
        <v>1987103</v>
      </c>
      <c r="Z30" s="10">
        <f t="shared" ref="Z30:AI30" si="89">ROUND(Y30+($AJ30-$Y30)/11, 0)</f>
        <v>2007234</v>
      </c>
      <c r="AA30" s="10">
        <f t="shared" si="89"/>
        <v>2027365</v>
      </c>
      <c r="AB30" s="10">
        <f t="shared" si="89"/>
        <v>2047496</v>
      </c>
      <c r="AC30" s="10">
        <f t="shared" si="89"/>
        <v>2067627</v>
      </c>
      <c r="AD30" s="10">
        <f t="shared" si="89"/>
        <v>2087758</v>
      </c>
      <c r="AE30" s="10">
        <f t="shared" si="89"/>
        <v>2107889</v>
      </c>
      <c r="AF30" s="10">
        <f t="shared" si="89"/>
        <v>2128020</v>
      </c>
      <c r="AG30" s="10">
        <f t="shared" si="89"/>
        <v>2148151</v>
      </c>
      <c r="AH30" s="10">
        <f t="shared" si="89"/>
        <v>2168282</v>
      </c>
      <c r="AI30" s="10">
        <f t="shared" si="89"/>
        <v>2188413</v>
      </c>
      <c r="AJ30" s="5">
        <v>2208539</v>
      </c>
    </row>
    <row r="31" spans="1:36" x14ac:dyDescent="0.25">
      <c r="A31" s="1" t="s">
        <v>82</v>
      </c>
      <c r="B31" s="1" t="s">
        <v>89</v>
      </c>
      <c r="C31" s="1" t="s">
        <v>90</v>
      </c>
      <c r="D31" s="5">
        <v>195264</v>
      </c>
      <c r="E31" s="5">
        <v>347936</v>
      </c>
      <c r="F31" s="5">
        <v>346866</v>
      </c>
      <c r="G31" s="5">
        <v>377497</v>
      </c>
      <c r="H31" s="5">
        <v>353440</v>
      </c>
      <c r="I31" s="8">
        <f t="shared" si="3"/>
        <v>368585</v>
      </c>
      <c r="J31" s="5">
        <v>383729</v>
      </c>
      <c r="K31" s="8">
        <f t="shared" si="4"/>
        <v>413669</v>
      </c>
      <c r="L31" s="8">
        <f t="shared" si="5"/>
        <v>443610</v>
      </c>
      <c r="M31" s="5">
        <v>479538</v>
      </c>
      <c r="N31" s="8">
        <f t="shared" si="0"/>
        <v>505661</v>
      </c>
      <c r="O31" s="5">
        <v>531784</v>
      </c>
      <c r="P31" s="9">
        <f t="shared" ref="P31:U31" si="90">ROUND(O31+($V31-$O31)/7, 0)</f>
        <v>535074</v>
      </c>
      <c r="Q31" s="9">
        <f t="shared" si="90"/>
        <v>538364</v>
      </c>
      <c r="R31" s="9">
        <f t="shared" si="90"/>
        <v>541654</v>
      </c>
      <c r="S31" s="9">
        <f t="shared" si="90"/>
        <v>544944</v>
      </c>
      <c r="T31" s="9">
        <f t="shared" si="90"/>
        <v>548234</v>
      </c>
      <c r="U31" s="9">
        <f t="shared" si="90"/>
        <v>551524</v>
      </c>
      <c r="V31" s="5">
        <v>554812</v>
      </c>
      <c r="W31" s="9">
        <f t="shared" ref="W31:X31" si="91">ROUND(V31+($Y31-$V31)/3, 0)</f>
        <v>558519</v>
      </c>
      <c r="X31" s="9">
        <f t="shared" si="91"/>
        <v>562226</v>
      </c>
      <c r="Y31" s="5">
        <v>565934</v>
      </c>
      <c r="Z31" s="10">
        <f t="shared" ref="Z31:AI31" si="92">ROUND(Y31+($AJ31-$Y31)/11, 0)</f>
        <v>568303</v>
      </c>
      <c r="AA31" s="10">
        <f t="shared" si="92"/>
        <v>570672</v>
      </c>
      <c r="AB31" s="10">
        <f t="shared" si="92"/>
        <v>573041</v>
      </c>
      <c r="AC31" s="10">
        <f t="shared" si="92"/>
        <v>575410</v>
      </c>
      <c r="AD31" s="10">
        <f t="shared" si="92"/>
        <v>577779</v>
      </c>
      <c r="AE31" s="10">
        <f t="shared" si="92"/>
        <v>580148</v>
      </c>
      <c r="AF31" s="10">
        <f t="shared" si="92"/>
        <v>582517</v>
      </c>
      <c r="AG31" s="10">
        <f t="shared" si="92"/>
        <v>584886</v>
      </c>
      <c r="AH31" s="10">
        <f t="shared" si="92"/>
        <v>587255</v>
      </c>
      <c r="AI31" s="10">
        <f t="shared" si="92"/>
        <v>589624</v>
      </c>
      <c r="AJ31" s="5">
        <v>591993</v>
      </c>
    </row>
    <row r="32" spans="1:36" x14ac:dyDescent="0.25">
      <c r="A32" s="1" t="s">
        <v>91</v>
      </c>
      <c r="B32" s="1" t="s">
        <v>92</v>
      </c>
      <c r="C32" s="1" t="s">
        <v>93</v>
      </c>
      <c r="D32" s="5">
        <v>21223</v>
      </c>
      <c r="E32" s="5">
        <v>44250</v>
      </c>
      <c r="F32" s="5">
        <v>136444</v>
      </c>
      <c r="G32" s="5">
        <v>109482</v>
      </c>
      <c r="H32" s="5">
        <v>163968</v>
      </c>
      <c r="I32" s="8">
        <f t="shared" si="3"/>
        <v>180408</v>
      </c>
      <c r="J32" s="5">
        <v>196848</v>
      </c>
      <c r="K32" s="8">
        <f t="shared" si="4"/>
        <v>202967</v>
      </c>
      <c r="L32" s="8">
        <f t="shared" si="5"/>
        <v>209087</v>
      </c>
      <c r="M32" s="5">
        <v>216430</v>
      </c>
      <c r="N32" s="8">
        <f t="shared" si="0"/>
        <v>218166</v>
      </c>
      <c r="O32" s="5">
        <v>219901</v>
      </c>
      <c r="P32" s="9">
        <f t="shared" ref="P32:U32" si="93">ROUND(O32+($V32-$O32)/7, 0)</f>
        <v>219419</v>
      </c>
      <c r="Q32" s="9">
        <f t="shared" si="93"/>
        <v>218937</v>
      </c>
      <c r="R32" s="9">
        <f t="shared" si="93"/>
        <v>218455</v>
      </c>
      <c r="S32" s="9">
        <f t="shared" si="93"/>
        <v>217973</v>
      </c>
      <c r="T32" s="9">
        <f t="shared" si="93"/>
        <v>217491</v>
      </c>
      <c r="U32" s="9">
        <f t="shared" si="93"/>
        <v>217009</v>
      </c>
      <c r="V32" s="5">
        <v>216528</v>
      </c>
      <c r="W32" s="9">
        <f t="shared" ref="W32:X32" si="94">ROUND(V32+($Y32-$V32)/3, 0)</f>
        <v>217866</v>
      </c>
      <c r="X32" s="9">
        <f t="shared" si="94"/>
        <v>219204</v>
      </c>
      <c r="Y32" s="5">
        <v>220541</v>
      </c>
      <c r="Z32" s="10">
        <f t="shared" ref="Z32:AI32" si="95">ROUND(Y32+($AJ32-$Y32)/11, 0)</f>
        <v>220781</v>
      </c>
      <c r="AA32" s="10">
        <f t="shared" si="95"/>
        <v>221021</v>
      </c>
      <c r="AB32" s="10">
        <f t="shared" si="95"/>
        <v>221261</v>
      </c>
      <c r="AC32" s="10">
        <f t="shared" si="95"/>
        <v>221501</v>
      </c>
      <c r="AD32" s="10">
        <f t="shared" si="95"/>
        <v>221741</v>
      </c>
      <c r="AE32" s="10">
        <f t="shared" si="95"/>
        <v>221981</v>
      </c>
      <c r="AF32" s="10">
        <f t="shared" si="95"/>
        <v>222221</v>
      </c>
      <c r="AG32" s="10">
        <f t="shared" si="95"/>
        <v>222461</v>
      </c>
      <c r="AH32" s="10">
        <f t="shared" si="95"/>
        <v>222701</v>
      </c>
      <c r="AI32" s="10">
        <f t="shared" si="95"/>
        <v>222941</v>
      </c>
      <c r="AJ32" s="5">
        <v>223185</v>
      </c>
    </row>
    <row r="33" spans="1:36" x14ac:dyDescent="0.25">
      <c r="A33" s="1" t="s">
        <v>91</v>
      </c>
      <c r="B33" s="1" t="s">
        <v>94</v>
      </c>
      <c r="C33" s="1" t="s">
        <v>95</v>
      </c>
      <c r="D33" s="5">
        <v>20164</v>
      </c>
      <c r="E33" s="5">
        <v>24833</v>
      </c>
      <c r="F33" s="5">
        <v>49597</v>
      </c>
      <c r="G33" s="5">
        <v>99423</v>
      </c>
      <c r="H33" s="5">
        <v>172826</v>
      </c>
      <c r="I33" s="8">
        <f t="shared" si="3"/>
        <v>205625</v>
      </c>
      <c r="J33" s="5">
        <v>238423</v>
      </c>
      <c r="K33" s="8">
        <f t="shared" si="4"/>
        <v>252521</v>
      </c>
      <c r="L33" s="8">
        <f t="shared" si="5"/>
        <v>266618</v>
      </c>
      <c r="M33" s="5">
        <v>283535</v>
      </c>
      <c r="N33" s="8">
        <f t="shared" si="0"/>
        <v>283028</v>
      </c>
      <c r="O33" s="5">
        <v>282521</v>
      </c>
      <c r="P33" s="9">
        <f t="shared" ref="P33:U33" si="96">ROUND(O33+($V33-$O33)/7, 0)</f>
        <v>282312</v>
      </c>
      <c r="Q33" s="9">
        <f t="shared" si="96"/>
        <v>282103</v>
      </c>
      <c r="R33" s="9">
        <f t="shared" si="96"/>
        <v>281894</v>
      </c>
      <c r="S33" s="9">
        <f t="shared" si="96"/>
        <v>281685</v>
      </c>
      <c r="T33" s="9">
        <f t="shared" si="96"/>
        <v>281476</v>
      </c>
      <c r="U33" s="9">
        <f t="shared" si="96"/>
        <v>281267</v>
      </c>
      <c r="V33" s="5">
        <v>281061</v>
      </c>
      <c r="W33" s="9">
        <f t="shared" ref="W33:X33" si="97">ROUND(V33+($Y33-$V33)/3, 0)</f>
        <v>285411</v>
      </c>
      <c r="X33" s="9">
        <f t="shared" si="97"/>
        <v>289761</v>
      </c>
      <c r="Y33" s="5">
        <v>294110</v>
      </c>
      <c r="Z33" s="10">
        <f t="shared" ref="Z33:AI33" si="98">ROUND(Y33+($AJ33-$Y33)/11, 0)</f>
        <v>294307</v>
      </c>
      <c r="AA33" s="10">
        <f t="shared" si="98"/>
        <v>294504</v>
      </c>
      <c r="AB33" s="10">
        <f t="shared" si="98"/>
        <v>294701</v>
      </c>
      <c r="AC33" s="10">
        <f t="shared" si="98"/>
        <v>294898</v>
      </c>
      <c r="AD33" s="10">
        <f t="shared" si="98"/>
        <v>295095</v>
      </c>
      <c r="AE33" s="10">
        <f t="shared" si="98"/>
        <v>295292</v>
      </c>
      <c r="AF33" s="10">
        <f t="shared" si="98"/>
        <v>295489</v>
      </c>
      <c r="AG33" s="10">
        <f t="shared" si="98"/>
        <v>295686</v>
      </c>
      <c r="AH33" s="10">
        <f t="shared" si="98"/>
        <v>295883</v>
      </c>
      <c r="AI33" s="10">
        <f t="shared" si="98"/>
        <v>296080</v>
      </c>
      <c r="AJ33" s="5">
        <v>296277</v>
      </c>
    </row>
    <row r="34" spans="1:36" x14ac:dyDescent="0.25">
      <c r="A34" s="1" t="s">
        <v>91</v>
      </c>
      <c r="B34" s="1" t="s">
        <v>96</v>
      </c>
      <c r="C34" s="1" t="s">
        <v>97</v>
      </c>
      <c r="D34" s="5">
        <v>71329</v>
      </c>
      <c r="E34" s="5">
        <v>171865</v>
      </c>
      <c r="F34" s="5">
        <v>325924</v>
      </c>
      <c r="G34" s="5">
        <v>714836</v>
      </c>
      <c r="H34" s="5">
        <v>1155939</v>
      </c>
      <c r="I34" s="8">
        <f t="shared" si="3"/>
        <v>1363949</v>
      </c>
      <c r="J34" s="5">
        <v>1571958</v>
      </c>
      <c r="K34" s="8">
        <f t="shared" si="4"/>
        <v>1799731</v>
      </c>
      <c r="L34" s="8">
        <f t="shared" si="5"/>
        <v>2027504</v>
      </c>
      <c r="M34" s="5">
        <v>2300832</v>
      </c>
      <c r="N34" s="8">
        <f t="shared" ref="N34:N65" si="99">ROUND(MEDIAN(M34,O34), 0)</f>
        <v>2418471</v>
      </c>
      <c r="O34" s="5">
        <v>2536110</v>
      </c>
      <c r="P34" s="9">
        <f t="shared" ref="P34:U34" si="100">ROUND(O34+($V34-$O34)/7, 0)</f>
        <v>2591659</v>
      </c>
      <c r="Q34" s="9">
        <f t="shared" si="100"/>
        <v>2647208</v>
      </c>
      <c r="R34" s="9">
        <f t="shared" si="100"/>
        <v>2702757</v>
      </c>
      <c r="S34" s="9">
        <f t="shared" si="100"/>
        <v>2758306</v>
      </c>
      <c r="T34" s="9">
        <f t="shared" si="100"/>
        <v>2813855</v>
      </c>
      <c r="U34" s="9">
        <f t="shared" si="100"/>
        <v>2869404</v>
      </c>
      <c r="V34" s="5">
        <v>2924950</v>
      </c>
      <c r="W34" s="9">
        <f t="shared" ref="W34:X34" si="101">ROUND(V34+($Y34-$V34)/3, 0)</f>
        <v>2968898</v>
      </c>
      <c r="X34" s="9">
        <f t="shared" si="101"/>
        <v>3012846</v>
      </c>
      <c r="Y34" s="5">
        <v>3056794</v>
      </c>
      <c r="Z34" s="10">
        <f t="shared" ref="Z34:AI34" si="102">ROUND(Y34+($AJ34-$Y34)/11, 0)</f>
        <v>3104491</v>
      </c>
      <c r="AA34" s="10">
        <f t="shared" si="102"/>
        <v>3152188</v>
      </c>
      <c r="AB34" s="10">
        <f t="shared" si="102"/>
        <v>3199885</v>
      </c>
      <c r="AC34" s="10">
        <f t="shared" si="102"/>
        <v>3247582</v>
      </c>
      <c r="AD34" s="10">
        <f t="shared" si="102"/>
        <v>3295279</v>
      </c>
      <c r="AE34" s="10">
        <f t="shared" si="102"/>
        <v>3342976</v>
      </c>
      <c r="AF34" s="10">
        <f t="shared" si="102"/>
        <v>3390673</v>
      </c>
      <c r="AG34" s="10">
        <f t="shared" si="102"/>
        <v>3438370</v>
      </c>
      <c r="AH34" s="10">
        <f t="shared" si="102"/>
        <v>3486067</v>
      </c>
      <c r="AI34" s="10">
        <f t="shared" si="102"/>
        <v>3533764</v>
      </c>
      <c r="AJ34" s="5">
        <v>3581463</v>
      </c>
    </row>
    <row r="35" spans="1:36" x14ac:dyDescent="0.25">
      <c r="A35" s="1" t="s">
        <v>91</v>
      </c>
      <c r="B35" s="1" t="s">
        <v>98</v>
      </c>
      <c r="C35" s="1" t="s">
        <v>99</v>
      </c>
      <c r="D35" s="5">
        <v>85984</v>
      </c>
      <c r="E35" s="5">
        <v>105241</v>
      </c>
      <c r="F35" s="5">
        <v>129604</v>
      </c>
      <c r="G35" s="5">
        <v>161338</v>
      </c>
      <c r="H35" s="5">
        <v>210978</v>
      </c>
      <c r="I35" s="8">
        <f t="shared" si="3"/>
        <v>269816</v>
      </c>
      <c r="J35" s="5">
        <v>328653</v>
      </c>
      <c r="K35" s="8">
        <f t="shared" si="4"/>
        <v>455030</v>
      </c>
      <c r="L35" s="8">
        <f t="shared" si="5"/>
        <v>581407</v>
      </c>
      <c r="M35" s="5">
        <v>733060</v>
      </c>
      <c r="N35" s="8">
        <f t="shared" si="99"/>
        <v>820258</v>
      </c>
      <c r="O35" s="5">
        <v>907456</v>
      </c>
      <c r="P35" s="9">
        <f t="shared" ref="P35:U35" si="103">ROUND(O35+($V35-$O35)/7, 0)</f>
        <v>929686</v>
      </c>
      <c r="Q35" s="9">
        <f t="shared" si="103"/>
        <v>951916</v>
      </c>
      <c r="R35" s="9">
        <f t="shared" si="103"/>
        <v>974146</v>
      </c>
      <c r="S35" s="9">
        <f t="shared" si="103"/>
        <v>996376</v>
      </c>
      <c r="T35" s="9">
        <f t="shared" si="103"/>
        <v>1018606</v>
      </c>
      <c r="U35" s="9">
        <f t="shared" si="103"/>
        <v>1040836</v>
      </c>
      <c r="V35" s="5">
        <v>1063068</v>
      </c>
      <c r="W35" s="9">
        <f t="shared" ref="W35:X35" si="104">ROUND(V35+($Y35-$V35)/3, 0)</f>
        <v>1095286</v>
      </c>
      <c r="X35" s="9">
        <f t="shared" si="104"/>
        <v>1127504</v>
      </c>
      <c r="Y35" s="5">
        <v>1159722</v>
      </c>
      <c r="Z35" s="10">
        <f t="shared" ref="Z35:AI35" si="105">ROUND(Y35+($AJ35-$Y35)/11, 0)</f>
        <v>1187105</v>
      </c>
      <c r="AA35" s="10">
        <f t="shared" si="105"/>
        <v>1214488</v>
      </c>
      <c r="AB35" s="10">
        <f t="shared" si="105"/>
        <v>1241871</v>
      </c>
      <c r="AC35" s="10">
        <f t="shared" si="105"/>
        <v>1269254</v>
      </c>
      <c r="AD35" s="10">
        <f t="shared" si="105"/>
        <v>1296637</v>
      </c>
      <c r="AE35" s="10">
        <f t="shared" si="105"/>
        <v>1324020</v>
      </c>
      <c r="AF35" s="10">
        <f t="shared" si="105"/>
        <v>1351403</v>
      </c>
      <c r="AG35" s="10">
        <f t="shared" si="105"/>
        <v>1378786</v>
      </c>
      <c r="AH35" s="10">
        <f t="shared" si="105"/>
        <v>1406169</v>
      </c>
      <c r="AI35" s="10">
        <f t="shared" si="105"/>
        <v>1433552</v>
      </c>
      <c r="AJ35" s="5">
        <v>1460932</v>
      </c>
    </row>
    <row r="36" spans="1:36" x14ac:dyDescent="0.25">
      <c r="A36" s="1" t="s">
        <v>91</v>
      </c>
      <c r="B36" s="1" t="s">
        <v>100</v>
      </c>
      <c r="C36" s="1" t="s">
        <v>101</v>
      </c>
      <c r="D36" s="5">
        <v>201322</v>
      </c>
      <c r="E36" s="5">
        <v>315829</v>
      </c>
      <c r="F36" s="5">
        <v>369312</v>
      </c>
      <c r="G36" s="5">
        <v>508709</v>
      </c>
      <c r="H36" s="5">
        <v>713179</v>
      </c>
      <c r="I36" s="8">
        <f t="shared" si="3"/>
        <v>749211</v>
      </c>
      <c r="J36" s="5">
        <v>785243</v>
      </c>
      <c r="K36" s="8">
        <f t="shared" si="4"/>
        <v>846451</v>
      </c>
      <c r="L36" s="8">
        <f t="shared" si="5"/>
        <v>907660</v>
      </c>
      <c r="M36" s="5">
        <v>981110</v>
      </c>
      <c r="N36" s="8">
        <f t="shared" si="99"/>
        <v>1019659</v>
      </c>
      <c r="O36" s="5">
        <v>1058208</v>
      </c>
      <c r="P36" s="9">
        <f t="shared" ref="P36:U36" si="106">ROUND(O36+($V36-$O36)/7, 0)</f>
        <v>1072954</v>
      </c>
      <c r="Q36" s="9">
        <f t="shared" si="106"/>
        <v>1087700</v>
      </c>
      <c r="R36" s="9">
        <f t="shared" si="106"/>
        <v>1102446</v>
      </c>
      <c r="S36" s="9">
        <f t="shared" si="106"/>
        <v>1117192</v>
      </c>
      <c r="T36" s="9">
        <f t="shared" si="106"/>
        <v>1131938</v>
      </c>
      <c r="U36" s="9">
        <f t="shared" si="106"/>
        <v>1146684</v>
      </c>
      <c r="V36" s="5">
        <v>1161428</v>
      </c>
      <c r="W36" s="9">
        <f t="shared" ref="W36:X36" si="107">ROUND(V36+($Y36-$V36)/3, 0)</f>
        <v>1198492</v>
      </c>
      <c r="X36" s="9">
        <f t="shared" si="107"/>
        <v>1235556</v>
      </c>
      <c r="Y36" s="5">
        <v>1272621</v>
      </c>
      <c r="Z36" s="10">
        <f t="shared" ref="Z36:AI36" si="108">ROUND(Y36+($AJ36-$Y36)/11, 0)</f>
        <v>1292804</v>
      </c>
      <c r="AA36" s="10">
        <f t="shared" si="108"/>
        <v>1312987</v>
      </c>
      <c r="AB36" s="10">
        <f t="shared" si="108"/>
        <v>1333170</v>
      </c>
      <c r="AC36" s="10">
        <f t="shared" si="108"/>
        <v>1353353</v>
      </c>
      <c r="AD36" s="10">
        <f t="shared" si="108"/>
        <v>1373536</v>
      </c>
      <c r="AE36" s="10">
        <f t="shared" si="108"/>
        <v>1393719</v>
      </c>
      <c r="AF36" s="10">
        <f t="shared" si="108"/>
        <v>1413902</v>
      </c>
      <c r="AG36" s="10">
        <f t="shared" si="108"/>
        <v>1434085</v>
      </c>
      <c r="AH36" s="10">
        <f t="shared" si="108"/>
        <v>1454268</v>
      </c>
      <c r="AI36" s="10">
        <f t="shared" si="108"/>
        <v>1474451</v>
      </c>
      <c r="AJ36" s="5">
        <v>1494638</v>
      </c>
    </row>
    <row r="37" spans="1:36" x14ac:dyDescent="0.25">
      <c r="A37" s="1" t="s">
        <v>102</v>
      </c>
      <c r="B37" s="1" t="s">
        <v>103</v>
      </c>
      <c r="C37" s="1" t="s">
        <v>104</v>
      </c>
      <c r="D37" s="5">
        <v>380995</v>
      </c>
      <c r="E37" s="5">
        <v>485158</v>
      </c>
      <c r="F37" s="5">
        <v>615475</v>
      </c>
      <c r="G37" s="5">
        <v>847570</v>
      </c>
      <c r="H37" s="5">
        <v>1058643</v>
      </c>
      <c r="I37" s="8">
        <f t="shared" si="3"/>
        <v>1241929</v>
      </c>
      <c r="J37" s="5">
        <v>1425215</v>
      </c>
      <c r="K37" s="8">
        <f t="shared" si="4"/>
        <v>1589645</v>
      </c>
      <c r="L37" s="8">
        <f t="shared" si="5"/>
        <v>1754076</v>
      </c>
      <c r="M37" s="5">
        <v>1951392</v>
      </c>
      <c r="N37" s="8">
        <f t="shared" si="99"/>
        <v>2049260</v>
      </c>
      <c r="O37" s="5">
        <v>2147128</v>
      </c>
      <c r="P37" s="9">
        <f t="shared" ref="P37:U37" si="109">ROUND(O37+($V37-$O37)/7, 0)</f>
        <v>2184681</v>
      </c>
      <c r="Q37" s="9">
        <f t="shared" si="109"/>
        <v>2222234</v>
      </c>
      <c r="R37" s="9">
        <f t="shared" si="109"/>
        <v>2259787</v>
      </c>
      <c r="S37" s="9">
        <f t="shared" si="109"/>
        <v>2297340</v>
      </c>
      <c r="T37" s="9">
        <f t="shared" si="109"/>
        <v>2334893</v>
      </c>
      <c r="U37" s="9">
        <f t="shared" si="109"/>
        <v>2372446</v>
      </c>
      <c r="V37" s="5">
        <v>2410001</v>
      </c>
      <c r="W37" s="9">
        <f t="shared" ref="W37:X37" si="110">ROUND(V37+($Y37-$V37)/3, 0)</f>
        <v>2475138</v>
      </c>
      <c r="X37" s="9">
        <f t="shared" si="110"/>
        <v>2540275</v>
      </c>
      <c r="Y37" s="5">
        <v>2605412</v>
      </c>
      <c r="Z37" s="10">
        <f t="shared" ref="Z37:AI37" si="111">ROUND(Y37+($AJ37-$Y37)/11, 0)</f>
        <v>2621249</v>
      </c>
      <c r="AA37" s="10">
        <f t="shared" si="111"/>
        <v>2637086</v>
      </c>
      <c r="AB37" s="10">
        <f t="shared" si="111"/>
        <v>2652923</v>
      </c>
      <c r="AC37" s="10">
        <f t="shared" si="111"/>
        <v>2668760</v>
      </c>
      <c r="AD37" s="10">
        <f t="shared" si="111"/>
        <v>2684597</v>
      </c>
      <c r="AE37" s="10">
        <f t="shared" si="111"/>
        <v>2700434</v>
      </c>
      <c r="AF37" s="10">
        <f t="shared" si="111"/>
        <v>2716271</v>
      </c>
      <c r="AG37" s="10">
        <f t="shared" si="111"/>
        <v>2732108</v>
      </c>
      <c r="AH37" s="10">
        <f t="shared" si="111"/>
        <v>2747945</v>
      </c>
      <c r="AI37" s="10">
        <f t="shared" si="111"/>
        <v>2763782</v>
      </c>
      <c r="AJ37" s="5">
        <v>2779620</v>
      </c>
    </row>
    <row r="38" spans="1:36" x14ac:dyDescent="0.25">
      <c r="A38" s="1" t="s">
        <v>102</v>
      </c>
      <c r="B38" s="1" t="s">
        <v>105</v>
      </c>
      <c r="C38" s="1" t="s">
        <v>106</v>
      </c>
      <c r="D38" s="5">
        <v>33687</v>
      </c>
      <c r="E38" s="5">
        <v>48352</v>
      </c>
      <c r="F38" s="5">
        <v>59867</v>
      </c>
      <c r="G38" s="5">
        <v>297292</v>
      </c>
      <c r="H38" s="5">
        <v>438420</v>
      </c>
      <c r="I38" s="8">
        <f t="shared" si="3"/>
        <v>585888</v>
      </c>
      <c r="J38" s="5">
        <v>733355</v>
      </c>
      <c r="K38" s="8">
        <f t="shared" si="4"/>
        <v>860416</v>
      </c>
      <c r="L38" s="8">
        <f t="shared" si="5"/>
        <v>987476</v>
      </c>
      <c r="M38" s="5">
        <v>1139949</v>
      </c>
      <c r="N38" s="8">
        <f t="shared" si="99"/>
        <v>1190565</v>
      </c>
      <c r="O38" s="5">
        <v>1241181</v>
      </c>
      <c r="P38" s="9">
        <f t="shared" ref="P38:U38" si="112">ROUND(O38+($V38-$O38)/7, 0)</f>
        <v>1251602</v>
      </c>
      <c r="Q38" s="9">
        <f t="shared" si="112"/>
        <v>1262023</v>
      </c>
      <c r="R38" s="9">
        <f t="shared" si="112"/>
        <v>1272444</v>
      </c>
      <c r="S38" s="9">
        <f t="shared" si="112"/>
        <v>1282865</v>
      </c>
      <c r="T38" s="9">
        <f t="shared" si="112"/>
        <v>1293286</v>
      </c>
      <c r="U38" s="9">
        <f t="shared" si="112"/>
        <v>1303707</v>
      </c>
      <c r="V38" s="5">
        <v>1314126</v>
      </c>
      <c r="W38" s="9">
        <f t="shared" ref="W38:X38" si="113">ROUND(V38+($Y38-$V38)/3, 0)</f>
        <v>1346064</v>
      </c>
      <c r="X38" s="9">
        <f t="shared" si="113"/>
        <v>1378002</v>
      </c>
      <c r="Y38" s="5">
        <v>1409940</v>
      </c>
      <c r="Z38" s="10">
        <f t="shared" ref="Z38:AI38" si="114">ROUND(Y38+($AJ38-$Y38)/11, 0)</f>
        <v>1409159</v>
      </c>
      <c r="AA38" s="10">
        <f t="shared" si="114"/>
        <v>1408378</v>
      </c>
      <c r="AB38" s="10">
        <f t="shared" si="114"/>
        <v>1407597</v>
      </c>
      <c r="AC38" s="10">
        <f t="shared" si="114"/>
        <v>1406816</v>
      </c>
      <c r="AD38" s="10">
        <f t="shared" si="114"/>
        <v>1406035</v>
      </c>
      <c r="AE38" s="10">
        <f t="shared" si="114"/>
        <v>1405254</v>
      </c>
      <c r="AF38" s="10">
        <f t="shared" si="114"/>
        <v>1404473</v>
      </c>
      <c r="AG38" s="10">
        <f t="shared" si="114"/>
        <v>1403692</v>
      </c>
      <c r="AH38" s="10">
        <f t="shared" si="114"/>
        <v>1402911</v>
      </c>
      <c r="AI38" s="10">
        <f t="shared" si="114"/>
        <v>1402130</v>
      </c>
      <c r="AJ38" s="5">
        <v>1401349</v>
      </c>
    </row>
    <row r="39" spans="1:36" x14ac:dyDescent="0.25">
      <c r="A39" s="1" t="s">
        <v>102</v>
      </c>
      <c r="B39" s="1" t="s">
        <v>107</v>
      </c>
      <c r="C39" s="1" t="s">
        <v>108</v>
      </c>
      <c r="D39" s="5">
        <v>82970</v>
      </c>
      <c r="E39" s="5">
        <v>166853</v>
      </c>
      <c r="F39" s="5">
        <v>240288</v>
      </c>
      <c r="G39" s="5">
        <v>509909</v>
      </c>
      <c r="H39" s="5">
        <v>598581</v>
      </c>
      <c r="I39" s="8">
        <f t="shared" si="3"/>
        <v>666440</v>
      </c>
      <c r="J39" s="5">
        <v>734298</v>
      </c>
      <c r="K39" s="8">
        <f t="shared" si="4"/>
        <v>755519</v>
      </c>
      <c r="L39" s="8">
        <f t="shared" si="5"/>
        <v>776740</v>
      </c>
      <c r="M39" s="5">
        <v>802205</v>
      </c>
      <c r="N39" s="8">
        <f t="shared" si="99"/>
        <v>822620</v>
      </c>
      <c r="O39" s="5">
        <v>843035</v>
      </c>
      <c r="P39" s="9">
        <f t="shared" ref="P39:U39" si="115">ROUND(O39+($V39-$O39)/7, 0)</f>
        <v>844817</v>
      </c>
      <c r="Q39" s="9">
        <f t="shared" si="115"/>
        <v>846599</v>
      </c>
      <c r="R39" s="9">
        <f t="shared" si="115"/>
        <v>848381</v>
      </c>
      <c r="S39" s="9">
        <f t="shared" si="115"/>
        <v>850163</v>
      </c>
      <c r="T39" s="9">
        <f t="shared" si="115"/>
        <v>851945</v>
      </c>
      <c r="U39" s="9">
        <f t="shared" si="115"/>
        <v>853727</v>
      </c>
      <c r="V39" s="5">
        <v>855512</v>
      </c>
      <c r="W39" s="9">
        <f t="shared" ref="W39:X39" si="116">ROUND(V39+($Y39-$V39)/3, 0)</f>
        <v>875354</v>
      </c>
      <c r="X39" s="9">
        <f t="shared" si="116"/>
        <v>895196</v>
      </c>
      <c r="Y39" s="5">
        <v>915039</v>
      </c>
      <c r="Z39" s="10">
        <f t="shared" ref="Z39:AI39" si="117">ROUND(Y39+($AJ39-$Y39)/11, 0)</f>
        <v>914605</v>
      </c>
      <c r="AA39" s="10">
        <f t="shared" si="117"/>
        <v>914171</v>
      </c>
      <c r="AB39" s="10">
        <f t="shared" si="117"/>
        <v>913737</v>
      </c>
      <c r="AC39" s="10">
        <f t="shared" si="117"/>
        <v>913303</v>
      </c>
      <c r="AD39" s="10">
        <f t="shared" si="117"/>
        <v>912869</v>
      </c>
      <c r="AE39" s="10">
        <f t="shared" si="117"/>
        <v>912435</v>
      </c>
      <c r="AF39" s="10">
        <f t="shared" si="117"/>
        <v>912001</v>
      </c>
      <c r="AG39" s="10">
        <f t="shared" si="117"/>
        <v>911567</v>
      </c>
      <c r="AH39" s="10">
        <f t="shared" si="117"/>
        <v>911133</v>
      </c>
      <c r="AI39" s="10">
        <f t="shared" si="117"/>
        <v>910699</v>
      </c>
      <c r="AJ39" s="5">
        <v>910262</v>
      </c>
    </row>
    <row r="40" spans="1:36" x14ac:dyDescent="0.25">
      <c r="A40" s="1" t="s">
        <v>102</v>
      </c>
      <c r="B40" s="1" t="s">
        <v>109</v>
      </c>
      <c r="C40" s="1" t="s">
        <v>110</v>
      </c>
      <c r="D40" s="5">
        <v>300394</v>
      </c>
      <c r="E40" s="5">
        <v>441441</v>
      </c>
      <c r="F40" s="5">
        <v>560287</v>
      </c>
      <c r="G40" s="5">
        <v>696239</v>
      </c>
      <c r="H40" s="5">
        <v>759170</v>
      </c>
      <c r="I40" s="8">
        <f t="shared" si="3"/>
        <v>846830</v>
      </c>
      <c r="J40" s="5">
        <v>934489</v>
      </c>
      <c r="K40" s="8">
        <f t="shared" si="4"/>
        <v>983305</v>
      </c>
      <c r="L40" s="8">
        <f t="shared" si="5"/>
        <v>1032122</v>
      </c>
      <c r="M40" s="5">
        <v>1090701</v>
      </c>
      <c r="N40" s="8">
        <f t="shared" si="99"/>
        <v>1129865</v>
      </c>
      <c r="O40" s="5">
        <v>1169028</v>
      </c>
      <c r="P40" s="9">
        <f t="shared" ref="P40:U40" si="118">ROUND(O40+($V40-$O40)/7, 0)</f>
        <v>1180952</v>
      </c>
      <c r="Q40" s="9">
        <f t="shared" si="118"/>
        <v>1192876</v>
      </c>
      <c r="R40" s="9">
        <f t="shared" si="118"/>
        <v>1204800</v>
      </c>
      <c r="S40" s="9">
        <f t="shared" si="118"/>
        <v>1216724</v>
      </c>
      <c r="T40" s="9">
        <f t="shared" si="118"/>
        <v>1228648</v>
      </c>
      <c r="U40" s="9">
        <f t="shared" si="118"/>
        <v>1240572</v>
      </c>
      <c r="V40" s="5">
        <v>1252495</v>
      </c>
      <c r="W40" s="9">
        <f t="shared" ref="W40:X40" si="119">ROUND(V40+($Y40-$V40)/3, 0)</f>
        <v>1280332</v>
      </c>
      <c r="X40" s="9">
        <f t="shared" si="119"/>
        <v>1308169</v>
      </c>
      <c r="Y40" s="5">
        <v>1336005</v>
      </c>
      <c r="Z40" s="10">
        <f t="shared" ref="Z40:AI40" si="120">ROUND(Y40+($AJ40-$Y40)/11, 0)</f>
        <v>1337462</v>
      </c>
      <c r="AA40" s="10">
        <f t="shared" si="120"/>
        <v>1338919</v>
      </c>
      <c r="AB40" s="10">
        <f t="shared" si="120"/>
        <v>1340376</v>
      </c>
      <c r="AC40" s="10">
        <f t="shared" si="120"/>
        <v>1341833</v>
      </c>
      <c r="AD40" s="10">
        <f t="shared" si="120"/>
        <v>1343290</v>
      </c>
      <c r="AE40" s="10">
        <f t="shared" si="120"/>
        <v>1344747</v>
      </c>
      <c r="AF40" s="10">
        <f t="shared" si="120"/>
        <v>1346204</v>
      </c>
      <c r="AG40" s="10">
        <f t="shared" si="120"/>
        <v>1347661</v>
      </c>
      <c r="AH40" s="10">
        <f t="shared" si="120"/>
        <v>1349118</v>
      </c>
      <c r="AI40" s="10">
        <f t="shared" si="120"/>
        <v>1350575</v>
      </c>
      <c r="AJ40" s="5">
        <v>1352035</v>
      </c>
    </row>
    <row r="41" spans="1:36" x14ac:dyDescent="0.25">
      <c r="A41" s="1" t="s">
        <v>102</v>
      </c>
      <c r="B41" s="1" t="s">
        <v>111</v>
      </c>
      <c r="C41" s="1" t="s">
        <v>112</v>
      </c>
      <c r="D41" s="5">
        <v>76291</v>
      </c>
      <c r="E41" s="5">
        <v>93365</v>
      </c>
      <c r="F41" s="5">
        <v>107331</v>
      </c>
      <c r="G41" s="5">
        <v>126361</v>
      </c>
      <c r="H41" s="5">
        <v>137864</v>
      </c>
      <c r="I41" s="8">
        <f t="shared" si="3"/>
        <v>153476</v>
      </c>
      <c r="J41" s="5">
        <v>169087</v>
      </c>
      <c r="K41" s="8">
        <f t="shared" si="4"/>
        <v>190602</v>
      </c>
      <c r="L41" s="8">
        <f t="shared" si="5"/>
        <v>212118</v>
      </c>
      <c r="M41" s="5">
        <v>237936</v>
      </c>
      <c r="N41" s="8">
        <f t="shared" si="99"/>
        <v>247559</v>
      </c>
      <c r="O41" s="5">
        <v>257181</v>
      </c>
      <c r="P41" s="9">
        <f t="shared" ref="P41:U41" si="121">ROUND(O41+($V41-$O41)/7, 0)</f>
        <v>261421</v>
      </c>
      <c r="Q41" s="9">
        <f t="shared" si="121"/>
        <v>265661</v>
      </c>
      <c r="R41" s="9">
        <f t="shared" si="121"/>
        <v>269901</v>
      </c>
      <c r="S41" s="9">
        <f t="shared" si="121"/>
        <v>274141</v>
      </c>
      <c r="T41" s="9">
        <f t="shared" si="121"/>
        <v>278381</v>
      </c>
      <c r="U41" s="9">
        <f t="shared" si="121"/>
        <v>282621</v>
      </c>
      <c r="V41" s="5">
        <v>286861</v>
      </c>
      <c r="W41" s="9">
        <f t="shared" ref="W41:X41" si="122">ROUND(V41+($Y41-$V41)/3, 0)</f>
        <v>294038</v>
      </c>
      <c r="X41" s="9">
        <f t="shared" si="122"/>
        <v>301215</v>
      </c>
      <c r="Y41" s="5">
        <v>308393</v>
      </c>
      <c r="Z41" s="10">
        <f t="shared" ref="Z41:AI41" si="123">ROUND(Y41+($AJ41-$Y41)/11, 0)</f>
        <v>310588</v>
      </c>
      <c r="AA41" s="10">
        <f t="shared" si="123"/>
        <v>312783</v>
      </c>
      <c r="AB41" s="10">
        <f t="shared" si="123"/>
        <v>314978</v>
      </c>
      <c r="AC41" s="10">
        <f t="shared" si="123"/>
        <v>317173</v>
      </c>
      <c r="AD41" s="10">
        <f t="shared" si="123"/>
        <v>319368</v>
      </c>
      <c r="AE41" s="10">
        <f t="shared" si="123"/>
        <v>321563</v>
      </c>
      <c r="AF41" s="10">
        <f t="shared" si="123"/>
        <v>323758</v>
      </c>
      <c r="AG41" s="10">
        <f t="shared" si="123"/>
        <v>325953</v>
      </c>
      <c r="AH41" s="10">
        <f t="shared" si="123"/>
        <v>328148</v>
      </c>
      <c r="AI41" s="10">
        <f t="shared" si="123"/>
        <v>330343</v>
      </c>
      <c r="AJ41" s="5">
        <v>332539</v>
      </c>
    </row>
    <row r="42" spans="1:36" x14ac:dyDescent="0.25">
      <c r="A42" s="1" t="s">
        <v>113</v>
      </c>
      <c r="B42" s="1" t="s">
        <v>114</v>
      </c>
      <c r="C42" s="1" t="s">
        <v>115</v>
      </c>
      <c r="D42" s="5">
        <v>60215</v>
      </c>
      <c r="E42" s="5">
        <v>76557</v>
      </c>
      <c r="F42" s="5">
        <v>118173</v>
      </c>
      <c r="G42" s="5">
        <v>156796</v>
      </c>
      <c r="H42" s="5">
        <v>232170</v>
      </c>
      <c r="I42" s="8">
        <f t="shared" si="3"/>
        <v>255542</v>
      </c>
      <c r="J42" s="5">
        <v>278914</v>
      </c>
      <c r="K42" s="8">
        <f t="shared" si="4"/>
        <v>289934</v>
      </c>
      <c r="L42" s="8">
        <f t="shared" si="5"/>
        <v>300955</v>
      </c>
      <c r="M42" s="5">
        <v>314179</v>
      </c>
      <c r="N42" s="8">
        <f t="shared" si="99"/>
        <v>324357</v>
      </c>
      <c r="O42" s="5">
        <v>334534</v>
      </c>
      <c r="P42" s="9">
        <f t="shared" ref="P42:U42" si="124">ROUND(O42+($V42-$O42)/7, 0)</f>
        <v>336813</v>
      </c>
      <c r="Q42" s="9">
        <f t="shared" si="124"/>
        <v>339092</v>
      </c>
      <c r="R42" s="9">
        <f t="shared" si="124"/>
        <v>341371</v>
      </c>
      <c r="S42" s="9">
        <f t="shared" si="124"/>
        <v>343650</v>
      </c>
      <c r="T42" s="9">
        <f t="shared" si="124"/>
        <v>345929</v>
      </c>
      <c r="U42" s="9">
        <f t="shared" si="124"/>
        <v>348208</v>
      </c>
      <c r="V42" s="5">
        <v>350489</v>
      </c>
      <c r="W42" s="9">
        <f t="shared" ref="W42:X42" si="125">ROUND(V42+($Y42-$V42)/3, 0)</f>
        <v>355799</v>
      </c>
      <c r="X42" s="9">
        <f t="shared" si="125"/>
        <v>361109</v>
      </c>
      <c r="Y42" s="5">
        <v>366418</v>
      </c>
      <c r="Z42" s="10">
        <f t="shared" ref="Z42:AI42" si="126">ROUND(Y42+($AJ42-$Y42)/11, 0)</f>
        <v>368525</v>
      </c>
      <c r="AA42" s="10">
        <f t="shared" si="126"/>
        <v>370632</v>
      </c>
      <c r="AB42" s="10">
        <f t="shared" si="126"/>
        <v>372739</v>
      </c>
      <c r="AC42" s="10">
        <f t="shared" si="126"/>
        <v>374846</v>
      </c>
      <c r="AD42" s="10">
        <f t="shared" si="126"/>
        <v>376953</v>
      </c>
      <c r="AE42" s="10">
        <f t="shared" si="126"/>
        <v>379060</v>
      </c>
      <c r="AF42" s="10">
        <f t="shared" si="126"/>
        <v>381167</v>
      </c>
      <c r="AG42" s="10">
        <f t="shared" si="126"/>
        <v>383274</v>
      </c>
      <c r="AH42" s="10">
        <f t="shared" si="126"/>
        <v>385381</v>
      </c>
      <c r="AI42" s="10">
        <f t="shared" si="126"/>
        <v>387488</v>
      </c>
      <c r="AJ42" s="5">
        <v>389591</v>
      </c>
    </row>
    <row r="43" spans="1:36" x14ac:dyDescent="0.25">
      <c r="A43" s="1" t="s">
        <v>113</v>
      </c>
      <c r="B43" s="1" t="s">
        <v>116</v>
      </c>
      <c r="C43" s="1" t="s">
        <v>117</v>
      </c>
      <c r="D43" s="5">
        <v>497516</v>
      </c>
      <c r="E43" s="5">
        <v>510225</v>
      </c>
      <c r="F43" s="5">
        <v>611153</v>
      </c>
      <c r="G43" s="5">
        <v>821194</v>
      </c>
      <c r="H43" s="5">
        <v>980658</v>
      </c>
      <c r="I43" s="8">
        <f t="shared" si="3"/>
        <v>1053893</v>
      </c>
      <c r="J43" s="5">
        <v>1127127</v>
      </c>
      <c r="K43" s="8">
        <f t="shared" si="4"/>
        <v>1208608</v>
      </c>
      <c r="L43" s="8">
        <f t="shared" si="5"/>
        <v>1290088</v>
      </c>
      <c r="M43" s="5">
        <v>1387865</v>
      </c>
      <c r="N43" s="8">
        <f t="shared" si="99"/>
        <v>1441575</v>
      </c>
      <c r="O43" s="5">
        <v>1495284</v>
      </c>
      <c r="P43" s="9">
        <f t="shared" ref="P43:U43" si="127">ROUND(O43+($V43-$O43)/7, 0)</f>
        <v>1507653</v>
      </c>
      <c r="Q43" s="9">
        <f t="shared" si="127"/>
        <v>1520022</v>
      </c>
      <c r="R43" s="9">
        <f t="shared" si="127"/>
        <v>1532391</v>
      </c>
      <c r="S43" s="9">
        <f t="shared" si="127"/>
        <v>1544760</v>
      </c>
      <c r="T43" s="9">
        <f t="shared" si="127"/>
        <v>1557129</v>
      </c>
      <c r="U43" s="9">
        <f t="shared" si="127"/>
        <v>1569498</v>
      </c>
      <c r="V43" s="5">
        <v>1581867</v>
      </c>
      <c r="W43" s="9">
        <f t="shared" ref="W43:X43" si="128">ROUND(V43+($Y43-$V43)/3, 0)</f>
        <v>1591382</v>
      </c>
      <c r="X43" s="9">
        <f t="shared" si="128"/>
        <v>1600897</v>
      </c>
      <c r="Y43" s="5">
        <v>1610413</v>
      </c>
      <c r="Z43" s="10">
        <f t="shared" ref="Z43:AI43" si="129">ROUND(Y43+($AJ43-$Y43)/11, 0)</f>
        <v>1613873</v>
      </c>
      <c r="AA43" s="10">
        <f t="shared" si="129"/>
        <v>1617333</v>
      </c>
      <c r="AB43" s="10">
        <f t="shared" si="129"/>
        <v>1620793</v>
      </c>
      <c r="AC43" s="10">
        <f t="shared" si="129"/>
        <v>1624253</v>
      </c>
      <c r="AD43" s="10">
        <f t="shared" si="129"/>
        <v>1627713</v>
      </c>
      <c r="AE43" s="10">
        <f t="shared" si="129"/>
        <v>1631173</v>
      </c>
      <c r="AF43" s="10">
        <f t="shared" si="129"/>
        <v>1634633</v>
      </c>
      <c r="AG43" s="10">
        <f t="shared" si="129"/>
        <v>1638093</v>
      </c>
      <c r="AH43" s="10">
        <f t="shared" si="129"/>
        <v>1641553</v>
      </c>
      <c r="AI43" s="10">
        <f t="shared" si="129"/>
        <v>1645013</v>
      </c>
      <c r="AJ43" s="5">
        <v>1648473</v>
      </c>
    </row>
    <row r="44" spans="1:36" x14ac:dyDescent="0.25">
      <c r="A44" s="1" t="s">
        <v>113</v>
      </c>
      <c r="B44" s="1" t="s">
        <v>118</v>
      </c>
      <c r="C44" s="1" t="s">
        <v>119</v>
      </c>
      <c r="D44" s="5">
        <v>345826</v>
      </c>
      <c r="E44" s="5">
        <v>370981</v>
      </c>
      <c r="F44" s="5">
        <v>477285</v>
      </c>
      <c r="G44" s="5">
        <v>528250</v>
      </c>
      <c r="H44" s="5">
        <v>593384</v>
      </c>
      <c r="I44" s="8">
        <f t="shared" si="3"/>
        <v>598780</v>
      </c>
      <c r="J44" s="5">
        <v>604176</v>
      </c>
      <c r="K44" s="8">
        <f t="shared" si="4"/>
        <v>621353</v>
      </c>
      <c r="L44" s="8">
        <f t="shared" si="5"/>
        <v>638530</v>
      </c>
      <c r="M44" s="5">
        <v>659142</v>
      </c>
      <c r="N44" s="8">
        <f t="shared" si="99"/>
        <v>669496</v>
      </c>
      <c r="O44" s="5">
        <v>679850</v>
      </c>
      <c r="P44" s="9">
        <f t="shared" ref="P44:U44" si="130">ROUND(O44+($V44-$O44)/7, 0)</f>
        <v>681998</v>
      </c>
      <c r="Q44" s="9">
        <f t="shared" si="130"/>
        <v>684146</v>
      </c>
      <c r="R44" s="9">
        <f t="shared" si="130"/>
        <v>686294</v>
      </c>
      <c r="S44" s="9">
        <f t="shared" si="130"/>
        <v>688442</v>
      </c>
      <c r="T44" s="9">
        <f t="shared" si="130"/>
        <v>690590</v>
      </c>
      <c r="U44" s="9">
        <f t="shared" si="130"/>
        <v>692738</v>
      </c>
      <c r="V44" s="5">
        <v>694888</v>
      </c>
      <c r="W44" s="9">
        <f t="shared" ref="W44:X44" si="131">ROUND(V44+($Y44-$V44)/3, 0)</f>
        <v>696396</v>
      </c>
      <c r="X44" s="9">
        <f t="shared" si="131"/>
        <v>697904</v>
      </c>
      <c r="Y44" s="5">
        <v>699413</v>
      </c>
      <c r="Z44" s="10">
        <f t="shared" ref="Z44:AI44" si="132">ROUND(Y44+($AJ44-$Y44)/11, 0)</f>
        <v>696583</v>
      </c>
      <c r="AA44" s="10">
        <f t="shared" si="132"/>
        <v>693753</v>
      </c>
      <c r="AB44" s="10">
        <f t="shared" si="132"/>
        <v>690923</v>
      </c>
      <c r="AC44" s="10">
        <f t="shared" si="132"/>
        <v>688093</v>
      </c>
      <c r="AD44" s="10">
        <f t="shared" si="132"/>
        <v>685263</v>
      </c>
      <c r="AE44" s="10">
        <f t="shared" si="132"/>
        <v>682433</v>
      </c>
      <c r="AF44" s="10">
        <f t="shared" si="132"/>
        <v>679603</v>
      </c>
      <c r="AG44" s="10">
        <f t="shared" si="132"/>
        <v>676773</v>
      </c>
      <c r="AH44" s="10">
        <f t="shared" si="132"/>
        <v>673943</v>
      </c>
      <c r="AI44" s="10">
        <f t="shared" si="132"/>
        <v>671113</v>
      </c>
      <c r="AJ44" s="5">
        <v>668279</v>
      </c>
    </row>
    <row r="45" spans="1:36" x14ac:dyDescent="0.25">
      <c r="A45" s="1" t="s">
        <v>113</v>
      </c>
      <c r="B45" s="1" t="s">
        <v>120</v>
      </c>
      <c r="C45" s="1" t="s">
        <v>121</v>
      </c>
      <c r="D45" s="5">
        <v>163199</v>
      </c>
      <c r="E45" s="5">
        <v>237254</v>
      </c>
      <c r="F45" s="5">
        <v>307905</v>
      </c>
      <c r="G45" s="5">
        <v>615176</v>
      </c>
      <c r="H45" s="5">
        <v>438140</v>
      </c>
      <c r="I45" s="8">
        <f t="shared" si="3"/>
        <v>412956</v>
      </c>
      <c r="J45" s="5">
        <v>387772</v>
      </c>
      <c r="K45" s="8">
        <f t="shared" si="4"/>
        <v>385491</v>
      </c>
      <c r="L45" s="8">
        <f t="shared" si="5"/>
        <v>383210</v>
      </c>
      <c r="M45" s="5">
        <v>380472</v>
      </c>
      <c r="N45" s="8">
        <f t="shared" si="99"/>
        <v>381724</v>
      </c>
      <c r="O45" s="5">
        <v>382976</v>
      </c>
      <c r="P45" s="9">
        <f t="shared" ref="P45:U45" si="133">ROUND(O45+($V45-$O45)/7, 0)</f>
        <v>382075</v>
      </c>
      <c r="Q45" s="9">
        <f t="shared" si="133"/>
        <v>381174</v>
      </c>
      <c r="R45" s="9">
        <f t="shared" si="133"/>
        <v>380273</v>
      </c>
      <c r="S45" s="9">
        <f t="shared" si="133"/>
        <v>379372</v>
      </c>
      <c r="T45" s="9">
        <f t="shared" si="133"/>
        <v>378471</v>
      </c>
      <c r="U45" s="9">
        <f t="shared" si="133"/>
        <v>377570</v>
      </c>
      <c r="V45" s="5">
        <v>376667</v>
      </c>
      <c r="W45" s="9">
        <f t="shared" ref="W45:X45" si="134">ROUND(V45+($Y45-$V45)/3, 0)</f>
        <v>379582</v>
      </c>
      <c r="X45" s="9">
        <f t="shared" si="134"/>
        <v>382497</v>
      </c>
      <c r="Y45" s="5">
        <v>385413</v>
      </c>
      <c r="Z45" s="10">
        <f t="shared" ref="Z45:AI45" si="135">ROUND(Y45+($AJ45-$Y45)/11, 0)</f>
        <v>383748</v>
      </c>
      <c r="AA45" s="10">
        <f t="shared" si="135"/>
        <v>382083</v>
      </c>
      <c r="AB45" s="10">
        <f t="shared" si="135"/>
        <v>380418</v>
      </c>
      <c r="AC45" s="10">
        <f t="shared" si="135"/>
        <v>378753</v>
      </c>
      <c r="AD45" s="10">
        <f t="shared" si="135"/>
        <v>377088</v>
      </c>
      <c r="AE45" s="10">
        <f t="shared" si="135"/>
        <v>375423</v>
      </c>
      <c r="AF45" s="10">
        <f t="shared" si="135"/>
        <v>373758</v>
      </c>
      <c r="AG45" s="10">
        <f t="shared" si="135"/>
        <v>372093</v>
      </c>
      <c r="AH45" s="10">
        <f t="shared" si="135"/>
        <v>370428</v>
      </c>
      <c r="AI45" s="10">
        <f t="shared" si="135"/>
        <v>368763</v>
      </c>
      <c r="AJ45" s="5">
        <v>367097</v>
      </c>
    </row>
    <row r="46" spans="1:36" x14ac:dyDescent="0.25">
      <c r="A46" s="1" t="s">
        <v>113</v>
      </c>
      <c r="B46" s="1" t="s">
        <v>122</v>
      </c>
      <c r="C46" s="1" t="s">
        <v>123</v>
      </c>
      <c r="D46" s="5">
        <v>488598</v>
      </c>
      <c r="E46" s="5">
        <v>617004</v>
      </c>
      <c r="F46" s="5">
        <v>716977</v>
      </c>
      <c r="G46" s="5">
        <v>918444</v>
      </c>
      <c r="H46" s="5">
        <v>1095164</v>
      </c>
      <c r="I46" s="8">
        <f t="shared" si="3"/>
        <v>1216235</v>
      </c>
      <c r="J46" s="5">
        <v>1337305</v>
      </c>
      <c r="K46" s="8">
        <f t="shared" si="4"/>
        <v>1461768</v>
      </c>
      <c r="L46" s="8">
        <f t="shared" si="5"/>
        <v>1586231</v>
      </c>
      <c r="M46" s="5">
        <v>1735587</v>
      </c>
      <c r="N46" s="8">
        <f t="shared" si="99"/>
        <v>1803412</v>
      </c>
      <c r="O46" s="5">
        <v>1871237</v>
      </c>
      <c r="P46" s="9">
        <f t="shared" ref="P46:U46" si="136">ROUND(O46+($V46-$O46)/7, 0)</f>
        <v>1902793</v>
      </c>
      <c r="Q46" s="9">
        <f t="shared" si="136"/>
        <v>1934349</v>
      </c>
      <c r="R46" s="9">
        <f t="shared" si="136"/>
        <v>1965905</v>
      </c>
      <c r="S46" s="9">
        <f t="shared" si="136"/>
        <v>1997461</v>
      </c>
      <c r="T46" s="9">
        <f t="shared" si="136"/>
        <v>2029017</v>
      </c>
      <c r="U46" s="9">
        <f t="shared" si="136"/>
        <v>2060573</v>
      </c>
      <c r="V46" s="5">
        <v>2092131</v>
      </c>
      <c r="W46" s="9">
        <f t="shared" ref="W46:X46" si="137">ROUND(V46+($Y46-$V46)/3, 0)</f>
        <v>2109581</v>
      </c>
      <c r="X46" s="9">
        <f t="shared" si="137"/>
        <v>2127031</v>
      </c>
      <c r="Y46" s="5">
        <v>2144482</v>
      </c>
      <c r="Z46" s="10">
        <f t="shared" ref="Z46:AI46" si="138">ROUND(Y46+($AJ46-$Y46)/11, 0)</f>
        <v>2168569</v>
      </c>
      <c r="AA46" s="10">
        <f t="shared" si="138"/>
        <v>2192656</v>
      </c>
      <c r="AB46" s="10">
        <f t="shared" si="138"/>
        <v>2216743</v>
      </c>
      <c r="AC46" s="10">
        <f t="shared" si="138"/>
        <v>2240830</v>
      </c>
      <c r="AD46" s="10">
        <f t="shared" si="138"/>
        <v>2264917</v>
      </c>
      <c r="AE46" s="10">
        <f t="shared" si="138"/>
        <v>2289004</v>
      </c>
      <c r="AF46" s="10">
        <f t="shared" si="138"/>
        <v>2313091</v>
      </c>
      <c r="AG46" s="10">
        <f t="shared" si="138"/>
        <v>2337178</v>
      </c>
      <c r="AH46" s="10">
        <f t="shared" si="138"/>
        <v>2361265</v>
      </c>
      <c r="AI46" s="10">
        <f t="shared" si="138"/>
        <v>2385352</v>
      </c>
      <c r="AJ46" s="5">
        <v>2409442</v>
      </c>
    </row>
    <row r="47" spans="1:36" x14ac:dyDescent="0.25">
      <c r="A47" s="1" t="s">
        <v>113</v>
      </c>
      <c r="B47" s="1" t="s">
        <v>124</v>
      </c>
      <c r="C47" s="1" t="s">
        <v>125</v>
      </c>
      <c r="D47" s="5">
        <v>180883</v>
      </c>
      <c r="E47" s="5">
        <v>211958</v>
      </c>
      <c r="F47" s="5">
        <v>230254</v>
      </c>
      <c r="G47" s="5">
        <v>276118</v>
      </c>
      <c r="H47" s="5">
        <v>306922</v>
      </c>
      <c r="I47" s="8">
        <f t="shared" si="3"/>
        <v>309795</v>
      </c>
      <c r="J47" s="5">
        <v>312667</v>
      </c>
      <c r="K47" s="8">
        <f t="shared" si="4"/>
        <v>329068</v>
      </c>
      <c r="L47" s="8">
        <f t="shared" si="5"/>
        <v>345469</v>
      </c>
      <c r="M47" s="5">
        <v>365150</v>
      </c>
      <c r="N47" s="8">
        <f t="shared" si="99"/>
        <v>373376</v>
      </c>
      <c r="O47" s="5">
        <v>381602</v>
      </c>
      <c r="P47" s="9">
        <f t="shared" ref="P47:U47" si="139">ROUND(O47+($V47-$O47)/7, 0)</f>
        <v>383870</v>
      </c>
      <c r="Q47" s="9">
        <f t="shared" si="139"/>
        <v>386138</v>
      </c>
      <c r="R47" s="9">
        <f t="shared" si="139"/>
        <v>388406</v>
      </c>
      <c r="S47" s="9">
        <f t="shared" si="139"/>
        <v>390674</v>
      </c>
      <c r="T47" s="9">
        <f t="shared" si="139"/>
        <v>392942</v>
      </c>
      <c r="U47" s="9">
        <f t="shared" si="139"/>
        <v>395210</v>
      </c>
      <c r="V47" s="5">
        <v>397475</v>
      </c>
      <c r="W47" s="9">
        <f t="shared" ref="W47:X47" si="140">ROUND(V47+($Y47-$V47)/3, 0)</f>
        <v>402554</v>
      </c>
      <c r="X47" s="9">
        <f t="shared" si="140"/>
        <v>407633</v>
      </c>
      <c r="Y47" s="5">
        <v>412712</v>
      </c>
      <c r="Z47" s="10">
        <f t="shared" ref="Z47:AI47" si="141">ROUND(Y47+($AJ47-$Y47)/11, 0)</f>
        <v>414476</v>
      </c>
      <c r="AA47" s="10">
        <f t="shared" si="141"/>
        <v>416240</v>
      </c>
      <c r="AB47" s="10">
        <f t="shared" si="141"/>
        <v>418004</v>
      </c>
      <c r="AC47" s="10">
        <f t="shared" si="141"/>
        <v>419768</v>
      </c>
      <c r="AD47" s="10">
        <f t="shared" si="141"/>
        <v>421532</v>
      </c>
      <c r="AE47" s="10">
        <f t="shared" si="141"/>
        <v>423296</v>
      </c>
      <c r="AF47" s="10">
        <f t="shared" si="141"/>
        <v>425060</v>
      </c>
      <c r="AG47" s="10">
        <f t="shared" si="141"/>
        <v>426824</v>
      </c>
      <c r="AH47" s="10">
        <f t="shared" si="141"/>
        <v>428588</v>
      </c>
      <c r="AI47" s="10">
        <f t="shared" si="141"/>
        <v>430352</v>
      </c>
      <c r="AJ47" s="5">
        <v>432115</v>
      </c>
    </row>
    <row r="48" spans="1:36" x14ac:dyDescent="0.25">
      <c r="A48" s="1" t="s">
        <v>113</v>
      </c>
      <c r="B48" s="1" t="s">
        <v>126</v>
      </c>
      <c r="C48" s="1" t="s">
        <v>127</v>
      </c>
      <c r="D48" s="5">
        <v>772168</v>
      </c>
      <c r="E48" s="5">
        <v>971144</v>
      </c>
      <c r="F48" s="5">
        <v>1179107</v>
      </c>
      <c r="G48" s="5">
        <v>1683037</v>
      </c>
      <c r="H48" s="5">
        <v>2527677</v>
      </c>
      <c r="I48" s="8">
        <f t="shared" si="3"/>
        <v>3063073</v>
      </c>
      <c r="J48" s="5">
        <v>3598468</v>
      </c>
      <c r="K48" s="8">
        <f t="shared" si="4"/>
        <v>4055589</v>
      </c>
      <c r="L48" s="8">
        <f t="shared" si="5"/>
        <v>4512710</v>
      </c>
      <c r="M48" s="5">
        <v>5061255</v>
      </c>
      <c r="N48" s="8">
        <f t="shared" si="99"/>
        <v>5324778</v>
      </c>
      <c r="O48" s="5">
        <v>5588300</v>
      </c>
      <c r="P48" s="9">
        <f t="shared" ref="P48:U48" si="142">ROUND(O48+($V48-$O48)/7, 0)</f>
        <v>5684196</v>
      </c>
      <c r="Q48" s="9">
        <f t="shared" si="142"/>
        <v>5780092</v>
      </c>
      <c r="R48" s="9">
        <f t="shared" si="142"/>
        <v>5875988</v>
      </c>
      <c r="S48" s="9">
        <f t="shared" si="142"/>
        <v>5971884</v>
      </c>
      <c r="T48" s="9">
        <f t="shared" si="142"/>
        <v>6067780</v>
      </c>
      <c r="U48" s="9">
        <f t="shared" si="142"/>
        <v>6163676</v>
      </c>
      <c r="V48" s="5">
        <v>6259573</v>
      </c>
      <c r="W48" s="9">
        <f t="shared" ref="W48:X48" si="143">ROUND(V48+($Y48-$V48)/3, 0)</f>
        <v>6251754</v>
      </c>
      <c r="X48" s="9">
        <f t="shared" si="143"/>
        <v>6243935</v>
      </c>
      <c r="Y48" s="5">
        <v>6236117</v>
      </c>
      <c r="Z48" s="10">
        <f t="shared" ref="Z48:AI48" si="144">ROUND(Y48+($AJ48-$Y48)/11, 0)</f>
        <v>6267431</v>
      </c>
      <c r="AA48" s="10">
        <f t="shared" si="144"/>
        <v>6298745</v>
      </c>
      <c r="AB48" s="10">
        <f t="shared" si="144"/>
        <v>6330059</v>
      </c>
      <c r="AC48" s="10">
        <f t="shared" si="144"/>
        <v>6361373</v>
      </c>
      <c r="AD48" s="10">
        <f t="shared" si="144"/>
        <v>6392687</v>
      </c>
      <c r="AE48" s="10">
        <f t="shared" si="144"/>
        <v>6424001</v>
      </c>
      <c r="AF48" s="10">
        <f t="shared" si="144"/>
        <v>6455315</v>
      </c>
      <c r="AG48" s="10">
        <f t="shared" si="144"/>
        <v>6486629</v>
      </c>
      <c r="AH48" s="10">
        <f t="shared" si="144"/>
        <v>6517943</v>
      </c>
      <c r="AI48" s="10">
        <f t="shared" si="144"/>
        <v>6549257</v>
      </c>
      <c r="AJ48" s="5">
        <v>6580569</v>
      </c>
    </row>
    <row r="49" spans="1:36" x14ac:dyDescent="0.25">
      <c r="A49" s="1" t="s">
        <v>113</v>
      </c>
      <c r="B49" s="1" t="s">
        <v>128</v>
      </c>
      <c r="C49" s="1" t="s">
        <v>129</v>
      </c>
      <c r="D49" s="5">
        <v>436509</v>
      </c>
      <c r="E49" s="5">
        <v>678944</v>
      </c>
      <c r="F49" s="5">
        <v>879906</v>
      </c>
      <c r="G49" s="5">
        <v>1212429</v>
      </c>
      <c r="H49" s="5">
        <v>1372429</v>
      </c>
      <c r="I49" s="8">
        <f t="shared" si="3"/>
        <v>1383346</v>
      </c>
      <c r="J49" s="5">
        <v>1394262</v>
      </c>
      <c r="K49" s="8">
        <f t="shared" si="4"/>
        <v>1419447</v>
      </c>
      <c r="L49" s="8">
        <f t="shared" si="5"/>
        <v>1444631</v>
      </c>
      <c r="M49" s="5">
        <v>1474853</v>
      </c>
      <c r="N49" s="8">
        <f t="shared" si="99"/>
        <v>1505016</v>
      </c>
      <c r="O49" s="5">
        <v>1535178</v>
      </c>
      <c r="P49" s="9">
        <f t="shared" ref="P49:U49" si="145">ROUND(O49+($V49-$O49)/7, 0)</f>
        <v>1543209</v>
      </c>
      <c r="Q49" s="9">
        <f t="shared" si="145"/>
        <v>1551240</v>
      </c>
      <c r="R49" s="9">
        <f t="shared" si="145"/>
        <v>1559271</v>
      </c>
      <c r="S49" s="9">
        <f t="shared" si="145"/>
        <v>1567302</v>
      </c>
      <c r="T49" s="9">
        <f t="shared" si="145"/>
        <v>1575333</v>
      </c>
      <c r="U49" s="9">
        <f t="shared" si="145"/>
        <v>1583364</v>
      </c>
      <c r="V49" s="5">
        <v>1591392</v>
      </c>
      <c r="W49" s="9">
        <f t="shared" ref="W49:X49" si="146">ROUND(V49+($Y49-$V49)/3, 0)</f>
        <v>1601259</v>
      </c>
      <c r="X49" s="9">
        <f t="shared" si="146"/>
        <v>1611126</v>
      </c>
      <c r="Y49" s="5">
        <v>1620993</v>
      </c>
      <c r="Z49" s="10">
        <f t="shared" ref="Z49:AI49" si="147">ROUND(Y49+($AJ49-$Y49)/11, 0)</f>
        <v>1619067</v>
      </c>
      <c r="AA49" s="10">
        <f t="shared" si="147"/>
        <v>1617141</v>
      </c>
      <c r="AB49" s="10">
        <f t="shared" si="147"/>
        <v>1615215</v>
      </c>
      <c r="AC49" s="10">
        <f t="shared" si="147"/>
        <v>1613289</v>
      </c>
      <c r="AD49" s="10">
        <f t="shared" si="147"/>
        <v>1611363</v>
      </c>
      <c r="AE49" s="10">
        <f t="shared" si="147"/>
        <v>1609437</v>
      </c>
      <c r="AF49" s="10">
        <f t="shared" si="147"/>
        <v>1607511</v>
      </c>
      <c r="AG49" s="10">
        <f t="shared" si="147"/>
        <v>1605585</v>
      </c>
      <c r="AH49" s="10">
        <f t="shared" si="147"/>
        <v>1603659</v>
      </c>
      <c r="AI49" s="10">
        <f t="shared" si="147"/>
        <v>1601733</v>
      </c>
      <c r="AJ49" s="5">
        <v>1599803</v>
      </c>
    </row>
    <row r="50" spans="1:36" x14ac:dyDescent="0.25">
      <c r="A50" s="1" t="s">
        <v>113</v>
      </c>
      <c r="B50" s="1" t="s">
        <v>130</v>
      </c>
      <c r="C50" s="1" t="s">
        <v>131</v>
      </c>
      <c r="D50" s="5">
        <v>330551</v>
      </c>
      <c r="E50" s="5">
        <v>373865</v>
      </c>
      <c r="F50" s="5">
        <v>416038</v>
      </c>
      <c r="G50" s="5">
        <v>490871</v>
      </c>
      <c r="H50" s="5">
        <v>537891</v>
      </c>
      <c r="I50" s="8">
        <f t="shared" si="3"/>
        <v>578419</v>
      </c>
      <c r="J50" s="5">
        <v>618946</v>
      </c>
      <c r="K50" s="8">
        <f t="shared" si="4"/>
        <v>671655</v>
      </c>
      <c r="L50" s="8">
        <f t="shared" si="5"/>
        <v>724364</v>
      </c>
      <c r="M50" s="5">
        <v>787614</v>
      </c>
      <c r="N50" s="8">
        <f t="shared" si="99"/>
        <v>813363</v>
      </c>
      <c r="O50" s="5">
        <v>839112</v>
      </c>
      <c r="P50" s="9">
        <f t="shared" ref="P50:U50" si="148">ROUND(O50+($V50-$O50)/7, 0)</f>
        <v>850439</v>
      </c>
      <c r="Q50" s="9">
        <f t="shared" si="148"/>
        <v>861766</v>
      </c>
      <c r="R50" s="9">
        <f t="shared" si="148"/>
        <v>873093</v>
      </c>
      <c r="S50" s="9">
        <f t="shared" si="148"/>
        <v>884420</v>
      </c>
      <c r="T50" s="9">
        <f t="shared" si="148"/>
        <v>895747</v>
      </c>
      <c r="U50" s="9">
        <f t="shared" si="148"/>
        <v>907074</v>
      </c>
      <c r="V50" s="5">
        <v>918398</v>
      </c>
      <c r="W50" s="9">
        <f t="shared" ref="W50:X50" si="149">ROUND(V50+($Y50-$V50)/3, 0)</f>
        <v>930609</v>
      </c>
      <c r="X50" s="9">
        <f t="shared" si="149"/>
        <v>942820</v>
      </c>
      <c r="Y50" s="5">
        <v>955030</v>
      </c>
      <c r="Z50" s="10">
        <f t="shared" ref="Z50:AI50" si="150">ROUND(Y50+($AJ50-$Y50)/11, 0)</f>
        <v>963759</v>
      </c>
      <c r="AA50" s="10">
        <f t="shared" si="150"/>
        <v>972488</v>
      </c>
      <c r="AB50" s="10">
        <f t="shared" si="150"/>
        <v>981217</v>
      </c>
      <c r="AC50" s="10">
        <f t="shared" si="150"/>
        <v>989946</v>
      </c>
      <c r="AD50" s="10">
        <f t="shared" si="150"/>
        <v>998675</v>
      </c>
      <c r="AE50" s="10">
        <f t="shared" si="150"/>
        <v>1007404</v>
      </c>
      <c r="AF50" s="10">
        <f t="shared" si="150"/>
        <v>1016133</v>
      </c>
      <c r="AG50" s="10">
        <f t="shared" si="150"/>
        <v>1024862</v>
      </c>
      <c r="AH50" s="10">
        <f t="shared" si="150"/>
        <v>1033591</v>
      </c>
      <c r="AI50" s="10">
        <f t="shared" si="150"/>
        <v>1042320</v>
      </c>
      <c r="AJ50" s="5">
        <v>1051053</v>
      </c>
    </row>
    <row r="51" spans="1:36" x14ac:dyDescent="0.25">
      <c r="A51" s="1" t="s">
        <v>113</v>
      </c>
      <c r="B51" s="1" t="s">
        <v>132</v>
      </c>
      <c r="C51" s="1" t="s">
        <v>133</v>
      </c>
      <c r="D51" s="5">
        <v>1156231</v>
      </c>
      <c r="E51" s="5">
        <v>1211782</v>
      </c>
      <c r="F51" s="5">
        <v>1256103</v>
      </c>
      <c r="G51" s="5">
        <v>1391254</v>
      </c>
      <c r="H51" s="5">
        <v>1458498</v>
      </c>
      <c r="I51" s="8">
        <f t="shared" si="3"/>
        <v>1563075</v>
      </c>
      <c r="J51" s="5">
        <v>1667651</v>
      </c>
      <c r="K51" s="8">
        <f t="shared" si="4"/>
        <v>1800897</v>
      </c>
      <c r="L51" s="8">
        <f t="shared" si="5"/>
        <v>1934144</v>
      </c>
      <c r="M51" s="5">
        <v>2094039</v>
      </c>
      <c r="N51" s="8">
        <f t="shared" si="99"/>
        <v>2172834</v>
      </c>
      <c r="O51" s="5">
        <v>2251628</v>
      </c>
      <c r="P51" s="9">
        <f t="shared" ref="P51:U51" si="151">ROUND(O51+($V51-$O51)/7, 0)</f>
        <v>2265121</v>
      </c>
      <c r="Q51" s="9">
        <f t="shared" si="151"/>
        <v>2278614</v>
      </c>
      <c r="R51" s="9">
        <f t="shared" si="151"/>
        <v>2292107</v>
      </c>
      <c r="S51" s="9">
        <f t="shared" si="151"/>
        <v>2305600</v>
      </c>
      <c r="T51" s="9">
        <f t="shared" si="151"/>
        <v>2319093</v>
      </c>
      <c r="U51" s="9">
        <f t="shared" si="151"/>
        <v>2332586</v>
      </c>
      <c r="V51" s="5">
        <v>2346077</v>
      </c>
      <c r="W51" s="9">
        <f t="shared" ref="W51:X51" si="152">ROUND(V51+($Y51-$V51)/3, 0)</f>
        <v>2376922</v>
      </c>
      <c r="X51" s="9">
        <f t="shared" si="152"/>
        <v>2407767</v>
      </c>
      <c r="Y51" s="5">
        <v>2438611</v>
      </c>
      <c r="Z51" s="10">
        <f t="shared" ref="Z51:AI51" si="153">ROUND(Y51+($AJ51-$Y51)/11, 0)</f>
        <v>2452565</v>
      </c>
      <c r="AA51" s="10">
        <f t="shared" si="153"/>
        <v>2466519</v>
      </c>
      <c r="AB51" s="10">
        <f t="shared" si="153"/>
        <v>2480473</v>
      </c>
      <c r="AC51" s="10">
        <f t="shared" si="153"/>
        <v>2494427</v>
      </c>
      <c r="AD51" s="10">
        <f t="shared" si="153"/>
        <v>2508381</v>
      </c>
      <c r="AE51" s="10">
        <f t="shared" si="153"/>
        <v>2522335</v>
      </c>
      <c r="AF51" s="10">
        <f t="shared" si="153"/>
        <v>2536289</v>
      </c>
      <c r="AG51" s="10">
        <f t="shared" si="153"/>
        <v>2550243</v>
      </c>
      <c r="AH51" s="10">
        <f t="shared" si="153"/>
        <v>2564197</v>
      </c>
      <c r="AI51" s="10">
        <f t="shared" si="153"/>
        <v>2578151</v>
      </c>
      <c r="AJ51" s="5">
        <v>2592107</v>
      </c>
    </row>
    <row r="52" spans="1:36" x14ac:dyDescent="0.25">
      <c r="A52" s="1" t="s">
        <v>113</v>
      </c>
      <c r="B52" s="1" t="s">
        <v>134</v>
      </c>
      <c r="C52" s="1" t="s">
        <v>135</v>
      </c>
      <c r="D52" s="5">
        <v>218067</v>
      </c>
      <c r="E52" s="5">
        <v>230450</v>
      </c>
      <c r="F52" s="5">
        <v>259873</v>
      </c>
      <c r="G52" s="5">
        <v>322958</v>
      </c>
      <c r="H52" s="5">
        <v>368266</v>
      </c>
      <c r="I52" s="8">
        <f t="shared" si="3"/>
        <v>391059</v>
      </c>
      <c r="J52" s="5">
        <v>413851</v>
      </c>
      <c r="K52" s="8">
        <f t="shared" si="4"/>
        <v>437776</v>
      </c>
      <c r="L52" s="8">
        <f t="shared" si="5"/>
        <v>461700</v>
      </c>
      <c r="M52" s="5">
        <v>490410</v>
      </c>
      <c r="N52" s="8">
        <f t="shared" si="99"/>
        <v>501183</v>
      </c>
      <c r="O52" s="5">
        <v>511956</v>
      </c>
      <c r="P52" s="9">
        <f t="shared" ref="P52:U52" si="154">ROUND(O52+($V52-$O52)/7, 0)</f>
        <v>515670</v>
      </c>
      <c r="Q52" s="9">
        <f t="shared" si="154"/>
        <v>519384</v>
      </c>
      <c r="R52" s="9">
        <f t="shared" si="154"/>
        <v>523098</v>
      </c>
      <c r="S52" s="9">
        <f t="shared" si="154"/>
        <v>526812</v>
      </c>
      <c r="T52" s="9">
        <f t="shared" si="154"/>
        <v>530526</v>
      </c>
      <c r="U52" s="9">
        <f t="shared" si="154"/>
        <v>534240</v>
      </c>
      <c r="V52" s="5">
        <v>537952</v>
      </c>
      <c r="W52" s="9">
        <f t="shared" ref="W52:X52" si="155">ROUND(V52+($Y52-$V52)/3, 0)</f>
        <v>543419</v>
      </c>
      <c r="X52" s="9">
        <f t="shared" si="155"/>
        <v>548886</v>
      </c>
      <c r="Y52" s="5">
        <v>554354</v>
      </c>
      <c r="Z52" s="10">
        <f t="shared" ref="Z52:AI52" si="156">ROUND(Y52+($AJ52-$Y52)/11, 0)</f>
        <v>556528</v>
      </c>
      <c r="AA52" s="10">
        <f t="shared" si="156"/>
        <v>558702</v>
      </c>
      <c r="AB52" s="10">
        <f t="shared" si="156"/>
        <v>560876</v>
      </c>
      <c r="AC52" s="10">
        <f t="shared" si="156"/>
        <v>563050</v>
      </c>
      <c r="AD52" s="10">
        <f t="shared" si="156"/>
        <v>565224</v>
      </c>
      <c r="AE52" s="10">
        <f t="shared" si="156"/>
        <v>567398</v>
      </c>
      <c r="AF52" s="10">
        <f t="shared" si="156"/>
        <v>569572</v>
      </c>
      <c r="AG52" s="10">
        <f t="shared" si="156"/>
        <v>571746</v>
      </c>
      <c r="AH52" s="10">
        <f t="shared" si="156"/>
        <v>573920</v>
      </c>
      <c r="AI52" s="10">
        <f t="shared" si="156"/>
        <v>576094</v>
      </c>
      <c r="AJ52" s="5">
        <v>578269</v>
      </c>
    </row>
    <row r="53" spans="1:36" x14ac:dyDescent="0.25">
      <c r="A53" s="1" t="s">
        <v>113</v>
      </c>
      <c r="B53" s="1" t="s">
        <v>136</v>
      </c>
      <c r="C53" s="1" t="s">
        <v>137</v>
      </c>
      <c r="D53" s="5">
        <v>1238410</v>
      </c>
      <c r="E53" s="5">
        <v>1273204</v>
      </c>
      <c r="F53" s="5">
        <v>1329414</v>
      </c>
      <c r="G53" s="5">
        <v>1543513</v>
      </c>
      <c r="H53" s="5">
        <v>1574464</v>
      </c>
      <c r="I53" s="8">
        <f t="shared" si="3"/>
        <v>1606715</v>
      </c>
      <c r="J53" s="5">
        <v>1638966</v>
      </c>
      <c r="K53" s="8">
        <f t="shared" si="4"/>
        <v>1727429</v>
      </c>
      <c r="L53" s="8">
        <f t="shared" si="5"/>
        <v>1815892</v>
      </c>
      <c r="M53" s="5">
        <v>1922047</v>
      </c>
      <c r="N53" s="8">
        <f t="shared" si="99"/>
        <v>1977763</v>
      </c>
      <c r="O53" s="5">
        <v>2033478</v>
      </c>
      <c r="P53" s="9">
        <f t="shared" ref="P53:U53" si="157">ROUND(O53+($V53-$O53)/7, 0)</f>
        <v>2046781</v>
      </c>
      <c r="Q53" s="9">
        <f t="shared" si="157"/>
        <v>2060084</v>
      </c>
      <c r="R53" s="9">
        <f t="shared" si="157"/>
        <v>2073387</v>
      </c>
      <c r="S53" s="9">
        <f t="shared" si="157"/>
        <v>2086690</v>
      </c>
      <c r="T53" s="9">
        <f t="shared" si="157"/>
        <v>2099993</v>
      </c>
      <c r="U53" s="9">
        <f t="shared" si="157"/>
        <v>2113296</v>
      </c>
      <c r="V53" s="5">
        <v>2126597</v>
      </c>
      <c r="W53" s="9">
        <f t="shared" ref="W53:X53" si="158">ROUND(V53+($Y53-$V53)/3, 0)</f>
        <v>2142189</v>
      </c>
      <c r="X53" s="9">
        <f t="shared" si="158"/>
        <v>2157781</v>
      </c>
      <c r="Y53" s="5">
        <v>2173374</v>
      </c>
      <c r="Z53" s="10">
        <f t="shared" ref="Z53:AI53" si="159">ROUND(Y53+($AJ53-$Y53)/11, 0)</f>
        <v>2177903</v>
      </c>
      <c r="AA53" s="10">
        <f t="shared" si="159"/>
        <v>2182432</v>
      </c>
      <c r="AB53" s="10">
        <f t="shared" si="159"/>
        <v>2186961</v>
      </c>
      <c r="AC53" s="10">
        <f t="shared" si="159"/>
        <v>2191490</v>
      </c>
      <c r="AD53" s="10">
        <f t="shared" si="159"/>
        <v>2196019</v>
      </c>
      <c r="AE53" s="10">
        <f t="shared" si="159"/>
        <v>2200548</v>
      </c>
      <c r="AF53" s="10">
        <f t="shared" si="159"/>
        <v>2205077</v>
      </c>
      <c r="AG53" s="10">
        <f t="shared" si="159"/>
        <v>2209606</v>
      </c>
      <c r="AH53" s="10">
        <f t="shared" si="159"/>
        <v>2214135</v>
      </c>
      <c r="AI53" s="10">
        <f t="shared" si="159"/>
        <v>2218664</v>
      </c>
      <c r="AJ53" s="5">
        <v>2223191</v>
      </c>
    </row>
    <row r="54" spans="1:36" x14ac:dyDescent="0.25">
      <c r="A54" s="1" t="s">
        <v>138</v>
      </c>
      <c r="B54" s="1" t="s">
        <v>139</v>
      </c>
      <c r="C54" s="1" t="s">
        <v>140</v>
      </c>
      <c r="D54" s="5">
        <v>39778</v>
      </c>
      <c r="E54" s="5">
        <v>68277</v>
      </c>
      <c r="F54" s="5">
        <v>75847</v>
      </c>
      <c r="G54" s="5">
        <v>117495</v>
      </c>
      <c r="H54" s="5">
        <v>163994</v>
      </c>
      <c r="I54" s="8">
        <f t="shared" si="3"/>
        <v>173076</v>
      </c>
      <c r="J54" s="5">
        <v>182157</v>
      </c>
      <c r="K54" s="8">
        <f t="shared" si="4"/>
        <v>189091</v>
      </c>
      <c r="L54" s="8">
        <f t="shared" si="5"/>
        <v>196025</v>
      </c>
      <c r="M54" s="5">
        <v>204345</v>
      </c>
      <c r="N54" s="8">
        <f t="shared" si="99"/>
        <v>213467</v>
      </c>
      <c r="O54" s="5">
        <v>222589</v>
      </c>
      <c r="P54" s="9">
        <f t="shared" ref="P54:U54" si="160">ROUND(O54+($V54-$O54)/7, 0)</f>
        <v>223610</v>
      </c>
      <c r="Q54" s="9">
        <f t="shared" si="160"/>
        <v>224631</v>
      </c>
      <c r="R54" s="9">
        <f t="shared" si="160"/>
        <v>225652</v>
      </c>
      <c r="S54" s="9">
        <f t="shared" si="160"/>
        <v>226673</v>
      </c>
      <c r="T54" s="9">
        <f t="shared" si="160"/>
        <v>227694</v>
      </c>
      <c r="U54" s="9">
        <f t="shared" si="160"/>
        <v>228715</v>
      </c>
      <c r="V54" s="5">
        <v>229739</v>
      </c>
      <c r="W54" s="9">
        <f t="shared" ref="W54:X54" si="161">ROUND(V54+($Y54-$V54)/3, 0)</f>
        <v>234526</v>
      </c>
      <c r="X54" s="9">
        <f t="shared" si="161"/>
        <v>239313</v>
      </c>
      <c r="Y54" s="5">
        <v>244099</v>
      </c>
      <c r="Z54" s="10">
        <f t="shared" ref="Z54:AI54" si="162">ROUND(Y54+($AJ54-$Y54)/11, 0)</f>
        <v>243563</v>
      </c>
      <c r="AA54" s="10">
        <f t="shared" si="162"/>
        <v>243027</v>
      </c>
      <c r="AB54" s="10">
        <f t="shared" si="162"/>
        <v>242491</v>
      </c>
      <c r="AC54" s="10">
        <f t="shared" si="162"/>
        <v>241955</v>
      </c>
      <c r="AD54" s="10">
        <f t="shared" si="162"/>
        <v>241419</v>
      </c>
      <c r="AE54" s="10">
        <f t="shared" si="162"/>
        <v>240883</v>
      </c>
      <c r="AF54" s="10">
        <f t="shared" si="162"/>
        <v>240347</v>
      </c>
      <c r="AG54" s="10">
        <f t="shared" si="162"/>
        <v>239811</v>
      </c>
      <c r="AH54" s="10">
        <f t="shared" si="162"/>
        <v>239275</v>
      </c>
      <c r="AI54" s="10">
        <f t="shared" si="162"/>
        <v>238739</v>
      </c>
      <c r="AJ54" s="5">
        <v>238202</v>
      </c>
    </row>
    <row r="55" spans="1:36" x14ac:dyDescent="0.25">
      <c r="A55" s="1" t="s">
        <v>138</v>
      </c>
      <c r="B55" s="1" t="s">
        <v>141</v>
      </c>
      <c r="C55" s="1" t="s">
        <v>142</v>
      </c>
      <c r="D55" s="5">
        <v>28259</v>
      </c>
      <c r="E55" s="5">
        <v>60832</v>
      </c>
      <c r="F55" s="5">
        <v>84148</v>
      </c>
      <c r="G55" s="5">
        <v>141545</v>
      </c>
      <c r="H55" s="5">
        <v>242389</v>
      </c>
      <c r="I55" s="8">
        <f t="shared" si="3"/>
        <v>329399</v>
      </c>
      <c r="J55" s="5">
        <v>416408</v>
      </c>
      <c r="K55" s="8">
        <f t="shared" si="4"/>
        <v>520571</v>
      </c>
      <c r="L55" s="8">
        <f t="shared" si="5"/>
        <v>624734</v>
      </c>
      <c r="M55" s="5">
        <v>749729</v>
      </c>
      <c r="N55" s="8">
        <f t="shared" si="99"/>
        <v>788860</v>
      </c>
      <c r="O55" s="5">
        <v>827990</v>
      </c>
      <c r="P55" s="9">
        <f t="shared" ref="P55:U55" si="163">ROUND(O55+($V55-$O55)/7, 0)</f>
        <v>840364</v>
      </c>
      <c r="Q55" s="9">
        <f t="shared" si="163"/>
        <v>852738</v>
      </c>
      <c r="R55" s="9">
        <f t="shared" si="163"/>
        <v>865112</v>
      </c>
      <c r="S55" s="9">
        <f t="shared" si="163"/>
        <v>877486</v>
      </c>
      <c r="T55" s="9">
        <f t="shared" si="163"/>
        <v>889860</v>
      </c>
      <c r="U55" s="9">
        <f t="shared" si="163"/>
        <v>902234</v>
      </c>
      <c r="V55" s="5">
        <v>914611</v>
      </c>
      <c r="W55" s="9">
        <f t="shared" ref="W55:X55" si="164">ROUND(V55+($Y55-$V55)/3, 0)</f>
        <v>940082</v>
      </c>
      <c r="X55" s="9">
        <f t="shared" si="164"/>
        <v>965553</v>
      </c>
      <c r="Y55" s="5">
        <v>991025</v>
      </c>
      <c r="Z55" s="10">
        <f t="shared" ref="Z55:AI55" si="165">ROUND(Y55+($AJ55-$Y55)/11, 0)</f>
        <v>1002517</v>
      </c>
      <c r="AA55" s="10">
        <f t="shared" si="165"/>
        <v>1014009</v>
      </c>
      <c r="AB55" s="10">
        <f t="shared" si="165"/>
        <v>1025501</v>
      </c>
      <c r="AC55" s="10">
        <f t="shared" si="165"/>
        <v>1036993</v>
      </c>
      <c r="AD55" s="10">
        <f t="shared" si="165"/>
        <v>1048485</v>
      </c>
      <c r="AE55" s="10">
        <f t="shared" si="165"/>
        <v>1059977</v>
      </c>
      <c r="AF55" s="10">
        <f t="shared" si="165"/>
        <v>1071469</v>
      </c>
      <c r="AG55" s="10">
        <f t="shared" si="165"/>
        <v>1082961</v>
      </c>
      <c r="AH55" s="10">
        <f t="shared" si="165"/>
        <v>1094453</v>
      </c>
      <c r="AI55" s="10">
        <f t="shared" si="165"/>
        <v>1105945</v>
      </c>
      <c r="AJ55" s="5">
        <v>1117436</v>
      </c>
    </row>
    <row r="56" spans="1:36" x14ac:dyDescent="0.25">
      <c r="A56" s="1" t="s">
        <v>138</v>
      </c>
      <c r="B56" s="1" t="s">
        <v>143</v>
      </c>
      <c r="C56" s="1" t="s">
        <v>144</v>
      </c>
      <c r="D56" s="5">
        <v>19187</v>
      </c>
      <c r="E56" s="5">
        <v>29483</v>
      </c>
      <c r="F56" s="5">
        <v>48306</v>
      </c>
      <c r="G56" s="5">
        <v>97590</v>
      </c>
      <c r="H56" s="5">
        <v>180125</v>
      </c>
      <c r="I56" s="8">
        <f t="shared" si="3"/>
        <v>196423</v>
      </c>
      <c r="J56" s="5">
        <v>212720</v>
      </c>
      <c r="K56" s="8">
        <f t="shared" si="4"/>
        <v>238208</v>
      </c>
      <c r="L56" s="8">
        <f t="shared" si="5"/>
        <v>263695</v>
      </c>
      <c r="M56" s="5">
        <v>294280</v>
      </c>
      <c r="N56" s="8">
        <f t="shared" si="99"/>
        <v>305695</v>
      </c>
      <c r="O56" s="5">
        <v>317109</v>
      </c>
      <c r="P56" s="9">
        <f t="shared" ref="P56:U56" si="166">ROUND(O56+($V56-$O56)/7, 0)</f>
        <v>321769</v>
      </c>
      <c r="Q56" s="9">
        <f t="shared" si="166"/>
        <v>326429</v>
      </c>
      <c r="R56" s="9">
        <f t="shared" si="166"/>
        <v>331089</v>
      </c>
      <c r="S56" s="9">
        <f t="shared" si="166"/>
        <v>335749</v>
      </c>
      <c r="T56" s="9">
        <f t="shared" si="166"/>
        <v>340409</v>
      </c>
      <c r="U56" s="9">
        <f t="shared" si="166"/>
        <v>345069</v>
      </c>
      <c r="V56" s="5">
        <v>349726</v>
      </c>
      <c r="W56" s="9">
        <f t="shared" ref="W56:X56" si="167">ROUND(V56+($Y56-$V56)/3, 0)</f>
        <v>360282</v>
      </c>
      <c r="X56" s="9">
        <f t="shared" si="167"/>
        <v>370838</v>
      </c>
      <c r="Y56" s="5">
        <v>381394</v>
      </c>
      <c r="Z56" s="10">
        <f t="shared" ref="Z56:AI56" si="168">ROUND(Y56+($AJ56-$Y56)/11, 0)</f>
        <v>387898</v>
      </c>
      <c r="AA56" s="10">
        <f t="shared" si="168"/>
        <v>394402</v>
      </c>
      <c r="AB56" s="10">
        <f t="shared" si="168"/>
        <v>400906</v>
      </c>
      <c r="AC56" s="10">
        <f t="shared" si="168"/>
        <v>407410</v>
      </c>
      <c r="AD56" s="10">
        <f t="shared" si="168"/>
        <v>413914</v>
      </c>
      <c r="AE56" s="10">
        <f t="shared" si="168"/>
        <v>420418</v>
      </c>
      <c r="AF56" s="10">
        <f t="shared" si="168"/>
        <v>426922</v>
      </c>
      <c r="AG56" s="10">
        <f t="shared" si="168"/>
        <v>433426</v>
      </c>
      <c r="AH56" s="10">
        <f t="shared" si="168"/>
        <v>439930</v>
      </c>
      <c r="AI56" s="10">
        <f t="shared" si="168"/>
        <v>446434</v>
      </c>
      <c r="AJ56" s="5">
        <v>452938</v>
      </c>
    </row>
    <row r="57" spans="1:36" x14ac:dyDescent="0.25">
      <c r="A57" s="1" t="s">
        <v>138</v>
      </c>
      <c r="B57" s="1" t="s">
        <v>145</v>
      </c>
      <c r="C57" s="1" t="s">
        <v>146</v>
      </c>
      <c r="D57" s="5">
        <v>43160</v>
      </c>
      <c r="E57" s="5">
        <v>80048</v>
      </c>
      <c r="F57" s="5">
        <v>101094</v>
      </c>
      <c r="G57" s="5">
        <v>215388</v>
      </c>
      <c r="H57" s="5">
        <v>411652</v>
      </c>
      <c r="I57" s="8">
        <f t="shared" si="3"/>
        <v>485068</v>
      </c>
      <c r="J57" s="5">
        <v>558484</v>
      </c>
      <c r="K57" s="8">
        <f t="shared" si="4"/>
        <v>596295</v>
      </c>
      <c r="L57" s="8">
        <f t="shared" si="5"/>
        <v>634107</v>
      </c>
      <c r="M57" s="5">
        <v>679480</v>
      </c>
      <c r="N57" s="8">
        <f t="shared" si="99"/>
        <v>694931</v>
      </c>
      <c r="O57" s="5">
        <v>710382</v>
      </c>
      <c r="P57" s="9">
        <f t="shared" ref="P57:U57" si="169">ROUND(O57+($V57-$O57)/7, 0)</f>
        <v>719070</v>
      </c>
      <c r="Q57" s="9">
        <f t="shared" si="169"/>
        <v>727758</v>
      </c>
      <c r="R57" s="9">
        <f t="shared" si="169"/>
        <v>736446</v>
      </c>
      <c r="S57" s="9">
        <f t="shared" si="169"/>
        <v>745134</v>
      </c>
      <c r="T57" s="9">
        <f t="shared" si="169"/>
        <v>753822</v>
      </c>
      <c r="U57" s="9">
        <f t="shared" si="169"/>
        <v>762510</v>
      </c>
      <c r="V57" s="5">
        <v>771198</v>
      </c>
      <c r="W57" s="9">
        <f t="shared" ref="W57:X57" si="170">ROUND(V57+($Y57-$V57)/3, 0)</f>
        <v>791634</v>
      </c>
      <c r="X57" s="9">
        <f t="shared" si="170"/>
        <v>812070</v>
      </c>
      <c r="Y57" s="5">
        <v>832506</v>
      </c>
      <c r="Z57" s="10">
        <f t="shared" ref="Z57:AI57" si="171">ROUND(Y57+($AJ57-$Y57)/11, 0)</f>
        <v>843045</v>
      </c>
      <c r="AA57" s="10">
        <f t="shared" si="171"/>
        <v>853584</v>
      </c>
      <c r="AB57" s="10">
        <f t="shared" si="171"/>
        <v>864123</v>
      </c>
      <c r="AC57" s="10">
        <f t="shared" si="171"/>
        <v>874662</v>
      </c>
      <c r="AD57" s="10">
        <f t="shared" si="171"/>
        <v>885201</v>
      </c>
      <c r="AE57" s="10">
        <f t="shared" si="171"/>
        <v>895740</v>
      </c>
      <c r="AF57" s="10">
        <f t="shared" si="171"/>
        <v>906279</v>
      </c>
      <c r="AG57" s="10">
        <f t="shared" si="171"/>
        <v>916818</v>
      </c>
      <c r="AH57" s="10">
        <f t="shared" si="171"/>
        <v>927357</v>
      </c>
      <c r="AI57" s="10">
        <f t="shared" si="171"/>
        <v>937896</v>
      </c>
      <c r="AJ57" s="5">
        <v>948437</v>
      </c>
    </row>
    <row r="58" spans="1:36" x14ac:dyDescent="0.25">
      <c r="A58" s="1" t="s">
        <v>147</v>
      </c>
      <c r="B58" s="1" t="s">
        <v>148</v>
      </c>
      <c r="C58" s="1" t="s">
        <v>149</v>
      </c>
      <c r="D58" s="5">
        <v>4475</v>
      </c>
      <c r="E58" s="5">
        <v>11218</v>
      </c>
      <c r="F58" s="5">
        <v>8207</v>
      </c>
      <c r="G58" s="5">
        <v>9197</v>
      </c>
      <c r="H58" s="5">
        <v>14195</v>
      </c>
      <c r="I58" s="8">
        <f t="shared" si="3"/>
        <v>89334</v>
      </c>
      <c r="J58" s="5">
        <v>164472</v>
      </c>
      <c r="K58" s="8">
        <f t="shared" si="4"/>
        <v>298332</v>
      </c>
      <c r="L58" s="8">
        <f t="shared" si="5"/>
        <v>432193</v>
      </c>
      <c r="M58" s="5">
        <v>592825</v>
      </c>
      <c r="N58" s="8">
        <f t="shared" si="99"/>
        <v>650977</v>
      </c>
      <c r="O58" s="5">
        <v>709128</v>
      </c>
      <c r="P58" s="9">
        <f t="shared" ref="P58:U58" si="172">ROUND(O58+($V58-$O58)/7, 0)</f>
        <v>734334</v>
      </c>
      <c r="Q58" s="9">
        <f t="shared" si="172"/>
        <v>759540</v>
      </c>
      <c r="R58" s="9">
        <f t="shared" si="172"/>
        <v>784746</v>
      </c>
      <c r="S58" s="9">
        <f t="shared" si="172"/>
        <v>809952</v>
      </c>
      <c r="T58" s="9">
        <f t="shared" si="172"/>
        <v>835158</v>
      </c>
      <c r="U58" s="9">
        <f t="shared" si="172"/>
        <v>860364</v>
      </c>
      <c r="V58" s="5">
        <v>885570</v>
      </c>
      <c r="W58" s="9">
        <f t="shared" ref="W58:X58" si="173">ROUND(V58+($Y58-$V58)/3, 0)</f>
        <v>904630</v>
      </c>
      <c r="X58" s="9">
        <f t="shared" si="173"/>
        <v>923690</v>
      </c>
      <c r="Y58" s="5">
        <v>942751</v>
      </c>
      <c r="Z58" s="10">
        <f t="shared" ref="Z58:AI58" si="174">ROUND(Y58+($AJ58-$Y58)/11, 0)</f>
        <v>967510</v>
      </c>
      <c r="AA58" s="10">
        <f t="shared" si="174"/>
        <v>992269</v>
      </c>
      <c r="AB58" s="10">
        <f t="shared" si="174"/>
        <v>1017028</v>
      </c>
      <c r="AC58" s="10">
        <f t="shared" si="174"/>
        <v>1041787</v>
      </c>
      <c r="AD58" s="10">
        <f t="shared" si="174"/>
        <v>1066546</v>
      </c>
      <c r="AE58" s="10">
        <f t="shared" si="174"/>
        <v>1091305</v>
      </c>
      <c r="AF58" s="10">
        <f t="shared" si="174"/>
        <v>1116064</v>
      </c>
      <c r="AG58" s="10">
        <f t="shared" si="174"/>
        <v>1140823</v>
      </c>
      <c r="AH58" s="10">
        <f t="shared" si="174"/>
        <v>1165582</v>
      </c>
      <c r="AI58" s="10">
        <f t="shared" si="174"/>
        <v>1190341</v>
      </c>
      <c r="AJ58" s="5">
        <v>1215103</v>
      </c>
    </row>
    <row r="59" spans="1:36" x14ac:dyDescent="0.25">
      <c r="A59" s="1" t="s">
        <v>147</v>
      </c>
      <c r="B59" s="1" t="s">
        <v>150</v>
      </c>
      <c r="C59" s="1" t="s">
        <v>151</v>
      </c>
      <c r="D59" s="5">
        <v>5448</v>
      </c>
      <c r="E59" s="5">
        <v>3202</v>
      </c>
      <c r="F59" s="5">
        <v>6628</v>
      </c>
      <c r="G59" s="5">
        <v>15075</v>
      </c>
      <c r="H59" s="5">
        <v>31578</v>
      </c>
      <c r="I59" s="8">
        <f t="shared" si="3"/>
        <v>66803</v>
      </c>
      <c r="J59" s="5">
        <v>102027</v>
      </c>
      <c r="K59" s="8">
        <f t="shared" si="4"/>
        <v>136698</v>
      </c>
      <c r="L59" s="8">
        <f t="shared" si="5"/>
        <v>171368</v>
      </c>
      <c r="M59" s="5">
        <v>212973</v>
      </c>
      <c r="N59" s="8">
        <f t="shared" si="99"/>
        <v>220316</v>
      </c>
      <c r="O59" s="5">
        <v>227659</v>
      </c>
      <c r="P59" s="9">
        <f t="shared" ref="P59:U59" si="175">ROUND(O59+($V59-$O59)/7, 0)</f>
        <v>231965</v>
      </c>
      <c r="Q59" s="9">
        <f t="shared" si="175"/>
        <v>236271</v>
      </c>
      <c r="R59" s="9">
        <f t="shared" si="175"/>
        <v>240577</v>
      </c>
      <c r="S59" s="9">
        <f t="shared" si="175"/>
        <v>244883</v>
      </c>
      <c r="T59" s="9">
        <f t="shared" si="175"/>
        <v>249189</v>
      </c>
      <c r="U59" s="9">
        <f t="shared" si="175"/>
        <v>253495</v>
      </c>
      <c r="V59" s="5">
        <v>257801</v>
      </c>
      <c r="W59" s="9">
        <f t="shared" ref="W59:X59" si="176">ROUND(V59+($Y59-$V59)/3, 0)</f>
        <v>264168</v>
      </c>
      <c r="X59" s="9">
        <f t="shared" si="176"/>
        <v>270535</v>
      </c>
      <c r="Y59" s="5">
        <v>276901</v>
      </c>
      <c r="Z59" s="10">
        <f t="shared" ref="Z59:AI59" si="177">ROUND(Y59+($AJ59-$Y59)/11, 0)</f>
        <v>283256</v>
      </c>
      <c r="AA59" s="10">
        <f t="shared" si="177"/>
        <v>289611</v>
      </c>
      <c r="AB59" s="10">
        <f t="shared" si="177"/>
        <v>295966</v>
      </c>
      <c r="AC59" s="10">
        <f t="shared" si="177"/>
        <v>302321</v>
      </c>
      <c r="AD59" s="10">
        <f t="shared" si="177"/>
        <v>308676</v>
      </c>
      <c r="AE59" s="10">
        <f t="shared" si="177"/>
        <v>315031</v>
      </c>
      <c r="AF59" s="10">
        <f t="shared" si="177"/>
        <v>321386</v>
      </c>
      <c r="AG59" s="10">
        <f t="shared" si="177"/>
        <v>327741</v>
      </c>
      <c r="AH59" s="10">
        <f t="shared" si="177"/>
        <v>334096</v>
      </c>
      <c r="AI59" s="10">
        <f t="shared" si="177"/>
        <v>340451</v>
      </c>
      <c r="AJ59" s="5">
        <v>346806</v>
      </c>
    </row>
    <row r="60" spans="1:36" x14ac:dyDescent="0.25">
      <c r="A60" s="1" t="s">
        <v>147</v>
      </c>
      <c r="B60" s="1" t="s">
        <v>152</v>
      </c>
      <c r="C60" s="1" t="s">
        <v>153</v>
      </c>
      <c r="D60" s="5">
        <v>1206</v>
      </c>
      <c r="E60" s="5">
        <v>3272</v>
      </c>
      <c r="F60" s="5">
        <v>5962</v>
      </c>
      <c r="G60" s="5">
        <v>6923</v>
      </c>
      <c r="H60" s="5">
        <v>31826</v>
      </c>
      <c r="I60" s="8">
        <f t="shared" si="3"/>
        <v>104796</v>
      </c>
      <c r="J60" s="5">
        <v>177765</v>
      </c>
      <c r="K60" s="8">
        <f t="shared" si="4"/>
        <v>203436</v>
      </c>
      <c r="L60" s="8">
        <f t="shared" si="5"/>
        <v>229106</v>
      </c>
      <c r="M60" s="5">
        <v>259911</v>
      </c>
      <c r="N60" s="8">
        <f t="shared" si="99"/>
        <v>269011</v>
      </c>
      <c r="O60" s="5">
        <v>278110</v>
      </c>
      <c r="P60" s="9">
        <f t="shared" ref="P60:U60" si="178">ROUND(O60+($V60-$O60)/7, 0)</f>
        <v>282713</v>
      </c>
      <c r="Q60" s="9">
        <f t="shared" si="178"/>
        <v>287316</v>
      </c>
      <c r="R60" s="9">
        <f t="shared" si="178"/>
        <v>291919</v>
      </c>
      <c r="S60" s="9">
        <f t="shared" si="178"/>
        <v>296522</v>
      </c>
      <c r="T60" s="9">
        <f t="shared" si="178"/>
        <v>301125</v>
      </c>
      <c r="U60" s="9">
        <f t="shared" si="178"/>
        <v>305728</v>
      </c>
      <c r="V60" s="5">
        <v>310334</v>
      </c>
      <c r="W60" s="9">
        <f t="shared" ref="W60:X60" si="179">ROUND(V60+($Y60-$V60)/3, 0)</f>
        <v>313596</v>
      </c>
      <c r="X60" s="9">
        <f t="shared" si="179"/>
        <v>316858</v>
      </c>
      <c r="Y60" s="5">
        <v>320119</v>
      </c>
      <c r="Z60" s="10">
        <f t="shared" ref="Z60:AI60" si="180">ROUND(Y60+($AJ60-$Y60)/11, 0)</f>
        <v>322470</v>
      </c>
      <c r="AA60" s="10">
        <f t="shared" si="180"/>
        <v>324821</v>
      </c>
      <c r="AB60" s="10">
        <f t="shared" si="180"/>
        <v>327172</v>
      </c>
      <c r="AC60" s="10">
        <f t="shared" si="180"/>
        <v>329523</v>
      </c>
      <c r="AD60" s="10">
        <f t="shared" si="180"/>
        <v>331874</v>
      </c>
      <c r="AE60" s="10">
        <f t="shared" si="180"/>
        <v>334225</v>
      </c>
      <c r="AF60" s="10">
        <f t="shared" si="180"/>
        <v>336576</v>
      </c>
      <c r="AG60" s="10">
        <f t="shared" si="180"/>
        <v>338927</v>
      </c>
      <c r="AH60" s="10">
        <f t="shared" si="180"/>
        <v>341278</v>
      </c>
      <c r="AI60" s="10">
        <f t="shared" si="180"/>
        <v>343629</v>
      </c>
      <c r="AJ60" s="5">
        <v>345975</v>
      </c>
    </row>
    <row r="61" spans="1:36" x14ac:dyDescent="0.25">
      <c r="A61" s="1" t="s">
        <v>147</v>
      </c>
      <c r="B61" s="1" t="s">
        <v>154</v>
      </c>
      <c r="C61" s="1" t="s">
        <v>155</v>
      </c>
      <c r="D61" s="5">
        <v>87099</v>
      </c>
      <c r="E61" s="5">
        <v>128209</v>
      </c>
      <c r="F61" s="5">
        <v>140456</v>
      </c>
      <c r="G61" s="5">
        <v>201694</v>
      </c>
      <c r="H61" s="5">
        <v>330471</v>
      </c>
      <c r="I61" s="8">
        <f t="shared" si="3"/>
        <v>402597</v>
      </c>
      <c r="J61" s="5">
        <v>474722</v>
      </c>
      <c r="K61" s="8">
        <f t="shared" si="4"/>
        <v>591365</v>
      </c>
      <c r="L61" s="8">
        <f t="shared" si="5"/>
        <v>708007</v>
      </c>
      <c r="M61" s="5">
        <v>847978</v>
      </c>
      <c r="N61" s="8">
        <f t="shared" si="99"/>
        <v>889510</v>
      </c>
      <c r="O61" s="5">
        <v>931042</v>
      </c>
      <c r="P61" s="9">
        <f t="shared" ref="P61:U61" si="181">ROUND(O61+($V61-$O61)/7, 0)</f>
        <v>940162</v>
      </c>
      <c r="Q61" s="9">
        <f t="shared" si="181"/>
        <v>949282</v>
      </c>
      <c r="R61" s="9">
        <f t="shared" si="181"/>
        <v>958402</v>
      </c>
      <c r="S61" s="9">
        <f t="shared" si="181"/>
        <v>967522</v>
      </c>
      <c r="T61" s="9">
        <f t="shared" si="181"/>
        <v>976642</v>
      </c>
      <c r="U61" s="9">
        <f t="shared" si="181"/>
        <v>985762</v>
      </c>
      <c r="V61" s="5">
        <v>994883</v>
      </c>
      <c r="W61" s="9">
        <f t="shared" ref="W61:X61" si="182">ROUND(V61+($Y61-$V61)/3, 0)</f>
        <v>1012394</v>
      </c>
      <c r="X61" s="9">
        <f t="shared" si="182"/>
        <v>1029905</v>
      </c>
      <c r="Y61" s="5">
        <v>1047416</v>
      </c>
      <c r="Z61" s="10">
        <f t="shared" ref="Z61:AI61" si="183">ROUND(Y61+($AJ61-$Y61)/11, 0)</f>
        <v>1060348</v>
      </c>
      <c r="AA61" s="10">
        <f t="shared" si="183"/>
        <v>1073280</v>
      </c>
      <c r="AB61" s="10">
        <f t="shared" si="183"/>
        <v>1086212</v>
      </c>
      <c r="AC61" s="10">
        <f t="shared" si="183"/>
        <v>1099144</v>
      </c>
      <c r="AD61" s="10">
        <f t="shared" si="183"/>
        <v>1112076</v>
      </c>
      <c r="AE61" s="10">
        <f t="shared" si="183"/>
        <v>1125008</v>
      </c>
      <c r="AF61" s="10">
        <f t="shared" si="183"/>
        <v>1137940</v>
      </c>
      <c r="AG61" s="10">
        <f t="shared" si="183"/>
        <v>1150872</v>
      </c>
      <c r="AH61" s="10">
        <f t="shared" si="183"/>
        <v>1163804</v>
      </c>
      <c r="AI61" s="10">
        <f t="shared" si="183"/>
        <v>1176736</v>
      </c>
      <c r="AJ61" s="5">
        <v>1189667</v>
      </c>
    </row>
    <row r="62" spans="1:36" x14ac:dyDescent="0.25">
      <c r="A62" s="1" t="s">
        <v>147</v>
      </c>
      <c r="B62" s="1" t="s">
        <v>156</v>
      </c>
      <c r="C62" s="1" t="s">
        <v>157</v>
      </c>
      <c r="D62" s="5"/>
      <c r="E62" s="5">
        <v>41623</v>
      </c>
      <c r="F62" s="5">
        <v>51396</v>
      </c>
      <c r="G62" s="5">
        <v>91956</v>
      </c>
      <c r="H62" s="5">
        <v>190779</v>
      </c>
      <c r="I62" s="8">
        <f t="shared" si="3"/>
        <v>205356</v>
      </c>
      <c r="J62" s="5">
        <v>219932</v>
      </c>
      <c r="K62" s="8">
        <f t="shared" si="4"/>
        <v>251874</v>
      </c>
      <c r="L62" s="8">
        <f t="shared" si="5"/>
        <v>283815</v>
      </c>
      <c r="M62" s="5">
        <v>322145</v>
      </c>
      <c r="N62" s="8">
        <f t="shared" si="99"/>
        <v>340726</v>
      </c>
      <c r="O62" s="5">
        <v>359306</v>
      </c>
      <c r="P62" s="9">
        <f t="shared" ref="P62:U62" si="184">ROUND(O62+($V62-$O62)/7, 0)</f>
        <v>365984</v>
      </c>
      <c r="Q62" s="9">
        <f t="shared" si="184"/>
        <v>372662</v>
      </c>
      <c r="R62" s="9">
        <f t="shared" si="184"/>
        <v>379340</v>
      </c>
      <c r="S62" s="9">
        <f t="shared" si="184"/>
        <v>386018</v>
      </c>
      <c r="T62" s="9">
        <f t="shared" si="184"/>
        <v>392696</v>
      </c>
      <c r="U62" s="9">
        <f t="shared" si="184"/>
        <v>399374</v>
      </c>
      <c r="V62" s="5">
        <v>406054</v>
      </c>
      <c r="W62" s="9">
        <f t="shared" ref="W62:X62" si="185">ROUND(V62+($Y62-$V62)/3, 0)</f>
        <v>420014</v>
      </c>
      <c r="X62" s="9">
        <f t="shared" si="185"/>
        <v>433974</v>
      </c>
      <c r="Y62" s="5">
        <v>447935</v>
      </c>
      <c r="Z62" s="10">
        <f t="shared" ref="Z62:AI62" si="186">ROUND(Y62+($AJ62-$Y62)/11, 0)</f>
        <v>458223</v>
      </c>
      <c r="AA62" s="10">
        <f t="shared" si="186"/>
        <v>468511</v>
      </c>
      <c r="AB62" s="10">
        <f t="shared" si="186"/>
        <v>478799</v>
      </c>
      <c r="AC62" s="10">
        <f t="shared" si="186"/>
        <v>489087</v>
      </c>
      <c r="AD62" s="10">
        <f t="shared" si="186"/>
        <v>499375</v>
      </c>
      <c r="AE62" s="10">
        <f t="shared" si="186"/>
        <v>509663</v>
      </c>
      <c r="AF62" s="10">
        <f t="shared" si="186"/>
        <v>519951</v>
      </c>
      <c r="AG62" s="10">
        <f t="shared" si="186"/>
        <v>530239</v>
      </c>
      <c r="AH62" s="10">
        <f t="shared" si="186"/>
        <v>540527</v>
      </c>
      <c r="AI62" s="10">
        <f t="shared" si="186"/>
        <v>550815</v>
      </c>
      <c r="AJ62" s="5">
        <v>561098</v>
      </c>
    </row>
    <row r="63" spans="1:36" x14ac:dyDescent="0.25">
      <c r="A63" s="1" t="s">
        <v>158</v>
      </c>
      <c r="B63" s="1" t="s">
        <v>159</v>
      </c>
      <c r="C63" s="1" t="s">
        <v>160</v>
      </c>
      <c r="D63" s="5">
        <v>129473</v>
      </c>
      <c r="E63" s="5">
        <v>130210</v>
      </c>
      <c r="F63" s="5">
        <v>153326</v>
      </c>
      <c r="G63" s="5">
        <v>221953</v>
      </c>
      <c r="H63" s="5">
        <v>304489</v>
      </c>
      <c r="I63" s="8">
        <f t="shared" si="3"/>
        <v>385956</v>
      </c>
      <c r="J63" s="5">
        <v>467422</v>
      </c>
      <c r="K63" s="8">
        <f t="shared" si="4"/>
        <v>501875</v>
      </c>
      <c r="L63" s="8">
        <f t="shared" si="5"/>
        <v>536327</v>
      </c>
      <c r="M63" s="5">
        <v>577670</v>
      </c>
      <c r="N63" s="8">
        <f t="shared" si="99"/>
        <v>607995</v>
      </c>
      <c r="O63" s="5">
        <v>638320</v>
      </c>
      <c r="P63" s="9">
        <f t="shared" ref="P63:U63" si="187">ROUND(O63+($V63-$O63)/7, 0)</f>
        <v>644698</v>
      </c>
      <c r="Q63" s="9">
        <f t="shared" si="187"/>
        <v>651076</v>
      </c>
      <c r="R63" s="9">
        <f t="shared" si="187"/>
        <v>657454</v>
      </c>
      <c r="S63" s="9">
        <f t="shared" si="187"/>
        <v>663832</v>
      </c>
      <c r="T63" s="9">
        <f t="shared" si="187"/>
        <v>670210</v>
      </c>
      <c r="U63" s="9">
        <f t="shared" si="187"/>
        <v>676588</v>
      </c>
      <c r="V63" s="5">
        <v>682969</v>
      </c>
      <c r="W63" s="9">
        <f t="shared" ref="W63:X63" si="188">ROUND(V63+($Y63-$V63)/3, 0)</f>
        <v>700790</v>
      </c>
      <c r="X63" s="9">
        <f t="shared" si="188"/>
        <v>718611</v>
      </c>
      <c r="Y63" s="5">
        <v>736432</v>
      </c>
      <c r="Z63" s="10">
        <f t="shared" ref="Z63:AI63" si="189">ROUND(Y63+($AJ63-$Y63)/11, 0)</f>
        <v>746309</v>
      </c>
      <c r="AA63" s="10">
        <f t="shared" si="189"/>
        <v>756186</v>
      </c>
      <c r="AB63" s="10">
        <f t="shared" si="189"/>
        <v>766063</v>
      </c>
      <c r="AC63" s="10">
        <f t="shared" si="189"/>
        <v>775940</v>
      </c>
      <c r="AD63" s="10">
        <f t="shared" si="189"/>
        <v>785817</v>
      </c>
      <c r="AE63" s="10">
        <f t="shared" si="189"/>
        <v>795694</v>
      </c>
      <c r="AF63" s="10">
        <f t="shared" si="189"/>
        <v>805571</v>
      </c>
      <c r="AG63" s="10">
        <f t="shared" si="189"/>
        <v>815448</v>
      </c>
      <c r="AH63" s="10">
        <f t="shared" si="189"/>
        <v>825325</v>
      </c>
      <c r="AI63" s="10">
        <f t="shared" si="189"/>
        <v>835202</v>
      </c>
      <c r="AJ63" s="5">
        <v>845084</v>
      </c>
    </row>
    <row r="64" spans="1:36" x14ac:dyDescent="0.25">
      <c r="A64" s="1" t="s">
        <v>158</v>
      </c>
      <c r="B64" s="1" t="s">
        <v>161</v>
      </c>
      <c r="C64" s="1" t="s">
        <v>162</v>
      </c>
      <c r="D64" s="5">
        <v>150824</v>
      </c>
      <c r="E64" s="5">
        <v>124815</v>
      </c>
      <c r="F64" s="5">
        <v>153265</v>
      </c>
      <c r="G64" s="5">
        <v>178589</v>
      </c>
      <c r="H64" s="5">
        <v>214295</v>
      </c>
      <c r="I64" s="8">
        <f t="shared" si="3"/>
        <v>248662</v>
      </c>
      <c r="J64" s="5">
        <v>283029</v>
      </c>
      <c r="K64" s="8">
        <f t="shared" si="4"/>
        <v>301065</v>
      </c>
      <c r="L64" s="8">
        <f t="shared" si="5"/>
        <v>319101</v>
      </c>
      <c r="M64" s="5">
        <v>340744</v>
      </c>
      <c r="N64" s="8">
        <f t="shared" si="99"/>
        <v>360650</v>
      </c>
      <c r="O64" s="5">
        <v>380555</v>
      </c>
      <c r="P64" s="9">
        <f t="shared" ref="P64:U64" si="190">ROUND(O64+($V64-$O64)/7, 0)</f>
        <v>388861</v>
      </c>
      <c r="Q64" s="9">
        <f t="shared" si="190"/>
        <v>397167</v>
      </c>
      <c r="R64" s="9">
        <f t="shared" si="190"/>
        <v>405473</v>
      </c>
      <c r="S64" s="9">
        <f t="shared" si="190"/>
        <v>413779</v>
      </c>
      <c r="T64" s="9">
        <f t="shared" si="190"/>
        <v>422085</v>
      </c>
      <c r="U64" s="9">
        <f t="shared" si="190"/>
        <v>430391</v>
      </c>
      <c r="V64" s="5">
        <v>438694</v>
      </c>
      <c r="W64" s="9">
        <f t="shared" ref="W64:X64" si="191">ROUND(V64+($Y64-$V64)/3, 0)</f>
        <v>454799</v>
      </c>
      <c r="X64" s="9">
        <f t="shared" si="191"/>
        <v>470904</v>
      </c>
      <c r="Y64" s="5">
        <v>487010</v>
      </c>
      <c r="Z64" s="10">
        <f t="shared" ref="Z64:AI64" si="192">ROUND(Y64+($AJ64-$Y64)/11, 0)</f>
        <v>493393</v>
      </c>
      <c r="AA64" s="10">
        <f t="shared" si="192"/>
        <v>499776</v>
      </c>
      <c r="AB64" s="10">
        <f t="shared" si="192"/>
        <v>506159</v>
      </c>
      <c r="AC64" s="10">
        <f t="shared" si="192"/>
        <v>512542</v>
      </c>
      <c r="AD64" s="10">
        <f t="shared" si="192"/>
        <v>518925</v>
      </c>
      <c r="AE64" s="10">
        <f t="shared" si="192"/>
        <v>525308</v>
      </c>
      <c r="AF64" s="10">
        <f t="shared" si="192"/>
        <v>531691</v>
      </c>
      <c r="AG64" s="10">
        <f t="shared" si="192"/>
        <v>538074</v>
      </c>
      <c r="AH64" s="10">
        <f t="shared" si="192"/>
        <v>544457</v>
      </c>
      <c r="AI64" s="10">
        <f t="shared" si="192"/>
        <v>550840</v>
      </c>
      <c r="AJ64" s="5">
        <v>557220</v>
      </c>
    </row>
    <row r="65" spans="1:36" x14ac:dyDescent="0.25">
      <c r="A65" s="1" t="s">
        <v>158</v>
      </c>
      <c r="B65" s="1" t="s">
        <v>163</v>
      </c>
      <c r="C65" s="1" t="s">
        <v>164</v>
      </c>
      <c r="D65" s="5">
        <v>236402</v>
      </c>
      <c r="E65" s="5">
        <v>237840</v>
      </c>
      <c r="F65" s="5">
        <v>322835</v>
      </c>
      <c r="G65" s="5">
        <v>489473</v>
      </c>
      <c r="H65" s="5">
        <v>774288</v>
      </c>
      <c r="I65" s="8">
        <f t="shared" si="3"/>
        <v>974926</v>
      </c>
      <c r="J65" s="5">
        <v>1175563</v>
      </c>
      <c r="K65" s="8">
        <f t="shared" si="4"/>
        <v>1380780</v>
      </c>
      <c r="L65" s="8">
        <f t="shared" si="5"/>
        <v>1585997</v>
      </c>
      <c r="M65" s="5">
        <v>1832257</v>
      </c>
      <c r="N65" s="8">
        <f t="shared" si="99"/>
        <v>1959404</v>
      </c>
      <c r="O65" s="5">
        <v>2086551</v>
      </c>
      <c r="P65" s="9">
        <f t="shared" ref="P65:U65" si="193">ROUND(O65+($V65-$O65)/7, 0)</f>
        <v>2129748</v>
      </c>
      <c r="Q65" s="9">
        <f t="shared" si="193"/>
        <v>2172945</v>
      </c>
      <c r="R65" s="9">
        <f t="shared" si="193"/>
        <v>2216142</v>
      </c>
      <c r="S65" s="9">
        <f t="shared" si="193"/>
        <v>2259339</v>
      </c>
      <c r="T65" s="9">
        <f t="shared" si="193"/>
        <v>2302536</v>
      </c>
      <c r="U65" s="9">
        <f t="shared" si="193"/>
        <v>2345733</v>
      </c>
      <c r="V65" s="5">
        <v>2388927</v>
      </c>
      <c r="W65" s="9">
        <f t="shared" ref="W65:X65" si="194">ROUND(V65+($Y65-$V65)/3, 0)</f>
        <v>2405050</v>
      </c>
      <c r="X65" s="9">
        <f t="shared" si="194"/>
        <v>2421173</v>
      </c>
      <c r="Y65" s="5">
        <v>2437297</v>
      </c>
      <c r="Z65" s="10">
        <f t="shared" ref="Z65:AI65" si="195">ROUND(Y65+($AJ65-$Y65)/11, 0)</f>
        <v>2436880</v>
      </c>
      <c r="AA65" s="10">
        <f t="shared" si="195"/>
        <v>2436463</v>
      </c>
      <c r="AB65" s="10">
        <f t="shared" si="195"/>
        <v>2436046</v>
      </c>
      <c r="AC65" s="10">
        <f t="shared" si="195"/>
        <v>2435629</v>
      </c>
      <c r="AD65" s="10">
        <f t="shared" si="195"/>
        <v>2435212</v>
      </c>
      <c r="AE65" s="10">
        <f t="shared" si="195"/>
        <v>2434795</v>
      </c>
      <c r="AF65" s="10">
        <f t="shared" si="195"/>
        <v>2434378</v>
      </c>
      <c r="AG65" s="10">
        <f t="shared" si="195"/>
        <v>2433961</v>
      </c>
      <c r="AH65" s="10">
        <f t="shared" si="195"/>
        <v>2433544</v>
      </c>
      <c r="AI65" s="10">
        <f t="shared" si="195"/>
        <v>2433127</v>
      </c>
      <c r="AJ65" s="5">
        <v>2432714</v>
      </c>
    </row>
    <row r="66" spans="1:36" x14ac:dyDescent="0.25">
      <c r="A66" s="1" t="s">
        <v>158</v>
      </c>
      <c r="B66" s="1" t="s">
        <v>165</v>
      </c>
      <c r="C66" s="1" t="s">
        <v>166</v>
      </c>
      <c r="D66" s="5">
        <v>387569</v>
      </c>
      <c r="E66" s="5">
        <v>388184</v>
      </c>
      <c r="F66" s="5">
        <v>452515</v>
      </c>
      <c r="G66" s="5">
        <v>581216</v>
      </c>
      <c r="H66" s="5">
        <v>721752</v>
      </c>
      <c r="I66" s="8">
        <f t="shared" si="3"/>
        <v>865368</v>
      </c>
      <c r="J66" s="5">
        <v>1008983</v>
      </c>
      <c r="K66" s="8">
        <f t="shared" si="4"/>
        <v>1104839</v>
      </c>
      <c r="L66" s="8">
        <f t="shared" si="5"/>
        <v>1200695</v>
      </c>
      <c r="M66" s="5">
        <v>1315722</v>
      </c>
      <c r="N66" s="8">
        <f t="shared" ref="N66:N97" si="196">ROUND(MEDIAN(M66,O66), 0)</f>
        <v>1395698</v>
      </c>
      <c r="O66" s="5">
        <v>1475673</v>
      </c>
      <c r="P66" s="9">
        <f t="shared" ref="P66:U66" si="197">ROUND(O66+($V66-$O66)/7, 0)</f>
        <v>1496634</v>
      </c>
      <c r="Q66" s="9">
        <f t="shared" si="197"/>
        <v>1517595</v>
      </c>
      <c r="R66" s="9">
        <f t="shared" si="197"/>
        <v>1538556</v>
      </c>
      <c r="S66" s="9">
        <f t="shared" si="197"/>
        <v>1559517</v>
      </c>
      <c r="T66" s="9">
        <f t="shared" si="197"/>
        <v>1580478</v>
      </c>
      <c r="U66" s="9">
        <f t="shared" si="197"/>
        <v>1601439</v>
      </c>
      <c r="V66" s="5">
        <v>1622402</v>
      </c>
      <c r="W66" s="9">
        <f t="shared" ref="W66:X66" si="198">ROUND(V66+($Y66-$V66)/3, 0)</f>
        <v>1678064</v>
      </c>
      <c r="X66" s="9">
        <f t="shared" si="198"/>
        <v>1733726</v>
      </c>
      <c r="Y66" s="5">
        <v>1789387</v>
      </c>
      <c r="Z66" s="10">
        <f t="shared" ref="Z66:AI66" si="199">ROUND(Y66+($AJ66-$Y66)/11, 0)</f>
        <v>1799207</v>
      </c>
      <c r="AA66" s="10">
        <f t="shared" si="199"/>
        <v>1809027</v>
      </c>
      <c r="AB66" s="10">
        <f t="shared" si="199"/>
        <v>1818847</v>
      </c>
      <c r="AC66" s="10">
        <f t="shared" si="199"/>
        <v>1828667</v>
      </c>
      <c r="AD66" s="10">
        <f t="shared" si="199"/>
        <v>1838487</v>
      </c>
      <c r="AE66" s="10">
        <f t="shared" si="199"/>
        <v>1848307</v>
      </c>
      <c r="AF66" s="10">
        <f t="shared" si="199"/>
        <v>1858127</v>
      </c>
      <c r="AG66" s="10">
        <f t="shared" si="199"/>
        <v>1867947</v>
      </c>
      <c r="AH66" s="10">
        <f t="shared" si="199"/>
        <v>1877767</v>
      </c>
      <c r="AI66" s="10">
        <f t="shared" si="199"/>
        <v>1887587</v>
      </c>
      <c r="AJ66" s="5">
        <v>1897410</v>
      </c>
    </row>
    <row r="67" spans="1:36" x14ac:dyDescent="0.25">
      <c r="A67" s="1" t="s">
        <v>158</v>
      </c>
      <c r="B67" s="1" t="s">
        <v>167</v>
      </c>
      <c r="C67" s="1" t="s">
        <v>168</v>
      </c>
      <c r="D67" s="5">
        <v>24939</v>
      </c>
      <c r="E67" s="5">
        <v>15580</v>
      </c>
      <c r="F67" s="5">
        <v>18531</v>
      </c>
      <c r="G67" s="5">
        <v>25576</v>
      </c>
      <c r="H67" s="5">
        <v>39825</v>
      </c>
      <c r="I67" s="8">
        <f t="shared" ref="I67:I130" si="200">ROUND(MEDIAN(H67,J67), 0)</f>
        <v>72017</v>
      </c>
      <c r="J67" s="5">
        <v>104209</v>
      </c>
      <c r="K67" s="8">
        <f t="shared" ref="K67:K130" si="201">ROUND(J67+5*(M67-J67)/16, 0)</f>
        <v>196476</v>
      </c>
      <c r="L67" s="8">
        <f t="shared" ref="L67:L130" si="202">ROUND(J67+10*(M67-J67)/16, 0)</f>
        <v>288743</v>
      </c>
      <c r="M67" s="5">
        <v>399464</v>
      </c>
      <c r="N67" s="8">
        <f t="shared" si="196"/>
        <v>410845</v>
      </c>
      <c r="O67" s="5">
        <v>422226</v>
      </c>
      <c r="P67" s="9">
        <f t="shared" ref="P67:U67" si="203">ROUND(O67+($V67-$O67)/7, 0)</f>
        <v>432400</v>
      </c>
      <c r="Q67" s="9">
        <f t="shared" si="203"/>
        <v>442574</v>
      </c>
      <c r="R67" s="9">
        <f t="shared" si="203"/>
        <v>452748</v>
      </c>
      <c r="S67" s="9">
        <f t="shared" si="203"/>
        <v>462922</v>
      </c>
      <c r="T67" s="9">
        <f t="shared" si="203"/>
        <v>473096</v>
      </c>
      <c r="U67" s="9">
        <f t="shared" si="203"/>
        <v>483270</v>
      </c>
      <c r="V67" s="5">
        <v>493443</v>
      </c>
      <c r="W67" s="9">
        <f t="shared" ref="W67:X67" si="204">ROUND(V67+($Y67-$V67)/3, 0)</f>
        <v>490099</v>
      </c>
      <c r="X67" s="9">
        <f t="shared" si="204"/>
        <v>486755</v>
      </c>
      <c r="Y67" s="5">
        <v>483411</v>
      </c>
      <c r="Z67" s="10">
        <f t="shared" ref="Z67:AI67" si="205">ROUND(Y67+($AJ67-$Y67)/11, 0)</f>
        <v>492471</v>
      </c>
      <c r="AA67" s="10">
        <f t="shared" si="205"/>
        <v>501531</v>
      </c>
      <c r="AB67" s="10">
        <f t="shared" si="205"/>
        <v>510591</v>
      </c>
      <c r="AC67" s="10">
        <f t="shared" si="205"/>
        <v>519651</v>
      </c>
      <c r="AD67" s="10">
        <f t="shared" si="205"/>
        <v>528711</v>
      </c>
      <c r="AE67" s="10">
        <f t="shared" si="205"/>
        <v>537771</v>
      </c>
      <c r="AF67" s="10">
        <f t="shared" si="205"/>
        <v>546831</v>
      </c>
      <c r="AG67" s="10">
        <f t="shared" si="205"/>
        <v>555891</v>
      </c>
      <c r="AH67" s="10">
        <f t="shared" si="205"/>
        <v>564951</v>
      </c>
      <c r="AI67" s="10">
        <f t="shared" si="205"/>
        <v>574011</v>
      </c>
      <c r="AJ67" s="5">
        <v>583074</v>
      </c>
    </row>
    <row r="68" spans="1:36" x14ac:dyDescent="0.25">
      <c r="A68" s="1" t="s">
        <v>158</v>
      </c>
      <c r="B68" s="1" t="s">
        <v>169</v>
      </c>
      <c r="C68" s="1" t="s">
        <v>170</v>
      </c>
      <c r="D68" s="5">
        <v>17823</v>
      </c>
      <c r="E68" s="5">
        <v>17268</v>
      </c>
      <c r="F68" s="5">
        <v>22801</v>
      </c>
      <c r="G68" s="5">
        <v>41386</v>
      </c>
      <c r="H68" s="5">
        <v>112349</v>
      </c>
      <c r="I68" s="8">
        <f t="shared" si="200"/>
        <v>238321</v>
      </c>
      <c r="J68" s="5">
        <v>364292</v>
      </c>
      <c r="K68" s="8">
        <f t="shared" si="201"/>
        <v>577011</v>
      </c>
      <c r="L68" s="8">
        <f t="shared" si="202"/>
        <v>789730</v>
      </c>
      <c r="M68" s="5">
        <v>1044992</v>
      </c>
      <c r="N68" s="8">
        <f t="shared" si="196"/>
        <v>1118816</v>
      </c>
      <c r="O68" s="5">
        <v>1192640</v>
      </c>
      <c r="P68" s="9">
        <f t="shared" ref="P68:U68" si="206">ROUND(O68+($V68-$O68)/7, 0)</f>
        <v>1227854</v>
      </c>
      <c r="Q68" s="9">
        <f t="shared" si="206"/>
        <v>1263068</v>
      </c>
      <c r="R68" s="9">
        <f t="shared" si="206"/>
        <v>1298282</v>
      </c>
      <c r="S68" s="9">
        <f t="shared" si="206"/>
        <v>1333496</v>
      </c>
      <c r="T68" s="9">
        <f t="shared" si="206"/>
        <v>1368710</v>
      </c>
      <c r="U68" s="9">
        <f t="shared" si="206"/>
        <v>1403924</v>
      </c>
      <c r="V68" s="5">
        <v>1439138</v>
      </c>
      <c r="W68" s="9">
        <f t="shared" ref="W68:X68" si="207">ROUND(V68+($Y68-$V68)/3, 0)</f>
        <v>1508597</v>
      </c>
      <c r="X68" s="9">
        <f t="shared" si="207"/>
        <v>1578056</v>
      </c>
      <c r="Y68" s="5">
        <v>1647514</v>
      </c>
      <c r="Z68" s="10">
        <f t="shared" ref="Z68:AI68" si="208">ROUND(Y68+($AJ68-$Y68)/11, 0)</f>
        <v>1661878</v>
      </c>
      <c r="AA68" s="10">
        <f t="shared" si="208"/>
        <v>1676242</v>
      </c>
      <c r="AB68" s="10">
        <f t="shared" si="208"/>
        <v>1690606</v>
      </c>
      <c r="AC68" s="10">
        <f t="shared" si="208"/>
        <v>1704970</v>
      </c>
      <c r="AD68" s="10">
        <f t="shared" si="208"/>
        <v>1719334</v>
      </c>
      <c r="AE68" s="10">
        <f t="shared" si="208"/>
        <v>1733698</v>
      </c>
      <c r="AF68" s="10">
        <f t="shared" si="208"/>
        <v>1748062</v>
      </c>
      <c r="AG68" s="10">
        <f t="shared" si="208"/>
        <v>1762426</v>
      </c>
      <c r="AH68" s="10">
        <f t="shared" si="208"/>
        <v>1776790</v>
      </c>
      <c r="AI68" s="10">
        <f t="shared" si="208"/>
        <v>1791154</v>
      </c>
      <c r="AJ68" s="5">
        <v>1805523</v>
      </c>
    </row>
    <row r="69" spans="1:36" x14ac:dyDescent="0.25">
      <c r="A69" s="1" t="s">
        <v>171</v>
      </c>
      <c r="B69" s="1" t="s">
        <v>172</v>
      </c>
      <c r="C69" s="1" t="s">
        <v>173</v>
      </c>
      <c r="D69" s="5">
        <v>205774</v>
      </c>
      <c r="E69" s="5">
        <v>380399</v>
      </c>
      <c r="F69" s="5">
        <v>462478</v>
      </c>
      <c r="G69" s="5">
        <v>542799</v>
      </c>
      <c r="H69" s="5">
        <v>674988</v>
      </c>
      <c r="I69" s="8">
        <f t="shared" si="200"/>
        <v>719719</v>
      </c>
      <c r="J69" s="5">
        <v>764450</v>
      </c>
      <c r="K69" s="8">
        <f t="shared" si="201"/>
        <v>775919</v>
      </c>
      <c r="L69" s="8">
        <f t="shared" si="202"/>
        <v>787388</v>
      </c>
      <c r="M69" s="5">
        <v>801151</v>
      </c>
      <c r="N69" s="8">
        <f t="shared" si="196"/>
        <v>810503</v>
      </c>
      <c r="O69" s="5">
        <v>819855</v>
      </c>
      <c r="P69" s="9">
        <f t="shared" ref="P69:U69" si="209">ROUND(O69+($V69-$O69)/7, 0)</f>
        <v>823780</v>
      </c>
      <c r="Q69" s="9">
        <f t="shared" si="209"/>
        <v>827705</v>
      </c>
      <c r="R69" s="9">
        <f t="shared" si="209"/>
        <v>831630</v>
      </c>
      <c r="S69" s="9">
        <f t="shared" si="209"/>
        <v>835555</v>
      </c>
      <c r="T69" s="9">
        <f t="shared" si="209"/>
        <v>839480</v>
      </c>
      <c r="U69" s="9">
        <f t="shared" si="209"/>
        <v>843405</v>
      </c>
      <c r="V69" s="5">
        <v>847330</v>
      </c>
      <c r="W69" s="9">
        <f t="shared" ref="W69:X69" si="210">ROUND(V69+($Y69-$V69)/3, 0)</f>
        <v>852613</v>
      </c>
      <c r="X69" s="9">
        <f t="shared" si="210"/>
        <v>857896</v>
      </c>
      <c r="Y69" s="5">
        <v>863178</v>
      </c>
      <c r="Z69" s="10">
        <f t="shared" ref="Z69:AI69" si="211">ROUND(Y69+($AJ69-$Y69)/11, 0)</f>
        <v>863446</v>
      </c>
      <c r="AA69" s="10">
        <f t="shared" si="211"/>
        <v>863714</v>
      </c>
      <c r="AB69" s="10">
        <f t="shared" si="211"/>
        <v>863982</v>
      </c>
      <c r="AC69" s="10">
        <f t="shared" si="211"/>
        <v>864250</v>
      </c>
      <c r="AD69" s="10">
        <f t="shared" si="211"/>
        <v>864518</v>
      </c>
      <c r="AE69" s="10">
        <f t="shared" si="211"/>
        <v>864786</v>
      </c>
      <c r="AF69" s="10">
        <f t="shared" si="211"/>
        <v>865054</v>
      </c>
      <c r="AG69" s="10">
        <f t="shared" si="211"/>
        <v>865322</v>
      </c>
      <c r="AH69" s="10">
        <f t="shared" si="211"/>
        <v>865590</v>
      </c>
      <c r="AI69" s="10">
        <f t="shared" si="211"/>
        <v>865858</v>
      </c>
      <c r="AJ69" s="5">
        <v>866122</v>
      </c>
    </row>
    <row r="70" spans="1:36" x14ac:dyDescent="0.25">
      <c r="A70" s="1" t="s">
        <v>171</v>
      </c>
      <c r="B70" s="1" t="s">
        <v>174</v>
      </c>
      <c r="C70" s="1" t="s">
        <v>175</v>
      </c>
      <c r="D70" s="5">
        <v>113450</v>
      </c>
      <c r="E70" s="5">
        <v>157315</v>
      </c>
      <c r="F70" s="5">
        <v>181104</v>
      </c>
      <c r="G70" s="5">
        <v>191856</v>
      </c>
      <c r="H70" s="5">
        <v>234880</v>
      </c>
      <c r="I70" s="8">
        <f t="shared" si="200"/>
        <v>249203</v>
      </c>
      <c r="J70" s="5">
        <v>263526</v>
      </c>
      <c r="K70" s="8">
        <f t="shared" si="201"/>
        <v>264875</v>
      </c>
      <c r="L70" s="8">
        <f t="shared" si="202"/>
        <v>266224</v>
      </c>
      <c r="M70" s="5">
        <v>267843</v>
      </c>
      <c r="N70" s="8">
        <f t="shared" si="196"/>
        <v>272480</v>
      </c>
      <c r="O70" s="5">
        <v>277116</v>
      </c>
      <c r="P70" s="9">
        <f t="shared" ref="P70:U70" si="212">ROUND(O70+($V70-$O70)/7, 0)</f>
        <v>279167</v>
      </c>
      <c r="Q70" s="9">
        <f t="shared" si="212"/>
        <v>281218</v>
      </c>
      <c r="R70" s="9">
        <f t="shared" si="212"/>
        <v>283269</v>
      </c>
      <c r="S70" s="9">
        <f t="shared" si="212"/>
        <v>285320</v>
      </c>
      <c r="T70" s="9">
        <f t="shared" si="212"/>
        <v>287371</v>
      </c>
      <c r="U70" s="9">
        <f t="shared" si="212"/>
        <v>289422</v>
      </c>
      <c r="V70" s="5">
        <v>291476</v>
      </c>
      <c r="W70" s="9">
        <f t="shared" ref="W70:X70" si="213">ROUND(V70+($Y70-$V70)/3, 0)</f>
        <v>293738</v>
      </c>
      <c r="X70" s="9">
        <f t="shared" si="213"/>
        <v>296000</v>
      </c>
      <c r="Y70" s="5">
        <v>298263</v>
      </c>
      <c r="Z70" s="10">
        <f t="shared" ref="Z70:AI70" si="214">ROUND(Y70+($AJ70-$Y70)/11, 0)</f>
        <v>298926</v>
      </c>
      <c r="AA70" s="10">
        <f t="shared" si="214"/>
        <v>299589</v>
      </c>
      <c r="AB70" s="10">
        <f t="shared" si="214"/>
        <v>300252</v>
      </c>
      <c r="AC70" s="10">
        <f t="shared" si="214"/>
        <v>300915</v>
      </c>
      <c r="AD70" s="10">
        <f t="shared" si="214"/>
        <v>301578</v>
      </c>
      <c r="AE70" s="10">
        <f t="shared" si="214"/>
        <v>302241</v>
      </c>
      <c r="AF70" s="10">
        <f t="shared" si="214"/>
        <v>302904</v>
      </c>
      <c r="AG70" s="10">
        <f t="shared" si="214"/>
        <v>303567</v>
      </c>
      <c r="AH70" s="10">
        <f t="shared" si="214"/>
        <v>304230</v>
      </c>
      <c r="AI70" s="10">
        <f t="shared" si="214"/>
        <v>304893</v>
      </c>
      <c r="AJ70" s="5">
        <v>305554</v>
      </c>
    </row>
    <row r="71" spans="1:36" x14ac:dyDescent="0.25">
      <c r="A71" s="1" t="s">
        <v>171</v>
      </c>
      <c r="B71" s="1" t="s">
        <v>176</v>
      </c>
      <c r="C71" s="1" t="s">
        <v>177</v>
      </c>
      <c r="D71" s="5">
        <v>442621</v>
      </c>
      <c r="E71" s="5">
        <v>588682</v>
      </c>
      <c r="F71" s="5">
        <v>707417</v>
      </c>
      <c r="G71" s="5">
        <v>797154</v>
      </c>
      <c r="H71" s="5">
        <v>894885</v>
      </c>
      <c r="I71" s="8">
        <f t="shared" si="200"/>
        <v>945905</v>
      </c>
      <c r="J71" s="5">
        <v>996924</v>
      </c>
      <c r="K71" s="8">
        <f t="shared" si="201"/>
        <v>1039164</v>
      </c>
      <c r="L71" s="8">
        <f t="shared" si="202"/>
        <v>1081403</v>
      </c>
      <c r="M71" s="5">
        <v>1132091</v>
      </c>
      <c r="N71" s="8">
        <f t="shared" si="196"/>
        <v>1141660</v>
      </c>
      <c r="O71" s="5">
        <v>1151229</v>
      </c>
      <c r="P71" s="9">
        <f t="shared" ref="P71:U71" si="215">ROUND(O71+($V71-$O71)/7, 0)</f>
        <v>1156326</v>
      </c>
      <c r="Q71" s="9">
        <f t="shared" si="215"/>
        <v>1161423</v>
      </c>
      <c r="R71" s="9">
        <f t="shared" si="215"/>
        <v>1166520</v>
      </c>
      <c r="S71" s="9">
        <f t="shared" si="215"/>
        <v>1171617</v>
      </c>
      <c r="T71" s="9">
        <f t="shared" si="215"/>
        <v>1176714</v>
      </c>
      <c r="U71" s="9">
        <f t="shared" si="215"/>
        <v>1181811</v>
      </c>
      <c r="V71" s="5">
        <v>1186906</v>
      </c>
      <c r="W71" s="9">
        <f t="shared" ref="W71:X71" si="216">ROUND(V71+($Y71-$V71)/3, 0)</f>
        <v>1195697</v>
      </c>
      <c r="X71" s="9">
        <f t="shared" si="216"/>
        <v>1204488</v>
      </c>
      <c r="Y71" s="5">
        <v>1213279</v>
      </c>
      <c r="Z71" s="10">
        <f t="shared" ref="Z71:AI71" si="217">ROUND(Y71+($AJ71-$Y71)/11, 0)</f>
        <v>1216571</v>
      </c>
      <c r="AA71" s="10">
        <f t="shared" si="217"/>
        <v>1219863</v>
      </c>
      <c r="AB71" s="10">
        <f t="shared" si="217"/>
        <v>1223155</v>
      </c>
      <c r="AC71" s="10">
        <f t="shared" si="217"/>
        <v>1226447</v>
      </c>
      <c r="AD71" s="10">
        <f t="shared" si="217"/>
        <v>1229739</v>
      </c>
      <c r="AE71" s="10">
        <f t="shared" si="217"/>
        <v>1233031</v>
      </c>
      <c r="AF71" s="10">
        <f t="shared" si="217"/>
        <v>1236323</v>
      </c>
      <c r="AG71" s="10">
        <f t="shared" si="217"/>
        <v>1239615</v>
      </c>
      <c r="AH71" s="10">
        <f t="shared" si="217"/>
        <v>1242907</v>
      </c>
      <c r="AI71" s="10">
        <f t="shared" si="217"/>
        <v>1246199</v>
      </c>
      <c r="AJ71" s="5">
        <v>1249493</v>
      </c>
    </row>
    <row r="72" spans="1:36" x14ac:dyDescent="0.25">
      <c r="A72" s="1" t="s">
        <v>171</v>
      </c>
      <c r="B72" s="1" t="s">
        <v>178</v>
      </c>
      <c r="C72" s="1" t="s">
        <v>179</v>
      </c>
      <c r="D72" s="5">
        <v>199261</v>
      </c>
      <c r="E72" s="5">
        <v>295886</v>
      </c>
      <c r="F72" s="5">
        <v>362260</v>
      </c>
      <c r="G72" s="5">
        <v>459336</v>
      </c>
      <c r="H72" s="5">
        <v>577710</v>
      </c>
      <c r="I72" s="8">
        <f t="shared" si="200"/>
        <v>661578</v>
      </c>
      <c r="J72" s="5">
        <v>745446</v>
      </c>
      <c r="K72" s="8">
        <f t="shared" si="201"/>
        <v>857660</v>
      </c>
      <c r="L72" s="8">
        <f t="shared" si="202"/>
        <v>969874</v>
      </c>
      <c r="M72" s="5">
        <v>1104531</v>
      </c>
      <c r="N72" s="8">
        <f t="shared" si="196"/>
        <v>1150563</v>
      </c>
      <c r="O72" s="5">
        <v>1196594</v>
      </c>
      <c r="P72" s="9">
        <f t="shared" ref="P72:U72" si="218">ROUND(O72+($V72-$O72)/7, 0)</f>
        <v>1213607</v>
      </c>
      <c r="Q72" s="9">
        <f t="shared" si="218"/>
        <v>1230620</v>
      </c>
      <c r="R72" s="9">
        <f t="shared" si="218"/>
        <v>1247633</v>
      </c>
      <c r="S72" s="9">
        <f t="shared" si="218"/>
        <v>1264646</v>
      </c>
      <c r="T72" s="9">
        <f t="shared" si="218"/>
        <v>1281659</v>
      </c>
      <c r="U72" s="9">
        <f t="shared" si="218"/>
        <v>1298672</v>
      </c>
      <c r="V72" s="5">
        <v>1315683</v>
      </c>
      <c r="W72" s="9">
        <f t="shared" ref="W72:X72" si="219">ROUND(V72+($Y72-$V72)/3, 0)</f>
        <v>1341058</v>
      </c>
      <c r="X72" s="9">
        <f t="shared" si="219"/>
        <v>1366433</v>
      </c>
      <c r="Y72" s="5">
        <v>1391808</v>
      </c>
      <c r="Z72" s="10">
        <f t="shared" ref="Z72:AI72" si="220">ROUND(Y72+($AJ72-$Y72)/11, 0)</f>
        <v>1406509</v>
      </c>
      <c r="AA72" s="10">
        <f t="shared" si="220"/>
        <v>1421210</v>
      </c>
      <c r="AB72" s="10">
        <f t="shared" si="220"/>
        <v>1435911</v>
      </c>
      <c r="AC72" s="10">
        <f t="shared" si="220"/>
        <v>1450612</v>
      </c>
      <c r="AD72" s="10">
        <f t="shared" si="220"/>
        <v>1465313</v>
      </c>
      <c r="AE72" s="10">
        <f t="shared" si="220"/>
        <v>1480014</v>
      </c>
      <c r="AF72" s="10">
        <f t="shared" si="220"/>
        <v>1494715</v>
      </c>
      <c r="AG72" s="10">
        <f t="shared" si="220"/>
        <v>1509416</v>
      </c>
      <c r="AH72" s="10">
        <f t="shared" si="220"/>
        <v>1524117</v>
      </c>
      <c r="AI72" s="10">
        <f t="shared" si="220"/>
        <v>1538818</v>
      </c>
      <c r="AJ72" s="5">
        <v>1553518</v>
      </c>
    </row>
    <row r="73" spans="1:36" x14ac:dyDescent="0.25">
      <c r="A73" s="1" t="s">
        <v>180</v>
      </c>
      <c r="B73" s="1" t="s">
        <v>181</v>
      </c>
      <c r="C73" s="1" t="s">
        <v>182</v>
      </c>
      <c r="D73" s="5">
        <v>203521</v>
      </c>
      <c r="E73" s="5">
        <v>320835</v>
      </c>
      <c r="F73" s="5">
        <v>449547</v>
      </c>
      <c r="G73" s="5">
        <v>493810</v>
      </c>
      <c r="H73" s="5">
        <v>659044</v>
      </c>
      <c r="I73" s="8">
        <f t="shared" si="200"/>
        <v>720501</v>
      </c>
      <c r="J73" s="5">
        <v>781957</v>
      </c>
      <c r="K73" s="8">
        <f t="shared" si="201"/>
        <v>808005</v>
      </c>
      <c r="L73" s="8">
        <f t="shared" si="202"/>
        <v>834054</v>
      </c>
      <c r="M73" s="5">
        <v>865312</v>
      </c>
      <c r="N73" s="8">
        <f t="shared" si="196"/>
        <v>888923</v>
      </c>
      <c r="O73" s="5">
        <v>912534</v>
      </c>
      <c r="P73" s="9">
        <f t="shared" ref="P73:U73" si="221">ROUND(O73+($V73-$O73)/7, 0)</f>
        <v>919893</v>
      </c>
      <c r="Q73" s="9">
        <f t="shared" si="221"/>
        <v>927252</v>
      </c>
      <c r="R73" s="9">
        <f t="shared" si="221"/>
        <v>934611</v>
      </c>
      <c r="S73" s="9">
        <f t="shared" si="221"/>
        <v>941970</v>
      </c>
      <c r="T73" s="9">
        <f t="shared" si="221"/>
        <v>949329</v>
      </c>
      <c r="U73" s="9">
        <f t="shared" si="221"/>
        <v>956688</v>
      </c>
      <c r="V73" s="5">
        <v>964049</v>
      </c>
      <c r="W73" s="9">
        <f t="shared" ref="W73:X73" si="222">ROUND(V73+($Y73-$V73)/3, 0)</f>
        <v>974976</v>
      </c>
      <c r="X73" s="9">
        <f t="shared" si="222"/>
        <v>985903</v>
      </c>
      <c r="Y73" s="5">
        <v>996830</v>
      </c>
      <c r="Z73" s="10">
        <f t="shared" ref="Z73:AI73" si="223">ROUND(Y73+($AJ73-$Y73)/11, 0)</f>
        <v>1001826</v>
      </c>
      <c r="AA73" s="10">
        <f t="shared" si="223"/>
        <v>1006822</v>
      </c>
      <c r="AB73" s="10">
        <f t="shared" si="223"/>
        <v>1011818</v>
      </c>
      <c r="AC73" s="10">
        <f t="shared" si="223"/>
        <v>1016814</v>
      </c>
      <c r="AD73" s="10">
        <f t="shared" si="223"/>
        <v>1021810</v>
      </c>
      <c r="AE73" s="10">
        <f t="shared" si="223"/>
        <v>1026806</v>
      </c>
      <c r="AF73" s="10">
        <f t="shared" si="223"/>
        <v>1031802</v>
      </c>
      <c r="AG73" s="10">
        <f t="shared" si="223"/>
        <v>1036798</v>
      </c>
      <c r="AH73" s="10">
        <f t="shared" si="223"/>
        <v>1041794</v>
      </c>
      <c r="AI73" s="10">
        <f t="shared" si="223"/>
        <v>1046790</v>
      </c>
      <c r="AJ73" s="5">
        <v>1051783</v>
      </c>
    </row>
    <row r="74" spans="1:36" x14ac:dyDescent="0.25">
      <c r="A74" s="1" t="s">
        <v>180</v>
      </c>
      <c r="B74" s="1" t="s">
        <v>183</v>
      </c>
      <c r="C74" s="1" t="s">
        <v>184</v>
      </c>
      <c r="D74" s="5">
        <v>73160</v>
      </c>
      <c r="E74" s="5">
        <v>72515</v>
      </c>
      <c r="F74" s="5">
        <v>95955</v>
      </c>
      <c r="G74" s="5">
        <v>121342</v>
      </c>
      <c r="H74" s="5">
        <v>195361</v>
      </c>
      <c r="I74" s="8">
        <f t="shared" si="200"/>
        <v>233617</v>
      </c>
      <c r="J74" s="5">
        <v>271873</v>
      </c>
      <c r="K74" s="8">
        <f t="shared" si="201"/>
        <v>318143</v>
      </c>
      <c r="L74" s="8">
        <f t="shared" si="202"/>
        <v>364413</v>
      </c>
      <c r="M74" s="5">
        <v>419937</v>
      </c>
      <c r="N74" s="8">
        <f t="shared" si="196"/>
        <v>442932</v>
      </c>
      <c r="O74" s="5">
        <v>465927</v>
      </c>
      <c r="P74" s="9">
        <f t="shared" ref="P74:U74" si="224">ROUND(O74+($V74-$O74)/7, 0)</f>
        <v>476531</v>
      </c>
      <c r="Q74" s="9">
        <f t="shared" si="224"/>
        <v>487135</v>
      </c>
      <c r="R74" s="9">
        <f t="shared" si="224"/>
        <v>497739</v>
      </c>
      <c r="S74" s="9">
        <f t="shared" si="224"/>
        <v>508343</v>
      </c>
      <c r="T74" s="9">
        <f t="shared" si="224"/>
        <v>518947</v>
      </c>
      <c r="U74" s="9">
        <f t="shared" si="224"/>
        <v>529551</v>
      </c>
      <c r="V74" s="5">
        <v>540156</v>
      </c>
      <c r="W74" s="9">
        <f t="shared" ref="W74:X74" si="225">ROUND(V74+($Y74-$V74)/3, 0)</f>
        <v>552838</v>
      </c>
      <c r="X74" s="9">
        <f t="shared" si="225"/>
        <v>565520</v>
      </c>
      <c r="Y74" s="5">
        <v>578203</v>
      </c>
      <c r="Z74" s="10">
        <f t="shared" ref="Z74:AI74" si="226">ROUND(Y74+($AJ74-$Y74)/11, 0)</f>
        <v>587202</v>
      </c>
      <c r="AA74" s="10">
        <f t="shared" si="226"/>
        <v>596201</v>
      </c>
      <c r="AB74" s="10">
        <f t="shared" si="226"/>
        <v>605200</v>
      </c>
      <c r="AC74" s="10">
        <f t="shared" si="226"/>
        <v>614199</v>
      </c>
      <c r="AD74" s="10">
        <f t="shared" si="226"/>
        <v>623198</v>
      </c>
      <c r="AE74" s="10">
        <f t="shared" si="226"/>
        <v>632197</v>
      </c>
      <c r="AF74" s="10">
        <f t="shared" si="226"/>
        <v>641196</v>
      </c>
      <c r="AG74" s="10">
        <f t="shared" si="226"/>
        <v>650195</v>
      </c>
      <c r="AH74" s="10">
        <f t="shared" si="226"/>
        <v>659194</v>
      </c>
      <c r="AI74" s="10">
        <f t="shared" si="226"/>
        <v>668193</v>
      </c>
      <c r="AJ74" s="5">
        <v>677190</v>
      </c>
    </row>
    <row r="75" spans="1:36" x14ac:dyDescent="0.25">
      <c r="A75" s="1" t="s">
        <v>180</v>
      </c>
      <c r="B75" s="1" t="s">
        <v>185</v>
      </c>
      <c r="C75" s="1" t="s">
        <v>186</v>
      </c>
      <c r="D75" s="5">
        <v>846757</v>
      </c>
      <c r="E75" s="5">
        <v>1087742</v>
      </c>
      <c r="F75" s="5">
        <v>1286821</v>
      </c>
      <c r="G75" s="5">
        <v>1370136</v>
      </c>
      <c r="H75" s="5">
        <v>1539923</v>
      </c>
      <c r="I75" s="8">
        <f t="shared" si="200"/>
        <v>1603171</v>
      </c>
      <c r="J75" s="5">
        <v>1666418</v>
      </c>
      <c r="K75" s="8">
        <f t="shared" si="201"/>
        <v>1731157</v>
      </c>
      <c r="L75" s="8">
        <f t="shared" si="202"/>
        <v>1795897</v>
      </c>
      <c r="M75" s="5">
        <v>1873584</v>
      </c>
      <c r="N75" s="8">
        <f t="shared" si="196"/>
        <v>1936968</v>
      </c>
      <c r="O75" s="5">
        <v>2000351</v>
      </c>
      <c r="P75" s="9">
        <f t="shared" ref="P75:U75" si="227">ROUND(O75+($V75-$O75)/7, 0)</f>
        <v>2014389</v>
      </c>
      <c r="Q75" s="9">
        <f t="shared" si="227"/>
        <v>2028427</v>
      </c>
      <c r="R75" s="9">
        <f t="shared" si="227"/>
        <v>2042465</v>
      </c>
      <c r="S75" s="9">
        <f t="shared" si="227"/>
        <v>2056503</v>
      </c>
      <c r="T75" s="9">
        <f t="shared" si="227"/>
        <v>2070541</v>
      </c>
      <c r="U75" s="9">
        <f t="shared" si="227"/>
        <v>2084579</v>
      </c>
      <c r="V75" s="5">
        <v>2098617</v>
      </c>
      <c r="W75" s="9">
        <f t="shared" ref="W75:X75" si="228">ROUND(V75+($Y75-$V75)/3, 0)</f>
        <v>2138278</v>
      </c>
      <c r="X75" s="9">
        <f t="shared" si="228"/>
        <v>2177939</v>
      </c>
      <c r="Y75" s="5">
        <v>2217600</v>
      </c>
      <c r="Z75" s="10">
        <f t="shared" ref="Z75:AI75" si="229">ROUND(Y75+($AJ75-$Y75)/11, 0)</f>
        <v>2228721</v>
      </c>
      <c r="AA75" s="10">
        <f t="shared" si="229"/>
        <v>2239842</v>
      </c>
      <c r="AB75" s="10">
        <f t="shared" si="229"/>
        <v>2250963</v>
      </c>
      <c r="AC75" s="10">
        <f t="shared" si="229"/>
        <v>2262084</v>
      </c>
      <c r="AD75" s="10">
        <f t="shared" si="229"/>
        <v>2273205</v>
      </c>
      <c r="AE75" s="10">
        <f t="shared" si="229"/>
        <v>2284326</v>
      </c>
      <c r="AF75" s="10">
        <f t="shared" si="229"/>
        <v>2295447</v>
      </c>
      <c r="AG75" s="10">
        <f t="shared" si="229"/>
        <v>2306568</v>
      </c>
      <c r="AH75" s="10">
        <f t="shared" si="229"/>
        <v>2317689</v>
      </c>
      <c r="AI75" s="10">
        <f t="shared" si="229"/>
        <v>2328810</v>
      </c>
      <c r="AJ75" s="5">
        <v>2339935</v>
      </c>
    </row>
    <row r="76" spans="1:36" x14ac:dyDescent="0.25">
      <c r="A76" s="1" t="s">
        <v>180</v>
      </c>
      <c r="B76" s="1" t="s">
        <v>187</v>
      </c>
      <c r="C76" s="1" t="s">
        <v>188</v>
      </c>
      <c r="D76" s="5">
        <v>581115</v>
      </c>
      <c r="E76" s="5">
        <v>630681</v>
      </c>
      <c r="F76" s="5">
        <v>719453</v>
      </c>
      <c r="G76" s="5">
        <v>834838</v>
      </c>
      <c r="H76" s="5">
        <v>939124</v>
      </c>
      <c r="I76" s="8">
        <f t="shared" si="200"/>
        <v>987326</v>
      </c>
      <c r="J76" s="5">
        <v>1035528</v>
      </c>
      <c r="K76" s="8">
        <f t="shared" si="201"/>
        <v>1071441</v>
      </c>
      <c r="L76" s="8">
        <f t="shared" si="202"/>
        <v>1107354</v>
      </c>
      <c r="M76" s="5">
        <v>1150450</v>
      </c>
      <c r="N76" s="8">
        <f t="shared" si="196"/>
        <v>1180588</v>
      </c>
      <c r="O76" s="5">
        <v>1210725</v>
      </c>
      <c r="P76" s="9">
        <f t="shared" ref="P76:U76" si="230">ROUND(O76+($V76-$O76)/7, 0)</f>
        <v>1212256</v>
      </c>
      <c r="Q76" s="9">
        <f t="shared" si="230"/>
        <v>1213787</v>
      </c>
      <c r="R76" s="9">
        <f t="shared" si="230"/>
        <v>1215318</v>
      </c>
      <c r="S76" s="9">
        <f t="shared" si="230"/>
        <v>1216849</v>
      </c>
      <c r="T76" s="9">
        <f t="shared" si="230"/>
        <v>1218380</v>
      </c>
      <c r="U76" s="9">
        <f t="shared" si="230"/>
        <v>1219911</v>
      </c>
      <c r="V76" s="5">
        <v>1221445</v>
      </c>
      <c r="W76" s="9">
        <f t="shared" ref="W76:X76" si="231">ROUND(V76+($Y76-$V76)/3, 0)</f>
        <v>1251176</v>
      </c>
      <c r="X76" s="9">
        <f t="shared" si="231"/>
        <v>1280907</v>
      </c>
      <c r="Y76" s="5">
        <v>1310638</v>
      </c>
      <c r="Z76" s="10">
        <f t="shared" ref="Z76:AI76" si="232">ROUND(Y76+($AJ76-$Y76)/11, 0)</f>
        <v>1306024</v>
      </c>
      <c r="AA76" s="10">
        <f t="shared" si="232"/>
        <v>1301410</v>
      </c>
      <c r="AB76" s="10">
        <f t="shared" si="232"/>
        <v>1296796</v>
      </c>
      <c r="AC76" s="10">
        <f t="shared" si="232"/>
        <v>1292182</v>
      </c>
      <c r="AD76" s="10">
        <f t="shared" si="232"/>
        <v>1287568</v>
      </c>
      <c r="AE76" s="10">
        <f t="shared" si="232"/>
        <v>1282954</v>
      </c>
      <c r="AF76" s="10">
        <f t="shared" si="232"/>
        <v>1278340</v>
      </c>
      <c r="AG76" s="10">
        <f t="shared" si="232"/>
        <v>1273726</v>
      </c>
      <c r="AH76" s="10">
        <f t="shared" si="232"/>
        <v>1269112</v>
      </c>
      <c r="AI76" s="10">
        <f t="shared" si="232"/>
        <v>1264498</v>
      </c>
      <c r="AJ76" s="5">
        <v>1259882</v>
      </c>
    </row>
    <row r="77" spans="1:36" x14ac:dyDescent="0.25">
      <c r="A77" s="1" t="s">
        <v>180</v>
      </c>
      <c r="B77" s="1" t="s">
        <v>189</v>
      </c>
      <c r="C77" s="1" t="s">
        <v>190</v>
      </c>
      <c r="D77" s="5">
        <v>450282</v>
      </c>
      <c r="E77" s="5">
        <v>576467</v>
      </c>
      <c r="F77" s="5">
        <v>843990</v>
      </c>
      <c r="G77" s="5">
        <v>1261821</v>
      </c>
      <c r="H77" s="5">
        <v>1828414</v>
      </c>
      <c r="I77" s="8">
        <f t="shared" si="200"/>
        <v>2108071</v>
      </c>
      <c r="J77" s="5">
        <v>2387727</v>
      </c>
      <c r="K77" s="8">
        <f t="shared" si="201"/>
        <v>2607121</v>
      </c>
      <c r="L77" s="8">
        <f t="shared" si="202"/>
        <v>2826515</v>
      </c>
      <c r="M77" s="5">
        <v>3089788</v>
      </c>
      <c r="N77" s="8">
        <f t="shared" si="196"/>
        <v>3214702</v>
      </c>
      <c r="O77" s="5">
        <v>3339616</v>
      </c>
      <c r="P77" s="9">
        <f t="shared" ref="P77:U77" si="233">ROUND(O77+($V77-$O77)/7, 0)</f>
        <v>3385545</v>
      </c>
      <c r="Q77" s="9">
        <f t="shared" si="233"/>
        <v>3431474</v>
      </c>
      <c r="R77" s="9">
        <f t="shared" si="233"/>
        <v>3477403</v>
      </c>
      <c r="S77" s="9">
        <f t="shared" si="233"/>
        <v>3523332</v>
      </c>
      <c r="T77" s="9">
        <f t="shared" si="233"/>
        <v>3569261</v>
      </c>
      <c r="U77" s="9">
        <f t="shared" si="233"/>
        <v>3615190</v>
      </c>
      <c r="V77" s="5">
        <v>3661119</v>
      </c>
      <c r="W77" s="9">
        <f t="shared" ref="W77:X77" si="234">ROUND(V77+($Y77-$V77)/3, 0)</f>
        <v>3671805</v>
      </c>
      <c r="X77" s="9">
        <f t="shared" si="234"/>
        <v>3682491</v>
      </c>
      <c r="Y77" s="5">
        <v>3693177</v>
      </c>
      <c r="Z77" s="10">
        <f t="shared" ref="Z77:AI77" si="235">ROUND(Y77+($AJ77-$Y77)/11, 0)</f>
        <v>3696537</v>
      </c>
      <c r="AA77" s="10">
        <f t="shared" si="235"/>
        <v>3699897</v>
      </c>
      <c r="AB77" s="10">
        <f t="shared" si="235"/>
        <v>3703257</v>
      </c>
      <c r="AC77" s="10">
        <f t="shared" si="235"/>
        <v>3706617</v>
      </c>
      <c r="AD77" s="10">
        <f t="shared" si="235"/>
        <v>3709977</v>
      </c>
      <c r="AE77" s="10">
        <f t="shared" si="235"/>
        <v>3713337</v>
      </c>
      <c r="AF77" s="10">
        <f t="shared" si="235"/>
        <v>3716697</v>
      </c>
      <c r="AG77" s="10">
        <f t="shared" si="235"/>
        <v>3720057</v>
      </c>
      <c r="AH77" s="10">
        <f t="shared" si="235"/>
        <v>3723417</v>
      </c>
      <c r="AI77" s="10">
        <f t="shared" si="235"/>
        <v>3726777</v>
      </c>
      <c r="AJ77" s="5">
        <v>3730141</v>
      </c>
    </row>
    <row r="78" spans="1:36" x14ac:dyDescent="0.25">
      <c r="A78" s="1" t="s">
        <v>191</v>
      </c>
      <c r="B78" s="1" t="s">
        <v>192</v>
      </c>
      <c r="C78" s="1" t="s">
        <v>193</v>
      </c>
      <c r="D78" s="5">
        <v>141940</v>
      </c>
      <c r="E78" s="5">
        <v>204912</v>
      </c>
      <c r="F78" s="5">
        <v>269328</v>
      </c>
      <c r="G78" s="5">
        <v>293274</v>
      </c>
      <c r="H78" s="5">
        <v>380262</v>
      </c>
      <c r="I78" s="8">
        <f t="shared" si="200"/>
        <v>420303</v>
      </c>
      <c r="J78" s="5">
        <v>460343</v>
      </c>
      <c r="K78" s="8">
        <f t="shared" si="201"/>
        <v>488512</v>
      </c>
      <c r="L78" s="8">
        <f t="shared" si="202"/>
        <v>516681</v>
      </c>
      <c r="M78" s="5">
        <v>550483</v>
      </c>
      <c r="N78" s="8">
        <f t="shared" si="196"/>
        <v>563413</v>
      </c>
      <c r="O78" s="5">
        <v>576343</v>
      </c>
      <c r="P78" s="9">
        <f t="shared" ref="P78:U78" si="236">ROUND(O78+($V78-$O78)/7, 0)</f>
        <v>581763</v>
      </c>
      <c r="Q78" s="9">
        <f t="shared" si="236"/>
        <v>587183</v>
      </c>
      <c r="R78" s="9">
        <f t="shared" si="236"/>
        <v>592603</v>
      </c>
      <c r="S78" s="9">
        <f t="shared" si="236"/>
        <v>598023</v>
      </c>
      <c r="T78" s="9">
        <f t="shared" si="236"/>
        <v>603443</v>
      </c>
      <c r="U78" s="9">
        <f t="shared" si="236"/>
        <v>608863</v>
      </c>
      <c r="V78" s="5">
        <v>614286</v>
      </c>
      <c r="W78" s="9">
        <f t="shared" ref="W78:X78" si="237">ROUND(V78+($Y78-$V78)/3, 0)</f>
        <v>620485</v>
      </c>
      <c r="X78" s="9">
        <f t="shared" si="237"/>
        <v>626684</v>
      </c>
      <c r="Y78" s="5">
        <v>632883</v>
      </c>
      <c r="Z78" s="10">
        <f t="shared" ref="Z78:AI78" si="238">ROUND(Y78+($AJ78-$Y78)/11, 0)</f>
        <v>636660</v>
      </c>
      <c r="AA78" s="10">
        <f t="shared" si="238"/>
        <v>640437</v>
      </c>
      <c r="AB78" s="10">
        <f t="shared" si="238"/>
        <v>644214</v>
      </c>
      <c r="AC78" s="10">
        <f t="shared" si="238"/>
        <v>647991</v>
      </c>
      <c r="AD78" s="10">
        <f t="shared" si="238"/>
        <v>651768</v>
      </c>
      <c r="AE78" s="10">
        <f t="shared" si="238"/>
        <v>655545</v>
      </c>
      <c r="AF78" s="10">
        <f t="shared" si="238"/>
        <v>659322</v>
      </c>
      <c r="AG78" s="10">
        <f t="shared" si="238"/>
        <v>663099</v>
      </c>
      <c r="AH78" s="10">
        <f t="shared" si="238"/>
        <v>666876</v>
      </c>
      <c r="AI78" s="10">
        <f t="shared" si="238"/>
        <v>670653</v>
      </c>
      <c r="AJ78" s="5">
        <v>674432</v>
      </c>
    </row>
    <row r="79" spans="1:36" x14ac:dyDescent="0.25">
      <c r="A79" s="1" t="s">
        <v>191</v>
      </c>
      <c r="B79" s="1" t="s">
        <v>194</v>
      </c>
      <c r="C79" s="1" t="s">
        <v>195</v>
      </c>
      <c r="D79" s="5">
        <v>232415</v>
      </c>
      <c r="E79" s="5">
        <v>306003</v>
      </c>
      <c r="F79" s="5">
        <v>382671</v>
      </c>
      <c r="G79" s="5">
        <v>495203</v>
      </c>
      <c r="H79" s="5">
        <v>677053</v>
      </c>
      <c r="I79" s="8">
        <f t="shared" si="200"/>
        <v>791569</v>
      </c>
      <c r="J79" s="5">
        <v>906084</v>
      </c>
      <c r="K79" s="8">
        <f t="shared" si="201"/>
        <v>1007160</v>
      </c>
      <c r="L79" s="8">
        <f t="shared" si="202"/>
        <v>1108235</v>
      </c>
      <c r="M79" s="5">
        <v>1229526</v>
      </c>
      <c r="N79" s="8">
        <f t="shared" si="196"/>
        <v>1273687</v>
      </c>
      <c r="O79" s="5">
        <v>1317847</v>
      </c>
      <c r="P79" s="9">
        <f t="shared" ref="P79:U79" si="239">ROUND(O79+($V79-$O79)/7, 0)</f>
        <v>1330330</v>
      </c>
      <c r="Q79" s="9">
        <f t="shared" si="239"/>
        <v>1342813</v>
      </c>
      <c r="R79" s="9">
        <f t="shared" si="239"/>
        <v>1355296</v>
      </c>
      <c r="S79" s="9">
        <f t="shared" si="239"/>
        <v>1367779</v>
      </c>
      <c r="T79" s="9">
        <f t="shared" si="239"/>
        <v>1380262</v>
      </c>
      <c r="U79" s="9">
        <f t="shared" si="239"/>
        <v>1392745</v>
      </c>
      <c r="V79" s="5">
        <v>1405228</v>
      </c>
      <c r="W79" s="9">
        <f t="shared" ref="W79:X79" si="240">ROUND(V79+($Y79-$V79)/3, 0)</f>
        <v>1418951</v>
      </c>
      <c r="X79" s="9">
        <f t="shared" si="240"/>
        <v>1432674</v>
      </c>
      <c r="Y79" s="5">
        <v>1446398</v>
      </c>
      <c r="Z79" s="10">
        <f t="shared" ref="Z79:AI79" si="241">ROUND(Y79+($AJ79-$Y79)/11, 0)</f>
        <v>1453167</v>
      </c>
      <c r="AA79" s="10">
        <f t="shared" si="241"/>
        <v>1459936</v>
      </c>
      <c r="AB79" s="10">
        <f t="shared" si="241"/>
        <v>1466705</v>
      </c>
      <c r="AC79" s="10">
        <f t="shared" si="241"/>
        <v>1473474</v>
      </c>
      <c r="AD79" s="10">
        <f t="shared" si="241"/>
        <v>1480243</v>
      </c>
      <c r="AE79" s="10">
        <f t="shared" si="241"/>
        <v>1487012</v>
      </c>
      <c r="AF79" s="10">
        <f t="shared" si="241"/>
        <v>1493781</v>
      </c>
      <c r="AG79" s="10">
        <f t="shared" si="241"/>
        <v>1500550</v>
      </c>
      <c r="AH79" s="10">
        <f t="shared" si="241"/>
        <v>1507319</v>
      </c>
      <c r="AI79" s="10">
        <f t="shared" si="241"/>
        <v>1514088</v>
      </c>
      <c r="AJ79" s="5">
        <v>1520854</v>
      </c>
    </row>
    <row r="80" spans="1:36" x14ac:dyDescent="0.25">
      <c r="A80" s="1" t="s">
        <v>191</v>
      </c>
      <c r="B80" s="1" t="s">
        <v>196</v>
      </c>
      <c r="C80" s="1" t="s">
        <v>197</v>
      </c>
      <c r="D80" s="5">
        <v>115550</v>
      </c>
      <c r="E80" s="5">
        <v>148902</v>
      </c>
      <c r="F80" s="5">
        <v>181483</v>
      </c>
      <c r="G80" s="5">
        <v>228012</v>
      </c>
      <c r="H80" s="5">
        <v>307246</v>
      </c>
      <c r="I80" s="8">
        <f t="shared" si="200"/>
        <v>344107</v>
      </c>
      <c r="J80" s="5">
        <v>380967</v>
      </c>
      <c r="K80" s="8">
        <f t="shared" si="201"/>
        <v>400489</v>
      </c>
      <c r="L80" s="8">
        <f t="shared" si="202"/>
        <v>420011</v>
      </c>
      <c r="M80" s="5">
        <v>443437</v>
      </c>
      <c r="N80" s="8">
        <f t="shared" si="196"/>
        <v>456371</v>
      </c>
      <c r="O80" s="5">
        <v>469304</v>
      </c>
      <c r="P80" s="9">
        <f t="shared" ref="P80:U80" si="242">ROUND(O80+($V80-$O80)/7, 0)</f>
        <v>474187</v>
      </c>
      <c r="Q80" s="9">
        <f t="shared" si="242"/>
        <v>479070</v>
      </c>
      <c r="R80" s="9">
        <f t="shared" si="242"/>
        <v>483953</v>
      </c>
      <c r="S80" s="9">
        <f t="shared" si="242"/>
        <v>488836</v>
      </c>
      <c r="T80" s="9">
        <f t="shared" si="242"/>
        <v>493719</v>
      </c>
      <c r="U80" s="9">
        <f t="shared" si="242"/>
        <v>498602</v>
      </c>
      <c r="V80" s="5">
        <v>503486</v>
      </c>
      <c r="W80" s="9">
        <f t="shared" ref="W80:X80" si="243">ROUND(V80+($Y80-$V80)/3, 0)</f>
        <v>506196</v>
      </c>
      <c r="X80" s="9">
        <f t="shared" si="243"/>
        <v>508906</v>
      </c>
      <c r="Y80" s="5">
        <v>511616</v>
      </c>
      <c r="Z80" s="10">
        <f t="shared" ref="Z80:AI80" si="244">ROUND(Y80+($AJ80-$Y80)/11, 0)</f>
        <v>513876</v>
      </c>
      <c r="AA80" s="10">
        <f t="shared" si="244"/>
        <v>516136</v>
      </c>
      <c r="AB80" s="10">
        <f t="shared" si="244"/>
        <v>518396</v>
      </c>
      <c r="AC80" s="10">
        <f t="shared" si="244"/>
        <v>520656</v>
      </c>
      <c r="AD80" s="10">
        <f t="shared" si="244"/>
        <v>522916</v>
      </c>
      <c r="AE80" s="10">
        <f t="shared" si="244"/>
        <v>525176</v>
      </c>
      <c r="AF80" s="10">
        <f t="shared" si="244"/>
        <v>527436</v>
      </c>
      <c r="AG80" s="10">
        <f t="shared" si="244"/>
        <v>529696</v>
      </c>
      <c r="AH80" s="10">
        <f t="shared" si="244"/>
        <v>531956</v>
      </c>
      <c r="AI80" s="10">
        <f t="shared" si="244"/>
        <v>534216</v>
      </c>
      <c r="AJ80" s="5">
        <v>536475</v>
      </c>
    </row>
    <row r="81" spans="1:36" x14ac:dyDescent="0.25">
      <c r="A81" s="1" t="s">
        <v>191</v>
      </c>
      <c r="B81" s="1" t="s">
        <v>198</v>
      </c>
      <c r="C81" s="1" t="s">
        <v>199</v>
      </c>
      <c r="D81" s="5">
        <v>119098</v>
      </c>
      <c r="E81" s="5">
        <v>157784</v>
      </c>
      <c r="F81" s="5">
        <v>212214</v>
      </c>
      <c r="G81" s="5">
        <v>232711</v>
      </c>
      <c r="H81" s="5">
        <v>316012</v>
      </c>
      <c r="I81" s="8">
        <f t="shared" si="200"/>
        <v>353907</v>
      </c>
      <c r="J81" s="5">
        <v>391802</v>
      </c>
      <c r="K81" s="8">
        <f t="shared" si="201"/>
        <v>409876</v>
      </c>
      <c r="L81" s="8">
        <f t="shared" si="202"/>
        <v>427950</v>
      </c>
      <c r="M81" s="5">
        <v>449639</v>
      </c>
      <c r="N81" s="8">
        <f t="shared" si="196"/>
        <v>464786</v>
      </c>
      <c r="O81" s="5">
        <v>479933</v>
      </c>
      <c r="P81" s="9">
        <f t="shared" ref="P81:U81" si="245">ROUND(O81+($V81-$O81)/7, 0)</f>
        <v>484146</v>
      </c>
      <c r="Q81" s="9">
        <f t="shared" si="245"/>
        <v>488359</v>
      </c>
      <c r="R81" s="9">
        <f t="shared" si="245"/>
        <v>492572</v>
      </c>
      <c r="S81" s="9">
        <f t="shared" si="245"/>
        <v>496785</v>
      </c>
      <c r="T81" s="9">
        <f t="shared" si="245"/>
        <v>500998</v>
      </c>
      <c r="U81" s="9">
        <f t="shared" si="245"/>
        <v>505211</v>
      </c>
      <c r="V81" s="5">
        <v>509421</v>
      </c>
      <c r="W81" s="9">
        <f t="shared" ref="W81:X81" si="246">ROUND(V81+($Y81-$V81)/3, 0)</f>
        <v>512746</v>
      </c>
      <c r="X81" s="9">
        <f t="shared" si="246"/>
        <v>516071</v>
      </c>
      <c r="Y81" s="5">
        <v>519395</v>
      </c>
      <c r="Z81" s="10">
        <f t="shared" ref="Z81:AI81" si="247">ROUND(Y81+($AJ81-$Y81)/11, 0)</f>
        <v>520284</v>
      </c>
      <c r="AA81" s="10">
        <f t="shared" si="247"/>
        <v>521173</v>
      </c>
      <c r="AB81" s="10">
        <f t="shared" si="247"/>
        <v>522062</v>
      </c>
      <c r="AC81" s="10">
        <f t="shared" si="247"/>
        <v>522951</v>
      </c>
      <c r="AD81" s="10">
        <f t="shared" si="247"/>
        <v>523840</v>
      </c>
      <c r="AE81" s="10">
        <f t="shared" si="247"/>
        <v>524729</v>
      </c>
      <c r="AF81" s="10">
        <f t="shared" si="247"/>
        <v>525618</v>
      </c>
      <c r="AG81" s="10">
        <f t="shared" si="247"/>
        <v>526507</v>
      </c>
      <c r="AH81" s="10">
        <f t="shared" si="247"/>
        <v>527396</v>
      </c>
      <c r="AI81" s="10">
        <f t="shared" si="247"/>
        <v>528285</v>
      </c>
      <c r="AJ81" s="5">
        <v>529176</v>
      </c>
    </row>
    <row r="82" spans="1:36" x14ac:dyDescent="0.25">
      <c r="A82" s="1" t="s">
        <v>200</v>
      </c>
      <c r="B82" s="1" t="s">
        <v>201</v>
      </c>
      <c r="C82" s="1" t="s">
        <v>202</v>
      </c>
      <c r="D82" s="5"/>
      <c r="E82" s="5"/>
      <c r="F82" s="5"/>
      <c r="G82" s="5">
        <v>512758</v>
      </c>
      <c r="H82" s="5">
        <v>962778</v>
      </c>
      <c r="I82" s="8">
        <f t="shared" si="200"/>
        <v>854661</v>
      </c>
      <c r="J82" s="5">
        <v>746543</v>
      </c>
      <c r="K82" s="8">
        <f t="shared" si="201"/>
        <v>709761</v>
      </c>
      <c r="L82" s="8">
        <f t="shared" si="202"/>
        <v>672979</v>
      </c>
      <c r="M82" s="5">
        <v>628840</v>
      </c>
      <c r="N82" s="8">
        <f t="shared" si="196"/>
        <v>634962</v>
      </c>
      <c r="O82" s="5">
        <v>641084</v>
      </c>
      <c r="P82" s="9">
        <f t="shared" ref="P82:U82" si="248">ROUND(O82+($V82-$O82)/7, 0)</f>
        <v>642730</v>
      </c>
      <c r="Q82" s="9">
        <f t="shared" si="248"/>
        <v>644376</v>
      </c>
      <c r="R82" s="9">
        <f t="shared" si="248"/>
        <v>646022</v>
      </c>
      <c r="S82" s="9">
        <f t="shared" si="248"/>
        <v>647668</v>
      </c>
      <c r="T82" s="9">
        <f t="shared" si="248"/>
        <v>649314</v>
      </c>
      <c r="U82" s="9">
        <f t="shared" si="248"/>
        <v>650960</v>
      </c>
      <c r="V82" s="5">
        <v>652605</v>
      </c>
      <c r="W82" s="9">
        <f t="shared" ref="W82:X82" si="249">ROUND(V82+($Y82-$V82)/3, 0)</f>
        <v>661176</v>
      </c>
      <c r="X82" s="9">
        <f t="shared" si="249"/>
        <v>669747</v>
      </c>
      <c r="Y82" s="5">
        <v>678319</v>
      </c>
      <c r="Z82" s="10">
        <f t="shared" ref="Z82:AI82" si="250">ROUND(Y82+($AJ82-$Y82)/11, 0)</f>
        <v>682674</v>
      </c>
      <c r="AA82" s="10">
        <f t="shared" si="250"/>
        <v>687029</v>
      </c>
      <c r="AB82" s="10">
        <f t="shared" si="250"/>
        <v>691384</v>
      </c>
      <c r="AC82" s="10">
        <f t="shared" si="250"/>
        <v>695739</v>
      </c>
      <c r="AD82" s="10">
        <f t="shared" si="250"/>
        <v>700094</v>
      </c>
      <c r="AE82" s="10">
        <f t="shared" si="250"/>
        <v>704449</v>
      </c>
      <c r="AF82" s="10">
        <f t="shared" si="250"/>
        <v>708804</v>
      </c>
      <c r="AG82" s="10">
        <f t="shared" si="250"/>
        <v>713159</v>
      </c>
      <c r="AH82" s="10">
        <f t="shared" si="250"/>
        <v>717514</v>
      </c>
      <c r="AI82" s="10">
        <f t="shared" si="250"/>
        <v>721869</v>
      </c>
      <c r="AJ82" s="5">
        <v>726229</v>
      </c>
    </row>
    <row r="83" spans="1:36" x14ac:dyDescent="0.25">
      <c r="A83" s="1" t="s">
        <v>200</v>
      </c>
      <c r="B83" s="1" t="s">
        <v>203</v>
      </c>
      <c r="C83" s="1" t="s">
        <v>204</v>
      </c>
      <c r="D83" s="5"/>
      <c r="E83" s="5"/>
      <c r="F83" s="5">
        <v>32948</v>
      </c>
      <c r="G83" s="5">
        <v>230971</v>
      </c>
      <c r="H83" s="5">
        <v>528734</v>
      </c>
      <c r="I83" s="8">
        <f t="shared" si="200"/>
        <v>467734</v>
      </c>
      <c r="J83" s="5">
        <v>406734</v>
      </c>
      <c r="K83" s="8">
        <f t="shared" si="201"/>
        <v>390939</v>
      </c>
      <c r="L83" s="8">
        <f t="shared" si="202"/>
        <v>375145</v>
      </c>
      <c r="M83" s="5">
        <v>356191</v>
      </c>
      <c r="N83" s="8">
        <f t="shared" si="196"/>
        <v>351439</v>
      </c>
      <c r="O83" s="5">
        <v>346686</v>
      </c>
      <c r="P83" s="9">
        <f t="shared" ref="P83:U83" si="251">ROUND(O83+($V83-$O83)/7, 0)</f>
        <v>344477</v>
      </c>
      <c r="Q83" s="9">
        <f t="shared" si="251"/>
        <v>342268</v>
      </c>
      <c r="R83" s="9">
        <f t="shared" si="251"/>
        <v>340059</v>
      </c>
      <c r="S83" s="9">
        <f t="shared" si="251"/>
        <v>337850</v>
      </c>
      <c r="T83" s="9">
        <f t="shared" si="251"/>
        <v>335641</v>
      </c>
      <c r="U83" s="9">
        <f t="shared" si="251"/>
        <v>333432</v>
      </c>
      <c r="V83" s="5">
        <v>331220</v>
      </c>
      <c r="W83" s="9">
        <f t="shared" ref="W83:X83" si="252">ROUND(V83+($Y83-$V83)/3, 0)</f>
        <v>332188</v>
      </c>
      <c r="X83" s="9">
        <f t="shared" si="252"/>
        <v>333156</v>
      </c>
      <c r="Y83" s="5">
        <v>334125</v>
      </c>
      <c r="Z83" s="10">
        <f t="shared" ref="Z83:AI83" si="253">ROUND(Y83+($AJ83-$Y83)/11, 0)</f>
        <v>334835</v>
      </c>
      <c r="AA83" s="10">
        <f t="shared" si="253"/>
        <v>335545</v>
      </c>
      <c r="AB83" s="10">
        <f t="shared" si="253"/>
        <v>336255</v>
      </c>
      <c r="AC83" s="10">
        <f t="shared" si="253"/>
        <v>336965</v>
      </c>
      <c r="AD83" s="10">
        <f t="shared" si="253"/>
        <v>337675</v>
      </c>
      <c r="AE83" s="10">
        <f t="shared" si="253"/>
        <v>338385</v>
      </c>
      <c r="AF83" s="10">
        <f t="shared" si="253"/>
        <v>339095</v>
      </c>
      <c r="AG83" s="10">
        <f t="shared" si="253"/>
        <v>339805</v>
      </c>
      <c r="AH83" s="10">
        <f t="shared" si="253"/>
        <v>340515</v>
      </c>
      <c r="AI83" s="10">
        <f t="shared" si="253"/>
        <v>341225</v>
      </c>
      <c r="AJ83" s="5">
        <v>341931</v>
      </c>
    </row>
    <row r="84" spans="1:36" x14ac:dyDescent="0.25">
      <c r="A84" s="1" t="s">
        <v>200</v>
      </c>
      <c r="B84" s="1" t="s">
        <v>205</v>
      </c>
      <c r="C84" s="1" t="s">
        <v>206</v>
      </c>
      <c r="D84" s="5">
        <v>3946</v>
      </c>
      <c r="E84" s="5">
        <v>104278</v>
      </c>
      <c r="F84" s="5">
        <v>517595</v>
      </c>
      <c r="G84" s="5">
        <v>1150326</v>
      </c>
      <c r="H84" s="5">
        <v>1521540</v>
      </c>
      <c r="I84" s="8">
        <f t="shared" si="200"/>
        <v>1490553</v>
      </c>
      <c r="J84" s="5">
        <v>1459566</v>
      </c>
      <c r="K84" s="8">
        <f t="shared" si="201"/>
        <v>1542238</v>
      </c>
      <c r="L84" s="8">
        <f t="shared" si="202"/>
        <v>1624909</v>
      </c>
      <c r="M84" s="5">
        <v>1724115</v>
      </c>
      <c r="N84" s="8">
        <f t="shared" si="196"/>
        <v>1776653</v>
      </c>
      <c r="O84" s="5">
        <v>1829191</v>
      </c>
      <c r="P84" s="9">
        <f t="shared" ref="P84:U84" si="254">ROUND(O84+($V84-$O84)/7, 0)</f>
        <v>1847144</v>
      </c>
      <c r="Q84" s="9">
        <f t="shared" si="254"/>
        <v>1865097</v>
      </c>
      <c r="R84" s="9">
        <f t="shared" si="254"/>
        <v>1883050</v>
      </c>
      <c r="S84" s="9">
        <f t="shared" si="254"/>
        <v>1901003</v>
      </c>
      <c r="T84" s="9">
        <f t="shared" si="254"/>
        <v>1918956</v>
      </c>
      <c r="U84" s="9">
        <f t="shared" si="254"/>
        <v>1936909</v>
      </c>
      <c r="V84" s="5">
        <v>1954862</v>
      </c>
      <c r="W84" s="9">
        <f t="shared" ref="W84:X84" si="255">ROUND(V84+($Y84-$V84)/3, 0)</f>
        <v>1982302</v>
      </c>
      <c r="X84" s="9">
        <f t="shared" si="255"/>
        <v>2009742</v>
      </c>
      <c r="Y84" s="5">
        <v>2037183</v>
      </c>
      <c r="Z84" s="10">
        <f t="shared" ref="Z84:AI84" si="256">ROUND(Y84+($AJ84-$Y84)/11, 0)</f>
        <v>2058495</v>
      </c>
      <c r="AA84" s="10">
        <f t="shared" si="256"/>
        <v>2079807</v>
      </c>
      <c r="AB84" s="10">
        <f t="shared" si="256"/>
        <v>2101119</v>
      </c>
      <c r="AC84" s="10">
        <f t="shared" si="256"/>
        <v>2122431</v>
      </c>
      <c r="AD84" s="10">
        <f t="shared" si="256"/>
        <v>2143743</v>
      </c>
      <c r="AE84" s="10">
        <f t="shared" si="256"/>
        <v>2165055</v>
      </c>
      <c r="AF84" s="10">
        <f t="shared" si="256"/>
        <v>2186367</v>
      </c>
      <c r="AG84" s="10">
        <f t="shared" si="256"/>
        <v>2207679</v>
      </c>
      <c r="AH84" s="10">
        <f t="shared" si="256"/>
        <v>2228991</v>
      </c>
      <c r="AI84" s="10">
        <f t="shared" si="256"/>
        <v>2250303</v>
      </c>
      <c r="AJ84" s="5">
        <v>2271620</v>
      </c>
    </row>
    <row r="85" spans="1:36" x14ac:dyDescent="0.25">
      <c r="A85" s="1" t="s">
        <v>200</v>
      </c>
      <c r="B85" s="1" t="s">
        <v>207</v>
      </c>
      <c r="C85" s="1" t="s">
        <v>208</v>
      </c>
      <c r="D85" s="5">
        <v>72627</v>
      </c>
      <c r="E85" s="5">
        <v>236171</v>
      </c>
      <c r="F85" s="5">
        <v>423744</v>
      </c>
      <c r="G85" s="5">
        <v>608559</v>
      </c>
      <c r="H85" s="5">
        <v>705953</v>
      </c>
      <c r="I85" s="8">
        <f t="shared" si="200"/>
        <v>638833</v>
      </c>
      <c r="J85" s="5">
        <v>571713</v>
      </c>
      <c r="K85" s="8">
        <f t="shared" si="201"/>
        <v>561858</v>
      </c>
      <c r="L85" s="8">
        <f t="shared" si="202"/>
        <v>552004</v>
      </c>
      <c r="M85" s="5">
        <v>540178</v>
      </c>
      <c r="N85" s="8">
        <f t="shared" si="196"/>
        <v>544184</v>
      </c>
      <c r="O85" s="5">
        <v>548190</v>
      </c>
      <c r="P85" s="9">
        <f t="shared" ref="P85:U85" si="257">ROUND(O85+($V85-$O85)/7, 0)</f>
        <v>547062</v>
      </c>
      <c r="Q85" s="9">
        <f t="shared" si="257"/>
        <v>545934</v>
      </c>
      <c r="R85" s="9">
        <f t="shared" si="257"/>
        <v>544806</v>
      </c>
      <c r="S85" s="9">
        <f t="shared" si="257"/>
        <v>543678</v>
      </c>
      <c r="T85" s="9">
        <f t="shared" si="257"/>
        <v>542550</v>
      </c>
      <c r="U85" s="9">
        <f t="shared" si="257"/>
        <v>541422</v>
      </c>
      <c r="V85" s="5">
        <v>540296</v>
      </c>
      <c r="W85" s="9">
        <f t="shared" ref="W85:X85" si="258">ROUND(V85+($Y85-$V85)/3, 0)</f>
        <v>542272</v>
      </c>
      <c r="X85" s="9">
        <f t="shared" si="258"/>
        <v>544248</v>
      </c>
      <c r="Y85" s="5">
        <v>546224</v>
      </c>
      <c r="Z85" s="10">
        <f t="shared" ref="Z85:AI85" si="259">ROUND(Y85+($AJ85-$Y85)/11, 0)</f>
        <v>546221</v>
      </c>
      <c r="AA85" s="10">
        <f t="shared" si="259"/>
        <v>546218</v>
      </c>
      <c r="AB85" s="10">
        <f t="shared" si="259"/>
        <v>546215</v>
      </c>
      <c r="AC85" s="10">
        <f t="shared" si="259"/>
        <v>546212</v>
      </c>
      <c r="AD85" s="10">
        <f t="shared" si="259"/>
        <v>546209</v>
      </c>
      <c r="AE85" s="10">
        <f t="shared" si="259"/>
        <v>546206</v>
      </c>
      <c r="AF85" s="10">
        <f t="shared" si="259"/>
        <v>546203</v>
      </c>
      <c r="AG85" s="10">
        <f t="shared" si="259"/>
        <v>546200</v>
      </c>
      <c r="AH85" s="10">
        <f t="shared" si="259"/>
        <v>546197</v>
      </c>
      <c r="AI85" s="10">
        <f t="shared" si="259"/>
        <v>546194</v>
      </c>
      <c r="AJ85" s="5">
        <v>546187</v>
      </c>
    </row>
    <row r="86" spans="1:36" x14ac:dyDescent="0.25">
      <c r="A86" s="1" t="s">
        <v>200</v>
      </c>
      <c r="B86" s="1" t="s">
        <v>209</v>
      </c>
      <c r="C86" s="1" t="s">
        <v>210</v>
      </c>
      <c r="D86" s="5">
        <v>120342</v>
      </c>
      <c r="E86" s="5">
        <v>178929</v>
      </c>
      <c r="F86" s="5">
        <v>216751</v>
      </c>
      <c r="G86" s="5">
        <v>253742</v>
      </c>
      <c r="H86" s="5">
        <v>355253</v>
      </c>
      <c r="I86" s="8">
        <f t="shared" si="200"/>
        <v>413954</v>
      </c>
      <c r="J86" s="5">
        <v>472655</v>
      </c>
      <c r="K86" s="8">
        <f t="shared" si="201"/>
        <v>506558</v>
      </c>
      <c r="L86" s="8">
        <f t="shared" si="202"/>
        <v>540460</v>
      </c>
      <c r="M86" s="5">
        <v>581143</v>
      </c>
      <c r="N86" s="8">
        <f t="shared" si="196"/>
        <v>602250</v>
      </c>
      <c r="O86" s="5">
        <v>623356</v>
      </c>
      <c r="P86" s="9">
        <f t="shared" ref="P86:U86" si="260">ROUND(O86+($V86-$O86)/7, 0)</f>
        <v>630609</v>
      </c>
      <c r="Q86" s="9">
        <f t="shared" si="260"/>
        <v>637862</v>
      </c>
      <c r="R86" s="9">
        <f t="shared" si="260"/>
        <v>645115</v>
      </c>
      <c r="S86" s="9">
        <f t="shared" si="260"/>
        <v>652368</v>
      </c>
      <c r="T86" s="9">
        <f t="shared" si="260"/>
        <v>659621</v>
      </c>
      <c r="U86" s="9">
        <f t="shared" si="260"/>
        <v>666874</v>
      </c>
      <c r="V86" s="5">
        <v>674124</v>
      </c>
      <c r="W86" s="9">
        <f t="shared" ref="W86:X86" si="261">ROUND(V86+($Y86-$V86)/3, 0)</f>
        <v>679176</v>
      </c>
      <c r="X86" s="9">
        <f t="shared" si="261"/>
        <v>684228</v>
      </c>
      <c r="Y86" s="5">
        <v>689279</v>
      </c>
      <c r="Z86" s="10">
        <f t="shared" ref="Z86:AI86" si="262">ROUND(Y86+($AJ86-$Y86)/11, 0)</f>
        <v>695537</v>
      </c>
      <c r="AA86" s="10">
        <f t="shared" si="262"/>
        <v>701795</v>
      </c>
      <c r="AB86" s="10">
        <f t="shared" si="262"/>
        <v>708053</v>
      </c>
      <c r="AC86" s="10">
        <f t="shared" si="262"/>
        <v>714311</v>
      </c>
      <c r="AD86" s="10">
        <f t="shared" si="262"/>
        <v>720569</v>
      </c>
      <c r="AE86" s="10">
        <f t="shared" si="262"/>
        <v>726827</v>
      </c>
      <c r="AF86" s="10">
        <f t="shared" si="262"/>
        <v>733085</v>
      </c>
      <c r="AG86" s="10">
        <f t="shared" si="262"/>
        <v>739343</v>
      </c>
      <c r="AH86" s="10">
        <f t="shared" si="262"/>
        <v>745601</v>
      </c>
      <c r="AI86" s="10">
        <f t="shared" si="262"/>
        <v>751859</v>
      </c>
      <c r="AJ86" s="5">
        <v>758121</v>
      </c>
    </row>
    <row r="87" spans="1:36" x14ac:dyDescent="0.25">
      <c r="A87" s="1" t="s">
        <v>200</v>
      </c>
      <c r="B87" s="1" t="s">
        <v>211</v>
      </c>
      <c r="C87" s="1" t="s">
        <v>212</v>
      </c>
      <c r="D87" s="5">
        <v>14427</v>
      </c>
      <c r="E87" s="5">
        <v>7645</v>
      </c>
      <c r="F87" s="5">
        <v>16421</v>
      </c>
      <c r="G87" s="5">
        <v>135036</v>
      </c>
      <c r="H87" s="5">
        <v>752432</v>
      </c>
      <c r="I87" s="8">
        <f t="shared" si="200"/>
        <v>856604</v>
      </c>
      <c r="J87" s="5">
        <v>960775</v>
      </c>
      <c r="K87" s="8">
        <f t="shared" si="201"/>
        <v>997590</v>
      </c>
      <c r="L87" s="8">
        <f t="shared" si="202"/>
        <v>1034406</v>
      </c>
      <c r="M87" s="5">
        <v>1078584</v>
      </c>
      <c r="N87" s="8">
        <f t="shared" si="196"/>
        <v>1108605</v>
      </c>
      <c r="O87" s="5">
        <v>1138626</v>
      </c>
      <c r="P87" s="9">
        <f t="shared" ref="P87:U87" si="263">ROUND(O87+($V87-$O87)/7, 0)</f>
        <v>1153878</v>
      </c>
      <c r="Q87" s="9">
        <f t="shared" si="263"/>
        <v>1169130</v>
      </c>
      <c r="R87" s="9">
        <f t="shared" si="263"/>
        <v>1184382</v>
      </c>
      <c r="S87" s="9">
        <f t="shared" si="263"/>
        <v>1199634</v>
      </c>
      <c r="T87" s="9">
        <f t="shared" si="263"/>
        <v>1214886</v>
      </c>
      <c r="U87" s="9">
        <f t="shared" si="263"/>
        <v>1230138</v>
      </c>
      <c r="V87" s="5">
        <v>1245391</v>
      </c>
      <c r="W87" s="9">
        <f t="shared" ref="W87:X87" si="264">ROUND(V87+($Y87-$V87)/3, 0)</f>
        <v>1236780</v>
      </c>
      <c r="X87" s="9">
        <f t="shared" si="264"/>
        <v>1228169</v>
      </c>
      <c r="Y87" s="5">
        <v>1219558</v>
      </c>
      <c r="Z87" s="10">
        <f t="shared" ref="Z87:AI87" si="265">ROUND(Y87+($AJ87-$Y87)/11, 0)</f>
        <v>1236259</v>
      </c>
      <c r="AA87" s="10">
        <f t="shared" si="265"/>
        <v>1252960</v>
      </c>
      <c r="AB87" s="10">
        <f t="shared" si="265"/>
        <v>1269661</v>
      </c>
      <c r="AC87" s="10">
        <f t="shared" si="265"/>
        <v>1286362</v>
      </c>
      <c r="AD87" s="10">
        <f t="shared" si="265"/>
        <v>1303063</v>
      </c>
      <c r="AE87" s="10">
        <f t="shared" si="265"/>
        <v>1319764</v>
      </c>
      <c r="AF87" s="10">
        <f t="shared" si="265"/>
        <v>1336465</v>
      </c>
      <c r="AG87" s="10">
        <f t="shared" si="265"/>
        <v>1353166</v>
      </c>
      <c r="AH87" s="10">
        <f t="shared" si="265"/>
        <v>1369867</v>
      </c>
      <c r="AI87" s="10">
        <f t="shared" si="265"/>
        <v>1386568</v>
      </c>
      <c r="AJ87" s="5">
        <v>1403266</v>
      </c>
    </row>
    <row r="88" spans="1:36" x14ac:dyDescent="0.25">
      <c r="A88" s="1" t="s">
        <v>200</v>
      </c>
      <c r="B88" s="1" t="s">
        <v>213</v>
      </c>
      <c r="C88" s="1" t="s">
        <v>214</v>
      </c>
      <c r="D88" s="5"/>
      <c r="E88" s="5"/>
      <c r="F88" s="5"/>
      <c r="G88" s="5">
        <v>212628</v>
      </c>
      <c r="H88" s="5">
        <v>446360</v>
      </c>
      <c r="I88" s="8">
        <f t="shared" si="200"/>
        <v>483815</v>
      </c>
      <c r="J88" s="5">
        <v>521269</v>
      </c>
      <c r="K88" s="8">
        <f t="shared" si="201"/>
        <v>506005</v>
      </c>
      <c r="L88" s="8">
        <f t="shared" si="202"/>
        <v>490742</v>
      </c>
      <c r="M88" s="5">
        <v>472425</v>
      </c>
      <c r="N88" s="8">
        <f t="shared" si="196"/>
        <v>472526</v>
      </c>
      <c r="O88" s="5">
        <v>472626</v>
      </c>
      <c r="P88" s="9">
        <f t="shared" ref="P88:U88" si="266">ROUND(O88+($V88-$O88)/7, 0)</f>
        <v>473185</v>
      </c>
      <c r="Q88" s="9">
        <f t="shared" si="266"/>
        <v>473744</v>
      </c>
      <c r="R88" s="9">
        <f t="shared" si="266"/>
        <v>474303</v>
      </c>
      <c r="S88" s="9">
        <f t="shared" si="266"/>
        <v>474862</v>
      </c>
      <c r="T88" s="9">
        <f t="shared" si="266"/>
        <v>475421</v>
      </c>
      <c r="U88" s="9">
        <f t="shared" si="266"/>
        <v>475980</v>
      </c>
      <c r="V88" s="5">
        <v>476540</v>
      </c>
      <c r="W88" s="9">
        <f t="shared" ref="W88:X88" si="267">ROUND(V88+($Y88-$V88)/3, 0)</f>
        <v>483402</v>
      </c>
      <c r="X88" s="9">
        <f t="shared" si="267"/>
        <v>490264</v>
      </c>
      <c r="Y88" s="5">
        <v>497127</v>
      </c>
      <c r="Z88" s="10">
        <f t="shared" ref="Z88:AI88" si="268">ROUND(Y88+($AJ88-$Y88)/11, 0)</f>
        <v>503949</v>
      </c>
      <c r="AA88" s="10">
        <f t="shared" si="268"/>
        <v>510771</v>
      </c>
      <c r="AB88" s="10">
        <f t="shared" si="268"/>
        <v>517593</v>
      </c>
      <c r="AC88" s="10">
        <f t="shared" si="268"/>
        <v>524415</v>
      </c>
      <c r="AD88" s="10">
        <f t="shared" si="268"/>
        <v>531237</v>
      </c>
      <c r="AE88" s="10">
        <f t="shared" si="268"/>
        <v>538059</v>
      </c>
      <c r="AF88" s="10">
        <f t="shared" si="268"/>
        <v>544881</v>
      </c>
      <c r="AG88" s="10">
        <f t="shared" si="268"/>
        <v>551703</v>
      </c>
      <c r="AH88" s="10">
        <f t="shared" si="268"/>
        <v>558525</v>
      </c>
      <c r="AI88" s="10">
        <f t="shared" si="268"/>
        <v>565347</v>
      </c>
      <c r="AJ88" s="5">
        <v>572169</v>
      </c>
    </row>
    <row r="89" spans="1:36" x14ac:dyDescent="0.25">
      <c r="A89" s="1" t="s">
        <v>200</v>
      </c>
      <c r="B89" s="1" t="s">
        <v>215</v>
      </c>
      <c r="C89" s="1" t="s">
        <v>216</v>
      </c>
      <c r="D89" s="5">
        <v>56524</v>
      </c>
      <c r="E89" s="5">
        <v>136959</v>
      </c>
      <c r="F89" s="5">
        <v>245458</v>
      </c>
      <c r="G89" s="5">
        <v>242638</v>
      </c>
      <c r="H89" s="5">
        <v>338136</v>
      </c>
      <c r="I89" s="8">
        <f t="shared" si="200"/>
        <v>411191</v>
      </c>
      <c r="J89" s="5">
        <v>484245</v>
      </c>
      <c r="K89" s="8">
        <f t="shared" si="201"/>
        <v>497579</v>
      </c>
      <c r="L89" s="8">
        <f t="shared" si="202"/>
        <v>510913</v>
      </c>
      <c r="M89" s="5">
        <v>526914</v>
      </c>
      <c r="N89" s="8">
        <f t="shared" si="196"/>
        <v>530357</v>
      </c>
      <c r="O89" s="5">
        <v>533799</v>
      </c>
      <c r="P89" s="9">
        <f t="shared" ref="P89:U89" si="269">ROUND(O89+($V89-$O89)/7, 0)</f>
        <v>535194</v>
      </c>
      <c r="Q89" s="9">
        <f t="shared" si="269"/>
        <v>536589</v>
      </c>
      <c r="R89" s="9">
        <f t="shared" si="269"/>
        <v>537984</v>
      </c>
      <c r="S89" s="9">
        <f t="shared" si="269"/>
        <v>539379</v>
      </c>
      <c r="T89" s="9">
        <f t="shared" si="269"/>
        <v>540774</v>
      </c>
      <c r="U89" s="9">
        <f t="shared" si="269"/>
        <v>542169</v>
      </c>
      <c r="V89" s="5">
        <v>543564</v>
      </c>
      <c r="W89" s="9">
        <f t="shared" ref="W89:X89" si="270">ROUND(V89+($Y89-$V89)/3, 0)</f>
        <v>543773</v>
      </c>
      <c r="X89" s="9">
        <f t="shared" si="270"/>
        <v>543982</v>
      </c>
      <c r="Y89" s="5">
        <v>544190</v>
      </c>
      <c r="Z89" s="10">
        <f t="shared" ref="Z89:AI89" si="271">ROUND(Y89+($AJ89-$Y89)/11, 0)</f>
        <v>544831</v>
      </c>
      <c r="AA89" s="10">
        <f t="shared" si="271"/>
        <v>545472</v>
      </c>
      <c r="AB89" s="10">
        <f t="shared" si="271"/>
        <v>546113</v>
      </c>
      <c r="AC89" s="10">
        <f t="shared" si="271"/>
        <v>546754</v>
      </c>
      <c r="AD89" s="10">
        <f t="shared" si="271"/>
        <v>547395</v>
      </c>
      <c r="AE89" s="10">
        <f t="shared" si="271"/>
        <v>548036</v>
      </c>
      <c r="AF89" s="10">
        <f t="shared" si="271"/>
        <v>548677</v>
      </c>
      <c r="AG89" s="10">
        <f t="shared" si="271"/>
        <v>549318</v>
      </c>
      <c r="AH89" s="10">
        <f t="shared" si="271"/>
        <v>549959</v>
      </c>
      <c r="AI89" s="10">
        <f t="shared" si="271"/>
        <v>550600</v>
      </c>
      <c r="AJ89" s="5">
        <v>551246</v>
      </c>
    </row>
    <row r="90" spans="1:36" x14ac:dyDescent="0.25">
      <c r="A90" s="1" t="s">
        <v>200</v>
      </c>
      <c r="B90" s="1" t="s">
        <v>217</v>
      </c>
      <c r="C90" s="1" t="s">
        <v>218</v>
      </c>
      <c r="D90" s="5">
        <v>116303</v>
      </c>
      <c r="E90" s="5">
        <v>193534</v>
      </c>
      <c r="F90" s="5">
        <v>207338</v>
      </c>
      <c r="G90" s="5">
        <v>222908</v>
      </c>
      <c r="H90" s="5">
        <v>267830</v>
      </c>
      <c r="I90" s="8">
        <f t="shared" si="200"/>
        <v>285180</v>
      </c>
      <c r="J90" s="5">
        <v>302530</v>
      </c>
      <c r="K90" s="8">
        <f t="shared" si="201"/>
        <v>320775</v>
      </c>
      <c r="L90" s="8">
        <f t="shared" si="202"/>
        <v>339020</v>
      </c>
      <c r="M90" s="5">
        <v>360914</v>
      </c>
      <c r="N90" s="8">
        <f t="shared" si="196"/>
        <v>369263</v>
      </c>
      <c r="O90" s="5">
        <v>377612</v>
      </c>
      <c r="P90" s="9">
        <f t="shared" ref="P90:U90" si="272">ROUND(O90+($V90-$O90)/7, 0)</f>
        <v>380250</v>
      </c>
      <c r="Q90" s="9">
        <f t="shared" si="272"/>
        <v>382888</v>
      </c>
      <c r="R90" s="9">
        <f t="shared" si="272"/>
        <v>385526</v>
      </c>
      <c r="S90" s="9">
        <f t="shared" si="272"/>
        <v>388164</v>
      </c>
      <c r="T90" s="9">
        <f t="shared" si="272"/>
        <v>390802</v>
      </c>
      <c r="U90" s="9">
        <f t="shared" si="272"/>
        <v>393440</v>
      </c>
      <c r="V90" s="5">
        <v>396081</v>
      </c>
      <c r="W90" s="9">
        <f t="shared" ref="W90:X90" si="273">ROUND(V90+($Y90-$V90)/3, 0)</f>
        <v>398980</v>
      </c>
      <c r="X90" s="9">
        <f t="shared" si="273"/>
        <v>401879</v>
      </c>
      <c r="Y90" s="5">
        <v>404779</v>
      </c>
      <c r="Z90" s="10">
        <f t="shared" ref="Z90:AI90" si="274">ROUND(Y90+($AJ90-$Y90)/11, 0)</f>
        <v>405058</v>
      </c>
      <c r="AA90" s="10">
        <f t="shared" si="274"/>
        <v>405337</v>
      </c>
      <c r="AB90" s="10">
        <f t="shared" si="274"/>
        <v>405616</v>
      </c>
      <c r="AC90" s="10">
        <f t="shared" si="274"/>
        <v>405895</v>
      </c>
      <c r="AD90" s="10">
        <f t="shared" si="274"/>
        <v>406174</v>
      </c>
      <c r="AE90" s="10">
        <f t="shared" si="274"/>
        <v>406453</v>
      </c>
      <c r="AF90" s="10">
        <f t="shared" si="274"/>
        <v>406732</v>
      </c>
      <c r="AG90" s="10">
        <f t="shared" si="274"/>
        <v>407011</v>
      </c>
      <c r="AH90" s="10">
        <f t="shared" si="274"/>
        <v>407290</v>
      </c>
      <c r="AI90" s="10">
        <f t="shared" si="274"/>
        <v>407569</v>
      </c>
      <c r="AJ90" s="5">
        <v>407850</v>
      </c>
    </row>
    <row r="91" spans="1:36" x14ac:dyDescent="0.25">
      <c r="A91" s="1" t="s">
        <v>200</v>
      </c>
      <c r="B91" s="1" t="s">
        <v>219</v>
      </c>
      <c r="C91" s="1" t="s">
        <v>220</v>
      </c>
      <c r="D91" s="5">
        <v>301542</v>
      </c>
      <c r="E91" s="5">
        <v>378760</v>
      </c>
      <c r="F91" s="5">
        <v>455292</v>
      </c>
      <c r="G91" s="5">
        <v>694155</v>
      </c>
      <c r="H91" s="5">
        <v>1050805</v>
      </c>
      <c r="I91" s="8">
        <f t="shared" si="200"/>
        <v>1377312</v>
      </c>
      <c r="J91" s="5">
        <v>1703819</v>
      </c>
      <c r="K91" s="8">
        <f t="shared" si="201"/>
        <v>2025907</v>
      </c>
      <c r="L91" s="8">
        <f t="shared" si="202"/>
        <v>2347995</v>
      </c>
      <c r="M91" s="5">
        <v>2734500</v>
      </c>
      <c r="N91" s="8">
        <f t="shared" si="196"/>
        <v>2893987</v>
      </c>
      <c r="O91" s="5">
        <v>3053473</v>
      </c>
      <c r="P91" s="9">
        <f t="shared" ref="P91:U91" si="275">ROUND(O91+($V91-$O91)/7, 0)</f>
        <v>3112951</v>
      </c>
      <c r="Q91" s="9">
        <f t="shared" si="275"/>
        <v>3172429</v>
      </c>
      <c r="R91" s="9">
        <f t="shared" si="275"/>
        <v>3231907</v>
      </c>
      <c r="S91" s="9">
        <f t="shared" si="275"/>
        <v>3291385</v>
      </c>
      <c r="T91" s="9">
        <f t="shared" si="275"/>
        <v>3350863</v>
      </c>
      <c r="U91" s="9">
        <f t="shared" si="275"/>
        <v>3410341</v>
      </c>
      <c r="V91" s="5">
        <v>3469820</v>
      </c>
      <c r="W91" s="9">
        <f t="shared" ref="W91:X91" si="276">ROUND(V91+($Y91-$V91)/3, 0)</f>
        <v>3477794</v>
      </c>
      <c r="X91" s="9">
        <f t="shared" si="276"/>
        <v>3485768</v>
      </c>
      <c r="Y91" s="5">
        <v>3493742</v>
      </c>
      <c r="Z91" s="10">
        <f t="shared" ref="Z91:AI91" si="277">ROUND(Y91+($AJ91-$Y91)/11, 0)</f>
        <v>3527562</v>
      </c>
      <c r="AA91" s="10">
        <f t="shared" si="277"/>
        <v>3561382</v>
      </c>
      <c r="AB91" s="10">
        <f t="shared" si="277"/>
        <v>3595202</v>
      </c>
      <c r="AC91" s="10">
        <f t="shared" si="277"/>
        <v>3629022</v>
      </c>
      <c r="AD91" s="10">
        <f t="shared" si="277"/>
        <v>3662842</v>
      </c>
      <c r="AE91" s="10">
        <f t="shared" si="277"/>
        <v>3696662</v>
      </c>
      <c r="AF91" s="10">
        <f t="shared" si="277"/>
        <v>3730482</v>
      </c>
      <c r="AG91" s="10">
        <f t="shared" si="277"/>
        <v>3764302</v>
      </c>
      <c r="AH91" s="10">
        <f t="shared" si="277"/>
        <v>3798122</v>
      </c>
      <c r="AI91" s="10">
        <f t="shared" si="277"/>
        <v>3831942</v>
      </c>
      <c r="AJ91" s="5">
        <v>3865761</v>
      </c>
    </row>
    <row r="92" spans="1:36" x14ac:dyDescent="0.25">
      <c r="A92" s="1" t="s">
        <v>221</v>
      </c>
      <c r="B92" s="1" t="s">
        <v>222</v>
      </c>
      <c r="C92" s="1" t="s">
        <v>223</v>
      </c>
      <c r="D92" s="5">
        <v>217422</v>
      </c>
      <c r="E92" s="5">
        <v>284601</v>
      </c>
      <c r="F92" s="5">
        <v>267245</v>
      </c>
      <c r="G92" s="5">
        <v>259680</v>
      </c>
      <c r="H92" s="5">
        <v>230153</v>
      </c>
      <c r="I92" s="8">
        <f t="shared" si="200"/>
        <v>229968</v>
      </c>
      <c r="J92" s="5">
        <v>229782</v>
      </c>
      <c r="K92" s="8">
        <f t="shared" si="201"/>
        <v>246599</v>
      </c>
      <c r="L92" s="8">
        <f t="shared" si="202"/>
        <v>263416</v>
      </c>
      <c r="M92" s="5">
        <v>283596</v>
      </c>
      <c r="N92" s="8">
        <f t="shared" si="196"/>
        <v>290717</v>
      </c>
      <c r="O92" s="5">
        <v>297837</v>
      </c>
      <c r="P92" s="9">
        <f t="shared" ref="P92:U92" si="278">ROUND(O92+($V92-$O92)/7, 0)</f>
        <v>299151</v>
      </c>
      <c r="Q92" s="9">
        <f t="shared" si="278"/>
        <v>300465</v>
      </c>
      <c r="R92" s="9">
        <f t="shared" si="278"/>
        <v>301779</v>
      </c>
      <c r="S92" s="9">
        <f t="shared" si="278"/>
        <v>303093</v>
      </c>
      <c r="T92" s="9">
        <f t="shared" si="278"/>
        <v>304407</v>
      </c>
      <c r="U92" s="9">
        <f t="shared" si="278"/>
        <v>305721</v>
      </c>
      <c r="V92" s="5">
        <v>307032</v>
      </c>
      <c r="W92" s="9">
        <f t="shared" ref="W92:X92" si="279">ROUND(V92+($Y92-$V92)/3, 0)</f>
        <v>310519</v>
      </c>
      <c r="X92" s="9">
        <f t="shared" si="279"/>
        <v>314006</v>
      </c>
      <c r="Y92" s="5">
        <v>317493</v>
      </c>
      <c r="Z92" s="10">
        <f t="shared" ref="Z92:AI92" si="280">ROUND(Y92+($AJ92-$Y92)/11, 0)</f>
        <v>318088</v>
      </c>
      <c r="AA92" s="10">
        <f t="shared" si="280"/>
        <v>318683</v>
      </c>
      <c r="AB92" s="10">
        <f t="shared" si="280"/>
        <v>319278</v>
      </c>
      <c r="AC92" s="10">
        <f t="shared" si="280"/>
        <v>319873</v>
      </c>
      <c r="AD92" s="10">
        <f t="shared" si="280"/>
        <v>320468</v>
      </c>
      <c r="AE92" s="10">
        <f t="shared" si="280"/>
        <v>321063</v>
      </c>
      <c r="AF92" s="10">
        <f t="shared" si="280"/>
        <v>321658</v>
      </c>
      <c r="AG92" s="10">
        <f t="shared" si="280"/>
        <v>322253</v>
      </c>
      <c r="AH92" s="10">
        <f t="shared" si="280"/>
        <v>322848</v>
      </c>
      <c r="AI92" s="10">
        <f t="shared" si="280"/>
        <v>323443</v>
      </c>
      <c r="AJ92" s="5">
        <v>324037</v>
      </c>
    </row>
    <row r="93" spans="1:36" x14ac:dyDescent="0.25">
      <c r="A93" s="1" t="s">
        <v>221</v>
      </c>
      <c r="B93" s="1" t="s">
        <v>224</v>
      </c>
      <c r="C93" s="1" t="s">
        <v>225</v>
      </c>
      <c r="D93" s="5">
        <v>311516</v>
      </c>
      <c r="E93" s="5">
        <v>364518</v>
      </c>
      <c r="F93" s="5">
        <v>381458</v>
      </c>
      <c r="G93" s="5">
        <v>449704</v>
      </c>
      <c r="H93" s="5">
        <v>486446</v>
      </c>
      <c r="I93" s="8">
        <f t="shared" si="200"/>
        <v>507018</v>
      </c>
      <c r="J93" s="5">
        <v>527590</v>
      </c>
      <c r="K93" s="8">
        <f t="shared" si="201"/>
        <v>567044</v>
      </c>
      <c r="L93" s="8">
        <f t="shared" si="202"/>
        <v>606499</v>
      </c>
      <c r="M93" s="5">
        <v>653844</v>
      </c>
      <c r="N93" s="8">
        <f t="shared" si="196"/>
        <v>676568</v>
      </c>
      <c r="O93" s="5">
        <v>699292</v>
      </c>
      <c r="P93" s="9">
        <f t="shared" ref="P93:U93" si="281">ROUND(O93+($V93-$O93)/7, 0)</f>
        <v>708857</v>
      </c>
      <c r="Q93" s="9">
        <f t="shared" si="281"/>
        <v>718422</v>
      </c>
      <c r="R93" s="9">
        <f t="shared" si="281"/>
        <v>727987</v>
      </c>
      <c r="S93" s="9">
        <f t="shared" si="281"/>
        <v>737552</v>
      </c>
      <c r="T93" s="9">
        <f t="shared" si="281"/>
        <v>747117</v>
      </c>
      <c r="U93" s="9">
        <f t="shared" si="281"/>
        <v>756682</v>
      </c>
      <c r="V93" s="5">
        <v>766246</v>
      </c>
      <c r="W93" s="9">
        <f t="shared" ref="W93:X93" si="282">ROUND(V93+($Y93-$V93)/3, 0)</f>
        <v>794002</v>
      </c>
      <c r="X93" s="9">
        <f t="shared" si="282"/>
        <v>821758</v>
      </c>
      <c r="Y93" s="5">
        <v>849515</v>
      </c>
      <c r="Z93" s="10">
        <f t="shared" ref="Z93:AI93" si="283">ROUND(Y93+($AJ93-$Y93)/11, 0)</f>
        <v>855998</v>
      </c>
      <c r="AA93" s="10">
        <f t="shared" si="283"/>
        <v>862481</v>
      </c>
      <c r="AB93" s="10">
        <f t="shared" si="283"/>
        <v>868964</v>
      </c>
      <c r="AC93" s="10">
        <f t="shared" si="283"/>
        <v>875447</v>
      </c>
      <c r="AD93" s="10">
        <f t="shared" si="283"/>
        <v>881930</v>
      </c>
      <c r="AE93" s="10">
        <f t="shared" si="283"/>
        <v>888413</v>
      </c>
      <c r="AF93" s="10">
        <f t="shared" si="283"/>
        <v>894896</v>
      </c>
      <c r="AG93" s="10">
        <f t="shared" si="283"/>
        <v>901379</v>
      </c>
      <c r="AH93" s="10">
        <f t="shared" si="283"/>
        <v>907862</v>
      </c>
      <c r="AI93" s="10">
        <f t="shared" si="283"/>
        <v>914345</v>
      </c>
      <c r="AJ93" s="5">
        <v>920826</v>
      </c>
    </row>
    <row r="94" spans="1:36" x14ac:dyDescent="0.25">
      <c r="A94" s="1" t="s">
        <v>221</v>
      </c>
      <c r="B94" s="1" t="s">
        <v>226</v>
      </c>
      <c r="C94" s="1" t="s">
        <v>227</v>
      </c>
      <c r="D94" s="5">
        <v>257597</v>
      </c>
      <c r="E94" s="5">
        <v>238061</v>
      </c>
      <c r="F94" s="5">
        <v>243541</v>
      </c>
      <c r="G94" s="5">
        <v>273906</v>
      </c>
      <c r="H94" s="5">
        <v>303540</v>
      </c>
      <c r="I94" s="8">
        <f t="shared" si="200"/>
        <v>328832</v>
      </c>
      <c r="J94" s="5">
        <v>354123</v>
      </c>
      <c r="K94" s="8">
        <f t="shared" si="201"/>
        <v>379190</v>
      </c>
      <c r="L94" s="8">
        <f t="shared" si="202"/>
        <v>404257</v>
      </c>
      <c r="M94" s="5">
        <v>434338</v>
      </c>
      <c r="N94" s="8">
        <f t="shared" si="196"/>
        <v>443492</v>
      </c>
      <c r="O94" s="5">
        <v>452646</v>
      </c>
      <c r="P94" s="9">
        <f t="shared" ref="P94:U94" si="284">ROUND(O94+($V94-$O94)/7, 0)</f>
        <v>454375</v>
      </c>
      <c r="Q94" s="9">
        <f t="shared" si="284"/>
        <v>456104</v>
      </c>
      <c r="R94" s="9">
        <f t="shared" si="284"/>
        <v>457833</v>
      </c>
      <c r="S94" s="9">
        <f t="shared" si="284"/>
        <v>459562</v>
      </c>
      <c r="T94" s="9">
        <f t="shared" si="284"/>
        <v>461291</v>
      </c>
      <c r="U94" s="9">
        <f t="shared" si="284"/>
        <v>463020</v>
      </c>
      <c r="V94" s="5">
        <v>464746</v>
      </c>
      <c r="W94" s="9">
        <f t="shared" ref="W94:X94" si="285">ROUND(V94+($Y94-$V94)/3, 0)</f>
        <v>470283</v>
      </c>
      <c r="X94" s="9">
        <f t="shared" si="285"/>
        <v>475820</v>
      </c>
      <c r="Y94" s="5">
        <v>481357</v>
      </c>
      <c r="Z94" s="10">
        <f t="shared" ref="Z94:AI94" si="286">ROUND(Y94+($AJ94-$Y94)/11, 0)</f>
        <v>482507</v>
      </c>
      <c r="AA94" s="10">
        <f t="shared" si="286"/>
        <v>483657</v>
      </c>
      <c r="AB94" s="10">
        <f t="shared" si="286"/>
        <v>484807</v>
      </c>
      <c r="AC94" s="10">
        <f t="shared" si="286"/>
        <v>485957</v>
      </c>
      <c r="AD94" s="10">
        <f t="shared" si="286"/>
        <v>487107</v>
      </c>
      <c r="AE94" s="10">
        <f t="shared" si="286"/>
        <v>488257</v>
      </c>
      <c r="AF94" s="10">
        <f t="shared" si="286"/>
        <v>489407</v>
      </c>
      <c r="AG94" s="10">
        <f t="shared" si="286"/>
        <v>490557</v>
      </c>
      <c r="AH94" s="10">
        <f t="shared" si="286"/>
        <v>491707</v>
      </c>
      <c r="AI94" s="10">
        <f t="shared" si="286"/>
        <v>492857</v>
      </c>
      <c r="AJ94" s="5">
        <v>494004</v>
      </c>
    </row>
    <row r="95" spans="1:36" x14ac:dyDescent="0.25">
      <c r="A95" s="1" t="s">
        <v>221</v>
      </c>
      <c r="B95" s="1" t="s">
        <v>228</v>
      </c>
      <c r="C95" s="1" t="s">
        <v>229</v>
      </c>
      <c r="D95" s="5">
        <v>125901</v>
      </c>
      <c r="E95" s="5">
        <v>99487</v>
      </c>
      <c r="F95" s="5">
        <v>99486</v>
      </c>
      <c r="G95" s="5">
        <v>124477</v>
      </c>
      <c r="H95" s="5">
        <v>170498</v>
      </c>
      <c r="I95" s="8">
        <f t="shared" si="200"/>
        <v>197992</v>
      </c>
      <c r="J95" s="5">
        <v>225485</v>
      </c>
      <c r="K95" s="8">
        <f t="shared" si="201"/>
        <v>273760</v>
      </c>
      <c r="L95" s="8">
        <f t="shared" si="202"/>
        <v>322034</v>
      </c>
      <c r="M95" s="5">
        <v>379964</v>
      </c>
      <c r="N95" s="8">
        <f t="shared" si="196"/>
        <v>421145</v>
      </c>
      <c r="O95" s="5">
        <v>462325</v>
      </c>
      <c r="P95" s="9">
        <f t="shared" ref="P95:U95" si="287">ROUND(O95+($V95-$O95)/7, 0)</f>
        <v>480745</v>
      </c>
      <c r="Q95" s="9">
        <f t="shared" si="287"/>
        <v>499165</v>
      </c>
      <c r="R95" s="9">
        <f t="shared" si="287"/>
        <v>517585</v>
      </c>
      <c r="S95" s="9">
        <f t="shared" si="287"/>
        <v>536005</v>
      </c>
      <c r="T95" s="9">
        <f t="shared" si="287"/>
        <v>554425</v>
      </c>
      <c r="U95" s="9">
        <f t="shared" si="287"/>
        <v>572845</v>
      </c>
      <c r="V95" s="5">
        <v>591262</v>
      </c>
      <c r="W95" s="9">
        <f t="shared" ref="W95:X95" si="288">ROUND(V95+($Y95-$V95)/3, 0)</f>
        <v>627789</v>
      </c>
      <c r="X95" s="9">
        <f t="shared" si="288"/>
        <v>664316</v>
      </c>
      <c r="Y95" s="5">
        <v>700842</v>
      </c>
      <c r="Z95" s="10">
        <f t="shared" ref="Z95:AI95" si="289">ROUND(Y95+($AJ95-$Y95)/11, 0)</f>
        <v>716064</v>
      </c>
      <c r="AA95" s="10">
        <f t="shared" si="289"/>
        <v>731286</v>
      </c>
      <c r="AB95" s="10">
        <f t="shared" si="289"/>
        <v>746508</v>
      </c>
      <c r="AC95" s="10">
        <f t="shared" si="289"/>
        <v>761730</v>
      </c>
      <c r="AD95" s="10">
        <f t="shared" si="289"/>
        <v>776952</v>
      </c>
      <c r="AE95" s="10">
        <f t="shared" si="289"/>
        <v>792174</v>
      </c>
      <c r="AF95" s="10">
        <f t="shared" si="289"/>
        <v>807396</v>
      </c>
      <c r="AG95" s="10">
        <f t="shared" si="289"/>
        <v>822618</v>
      </c>
      <c r="AH95" s="10">
        <f t="shared" si="289"/>
        <v>837840</v>
      </c>
      <c r="AI95" s="10">
        <f t="shared" si="289"/>
        <v>853062</v>
      </c>
      <c r="AJ95" s="5">
        <v>868285</v>
      </c>
    </row>
    <row r="96" spans="1:36" x14ac:dyDescent="0.25">
      <c r="A96" s="1" t="s">
        <v>221</v>
      </c>
      <c r="B96" s="1" t="s">
        <v>230</v>
      </c>
      <c r="C96" s="1" t="s">
        <v>231</v>
      </c>
      <c r="D96" s="5">
        <v>205373</v>
      </c>
      <c r="E96" s="5">
        <v>195085</v>
      </c>
      <c r="F96" s="5">
        <v>260668</v>
      </c>
      <c r="G96" s="5">
        <v>372238</v>
      </c>
      <c r="H96" s="5">
        <v>503045</v>
      </c>
      <c r="I96" s="8">
        <f t="shared" si="200"/>
        <v>590644</v>
      </c>
      <c r="J96" s="5">
        <v>678243</v>
      </c>
      <c r="K96" s="8">
        <f t="shared" si="201"/>
        <v>735180</v>
      </c>
      <c r="L96" s="8">
        <f t="shared" si="202"/>
        <v>792117</v>
      </c>
      <c r="M96" s="5">
        <v>860442</v>
      </c>
      <c r="N96" s="8">
        <f t="shared" si="196"/>
        <v>897213</v>
      </c>
      <c r="O96" s="5">
        <v>933983</v>
      </c>
      <c r="P96" s="9">
        <f t="shared" ref="P96:U96" si="290">ROUND(O96+($V96-$O96)/7, 0)</f>
        <v>947149</v>
      </c>
      <c r="Q96" s="9">
        <f t="shared" si="290"/>
        <v>960315</v>
      </c>
      <c r="R96" s="9">
        <f t="shared" si="290"/>
        <v>973481</v>
      </c>
      <c r="S96" s="9">
        <f t="shared" si="290"/>
        <v>986647</v>
      </c>
      <c r="T96" s="9">
        <f t="shared" si="290"/>
        <v>999813</v>
      </c>
      <c r="U96" s="9">
        <f t="shared" si="290"/>
        <v>1012979</v>
      </c>
      <c r="V96" s="5">
        <v>1026143</v>
      </c>
      <c r="W96" s="9">
        <f t="shared" ref="W96:X96" si="291">ROUND(V96+($Y96-$V96)/3, 0)</f>
        <v>1038174</v>
      </c>
      <c r="X96" s="9">
        <f t="shared" si="291"/>
        <v>1050205</v>
      </c>
      <c r="Y96" s="5">
        <v>1062237</v>
      </c>
      <c r="Z96" s="10">
        <f t="shared" ref="Z96:AI96" si="292">ROUND(Y96+($AJ96-$Y96)/11, 0)</f>
        <v>1063652</v>
      </c>
      <c r="AA96" s="10">
        <f t="shared" si="292"/>
        <v>1065067</v>
      </c>
      <c r="AB96" s="10">
        <f t="shared" si="292"/>
        <v>1066482</v>
      </c>
      <c r="AC96" s="10">
        <f t="shared" si="292"/>
        <v>1067897</v>
      </c>
      <c r="AD96" s="10">
        <f t="shared" si="292"/>
        <v>1069312</v>
      </c>
      <c r="AE96" s="10">
        <f t="shared" si="292"/>
        <v>1070727</v>
      </c>
      <c r="AF96" s="10">
        <f t="shared" si="292"/>
        <v>1072142</v>
      </c>
      <c r="AG96" s="10">
        <f t="shared" si="292"/>
        <v>1073557</v>
      </c>
      <c r="AH96" s="10">
        <f t="shared" si="292"/>
        <v>1074972</v>
      </c>
      <c r="AI96" s="10">
        <f t="shared" si="292"/>
        <v>1076387</v>
      </c>
      <c r="AJ96" s="5">
        <v>1077807</v>
      </c>
    </row>
    <row r="97" spans="1:36" x14ac:dyDescent="0.25">
      <c r="A97" s="1" t="s">
        <v>221</v>
      </c>
      <c r="B97" s="1" t="s">
        <v>232</v>
      </c>
      <c r="C97" s="1" t="s">
        <v>233</v>
      </c>
      <c r="D97" s="5">
        <v>1589161</v>
      </c>
      <c r="E97" s="5">
        <v>2430246</v>
      </c>
      <c r="F97" s="5">
        <v>3422247</v>
      </c>
      <c r="G97" s="5">
        <v>5169641</v>
      </c>
      <c r="H97" s="5">
        <v>7301120</v>
      </c>
      <c r="I97" s="8">
        <f t="shared" si="200"/>
        <v>8288764</v>
      </c>
      <c r="J97" s="5">
        <v>9276408</v>
      </c>
      <c r="K97" s="8">
        <f t="shared" si="201"/>
        <v>9750694</v>
      </c>
      <c r="L97" s="8">
        <f t="shared" si="202"/>
        <v>10224981</v>
      </c>
      <c r="M97" s="5">
        <v>10794124</v>
      </c>
      <c r="N97" s="8">
        <f t="shared" si="196"/>
        <v>11170074</v>
      </c>
      <c r="O97" s="5">
        <v>11546023</v>
      </c>
      <c r="P97" s="9">
        <f t="shared" ref="P97:U97" si="293">ROUND(O97+($V97-$O97)/7, 0)</f>
        <v>11648726</v>
      </c>
      <c r="Q97" s="9">
        <f t="shared" si="293"/>
        <v>11751429</v>
      </c>
      <c r="R97" s="9">
        <f t="shared" si="293"/>
        <v>11854132</v>
      </c>
      <c r="S97" s="9">
        <f t="shared" si="293"/>
        <v>11956835</v>
      </c>
      <c r="T97" s="9">
        <f t="shared" si="293"/>
        <v>12059538</v>
      </c>
      <c r="U97" s="9">
        <f t="shared" si="293"/>
        <v>12162241</v>
      </c>
      <c r="V97" s="5">
        <v>12264946</v>
      </c>
      <c r="W97" s="9">
        <f t="shared" ref="W97:X97" si="294">ROUND(V97+($Y97-$V97)/3, 0)</f>
        <v>12369459</v>
      </c>
      <c r="X97" s="9">
        <f t="shared" si="294"/>
        <v>12473972</v>
      </c>
      <c r="Y97" s="5">
        <v>12578485</v>
      </c>
      <c r="Z97" s="10">
        <f t="shared" ref="Z97:AI97" si="295">ROUND(Y97+($AJ97-$Y97)/11, 0)</f>
        <v>12559551</v>
      </c>
      <c r="AA97" s="10">
        <f t="shared" si="295"/>
        <v>12540617</v>
      </c>
      <c r="AB97" s="10">
        <f t="shared" si="295"/>
        <v>12521683</v>
      </c>
      <c r="AC97" s="10">
        <f t="shared" si="295"/>
        <v>12502749</v>
      </c>
      <c r="AD97" s="10">
        <f t="shared" si="295"/>
        <v>12483815</v>
      </c>
      <c r="AE97" s="10">
        <f t="shared" si="295"/>
        <v>12464881</v>
      </c>
      <c r="AF97" s="10">
        <f t="shared" si="295"/>
        <v>12445947</v>
      </c>
      <c r="AG97" s="10">
        <f t="shared" si="295"/>
        <v>12427013</v>
      </c>
      <c r="AH97" s="10">
        <f t="shared" si="295"/>
        <v>12408079</v>
      </c>
      <c r="AI97" s="10">
        <f t="shared" si="295"/>
        <v>12389145</v>
      </c>
      <c r="AJ97" s="5">
        <v>12370215</v>
      </c>
    </row>
    <row r="98" spans="1:36" x14ac:dyDescent="0.25">
      <c r="A98" s="1" t="s">
        <v>234</v>
      </c>
      <c r="B98" s="1" t="s">
        <v>235</v>
      </c>
      <c r="C98" s="1" t="s">
        <v>236</v>
      </c>
      <c r="D98" s="5">
        <v>136525</v>
      </c>
      <c r="E98" s="5">
        <v>206170</v>
      </c>
      <c r="F98" s="5">
        <v>269851</v>
      </c>
      <c r="G98" s="5">
        <v>332781</v>
      </c>
      <c r="H98" s="5">
        <v>462860</v>
      </c>
      <c r="I98" s="8">
        <f t="shared" si="200"/>
        <v>515566</v>
      </c>
      <c r="J98" s="5">
        <v>568272</v>
      </c>
      <c r="K98" s="8">
        <f t="shared" si="201"/>
        <v>612660</v>
      </c>
      <c r="L98" s="8">
        <f t="shared" si="202"/>
        <v>657047</v>
      </c>
      <c r="M98" s="5">
        <v>710312</v>
      </c>
      <c r="N98" s="8">
        <f t="shared" ref="N98:N129" si="296">ROUND(MEDIAN(M98,O98), 0)</f>
        <v>726194</v>
      </c>
      <c r="O98" s="5">
        <v>742075</v>
      </c>
      <c r="P98" s="9">
        <f t="shared" ref="P98:U98" si="297">ROUND(O98+($V98-$O98)/7, 0)</f>
        <v>748780</v>
      </c>
      <c r="Q98" s="9">
        <f t="shared" si="297"/>
        <v>755485</v>
      </c>
      <c r="R98" s="9">
        <f t="shared" si="297"/>
        <v>762190</v>
      </c>
      <c r="S98" s="9">
        <f t="shared" si="297"/>
        <v>768895</v>
      </c>
      <c r="T98" s="9">
        <f t="shared" si="297"/>
        <v>775600</v>
      </c>
      <c r="U98" s="9">
        <f t="shared" si="297"/>
        <v>782305</v>
      </c>
      <c r="V98" s="5">
        <v>789009</v>
      </c>
      <c r="W98" s="9">
        <f t="shared" ref="W98:X98" si="298">ROUND(V98+($Y98-$V98)/3, 0)</f>
        <v>801575</v>
      </c>
      <c r="X98" s="9">
        <f t="shared" si="298"/>
        <v>814141</v>
      </c>
      <c r="Y98" s="5">
        <v>826707</v>
      </c>
      <c r="Z98" s="10">
        <f t="shared" ref="Z98:AI98" si="299">ROUND(Y98+($AJ98-$Y98)/11, 0)</f>
        <v>828143</v>
      </c>
      <c r="AA98" s="10">
        <f t="shared" si="299"/>
        <v>829579</v>
      </c>
      <c r="AB98" s="10">
        <f t="shared" si="299"/>
        <v>831015</v>
      </c>
      <c r="AC98" s="10">
        <f t="shared" si="299"/>
        <v>832451</v>
      </c>
      <c r="AD98" s="10">
        <f t="shared" si="299"/>
        <v>833887</v>
      </c>
      <c r="AE98" s="10">
        <f t="shared" si="299"/>
        <v>835323</v>
      </c>
      <c r="AF98" s="10">
        <f t="shared" si="299"/>
        <v>836759</v>
      </c>
      <c r="AG98" s="10">
        <f t="shared" si="299"/>
        <v>838195</v>
      </c>
      <c r="AH98" s="10">
        <f t="shared" si="299"/>
        <v>839631</v>
      </c>
      <c r="AI98" s="10">
        <f t="shared" si="299"/>
        <v>841067</v>
      </c>
      <c r="AJ98" s="5">
        <v>842503</v>
      </c>
    </row>
    <row r="99" spans="1:36" x14ac:dyDescent="0.25">
      <c r="A99" s="1" t="s">
        <v>234</v>
      </c>
      <c r="B99" s="1" t="s">
        <v>237</v>
      </c>
      <c r="C99" s="1" t="s">
        <v>238</v>
      </c>
      <c r="D99" s="5">
        <v>145081</v>
      </c>
      <c r="E99" s="5">
        <v>197473</v>
      </c>
      <c r="F99" s="5">
        <v>210403</v>
      </c>
      <c r="G99" s="5">
        <v>213239</v>
      </c>
      <c r="H99" s="5">
        <v>282297</v>
      </c>
      <c r="I99" s="8">
        <f t="shared" si="200"/>
        <v>291023</v>
      </c>
      <c r="J99" s="5">
        <v>299749</v>
      </c>
      <c r="K99" s="8">
        <f t="shared" si="201"/>
        <v>312433</v>
      </c>
      <c r="L99" s="8">
        <f t="shared" si="202"/>
        <v>325117</v>
      </c>
      <c r="M99" s="5">
        <v>340337</v>
      </c>
      <c r="N99" s="8">
        <f t="shared" si="296"/>
        <v>350475</v>
      </c>
      <c r="O99" s="5">
        <v>360612</v>
      </c>
      <c r="P99" s="9">
        <f t="shared" ref="P99:U99" si="300">ROUND(O99+($V99-$O99)/7, 0)</f>
        <v>362498</v>
      </c>
      <c r="Q99" s="9">
        <f t="shared" si="300"/>
        <v>364384</v>
      </c>
      <c r="R99" s="9">
        <f t="shared" si="300"/>
        <v>366270</v>
      </c>
      <c r="S99" s="9">
        <f t="shared" si="300"/>
        <v>368156</v>
      </c>
      <c r="T99" s="9">
        <f t="shared" si="300"/>
        <v>370042</v>
      </c>
      <c r="U99" s="9">
        <f t="shared" si="300"/>
        <v>371928</v>
      </c>
      <c r="V99" s="5">
        <v>373814</v>
      </c>
      <c r="W99" s="9">
        <f t="shared" ref="W99:X99" si="301">ROUND(V99+($Y99-$V99)/3, 0)</f>
        <v>376491</v>
      </c>
      <c r="X99" s="9">
        <f t="shared" si="301"/>
        <v>379168</v>
      </c>
      <c r="Y99" s="5">
        <v>381846</v>
      </c>
      <c r="Z99" s="10">
        <f t="shared" ref="Z99:AI99" si="302">ROUND(Y99+($AJ99-$Y99)/11, 0)</f>
        <v>381942</v>
      </c>
      <c r="AA99" s="10">
        <f t="shared" si="302"/>
        <v>382038</v>
      </c>
      <c r="AB99" s="10">
        <f t="shared" si="302"/>
        <v>382134</v>
      </c>
      <c r="AC99" s="10">
        <f t="shared" si="302"/>
        <v>382230</v>
      </c>
      <c r="AD99" s="10">
        <f t="shared" si="302"/>
        <v>382326</v>
      </c>
      <c r="AE99" s="10">
        <f t="shared" si="302"/>
        <v>382422</v>
      </c>
      <c r="AF99" s="10">
        <f t="shared" si="302"/>
        <v>382518</v>
      </c>
      <c r="AG99" s="10">
        <f t="shared" si="302"/>
        <v>382614</v>
      </c>
      <c r="AH99" s="10">
        <f t="shared" si="302"/>
        <v>382710</v>
      </c>
      <c r="AI99" s="10">
        <f t="shared" si="302"/>
        <v>382806</v>
      </c>
      <c r="AJ99" s="5">
        <v>382899</v>
      </c>
    </row>
    <row r="100" spans="1:36" x14ac:dyDescent="0.25">
      <c r="A100" s="1" t="s">
        <v>234</v>
      </c>
      <c r="B100" s="1" t="s">
        <v>239</v>
      </c>
      <c r="C100" s="1" t="s">
        <v>240</v>
      </c>
      <c r="D100" s="5">
        <v>62850</v>
      </c>
      <c r="E100" s="5">
        <v>132817</v>
      </c>
      <c r="F100" s="5">
        <v>182307</v>
      </c>
      <c r="G100" s="5">
        <v>234311</v>
      </c>
      <c r="H100" s="5">
        <v>290707</v>
      </c>
      <c r="I100" s="8">
        <f t="shared" si="200"/>
        <v>304161</v>
      </c>
      <c r="J100" s="5">
        <v>317615</v>
      </c>
      <c r="K100" s="8">
        <f t="shared" si="201"/>
        <v>334901</v>
      </c>
      <c r="L100" s="8">
        <f t="shared" si="202"/>
        <v>352186</v>
      </c>
      <c r="M100" s="5">
        <v>372929</v>
      </c>
      <c r="N100" s="8">
        <f t="shared" si="296"/>
        <v>380857</v>
      </c>
      <c r="O100" s="5">
        <v>388785</v>
      </c>
      <c r="P100" s="9">
        <f t="shared" ref="P100:U100" si="303">ROUND(O100+($V100-$O100)/7, 0)</f>
        <v>392035</v>
      </c>
      <c r="Q100" s="9">
        <f t="shared" si="303"/>
        <v>395285</v>
      </c>
      <c r="R100" s="9">
        <f t="shared" si="303"/>
        <v>398535</v>
      </c>
      <c r="S100" s="9">
        <f t="shared" si="303"/>
        <v>401785</v>
      </c>
      <c r="T100" s="9">
        <f t="shared" si="303"/>
        <v>405035</v>
      </c>
      <c r="U100" s="9">
        <f t="shared" si="303"/>
        <v>408285</v>
      </c>
      <c r="V100" s="5">
        <v>411537</v>
      </c>
      <c r="W100" s="9">
        <f t="shared" ref="W100:X100" si="304">ROUND(V100+($Y100-$V100)/3, 0)</f>
        <v>416610</v>
      </c>
      <c r="X100" s="9">
        <f t="shared" si="304"/>
        <v>421683</v>
      </c>
      <c r="Y100" s="5">
        <v>426757</v>
      </c>
      <c r="Z100" s="10">
        <f t="shared" ref="Z100:AI100" si="305">ROUND(Y100+($AJ100-$Y100)/11, 0)</f>
        <v>426910</v>
      </c>
      <c r="AA100" s="10">
        <f t="shared" si="305"/>
        <v>427063</v>
      </c>
      <c r="AB100" s="10">
        <f t="shared" si="305"/>
        <v>427216</v>
      </c>
      <c r="AC100" s="10">
        <f t="shared" si="305"/>
        <v>427369</v>
      </c>
      <c r="AD100" s="10">
        <f t="shared" si="305"/>
        <v>427522</v>
      </c>
      <c r="AE100" s="10">
        <f t="shared" si="305"/>
        <v>427675</v>
      </c>
      <c r="AF100" s="10">
        <f t="shared" si="305"/>
        <v>427828</v>
      </c>
      <c r="AG100" s="10">
        <f t="shared" si="305"/>
        <v>427981</v>
      </c>
      <c r="AH100" s="10">
        <f t="shared" si="305"/>
        <v>428134</v>
      </c>
      <c r="AI100" s="10">
        <f t="shared" si="305"/>
        <v>428287</v>
      </c>
      <c r="AJ100" s="5">
        <v>428441</v>
      </c>
    </row>
    <row r="101" spans="1:36" x14ac:dyDescent="0.25">
      <c r="A101" s="1" t="s">
        <v>234</v>
      </c>
      <c r="B101" s="1" t="s">
        <v>241</v>
      </c>
      <c r="C101" s="1" t="s">
        <v>242</v>
      </c>
      <c r="D101" s="5">
        <v>192679</v>
      </c>
      <c r="E101" s="5">
        <v>231558</v>
      </c>
      <c r="F101" s="5">
        <v>305360</v>
      </c>
      <c r="G101" s="5">
        <v>360492</v>
      </c>
      <c r="H101" s="5">
        <v>514320</v>
      </c>
      <c r="I101" s="8">
        <f t="shared" si="200"/>
        <v>613760</v>
      </c>
      <c r="J101" s="5">
        <v>713199</v>
      </c>
      <c r="K101" s="8">
        <f t="shared" si="201"/>
        <v>845037</v>
      </c>
      <c r="L101" s="8">
        <f t="shared" si="202"/>
        <v>976876</v>
      </c>
      <c r="M101" s="5">
        <v>1135082</v>
      </c>
      <c r="N101" s="8">
        <f t="shared" si="296"/>
        <v>1210560</v>
      </c>
      <c r="O101" s="5">
        <v>1286037</v>
      </c>
      <c r="P101" s="9">
        <f t="shared" ref="P101:U101" si="306">ROUND(O101+($V101-$O101)/7, 0)</f>
        <v>1307943</v>
      </c>
      <c r="Q101" s="9">
        <f t="shared" si="306"/>
        <v>1329849</v>
      </c>
      <c r="R101" s="9">
        <f t="shared" si="306"/>
        <v>1351755</v>
      </c>
      <c r="S101" s="9">
        <f t="shared" si="306"/>
        <v>1373661</v>
      </c>
      <c r="T101" s="9">
        <f t="shared" si="306"/>
        <v>1395567</v>
      </c>
      <c r="U101" s="9">
        <f t="shared" si="306"/>
        <v>1417473</v>
      </c>
      <c r="V101" s="5">
        <v>1439380</v>
      </c>
      <c r="W101" s="9">
        <f t="shared" ref="W101:X101" si="307">ROUND(V101+($Y101-$V101)/3, 0)</f>
        <v>1470492</v>
      </c>
      <c r="X101" s="9">
        <f t="shared" si="307"/>
        <v>1501604</v>
      </c>
      <c r="Y101" s="5">
        <v>1532717</v>
      </c>
      <c r="Z101" s="10">
        <f t="shared" ref="Z101:AI101" si="308">ROUND(Y101+($AJ101-$Y101)/11, 0)</f>
        <v>1543278</v>
      </c>
      <c r="AA101" s="10">
        <f t="shared" si="308"/>
        <v>1553839</v>
      </c>
      <c r="AB101" s="10">
        <f t="shared" si="308"/>
        <v>1564400</v>
      </c>
      <c r="AC101" s="10">
        <f t="shared" si="308"/>
        <v>1574961</v>
      </c>
      <c r="AD101" s="10">
        <f t="shared" si="308"/>
        <v>1585522</v>
      </c>
      <c r="AE101" s="10">
        <f t="shared" si="308"/>
        <v>1596083</v>
      </c>
      <c r="AF101" s="10">
        <f t="shared" si="308"/>
        <v>1606644</v>
      </c>
      <c r="AG101" s="10">
        <f t="shared" si="308"/>
        <v>1617205</v>
      </c>
      <c r="AH101" s="10">
        <f t="shared" si="308"/>
        <v>1627766</v>
      </c>
      <c r="AI101" s="10">
        <f t="shared" si="308"/>
        <v>1638327</v>
      </c>
      <c r="AJ101" s="5">
        <v>1648886</v>
      </c>
    </row>
    <row r="102" spans="1:36" x14ac:dyDescent="0.25">
      <c r="A102" s="1" t="s">
        <v>243</v>
      </c>
      <c r="B102" s="1" t="s">
        <v>244</v>
      </c>
      <c r="C102" s="1" t="s">
        <v>245</v>
      </c>
      <c r="D102" s="5">
        <v>23305</v>
      </c>
      <c r="E102" s="5">
        <v>14417</v>
      </c>
      <c r="F102" s="5">
        <v>36935</v>
      </c>
      <c r="G102" s="5">
        <v>70232</v>
      </c>
      <c r="H102" s="5">
        <v>111064</v>
      </c>
      <c r="I102" s="8">
        <f t="shared" si="200"/>
        <v>139849</v>
      </c>
      <c r="J102" s="5">
        <v>168633</v>
      </c>
      <c r="K102" s="8">
        <f t="shared" si="201"/>
        <v>237724</v>
      </c>
      <c r="L102" s="8">
        <f t="shared" si="202"/>
        <v>306816</v>
      </c>
      <c r="M102" s="5">
        <v>389725</v>
      </c>
      <c r="N102" s="8">
        <f t="shared" si="296"/>
        <v>431049</v>
      </c>
      <c r="O102" s="5">
        <v>472373</v>
      </c>
      <c r="P102" s="9">
        <f t="shared" ref="P102:U102" si="309">ROUND(O102+($V102-$O102)/7, 0)</f>
        <v>482514</v>
      </c>
      <c r="Q102" s="9">
        <f t="shared" si="309"/>
        <v>492655</v>
      </c>
      <c r="R102" s="9">
        <f t="shared" si="309"/>
        <v>502796</v>
      </c>
      <c r="S102" s="9">
        <f t="shared" si="309"/>
        <v>512937</v>
      </c>
      <c r="T102" s="9">
        <f t="shared" si="309"/>
        <v>523078</v>
      </c>
      <c r="U102" s="9">
        <f t="shared" si="309"/>
        <v>533219</v>
      </c>
      <c r="V102" s="5">
        <v>543357</v>
      </c>
      <c r="W102" s="9">
        <f t="shared" ref="W102:X102" si="310">ROUND(V102+($Y102-$V102)/3, 0)</f>
        <v>566134</v>
      </c>
      <c r="X102" s="9">
        <f t="shared" si="310"/>
        <v>588911</v>
      </c>
      <c r="Y102" s="5">
        <v>611689</v>
      </c>
      <c r="Z102" s="10">
        <f t="shared" ref="Z102:AI102" si="311">ROUND(Y102+($AJ102-$Y102)/11, 0)</f>
        <v>613966</v>
      </c>
      <c r="AA102" s="10">
        <f t="shared" si="311"/>
        <v>616243</v>
      </c>
      <c r="AB102" s="10">
        <f t="shared" si="311"/>
        <v>618520</v>
      </c>
      <c r="AC102" s="10">
        <f t="shared" si="311"/>
        <v>620797</v>
      </c>
      <c r="AD102" s="10">
        <f t="shared" si="311"/>
        <v>623074</v>
      </c>
      <c r="AE102" s="10">
        <f t="shared" si="311"/>
        <v>625351</v>
      </c>
      <c r="AF102" s="10">
        <f t="shared" si="311"/>
        <v>627628</v>
      </c>
      <c r="AG102" s="10">
        <f t="shared" si="311"/>
        <v>629905</v>
      </c>
      <c r="AH102" s="10">
        <f t="shared" si="311"/>
        <v>632182</v>
      </c>
      <c r="AI102" s="10">
        <f t="shared" si="311"/>
        <v>634459</v>
      </c>
      <c r="AJ102" s="5">
        <v>636735</v>
      </c>
    </row>
    <row r="103" spans="1:36" x14ac:dyDescent="0.25">
      <c r="A103" s="1" t="s">
        <v>243</v>
      </c>
      <c r="B103" s="1" t="s">
        <v>246</v>
      </c>
      <c r="C103" s="1" t="s">
        <v>247</v>
      </c>
      <c r="D103" s="5"/>
      <c r="E103" s="5"/>
      <c r="F103" s="5"/>
      <c r="G103" s="5"/>
      <c r="H103" s="5"/>
      <c r="I103" s="8">
        <f t="shared" si="200"/>
        <v>322392</v>
      </c>
      <c r="J103" s="5">
        <v>322392</v>
      </c>
      <c r="K103" s="8">
        <f t="shared" si="201"/>
        <v>484014</v>
      </c>
      <c r="L103" s="8">
        <f t="shared" si="202"/>
        <v>645635</v>
      </c>
      <c r="M103" s="5">
        <v>839581</v>
      </c>
      <c r="N103" s="8">
        <f t="shared" si="296"/>
        <v>874080</v>
      </c>
      <c r="O103" s="5">
        <v>908579</v>
      </c>
      <c r="P103" s="9">
        <f t="shared" ref="P103:U103" si="312">ROUND(O103+($V103-$O103)/7, 0)</f>
        <v>908839</v>
      </c>
      <c r="Q103" s="9">
        <f t="shared" si="312"/>
        <v>909099</v>
      </c>
      <c r="R103" s="9">
        <f t="shared" si="312"/>
        <v>909359</v>
      </c>
      <c r="S103" s="9">
        <f t="shared" si="312"/>
        <v>909619</v>
      </c>
      <c r="T103" s="9">
        <f t="shared" si="312"/>
        <v>909879</v>
      </c>
      <c r="U103" s="9">
        <f t="shared" si="312"/>
        <v>910139</v>
      </c>
      <c r="V103" s="5">
        <v>910399</v>
      </c>
      <c r="W103" s="9">
        <f t="shared" ref="W103:X103" si="313">ROUND(V103+($Y103-$V103)/3, 0)</f>
        <v>923839</v>
      </c>
      <c r="X103" s="9">
        <f t="shared" si="313"/>
        <v>937279</v>
      </c>
      <c r="Y103" s="5">
        <v>950720</v>
      </c>
      <c r="Z103" s="10">
        <f t="shared" ref="Z103:AI103" si="314">ROUND(Y103+($AJ103-$Y103)/11, 0)</f>
        <v>950151</v>
      </c>
      <c r="AA103" s="10">
        <f t="shared" si="314"/>
        <v>949582</v>
      </c>
      <c r="AB103" s="10">
        <f t="shared" si="314"/>
        <v>949013</v>
      </c>
      <c r="AC103" s="10">
        <f t="shared" si="314"/>
        <v>948444</v>
      </c>
      <c r="AD103" s="10">
        <f t="shared" si="314"/>
        <v>947875</v>
      </c>
      <c r="AE103" s="10">
        <f t="shared" si="314"/>
        <v>947306</v>
      </c>
      <c r="AF103" s="10">
        <f t="shared" si="314"/>
        <v>946737</v>
      </c>
      <c r="AG103" s="10">
        <f t="shared" si="314"/>
        <v>946168</v>
      </c>
      <c r="AH103" s="10">
        <f t="shared" si="314"/>
        <v>945599</v>
      </c>
      <c r="AI103" s="10">
        <f t="shared" si="314"/>
        <v>945030</v>
      </c>
      <c r="AJ103" s="5">
        <v>944461</v>
      </c>
    </row>
    <row r="104" spans="1:36" x14ac:dyDescent="0.25">
      <c r="A104" s="1" t="s">
        <v>248</v>
      </c>
      <c r="B104" s="1" t="s">
        <v>249</v>
      </c>
      <c r="C104" s="1" t="s">
        <v>250</v>
      </c>
      <c r="D104" s="5">
        <v>7424</v>
      </c>
      <c r="E104" s="5">
        <v>10509</v>
      </c>
      <c r="F104" s="5">
        <v>17247</v>
      </c>
      <c r="G104" s="5">
        <v>25705</v>
      </c>
      <c r="H104" s="5">
        <v>36464</v>
      </c>
      <c r="I104" s="8">
        <f t="shared" si="200"/>
        <v>51741</v>
      </c>
      <c r="J104" s="5">
        <v>67017</v>
      </c>
      <c r="K104" s="8">
        <f t="shared" si="201"/>
        <v>109436</v>
      </c>
      <c r="L104" s="8">
        <f t="shared" si="202"/>
        <v>151855</v>
      </c>
      <c r="M104" s="5">
        <v>202758</v>
      </c>
      <c r="N104" s="8">
        <f t="shared" si="296"/>
        <v>231677</v>
      </c>
      <c r="O104" s="5">
        <v>260596</v>
      </c>
      <c r="P104" s="9">
        <f t="shared" ref="P104:U104" si="315">ROUND(O104+($V104-$O104)/7, 0)</f>
        <v>268559</v>
      </c>
      <c r="Q104" s="9">
        <f t="shared" si="315"/>
        <v>276522</v>
      </c>
      <c r="R104" s="9">
        <f t="shared" si="315"/>
        <v>284485</v>
      </c>
      <c r="S104" s="9">
        <f t="shared" si="315"/>
        <v>292448</v>
      </c>
      <c r="T104" s="9">
        <f t="shared" si="315"/>
        <v>300411</v>
      </c>
      <c r="U104" s="9">
        <f t="shared" si="315"/>
        <v>308374</v>
      </c>
      <c r="V104" s="5">
        <v>316336</v>
      </c>
      <c r="W104" s="9">
        <f t="shared" ref="W104:X104" si="316">ROUND(V104+($Y104-$V104)/3, 0)</f>
        <v>331784</v>
      </c>
      <c r="X104" s="9">
        <f t="shared" si="316"/>
        <v>347232</v>
      </c>
      <c r="Y104" s="5">
        <v>362681</v>
      </c>
      <c r="Z104" s="10">
        <f t="shared" ref="Z104:AI104" si="317">ROUND(Y104+($AJ104-$Y104)/11, 0)</f>
        <v>377724</v>
      </c>
      <c r="AA104" s="10">
        <f t="shared" si="317"/>
        <v>392767</v>
      </c>
      <c r="AB104" s="10">
        <f t="shared" si="317"/>
        <v>407810</v>
      </c>
      <c r="AC104" s="10">
        <f t="shared" si="317"/>
        <v>422853</v>
      </c>
      <c r="AD104" s="10">
        <f t="shared" si="317"/>
        <v>437896</v>
      </c>
      <c r="AE104" s="10">
        <f t="shared" si="317"/>
        <v>452939</v>
      </c>
      <c r="AF104" s="10">
        <f t="shared" si="317"/>
        <v>467982</v>
      </c>
      <c r="AG104" s="10">
        <f t="shared" si="317"/>
        <v>483025</v>
      </c>
      <c r="AH104" s="10">
        <f t="shared" si="317"/>
        <v>498068</v>
      </c>
      <c r="AI104" s="10">
        <f t="shared" si="317"/>
        <v>513111</v>
      </c>
      <c r="AJ104" s="5">
        <v>528156</v>
      </c>
    </row>
    <row r="105" spans="1:36" x14ac:dyDescent="0.25">
      <c r="A105" s="1" t="s">
        <v>248</v>
      </c>
      <c r="B105" s="1" t="s">
        <v>251</v>
      </c>
      <c r="C105" s="1" t="s">
        <v>252</v>
      </c>
      <c r="D105" s="5">
        <v>1490</v>
      </c>
      <c r="E105" s="5">
        <v>3024</v>
      </c>
      <c r="F105" s="5">
        <v>869</v>
      </c>
      <c r="G105" s="5">
        <v>3166</v>
      </c>
      <c r="H105" s="5">
        <v>4421</v>
      </c>
      <c r="I105" s="8">
        <f t="shared" si="200"/>
        <v>8263</v>
      </c>
      <c r="J105" s="5">
        <v>12104</v>
      </c>
      <c r="K105" s="8">
        <f t="shared" si="201"/>
        <v>22188</v>
      </c>
      <c r="L105" s="8">
        <f t="shared" si="202"/>
        <v>32272</v>
      </c>
      <c r="M105" s="5">
        <v>44373</v>
      </c>
      <c r="N105" s="8">
        <f t="shared" si="296"/>
        <v>54087</v>
      </c>
      <c r="O105" s="5">
        <v>63801</v>
      </c>
      <c r="P105" s="9">
        <f t="shared" ref="P105:U105" si="318">ROUND(O105+($V105-$O105)/7, 0)</f>
        <v>66028</v>
      </c>
      <c r="Q105" s="9">
        <f t="shared" si="318"/>
        <v>68255</v>
      </c>
      <c r="R105" s="9">
        <f t="shared" si="318"/>
        <v>70482</v>
      </c>
      <c r="S105" s="9">
        <f t="shared" si="318"/>
        <v>72709</v>
      </c>
      <c r="T105" s="9">
        <f t="shared" si="318"/>
        <v>74936</v>
      </c>
      <c r="U105" s="9">
        <f t="shared" si="318"/>
        <v>77163</v>
      </c>
      <c r="V105" s="5">
        <v>79389</v>
      </c>
      <c r="W105" s="9">
        <f t="shared" ref="W105:X105" si="319">ROUND(V105+($Y105-$V105)/3, 0)</f>
        <v>82192</v>
      </c>
      <c r="X105" s="9">
        <f t="shared" si="319"/>
        <v>84995</v>
      </c>
      <c r="Y105" s="5">
        <v>87798</v>
      </c>
      <c r="Z105" s="10">
        <f t="shared" ref="Z105:AI105" si="320">ROUND(Y105+($AJ105-$Y105)/11, 0)</f>
        <v>89685</v>
      </c>
      <c r="AA105" s="10">
        <f t="shared" si="320"/>
        <v>91572</v>
      </c>
      <c r="AB105" s="10">
        <f t="shared" si="320"/>
        <v>93459</v>
      </c>
      <c r="AC105" s="10">
        <f t="shared" si="320"/>
        <v>95346</v>
      </c>
      <c r="AD105" s="10">
        <f t="shared" si="320"/>
        <v>97233</v>
      </c>
      <c r="AE105" s="10">
        <f t="shared" si="320"/>
        <v>99120</v>
      </c>
      <c r="AF105" s="10">
        <f t="shared" si="320"/>
        <v>101007</v>
      </c>
      <c r="AG105" s="10">
        <f t="shared" si="320"/>
        <v>102894</v>
      </c>
      <c r="AH105" s="10">
        <f t="shared" si="320"/>
        <v>104781</v>
      </c>
      <c r="AI105" s="10">
        <f t="shared" si="320"/>
        <v>106668</v>
      </c>
      <c r="AJ105" s="5">
        <v>108551</v>
      </c>
    </row>
    <row r="106" spans="1:36" x14ac:dyDescent="0.25">
      <c r="A106" s="1" t="s">
        <v>253</v>
      </c>
      <c r="B106" s="1" t="s">
        <v>254</v>
      </c>
      <c r="C106" s="1" t="s">
        <v>255</v>
      </c>
      <c r="D106" s="5">
        <v>372567</v>
      </c>
      <c r="E106" s="5">
        <v>809238</v>
      </c>
      <c r="F106" s="5">
        <v>1112872</v>
      </c>
      <c r="G106" s="5">
        <v>1482733</v>
      </c>
      <c r="H106" s="5">
        <v>1791995</v>
      </c>
      <c r="I106" s="8">
        <f t="shared" si="200"/>
        <v>1848781</v>
      </c>
      <c r="J106" s="5">
        <v>1905566</v>
      </c>
      <c r="K106" s="8">
        <f t="shared" si="201"/>
        <v>1921116</v>
      </c>
      <c r="L106" s="8">
        <f t="shared" si="202"/>
        <v>1936667</v>
      </c>
      <c r="M106" s="5">
        <v>1955327</v>
      </c>
      <c r="N106" s="8">
        <f t="shared" si="296"/>
        <v>1957508</v>
      </c>
      <c r="O106" s="5">
        <v>1959688</v>
      </c>
      <c r="P106" s="9">
        <f t="shared" ref="P106:U106" si="321">ROUND(O106+($V106-$O106)/7, 0)</f>
        <v>1956481</v>
      </c>
      <c r="Q106" s="9">
        <f t="shared" si="321"/>
        <v>1953274</v>
      </c>
      <c r="R106" s="9">
        <f t="shared" si="321"/>
        <v>1950067</v>
      </c>
      <c r="S106" s="9">
        <f t="shared" si="321"/>
        <v>1946860</v>
      </c>
      <c r="T106" s="9">
        <f t="shared" si="321"/>
        <v>1943653</v>
      </c>
      <c r="U106" s="9">
        <f t="shared" si="321"/>
        <v>1940446</v>
      </c>
      <c r="V106" s="5">
        <v>1937239</v>
      </c>
      <c r="W106" s="9">
        <f t="shared" ref="W106:X106" si="322">ROUND(V106+($Y106-$V106)/3, 0)</f>
        <v>1940329</v>
      </c>
      <c r="X106" s="9">
        <f t="shared" si="322"/>
        <v>1943419</v>
      </c>
      <c r="Y106" s="5">
        <v>1946510</v>
      </c>
      <c r="Z106" s="10">
        <f t="shared" ref="Z106:AI106" si="323">ROUND(Y106+($AJ106-$Y106)/11, 0)</f>
        <v>1949674</v>
      </c>
      <c r="AA106" s="10">
        <f t="shared" si="323"/>
        <v>1952838</v>
      </c>
      <c r="AB106" s="10">
        <f t="shared" si="323"/>
        <v>1956002</v>
      </c>
      <c r="AC106" s="10">
        <f t="shared" si="323"/>
        <v>1959166</v>
      </c>
      <c r="AD106" s="10">
        <f t="shared" si="323"/>
        <v>1962330</v>
      </c>
      <c r="AE106" s="10">
        <f t="shared" si="323"/>
        <v>1965494</v>
      </c>
      <c r="AF106" s="10">
        <f t="shared" si="323"/>
        <v>1968658</v>
      </c>
      <c r="AG106" s="10">
        <f t="shared" si="323"/>
        <v>1971822</v>
      </c>
      <c r="AH106" s="10">
        <f t="shared" si="323"/>
        <v>1974986</v>
      </c>
      <c r="AI106" s="10">
        <f t="shared" si="323"/>
        <v>1978150</v>
      </c>
      <c r="AJ106" s="5">
        <v>1981313</v>
      </c>
    </row>
    <row r="107" spans="1:36" x14ac:dyDescent="0.25">
      <c r="A107" s="1" t="s">
        <v>253</v>
      </c>
      <c r="B107" s="1" t="s">
        <v>256</v>
      </c>
      <c r="C107" s="1" t="s">
        <v>257</v>
      </c>
      <c r="D107" s="5">
        <v>246871</v>
      </c>
      <c r="E107" s="5">
        <v>326392</v>
      </c>
      <c r="F107" s="5">
        <v>417748</v>
      </c>
      <c r="G107" s="5">
        <v>465023</v>
      </c>
      <c r="H107" s="5">
        <v>560344</v>
      </c>
      <c r="I107" s="8">
        <f t="shared" si="200"/>
        <v>604442</v>
      </c>
      <c r="J107" s="5">
        <v>648540</v>
      </c>
      <c r="K107" s="8">
        <f t="shared" si="201"/>
        <v>713294</v>
      </c>
      <c r="L107" s="8">
        <f t="shared" si="202"/>
        <v>778048</v>
      </c>
      <c r="M107" s="5">
        <v>855752</v>
      </c>
      <c r="N107" s="8">
        <f t="shared" si="296"/>
        <v>889435</v>
      </c>
      <c r="O107" s="5">
        <v>923118</v>
      </c>
      <c r="P107" s="9">
        <f t="shared" ref="P107:U107" si="324">ROUND(O107+($V107-$O107)/7, 0)</f>
        <v>934348</v>
      </c>
      <c r="Q107" s="9">
        <f t="shared" si="324"/>
        <v>945578</v>
      </c>
      <c r="R107" s="9">
        <f t="shared" si="324"/>
        <v>956808</v>
      </c>
      <c r="S107" s="9">
        <f t="shared" si="324"/>
        <v>968038</v>
      </c>
      <c r="T107" s="9">
        <f t="shared" si="324"/>
        <v>979268</v>
      </c>
      <c r="U107" s="9">
        <f t="shared" si="324"/>
        <v>990498</v>
      </c>
      <c r="V107" s="5">
        <v>1001725</v>
      </c>
      <c r="W107" s="9">
        <f t="shared" ref="W107:X107" si="325">ROUND(V107+($Y107-$V107)/3, 0)</f>
        <v>1019218</v>
      </c>
      <c r="X107" s="9">
        <f t="shared" si="325"/>
        <v>1036711</v>
      </c>
      <c r="Y107" s="5">
        <v>1054203</v>
      </c>
      <c r="Z107" s="10">
        <f t="shared" ref="Z107:AI107" si="326">ROUND(Y107+($AJ107-$Y107)/11, 0)</f>
        <v>1061537</v>
      </c>
      <c r="AA107" s="10">
        <f t="shared" si="326"/>
        <v>1068871</v>
      </c>
      <c r="AB107" s="10">
        <f t="shared" si="326"/>
        <v>1076205</v>
      </c>
      <c r="AC107" s="10">
        <f t="shared" si="326"/>
        <v>1083539</v>
      </c>
      <c r="AD107" s="10">
        <f t="shared" si="326"/>
        <v>1090873</v>
      </c>
      <c r="AE107" s="10">
        <f t="shared" si="326"/>
        <v>1098207</v>
      </c>
      <c r="AF107" s="10">
        <f t="shared" si="326"/>
        <v>1105541</v>
      </c>
      <c r="AG107" s="10">
        <f t="shared" si="326"/>
        <v>1112875</v>
      </c>
      <c r="AH107" s="10">
        <f t="shared" si="326"/>
        <v>1120209</v>
      </c>
      <c r="AI107" s="10">
        <f t="shared" si="326"/>
        <v>1127543</v>
      </c>
      <c r="AJ107" s="5">
        <v>1134876</v>
      </c>
    </row>
    <row r="108" spans="1:36" x14ac:dyDescent="0.25">
      <c r="A108" s="1" t="s">
        <v>253</v>
      </c>
      <c r="B108" s="1" t="s">
        <v>258</v>
      </c>
      <c r="C108" s="1" t="s">
        <v>259</v>
      </c>
      <c r="D108" s="5">
        <v>136893</v>
      </c>
      <c r="E108" s="5">
        <v>217603</v>
      </c>
      <c r="F108" s="5">
        <v>252730</v>
      </c>
      <c r="G108" s="5">
        <v>345446</v>
      </c>
      <c r="H108" s="5">
        <v>407563</v>
      </c>
      <c r="I108" s="8">
        <f t="shared" si="200"/>
        <v>419227</v>
      </c>
      <c r="J108" s="5">
        <v>430890</v>
      </c>
      <c r="K108" s="8">
        <f t="shared" si="201"/>
        <v>453728</v>
      </c>
      <c r="L108" s="8">
        <f t="shared" si="202"/>
        <v>476565</v>
      </c>
      <c r="M108" s="5">
        <v>503970</v>
      </c>
      <c r="N108" s="8">
        <f t="shared" si="296"/>
        <v>515264</v>
      </c>
      <c r="O108" s="5">
        <v>526558</v>
      </c>
      <c r="P108" s="9">
        <f t="shared" ref="P108:U108" si="327">ROUND(O108+($V108-$O108)/7, 0)</f>
        <v>528625</v>
      </c>
      <c r="Q108" s="9">
        <f t="shared" si="327"/>
        <v>530692</v>
      </c>
      <c r="R108" s="9">
        <f t="shared" si="327"/>
        <v>532759</v>
      </c>
      <c r="S108" s="9">
        <f t="shared" si="327"/>
        <v>534826</v>
      </c>
      <c r="T108" s="9">
        <f t="shared" si="327"/>
        <v>536893</v>
      </c>
      <c r="U108" s="9">
        <f t="shared" si="327"/>
        <v>538960</v>
      </c>
      <c r="V108" s="5">
        <v>541027</v>
      </c>
      <c r="W108" s="9">
        <f t="shared" ref="W108:X108" si="328">ROUND(V108+($Y108-$V108)/3, 0)</f>
        <v>539664</v>
      </c>
      <c r="X108" s="9">
        <f t="shared" si="328"/>
        <v>538301</v>
      </c>
      <c r="Y108" s="5">
        <v>536938</v>
      </c>
      <c r="Z108" s="10">
        <f t="shared" ref="Z108:AI108" si="329">ROUND(Y108+($AJ108-$Y108)/11, 0)</f>
        <v>536297</v>
      </c>
      <c r="AA108" s="10">
        <f t="shared" si="329"/>
        <v>535656</v>
      </c>
      <c r="AB108" s="10">
        <f t="shared" si="329"/>
        <v>535015</v>
      </c>
      <c r="AC108" s="10">
        <f t="shared" si="329"/>
        <v>534374</v>
      </c>
      <c r="AD108" s="10">
        <f t="shared" si="329"/>
        <v>533733</v>
      </c>
      <c r="AE108" s="10">
        <f t="shared" si="329"/>
        <v>533092</v>
      </c>
      <c r="AF108" s="10">
        <f t="shared" si="329"/>
        <v>532451</v>
      </c>
      <c r="AG108" s="10">
        <f t="shared" si="329"/>
        <v>531810</v>
      </c>
      <c r="AH108" s="10">
        <f t="shared" si="329"/>
        <v>531169</v>
      </c>
      <c r="AI108" s="10">
        <f t="shared" si="329"/>
        <v>530528</v>
      </c>
      <c r="AJ108" s="5">
        <v>529887</v>
      </c>
    </row>
    <row r="109" spans="1:36" x14ac:dyDescent="0.25">
      <c r="A109" s="1" t="s">
        <v>253</v>
      </c>
      <c r="B109" s="1" t="s">
        <v>260</v>
      </c>
      <c r="C109" s="1" t="s">
        <v>261</v>
      </c>
      <c r="D109" s="5">
        <v>265697</v>
      </c>
      <c r="E109" s="5">
        <v>396597</v>
      </c>
      <c r="F109" s="5">
        <v>452660</v>
      </c>
      <c r="G109" s="5">
        <v>505133</v>
      </c>
      <c r="H109" s="5">
        <v>559246</v>
      </c>
      <c r="I109" s="8">
        <f t="shared" si="200"/>
        <v>572549</v>
      </c>
      <c r="J109" s="5">
        <v>585851</v>
      </c>
      <c r="K109" s="8">
        <f t="shared" si="201"/>
        <v>620900</v>
      </c>
      <c r="L109" s="8">
        <f t="shared" si="202"/>
        <v>655949</v>
      </c>
      <c r="M109" s="5">
        <v>698008</v>
      </c>
      <c r="N109" s="8">
        <f t="shared" si="296"/>
        <v>715483</v>
      </c>
      <c r="O109" s="5">
        <v>732957</v>
      </c>
      <c r="P109" s="9">
        <f t="shared" ref="P109:U109" si="330">ROUND(O109+($V109-$O109)/7, 0)</f>
        <v>736972</v>
      </c>
      <c r="Q109" s="9">
        <f t="shared" si="330"/>
        <v>740987</v>
      </c>
      <c r="R109" s="9">
        <f t="shared" si="330"/>
        <v>745002</v>
      </c>
      <c r="S109" s="9">
        <f t="shared" si="330"/>
        <v>749017</v>
      </c>
      <c r="T109" s="9">
        <f t="shared" si="330"/>
        <v>753032</v>
      </c>
      <c r="U109" s="9">
        <f t="shared" si="330"/>
        <v>757047</v>
      </c>
      <c r="V109" s="5">
        <v>761062</v>
      </c>
      <c r="W109" s="9">
        <f t="shared" ref="W109:X109" si="331">ROUND(V109+($Y109-$V109)/3, 0)</f>
        <v>766988</v>
      </c>
      <c r="X109" s="9">
        <f t="shared" si="331"/>
        <v>772914</v>
      </c>
      <c r="Y109" s="5">
        <v>778841</v>
      </c>
      <c r="Z109" s="10">
        <f t="shared" ref="Z109:AI109" si="332">ROUND(Y109+($AJ109-$Y109)/11, 0)</f>
        <v>782134</v>
      </c>
      <c r="AA109" s="10">
        <f t="shared" si="332"/>
        <v>785427</v>
      </c>
      <c r="AB109" s="10">
        <f t="shared" si="332"/>
        <v>788720</v>
      </c>
      <c r="AC109" s="10">
        <f t="shared" si="332"/>
        <v>792013</v>
      </c>
      <c r="AD109" s="10">
        <f t="shared" si="332"/>
        <v>795306</v>
      </c>
      <c r="AE109" s="10">
        <f t="shared" si="332"/>
        <v>798599</v>
      </c>
      <c r="AF109" s="10">
        <f t="shared" si="332"/>
        <v>801892</v>
      </c>
      <c r="AG109" s="10">
        <f t="shared" si="332"/>
        <v>805185</v>
      </c>
      <c r="AH109" s="10">
        <f t="shared" si="332"/>
        <v>808478</v>
      </c>
      <c r="AI109" s="10">
        <f t="shared" si="332"/>
        <v>811771</v>
      </c>
      <c r="AJ109" s="5">
        <v>815060</v>
      </c>
    </row>
    <row r="110" spans="1:36" x14ac:dyDescent="0.25">
      <c r="A110" s="1" t="s">
        <v>253</v>
      </c>
      <c r="B110" s="1" t="s">
        <v>262</v>
      </c>
      <c r="C110" s="1" t="s">
        <v>263</v>
      </c>
      <c r="D110" s="5">
        <v>525243</v>
      </c>
      <c r="E110" s="5">
        <v>789293</v>
      </c>
      <c r="F110" s="5">
        <v>1036556</v>
      </c>
      <c r="G110" s="5">
        <v>1525140</v>
      </c>
      <c r="H110" s="5">
        <v>2137832</v>
      </c>
      <c r="I110" s="8">
        <f t="shared" si="200"/>
        <v>2507912</v>
      </c>
      <c r="J110" s="5">
        <v>2877991</v>
      </c>
      <c r="K110" s="8">
        <f t="shared" si="201"/>
        <v>3245034</v>
      </c>
      <c r="L110" s="8">
        <f t="shared" si="202"/>
        <v>3612077</v>
      </c>
      <c r="M110" s="5">
        <v>4052528</v>
      </c>
      <c r="N110" s="8">
        <f t="shared" si="296"/>
        <v>4228013</v>
      </c>
      <c r="O110" s="5">
        <v>4403498</v>
      </c>
      <c r="P110" s="9">
        <f t="shared" ref="P110:U110" si="333">ROUND(O110+($V110-$O110)/7, 0)</f>
        <v>4447244</v>
      </c>
      <c r="Q110" s="9">
        <f t="shared" si="333"/>
        <v>4490990</v>
      </c>
      <c r="R110" s="9">
        <f t="shared" si="333"/>
        <v>4534736</v>
      </c>
      <c r="S110" s="9">
        <f t="shared" si="333"/>
        <v>4578482</v>
      </c>
      <c r="T110" s="9">
        <f t="shared" si="333"/>
        <v>4622228</v>
      </c>
      <c r="U110" s="9">
        <f t="shared" si="333"/>
        <v>4665974</v>
      </c>
      <c r="V110" s="5">
        <v>4709718</v>
      </c>
      <c r="W110" s="9">
        <f t="shared" ref="W110:X110" si="334">ROUND(V110+($Y110-$V110)/3, 0)</f>
        <v>4720579</v>
      </c>
      <c r="X110" s="9">
        <f t="shared" si="334"/>
        <v>4731440</v>
      </c>
      <c r="Y110" s="5">
        <v>4742302</v>
      </c>
      <c r="Z110" s="10">
        <f t="shared" ref="Z110:AI110" si="335">ROUND(Y110+($AJ110-$Y110)/11, 0)</f>
        <v>4750415</v>
      </c>
      <c r="AA110" s="10">
        <f t="shared" si="335"/>
        <v>4758528</v>
      </c>
      <c r="AB110" s="10">
        <f t="shared" si="335"/>
        <v>4766641</v>
      </c>
      <c r="AC110" s="10">
        <f t="shared" si="335"/>
        <v>4774754</v>
      </c>
      <c r="AD110" s="10">
        <f t="shared" si="335"/>
        <v>4782867</v>
      </c>
      <c r="AE110" s="10">
        <f t="shared" si="335"/>
        <v>4790980</v>
      </c>
      <c r="AF110" s="10">
        <f t="shared" si="335"/>
        <v>4799093</v>
      </c>
      <c r="AG110" s="10">
        <f t="shared" si="335"/>
        <v>4807206</v>
      </c>
      <c r="AH110" s="10">
        <f t="shared" si="335"/>
        <v>4815319</v>
      </c>
      <c r="AI110" s="10">
        <f t="shared" si="335"/>
        <v>4823432</v>
      </c>
      <c r="AJ110" s="5">
        <v>4831544</v>
      </c>
    </row>
    <row r="111" spans="1:36" x14ac:dyDescent="0.25">
      <c r="A111" s="1" t="s">
        <v>253</v>
      </c>
      <c r="B111" s="1" t="s">
        <v>264</v>
      </c>
      <c r="C111" s="1" t="s">
        <v>265</v>
      </c>
      <c r="D111" s="5">
        <v>301493</v>
      </c>
      <c r="E111" s="5">
        <v>366986</v>
      </c>
      <c r="F111" s="5">
        <v>406308</v>
      </c>
      <c r="G111" s="5">
        <v>476964</v>
      </c>
      <c r="H111" s="5">
        <v>555285</v>
      </c>
      <c r="I111" s="8">
        <f t="shared" si="200"/>
        <v>580776</v>
      </c>
      <c r="J111" s="5">
        <v>606267</v>
      </c>
      <c r="K111" s="8">
        <f t="shared" si="201"/>
        <v>642240</v>
      </c>
      <c r="L111" s="8">
        <f t="shared" si="202"/>
        <v>678213</v>
      </c>
      <c r="M111" s="5">
        <v>721381</v>
      </c>
      <c r="N111" s="8">
        <f t="shared" si="296"/>
        <v>734248</v>
      </c>
      <c r="O111" s="5">
        <v>747115</v>
      </c>
      <c r="P111" s="9">
        <f t="shared" ref="P111:U111" si="336">ROUND(O111+($V111-$O111)/7, 0)</f>
        <v>742348</v>
      </c>
      <c r="Q111" s="9">
        <f t="shared" si="336"/>
        <v>737581</v>
      </c>
      <c r="R111" s="9">
        <f t="shared" si="336"/>
        <v>732814</v>
      </c>
      <c r="S111" s="9">
        <f t="shared" si="336"/>
        <v>728047</v>
      </c>
      <c r="T111" s="9">
        <f t="shared" si="336"/>
        <v>723280</v>
      </c>
      <c r="U111" s="9">
        <f t="shared" si="336"/>
        <v>718513</v>
      </c>
      <c r="V111" s="5">
        <v>713743</v>
      </c>
      <c r="W111" s="9">
        <f t="shared" ref="W111:X111" si="337">ROUND(V111+($Y111-$V111)/3, 0)</f>
        <v>716830</v>
      </c>
      <c r="X111" s="9">
        <f t="shared" si="337"/>
        <v>719917</v>
      </c>
      <c r="Y111" s="5">
        <v>723005</v>
      </c>
      <c r="Z111" s="10">
        <f t="shared" ref="Z111:AI111" si="338">ROUND(Y111+($AJ111-$Y111)/11, 0)</f>
        <v>720795</v>
      </c>
      <c r="AA111" s="10">
        <f t="shared" si="338"/>
        <v>718585</v>
      </c>
      <c r="AB111" s="10">
        <f t="shared" si="338"/>
        <v>716375</v>
      </c>
      <c r="AC111" s="10">
        <f t="shared" si="338"/>
        <v>714165</v>
      </c>
      <c r="AD111" s="10">
        <f t="shared" si="338"/>
        <v>711955</v>
      </c>
      <c r="AE111" s="10">
        <f t="shared" si="338"/>
        <v>709745</v>
      </c>
      <c r="AF111" s="10">
        <f t="shared" si="338"/>
        <v>707535</v>
      </c>
      <c r="AG111" s="10">
        <f t="shared" si="338"/>
        <v>705325</v>
      </c>
      <c r="AH111" s="10">
        <f t="shared" si="338"/>
        <v>703115</v>
      </c>
      <c r="AI111" s="10">
        <f t="shared" si="338"/>
        <v>700905</v>
      </c>
      <c r="AJ111" s="5">
        <v>698692</v>
      </c>
    </row>
    <row r="112" spans="1:36" x14ac:dyDescent="0.25">
      <c r="A112" s="1" t="s">
        <v>253</v>
      </c>
      <c r="B112" s="1" t="s">
        <v>266</v>
      </c>
      <c r="C112" s="1" t="s">
        <v>267</v>
      </c>
      <c r="D112" s="5">
        <v>333430</v>
      </c>
      <c r="E112" s="5">
        <v>414580</v>
      </c>
      <c r="F112" s="5">
        <v>485947</v>
      </c>
      <c r="G112" s="5">
        <v>588220</v>
      </c>
      <c r="H112" s="5">
        <v>652576</v>
      </c>
      <c r="I112" s="8">
        <f t="shared" si="200"/>
        <v>685660</v>
      </c>
      <c r="J112" s="5">
        <v>718744</v>
      </c>
      <c r="K112" s="8">
        <f t="shared" si="201"/>
        <v>759050</v>
      </c>
      <c r="L112" s="8">
        <f t="shared" si="202"/>
        <v>799355</v>
      </c>
      <c r="M112" s="5">
        <v>847722</v>
      </c>
      <c r="N112" s="8">
        <f t="shared" si="296"/>
        <v>871315</v>
      </c>
      <c r="O112" s="5">
        <v>894908</v>
      </c>
      <c r="P112" s="9">
        <f t="shared" ref="P112:U112" si="339">ROUND(O112+($V112-$O112)/7, 0)</f>
        <v>898253</v>
      </c>
      <c r="Q112" s="9">
        <f t="shared" si="339"/>
        <v>901598</v>
      </c>
      <c r="R112" s="9">
        <f t="shared" si="339"/>
        <v>904943</v>
      </c>
      <c r="S112" s="9">
        <f t="shared" si="339"/>
        <v>908288</v>
      </c>
      <c r="T112" s="9">
        <f t="shared" si="339"/>
        <v>911633</v>
      </c>
      <c r="U112" s="9">
        <f t="shared" si="339"/>
        <v>914978</v>
      </c>
      <c r="V112" s="5">
        <v>918326</v>
      </c>
      <c r="W112" s="9">
        <f t="shared" ref="W112:X112" si="340">ROUND(V112+($Y112-$V112)/3, 0)</f>
        <v>916261</v>
      </c>
      <c r="X112" s="9">
        <f t="shared" si="340"/>
        <v>914196</v>
      </c>
      <c r="Y112" s="5">
        <v>912130</v>
      </c>
      <c r="Z112" s="10">
        <f t="shared" ref="Z112:AI112" si="341">ROUND(Y112+($AJ112-$Y112)/11, 0)</f>
        <v>910263</v>
      </c>
      <c r="AA112" s="10">
        <f t="shared" si="341"/>
        <v>908396</v>
      </c>
      <c r="AB112" s="10">
        <f t="shared" si="341"/>
        <v>906529</v>
      </c>
      <c r="AC112" s="10">
        <f t="shared" si="341"/>
        <v>904662</v>
      </c>
      <c r="AD112" s="10">
        <f t="shared" si="341"/>
        <v>902795</v>
      </c>
      <c r="AE112" s="10">
        <f t="shared" si="341"/>
        <v>900928</v>
      </c>
      <c r="AF112" s="10">
        <f t="shared" si="341"/>
        <v>899061</v>
      </c>
      <c r="AG112" s="10">
        <f t="shared" si="341"/>
        <v>897194</v>
      </c>
      <c r="AH112" s="10">
        <f t="shared" si="341"/>
        <v>895327</v>
      </c>
      <c r="AI112" s="10">
        <f t="shared" si="341"/>
        <v>893460</v>
      </c>
      <c r="AJ112" s="5">
        <v>891593</v>
      </c>
    </row>
    <row r="113" spans="1:36" x14ac:dyDescent="0.25">
      <c r="A113" s="1" t="s">
        <v>268</v>
      </c>
      <c r="B113" s="1" t="s">
        <v>269</v>
      </c>
      <c r="C113" s="1" t="s">
        <v>270</v>
      </c>
      <c r="D113" s="5">
        <v>24650</v>
      </c>
      <c r="E113" s="5">
        <v>138466</v>
      </c>
      <c r="F113" s="5">
        <v>280199</v>
      </c>
      <c r="G113" s="5">
        <v>470431</v>
      </c>
      <c r="H113" s="5">
        <v>745638</v>
      </c>
      <c r="I113" s="8">
        <f t="shared" si="200"/>
        <v>838484</v>
      </c>
      <c r="J113" s="5">
        <v>931330</v>
      </c>
      <c r="K113" s="8">
        <f t="shared" si="201"/>
        <v>977133</v>
      </c>
      <c r="L113" s="8">
        <f t="shared" si="202"/>
        <v>1022937</v>
      </c>
      <c r="M113" s="5">
        <v>1077901</v>
      </c>
      <c r="N113" s="8">
        <f t="shared" si="296"/>
        <v>1097432</v>
      </c>
      <c r="O113" s="5">
        <v>1116963</v>
      </c>
      <c r="P113" s="9">
        <f t="shared" ref="P113:U113" si="342">ROUND(O113+($V113-$O113)/7, 0)</f>
        <v>1122078</v>
      </c>
      <c r="Q113" s="9">
        <f t="shared" si="342"/>
        <v>1127193</v>
      </c>
      <c r="R113" s="9">
        <f t="shared" si="342"/>
        <v>1132308</v>
      </c>
      <c r="S113" s="9">
        <f t="shared" si="342"/>
        <v>1137423</v>
      </c>
      <c r="T113" s="9">
        <f t="shared" si="342"/>
        <v>1142538</v>
      </c>
      <c r="U113" s="9">
        <f t="shared" si="342"/>
        <v>1147653</v>
      </c>
      <c r="V113" s="5">
        <v>1152766</v>
      </c>
      <c r="W113" s="9">
        <f t="shared" ref="W113:X113" si="343">ROUND(V113+($Y113-$V113)/3, 0)</f>
        <v>1168748</v>
      </c>
      <c r="X113" s="9">
        <f t="shared" si="343"/>
        <v>1184730</v>
      </c>
      <c r="Y113" s="5">
        <v>1200712</v>
      </c>
      <c r="Z113" s="10">
        <f t="shared" ref="Z113:AI113" si="344">ROUND(Y113+($AJ113-$Y113)/11, 0)</f>
        <v>1215028</v>
      </c>
      <c r="AA113" s="10">
        <f t="shared" si="344"/>
        <v>1229344</v>
      </c>
      <c r="AB113" s="10">
        <f t="shared" si="344"/>
        <v>1243660</v>
      </c>
      <c r="AC113" s="10">
        <f t="shared" si="344"/>
        <v>1257976</v>
      </c>
      <c r="AD113" s="10">
        <f t="shared" si="344"/>
        <v>1272292</v>
      </c>
      <c r="AE113" s="10">
        <f t="shared" si="344"/>
        <v>1286608</v>
      </c>
      <c r="AF113" s="10">
        <f t="shared" si="344"/>
        <v>1300924</v>
      </c>
      <c r="AG113" s="10">
        <f t="shared" si="344"/>
        <v>1315240</v>
      </c>
      <c r="AH113" s="10">
        <f t="shared" si="344"/>
        <v>1329556</v>
      </c>
      <c r="AI113" s="10">
        <f t="shared" si="344"/>
        <v>1343872</v>
      </c>
      <c r="AJ113" s="5">
        <v>1358188</v>
      </c>
    </row>
    <row r="114" spans="1:36" x14ac:dyDescent="0.25">
      <c r="A114" s="1" t="s">
        <v>268</v>
      </c>
      <c r="B114" s="1" t="s">
        <v>271</v>
      </c>
      <c r="C114" s="1" t="s">
        <v>272</v>
      </c>
      <c r="D114" s="5">
        <v>134034</v>
      </c>
      <c r="E114" s="5">
        <v>218738</v>
      </c>
      <c r="F114" s="5">
        <v>269620</v>
      </c>
      <c r="G114" s="5">
        <v>330647</v>
      </c>
      <c r="H114" s="5">
        <v>421703</v>
      </c>
      <c r="I114" s="8">
        <f t="shared" si="200"/>
        <v>516200</v>
      </c>
      <c r="J114" s="5">
        <v>610697</v>
      </c>
      <c r="K114" s="8">
        <f t="shared" si="201"/>
        <v>712265</v>
      </c>
      <c r="L114" s="8">
        <f t="shared" si="202"/>
        <v>813834</v>
      </c>
      <c r="M114" s="5">
        <v>935716</v>
      </c>
      <c r="N114" s="8">
        <f t="shared" si="296"/>
        <v>981161</v>
      </c>
      <c r="O114" s="5">
        <v>1026606</v>
      </c>
      <c r="P114" s="9">
        <f t="shared" ref="P114:U114" si="345">ROUND(O114+($V114-$O114)/7, 0)</f>
        <v>1042951</v>
      </c>
      <c r="Q114" s="9">
        <f t="shared" si="345"/>
        <v>1059296</v>
      </c>
      <c r="R114" s="9">
        <f t="shared" si="345"/>
        <v>1075641</v>
      </c>
      <c r="S114" s="9">
        <f t="shared" si="345"/>
        <v>1091986</v>
      </c>
      <c r="T114" s="9">
        <f t="shared" si="345"/>
        <v>1108331</v>
      </c>
      <c r="U114" s="9">
        <f t="shared" si="345"/>
        <v>1124676</v>
      </c>
      <c r="V114" s="5">
        <v>1141018</v>
      </c>
      <c r="W114" s="9">
        <f t="shared" ref="W114:X114" si="346">ROUND(V114+($Y114-$V114)/3, 0)</f>
        <v>1164960</v>
      </c>
      <c r="X114" s="9">
        <f t="shared" si="346"/>
        <v>1188902</v>
      </c>
      <c r="Y114" s="5">
        <v>1212843</v>
      </c>
      <c r="Z114" s="10">
        <f t="shared" ref="Z114:AI114" si="347">ROUND(Y114+($AJ114-$Y114)/11, 0)</f>
        <v>1234069</v>
      </c>
      <c r="AA114" s="10">
        <f t="shared" si="347"/>
        <v>1255295</v>
      </c>
      <c r="AB114" s="10">
        <f t="shared" si="347"/>
        <v>1276521</v>
      </c>
      <c r="AC114" s="10">
        <f t="shared" si="347"/>
        <v>1297747</v>
      </c>
      <c r="AD114" s="10">
        <f t="shared" si="347"/>
        <v>1318973</v>
      </c>
      <c r="AE114" s="10">
        <f t="shared" si="347"/>
        <v>1340199</v>
      </c>
      <c r="AF114" s="10">
        <f t="shared" si="347"/>
        <v>1361425</v>
      </c>
      <c r="AG114" s="10">
        <f t="shared" si="347"/>
        <v>1382651</v>
      </c>
      <c r="AH114" s="10">
        <f t="shared" si="347"/>
        <v>1403877</v>
      </c>
      <c r="AI114" s="10">
        <f t="shared" si="347"/>
        <v>1425103</v>
      </c>
      <c r="AJ114" s="5">
        <v>1446326</v>
      </c>
    </row>
    <row r="115" spans="1:36" x14ac:dyDescent="0.25">
      <c r="A115" s="1" t="s">
        <v>268</v>
      </c>
      <c r="B115" s="1" t="s">
        <v>273</v>
      </c>
      <c r="C115" s="1" t="s">
        <v>274</v>
      </c>
      <c r="D115" s="5">
        <v>79466</v>
      </c>
      <c r="E115" s="5">
        <v>174406</v>
      </c>
      <c r="F115" s="5">
        <v>184352</v>
      </c>
      <c r="G115" s="5">
        <v>255930</v>
      </c>
      <c r="H115" s="5">
        <v>324298</v>
      </c>
      <c r="I115" s="8">
        <f t="shared" si="200"/>
        <v>336968</v>
      </c>
      <c r="J115" s="5">
        <v>349638</v>
      </c>
      <c r="K115" s="8">
        <f t="shared" si="201"/>
        <v>356708</v>
      </c>
      <c r="L115" s="8">
        <f t="shared" si="202"/>
        <v>363778</v>
      </c>
      <c r="M115" s="5">
        <v>372262</v>
      </c>
      <c r="N115" s="8">
        <f t="shared" si="296"/>
        <v>386723</v>
      </c>
      <c r="O115" s="5">
        <v>401184</v>
      </c>
      <c r="P115" s="9">
        <f t="shared" ref="P115:U115" si="348">ROUND(O115+($V115-$O115)/7, 0)</f>
        <v>401981</v>
      </c>
      <c r="Q115" s="9">
        <f t="shared" si="348"/>
        <v>402778</v>
      </c>
      <c r="R115" s="9">
        <f t="shared" si="348"/>
        <v>403575</v>
      </c>
      <c r="S115" s="9">
        <f t="shared" si="348"/>
        <v>404372</v>
      </c>
      <c r="T115" s="9">
        <f t="shared" si="348"/>
        <v>405169</v>
      </c>
      <c r="U115" s="9">
        <f t="shared" si="348"/>
        <v>405966</v>
      </c>
      <c r="V115" s="5">
        <v>406765</v>
      </c>
      <c r="W115" s="9">
        <f t="shared" ref="W115:X115" si="349">ROUND(V115+($Y115-$V115)/3, 0)</f>
        <v>406757</v>
      </c>
      <c r="X115" s="9">
        <f t="shared" si="349"/>
        <v>406749</v>
      </c>
      <c r="Y115" s="5">
        <v>406741</v>
      </c>
      <c r="Z115" s="10">
        <f t="shared" ref="Z115:AI115" si="350">ROUND(Y115+($AJ115-$Y115)/11, 0)</f>
        <v>408219</v>
      </c>
      <c r="AA115" s="10">
        <f t="shared" si="350"/>
        <v>409697</v>
      </c>
      <c r="AB115" s="10">
        <f t="shared" si="350"/>
        <v>411175</v>
      </c>
      <c r="AC115" s="10">
        <f t="shared" si="350"/>
        <v>412653</v>
      </c>
      <c r="AD115" s="10">
        <f t="shared" si="350"/>
        <v>414131</v>
      </c>
      <c r="AE115" s="10">
        <f t="shared" si="350"/>
        <v>415609</v>
      </c>
      <c r="AF115" s="10">
        <f t="shared" si="350"/>
        <v>417087</v>
      </c>
      <c r="AG115" s="10">
        <f t="shared" si="350"/>
        <v>418565</v>
      </c>
      <c r="AH115" s="10">
        <f t="shared" si="350"/>
        <v>420043</v>
      </c>
      <c r="AI115" s="10">
        <f t="shared" si="350"/>
        <v>421521</v>
      </c>
      <c r="AJ115" s="5">
        <v>423004</v>
      </c>
    </row>
    <row r="116" spans="1:36" x14ac:dyDescent="0.25">
      <c r="A116" s="1" t="s">
        <v>268</v>
      </c>
      <c r="B116" s="1" t="s">
        <v>275</v>
      </c>
      <c r="C116" s="1" t="s">
        <v>276</v>
      </c>
      <c r="D116" s="5">
        <v>133884</v>
      </c>
      <c r="E116" s="5">
        <v>241380</v>
      </c>
      <c r="F116" s="5">
        <v>328382</v>
      </c>
      <c r="G116" s="5">
        <v>446643</v>
      </c>
      <c r="H116" s="5">
        <v>577746</v>
      </c>
      <c r="I116" s="8">
        <f t="shared" si="200"/>
        <v>650484</v>
      </c>
      <c r="J116" s="5">
        <v>723221</v>
      </c>
      <c r="K116" s="8">
        <f t="shared" si="201"/>
        <v>827568</v>
      </c>
      <c r="L116" s="8">
        <f t="shared" si="202"/>
        <v>931915</v>
      </c>
      <c r="M116" s="5">
        <v>1057132</v>
      </c>
      <c r="N116" s="8">
        <f t="shared" si="296"/>
        <v>1122158</v>
      </c>
      <c r="O116" s="5">
        <v>1187183</v>
      </c>
      <c r="P116" s="9">
        <f t="shared" ref="P116:U116" si="351">ROUND(O116+($V116-$O116)/7, 0)</f>
        <v>1212621</v>
      </c>
      <c r="Q116" s="9">
        <f t="shared" si="351"/>
        <v>1238059</v>
      </c>
      <c r="R116" s="9">
        <f t="shared" si="351"/>
        <v>1263497</v>
      </c>
      <c r="S116" s="9">
        <f t="shared" si="351"/>
        <v>1288935</v>
      </c>
      <c r="T116" s="9">
        <f t="shared" si="351"/>
        <v>1314373</v>
      </c>
      <c r="U116" s="9">
        <f t="shared" si="351"/>
        <v>1339811</v>
      </c>
      <c r="V116" s="5">
        <v>1365250</v>
      </c>
      <c r="W116" s="9">
        <f t="shared" ref="W116:X116" si="352">ROUND(V116+($Y116-$V116)/3, 0)</f>
        <v>1413160</v>
      </c>
      <c r="X116" s="9">
        <f t="shared" si="352"/>
        <v>1461070</v>
      </c>
      <c r="Y116" s="5">
        <v>1508980</v>
      </c>
      <c r="Z116" s="10">
        <f t="shared" ref="Z116:AI116" si="353">ROUND(Y116+($AJ116-$Y116)/11, 0)</f>
        <v>1551385</v>
      </c>
      <c r="AA116" s="10">
        <f t="shared" si="353"/>
        <v>1593790</v>
      </c>
      <c r="AB116" s="10">
        <f t="shared" si="353"/>
        <v>1636195</v>
      </c>
      <c r="AC116" s="10">
        <f t="shared" si="353"/>
        <v>1678600</v>
      </c>
      <c r="AD116" s="10">
        <f t="shared" si="353"/>
        <v>1721005</v>
      </c>
      <c r="AE116" s="10">
        <f t="shared" si="353"/>
        <v>1763410</v>
      </c>
      <c r="AF116" s="10">
        <f t="shared" si="353"/>
        <v>1805815</v>
      </c>
      <c r="AG116" s="10">
        <f t="shared" si="353"/>
        <v>1848220</v>
      </c>
      <c r="AH116" s="10">
        <f t="shared" si="353"/>
        <v>1890625</v>
      </c>
      <c r="AI116" s="10">
        <f t="shared" si="353"/>
        <v>1933030</v>
      </c>
      <c r="AJ116" s="5">
        <v>1975432</v>
      </c>
    </row>
    <row r="117" spans="1:36" x14ac:dyDescent="0.25">
      <c r="A117" s="1" t="s">
        <v>268</v>
      </c>
      <c r="B117" s="1" t="s">
        <v>277</v>
      </c>
      <c r="C117" s="1" t="s">
        <v>278</v>
      </c>
      <c r="D117" s="5">
        <v>137677</v>
      </c>
      <c r="E117" s="5">
        <v>165371</v>
      </c>
      <c r="F117" s="5">
        <v>182735</v>
      </c>
      <c r="G117" s="5">
        <v>238620</v>
      </c>
      <c r="H117" s="5">
        <v>328034</v>
      </c>
      <c r="I117" s="8">
        <f t="shared" si="200"/>
        <v>387158</v>
      </c>
      <c r="J117" s="5">
        <v>446281</v>
      </c>
      <c r="K117" s="8">
        <f t="shared" si="201"/>
        <v>515744</v>
      </c>
      <c r="L117" s="8">
        <f t="shared" si="202"/>
        <v>585206</v>
      </c>
      <c r="M117" s="5">
        <v>668561</v>
      </c>
      <c r="N117" s="8">
        <f t="shared" si="296"/>
        <v>735908</v>
      </c>
      <c r="O117" s="5">
        <v>803255</v>
      </c>
      <c r="P117" s="9">
        <f t="shared" ref="P117:U117" si="354">ROUND(O117+($V117-$O117)/7, 0)</f>
        <v>820496</v>
      </c>
      <c r="Q117" s="9">
        <f t="shared" si="354"/>
        <v>837737</v>
      </c>
      <c r="R117" s="9">
        <f t="shared" si="354"/>
        <v>854978</v>
      </c>
      <c r="S117" s="9">
        <f t="shared" si="354"/>
        <v>872219</v>
      </c>
      <c r="T117" s="9">
        <f t="shared" si="354"/>
        <v>889460</v>
      </c>
      <c r="U117" s="9">
        <f t="shared" si="354"/>
        <v>906701</v>
      </c>
      <c r="V117" s="5">
        <v>923940</v>
      </c>
      <c r="W117" s="9">
        <f t="shared" ref="W117:X117" si="355">ROUND(V117+($Y117-$V117)/3, 0)</f>
        <v>947325</v>
      </c>
      <c r="X117" s="9">
        <f t="shared" si="355"/>
        <v>970710</v>
      </c>
      <c r="Y117" s="5">
        <v>994095</v>
      </c>
      <c r="Z117" s="10">
        <f t="shared" ref="Z117:AI117" si="356">ROUND(Y117+($AJ117-$Y117)/11, 0)</f>
        <v>1024350</v>
      </c>
      <c r="AA117" s="10">
        <f t="shared" si="356"/>
        <v>1054605</v>
      </c>
      <c r="AB117" s="10">
        <f t="shared" si="356"/>
        <v>1084860</v>
      </c>
      <c r="AC117" s="10">
        <f t="shared" si="356"/>
        <v>1115115</v>
      </c>
      <c r="AD117" s="10">
        <f t="shared" si="356"/>
        <v>1145370</v>
      </c>
      <c r="AE117" s="10">
        <f t="shared" si="356"/>
        <v>1175625</v>
      </c>
      <c r="AF117" s="10">
        <f t="shared" si="356"/>
        <v>1205880</v>
      </c>
      <c r="AG117" s="10">
        <f t="shared" si="356"/>
        <v>1236135</v>
      </c>
      <c r="AH117" s="10">
        <f t="shared" si="356"/>
        <v>1266390</v>
      </c>
      <c r="AI117" s="10">
        <f t="shared" si="356"/>
        <v>1296645</v>
      </c>
      <c r="AJ117" s="5">
        <v>1326902</v>
      </c>
    </row>
    <row r="118" spans="1:36" x14ac:dyDescent="0.25">
      <c r="A118" s="1" t="s">
        <v>268</v>
      </c>
      <c r="B118" s="1" t="s">
        <v>279</v>
      </c>
      <c r="C118" s="1" t="s">
        <v>280</v>
      </c>
      <c r="D118" s="5">
        <v>159032</v>
      </c>
      <c r="E118" s="5">
        <v>239979</v>
      </c>
      <c r="F118" s="5">
        <v>315214</v>
      </c>
      <c r="G118" s="5">
        <v>386981</v>
      </c>
      <c r="H118" s="5">
        <v>504241</v>
      </c>
      <c r="I118" s="8">
        <f t="shared" si="200"/>
        <v>535683</v>
      </c>
      <c r="J118" s="5">
        <v>567125</v>
      </c>
      <c r="K118" s="8">
        <f t="shared" si="201"/>
        <v>628546</v>
      </c>
      <c r="L118" s="8">
        <f t="shared" si="202"/>
        <v>689967</v>
      </c>
      <c r="M118" s="5">
        <v>763672</v>
      </c>
      <c r="N118" s="8">
        <f t="shared" si="296"/>
        <v>793172</v>
      </c>
      <c r="O118" s="5">
        <v>822671</v>
      </c>
      <c r="P118" s="9">
        <f t="shared" ref="P118:U118" si="357">ROUND(O118+($V118-$O118)/7, 0)</f>
        <v>830363</v>
      </c>
      <c r="Q118" s="9">
        <f t="shared" si="357"/>
        <v>838055</v>
      </c>
      <c r="R118" s="9">
        <f t="shared" si="357"/>
        <v>845747</v>
      </c>
      <c r="S118" s="9">
        <f t="shared" si="357"/>
        <v>853439</v>
      </c>
      <c r="T118" s="9">
        <f t="shared" si="357"/>
        <v>861131</v>
      </c>
      <c r="U118" s="9">
        <f t="shared" si="357"/>
        <v>868823</v>
      </c>
      <c r="V118" s="5">
        <v>876513</v>
      </c>
      <c r="W118" s="9">
        <f t="shared" ref="W118:X118" si="358">ROUND(V118+($Y118-$V118)/3, 0)</f>
        <v>892697</v>
      </c>
      <c r="X118" s="9">
        <f t="shared" si="358"/>
        <v>908881</v>
      </c>
      <c r="Y118" s="5">
        <v>925065</v>
      </c>
      <c r="Z118" s="10">
        <f t="shared" ref="Z118:AI118" si="359">ROUND(Y118+($AJ118-$Y118)/11, 0)</f>
        <v>939196</v>
      </c>
      <c r="AA118" s="10">
        <f t="shared" si="359"/>
        <v>953327</v>
      </c>
      <c r="AB118" s="10">
        <f t="shared" si="359"/>
        <v>967458</v>
      </c>
      <c r="AC118" s="10">
        <f t="shared" si="359"/>
        <v>981589</v>
      </c>
      <c r="AD118" s="10">
        <f t="shared" si="359"/>
        <v>995720</v>
      </c>
      <c r="AE118" s="10">
        <f t="shared" si="359"/>
        <v>1009851</v>
      </c>
      <c r="AF118" s="10">
        <f t="shared" si="359"/>
        <v>1023982</v>
      </c>
      <c r="AG118" s="10">
        <f t="shared" si="359"/>
        <v>1038113</v>
      </c>
      <c r="AH118" s="10">
        <f t="shared" si="359"/>
        <v>1052244</v>
      </c>
      <c r="AI118" s="10">
        <f t="shared" si="359"/>
        <v>1066375</v>
      </c>
      <c r="AJ118" s="5">
        <v>1080509</v>
      </c>
    </row>
    <row r="119" spans="1:36" x14ac:dyDescent="0.25">
      <c r="A119" s="1" t="s">
        <v>281</v>
      </c>
      <c r="B119" s="1" t="s">
        <v>282</v>
      </c>
      <c r="C119" s="1" t="s">
        <v>283</v>
      </c>
      <c r="D119" s="5">
        <v>37836</v>
      </c>
      <c r="E119" s="5">
        <v>48813</v>
      </c>
      <c r="F119" s="5">
        <v>69235</v>
      </c>
      <c r="G119" s="5">
        <v>81584</v>
      </c>
      <c r="H119" s="5">
        <v>118326</v>
      </c>
      <c r="I119" s="8">
        <f t="shared" si="200"/>
        <v>135266</v>
      </c>
      <c r="J119" s="5">
        <v>152206</v>
      </c>
      <c r="K119" s="8">
        <f t="shared" si="201"/>
        <v>158812</v>
      </c>
      <c r="L119" s="8">
        <f t="shared" si="202"/>
        <v>165417</v>
      </c>
      <c r="M119" s="5">
        <v>173344</v>
      </c>
      <c r="N119" s="8">
        <f t="shared" si="296"/>
        <v>184854</v>
      </c>
      <c r="O119" s="5">
        <v>196364</v>
      </c>
      <c r="P119" s="9">
        <f t="shared" ref="P119:U119" si="360">ROUND(O119+($V119-$O119)/7, 0)</f>
        <v>198551</v>
      </c>
      <c r="Q119" s="9">
        <f t="shared" si="360"/>
        <v>200738</v>
      </c>
      <c r="R119" s="9">
        <f t="shared" si="360"/>
        <v>202925</v>
      </c>
      <c r="S119" s="9">
        <f t="shared" si="360"/>
        <v>205112</v>
      </c>
      <c r="T119" s="9">
        <f t="shared" si="360"/>
        <v>207299</v>
      </c>
      <c r="U119" s="9">
        <f t="shared" si="360"/>
        <v>209486</v>
      </c>
      <c r="V119" s="5">
        <v>211675</v>
      </c>
      <c r="W119" s="9">
        <f t="shared" ref="W119:X119" si="361">ROUND(V119+($Y119-$V119)/3, 0)</f>
        <v>216014</v>
      </c>
      <c r="X119" s="9">
        <f t="shared" si="361"/>
        <v>220353</v>
      </c>
      <c r="Y119" s="5">
        <v>224691</v>
      </c>
      <c r="Z119" s="10">
        <f t="shared" ref="Z119:AI119" si="362">ROUND(Y119+($AJ119-$Y119)/11, 0)</f>
        <v>226013</v>
      </c>
      <c r="AA119" s="10">
        <f t="shared" si="362"/>
        <v>227335</v>
      </c>
      <c r="AB119" s="10">
        <f t="shared" si="362"/>
        <v>228657</v>
      </c>
      <c r="AC119" s="10">
        <f t="shared" si="362"/>
        <v>229979</v>
      </c>
      <c r="AD119" s="10">
        <f t="shared" si="362"/>
        <v>231301</v>
      </c>
      <c r="AE119" s="10">
        <f t="shared" si="362"/>
        <v>232623</v>
      </c>
      <c r="AF119" s="10">
        <f t="shared" si="362"/>
        <v>233945</v>
      </c>
      <c r="AG119" s="10">
        <f t="shared" si="362"/>
        <v>235267</v>
      </c>
      <c r="AH119" s="10">
        <f t="shared" si="362"/>
        <v>236589</v>
      </c>
      <c r="AI119" s="10">
        <f t="shared" si="362"/>
        <v>237911</v>
      </c>
      <c r="AJ119" s="5">
        <v>239236</v>
      </c>
    </row>
    <row r="120" spans="1:36" x14ac:dyDescent="0.25">
      <c r="A120" s="1" t="s">
        <v>281</v>
      </c>
      <c r="B120" s="1" t="s">
        <v>284</v>
      </c>
      <c r="C120" s="1" t="s">
        <v>285</v>
      </c>
      <c r="D120" s="5">
        <v>157686</v>
      </c>
      <c r="E120" s="5">
        <v>175643</v>
      </c>
      <c r="F120" s="5">
        <v>211783</v>
      </c>
      <c r="G120" s="5">
        <v>236909</v>
      </c>
      <c r="H120" s="5">
        <v>259201</v>
      </c>
      <c r="I120" s="8">
        <f t="shared" si="200"/>
        <v>277148</v>
      </c>
      <c r="J120" s="5">
        <v>295095</v>
      </c>
      <c r="K120" s="8">
        <f t="shared" si="201"/>
        <v>319933</v>
      </c>
      <c r="L120" s="8">
        <f t="shared" si="202"/>
        <v>344772</v>
      </c>
      <c r="M120" s="5">
        <v>374578</v>
      </c>
      <c r="N120" s="8">
        <f t="shared" si="296"/>
        <v>389756</v>
      </c>
      <c r="O120" s="5">
        <v>404934</v>
      </c>
      <c r="P120" s="9">
        <f t="shared" ref="P120:U120" si="363">ROUND(O120+($V120-$O120)/7, 0)</f>
        <v>408399</v>
      </c>
      <c r="Q120" s="9">
        <f t="shared" si="363"/>
        <v>411864</v>
      </c>
      <c r="R120" s="9">
        <f t="shared" si="363"/>
        <v>415329</v>
      </c>
      <c r="S120" s="9">
        <f t="shared" si="363"/>
        <v>418794</v>
      </c>
      <c r="T120" s="9">
        <f t="shared" si="363"/>
        <v>422259</v>
      </c>
      <c r="U120" s="9">
        <f t="shared" si="363"/>
        <v>425724</v>
      </c>
      <c r="V120" s="5">
        <v>429187</v>
      </c>
      <c r="W120" s="9">
        <f t="shared" ref="W120:X120" si="364">ROUND(V120+($Y120-$V120)/3, 0)</f>
        <v>434860</v>
      </c>
      <c r="X120" s="9">
        <f t="shared" si="364"/>
        <v>440533</v>
      </c>
      <c r="Y120" s="5">
        <v>446207</v>
      </c>
      <c r="Z120" s="10">
        <f t="shared" ref="Z120:AI120" si="365">ROUND(Y120+($AJ120-$Y120)/11, 0)</f>
        <v>449131</v>
      </c>
      <c r="AA120" s="10">
        <f t="shared" si="365"/>
        <v>452055</v>
      </c>
      <c r="AB120" s="10">
        <f t="shared" si="365"/>
        <v>454979</v>
      </c>
      <c r="AC120" s="10">
        <f t="shared" si="365"/>
        <v>457903</v>
      </c>
      <c r="AD120" s="10">
        <f t="shared" si="365"/>
        <v>460827</v>
      </c>
      <c r="AE120" s="10">
        <f t="shared" si="365"/>
        <v>463751</v>
      </c>
      <c r="AF120" s="10">
        <f t="shared" si="365"/>
        <v>466675</v>
      </c>
      <c r="AG120" s="10">
        <f t="shared" si="365"/>
        <v>469599</v>
      </c>
      <c r="AH120" s="10">
        <f t="shared" si="365"/>
        <v>472523</v>
      </c>
      <c r="AI120" s="10">
        <f t="shared" si="365"/>
        <v>475447</v>
      </c>
      <c r="AJ120" s="5">
        <v>478373</v>
      </c>
    </row>
    <row r="121" spans="1:36" x14ac:dyDescent="0.25">
      <c r="A121" s="1" t="s">
        <v>281</v>
      </c>
      <c r="B121" s="1" t="s">
        <v>286</v>
      </c>
      <c r="C121" s="1" t="s">
        <v>287</v>
      </c>
      <c r="D121" s="5">
        <v>281542</v>
      </c>
      <c r="E121" s="5">
        <v>317870</v>
      </c>
      <c r="F121" s="5">
        <v>363343</v>
      </c>
      <c r="G121" s="5">
        <v>433285</v>
      </c>
      <c r="H121" s="5">
        <v>523152</v>
      </c>
      <c r="I121" s="8">
        <f t="shared" si="200"/>
        <v>608115</v>
      </c>
      <c r="J121" s="5">
        <v>693078</v>
      </c>
      <c r="K121" s="8">
        <f t="shared" si="201"/>
        <v>812772</v>
      </c>
      <c r="L121" s="8">
        <f t="shared" si="202"/>
        <v>932466</v>
      </c>
      <c r="M121" s="5">
        <v>1076098</v>
      </c>
      <c r="N121" s="8">
        <f t="shared" si="296"/>
        <v>1129815</v>
      </c>
      <c r="O121" s="5">
        <v>1183531</v>
      </c>
      <c r="P121" s="9">
        <f t="shared" ref="P121:U121" si="366">ROUND(O121+($V121-$O121)/7, 0)</f>
        <v>1199964</v>
      </c>
      <c r="Q121" s="9">
        <f t="shared" si="366"/>
        <v>1216397</v>
      </c>
      <c r="R121" s="9">
        <f t="shared" si="366"/>
        <v>1232830</v>
      </c>
      <c r="S121" s="9">
        <f t="shared" si="366"/>
        <v>1249263</v>
      </c>
      <c r="T121" s="9">
        <f t="shared" si="366"/>
        <v>1265696</v>
      </c>
      <c r="U121" s="9">
        <f t="shared" si="366"/>
        <v>1282129</v>
      </c>
      <c r="V121" s="5">
        <v>1298564</v>
      </c>
      <c r="W121" s="9">
        <f t="shared" ref="W121:X121" si="367">ROUND(V121+($Y121-$V121)/3, 0)</f>
        <v>1331416</v>
      </c>
      <c r="X121" s="9">
        <f t="shared" si="367"/>
        <v>1364268</v>
      </c>
      <c r="Y121" s="5">
        <v>1397119</v>
      </c>
      <c r="Z121" s="10">
        <f t="shared" ref="Z121:AI121" si="368">ROUND(Y121+($AJ121-$Y121)/11, 0)</f>
        <v>1405780</v>
      </c>
      <c r="AA121" s="10">
        <f t="shared" si="368"/>
        <v>1414441</v>
      </c>
      <c r="AB121" s="10">
        <f t="shared" si="368"/>
        <v>1423102</v>
      </c>
      <c r="AC121" s="10">
        <f t="shared" si="368"/>
        <v>1431763</v>
      </c>
      <c r="AD121" s="10">
        <f t="shared" si="368"/>
        <v>1440424</v>
      </c>
      <c r="AE121" s="10">
        <f t="shared" si="368"/>
        <v>1449085</v>
      </c>
      <c r="AF121" s="10">
        <f t="shared" si="368"/>
        <v>1457746</v>
      </c>
      <c r="AG121" s="10">
        <f t="shared" si="368"/>
        <v>1466407</v>
      </c>
      <c r="AH121" s="10">
        <f t="shared" si="368"/>
        <v>1475068</v>
      </c>
      <c r="AI121" s="10">
        <f t="shared" si="368"/>
        <v>1483729</v>
      </c>
      <c r="AJ121" s="5">
        <v>1492395</v>
      </c>
    </row>
    <row r="122" spans="1:36" x14ac:dyDescent="0.25">
      <c r="A122" s="1" t="s">
        <v>288</v>
      </c>
      <c r="B122" s="1" t="s">
        <v>289</v>
      </c>
      <c r="C122" s="1" t="s">
        <v>290</v>
      </c>
      <c r="D122" s="5">
        <v>263362</v>
      </c>
      <c r="E122" s="5">
        <v>618570</v>
      </c>
      <c r="F122" s="5">
        <v>689160</v>
      </c>
      <c r="G122" s="5">
        <v>924165</v>
      </c>
      <c r="H122" s="5">
        <v>981687</v>
      </c>
      <c r="I122" s="8">
        <f t="shared" si="200"/>
        <v>1010964</v>
      </c>
      <c r="J122" s="5">
        <v>1040241</v>
      </c>
      <c r="K122" s="8">
        <f t="shared" si="201"/>
        <v>1133159</v>
      </c>
      <c r="L122" s="8">
        <f t="shared" si="202"/>
        <v>1226078</v>
      </c>
      <c r="M122" s="5">
        <v>1337580</v>
      </c>
      <c r="N122" s="8">
        <f t="shared" si="296"/>
        <v>1379366</v>
      </c>
      <c r="O122" s="5">
        <v>1421152</v>
      </c>
      <c r="P122" s="9">
        <f t="shared" ref="P122:U122" si="369">ROUND(O122+($V122-$O122)/7, 0)</f>
        <v>1433234</v>
      </c>
      <c r="Q122" s="9">
        <f t="shared" si="369"/>
        <v>1445316</v>
      </c>
      <c r="R122" s="9">
        <f t="shared" si="369"/>
        <v>1457398</v>
      </c>
      <c r="S122" s="9">
        <f t="shared" si="369"/>
        <v>1469480</v>
      </c>
      <c r="T122" s="9">
        <f t="shared" si="369"/>
        <v>1481562</v>
      </c>
      <c r="U122" s="9">
        <f t="shared" si="369"/>
        <v>1493644</v>
      </c>
      <c r="V122" s="5">
        <v>1505728</v>
      </c>
      <c r="W122" s="9">
        <f t="shared" ref="W122:X122" si="370">ROUND(V122+($Y122-$V122)/3, 0)</f>
        <v>1526892</v>
      </c>
      <c r="X122" s="9">
        <f t="shared" si="370"/>
        <v>1548056</v>
      </c>
      <c r="Y122" s="5">
        <v>1569220</v>
      </c>
      <c r="Z122" s="10">
        <f t="shared" ref="Z122:AI122" si="371">ROUND(Y122+($AJ122-$Y122)/11, 0)</f>
        <v>1584530</v>
      </c>
      <c r="AA122" s="10">
        <f t="shared" si="371"/>
        <v>1599840</v>
      </c>
      <c r="AB122" s="10">
        <f t="shared" si="371"/>
        <v>1615150</v>
      </c>
      <c r="AC122" s="10">
        <f t="shared" si="371"/>
        <v>1630460</v>
      </c>
      <c r="AD122" s="10">
        <f t="shared" si="371"/>
        <v>1645770</v>
      </c>
      <c r="AE122" s="10">
        <f t="shared" si="371"/>
        <v>1661080</v>
      </c>
      <c r="AF122" s="10">
        <f t="shared" si="371"/>
        <v>1676390</v>
      </c>
      <c r="AG122" s="10">
        <f t="shared" si="371"/>
        <v>1691700</v>
      </c>
      <c r="AH122" s="10">
        <f t="shared" si="371"/>
        <v>1707010</v>
      </c>
      <c r="AI122" s="10">
        <f t="shared" si="371"/>
        <v>1722320</v>
      </c>
      <c r="AJ122" s="5">
        <v>1737629</v>
      </c>
    </row>
    <row r="123" spans="1:36" x14ac:dyDescent="0.25">
      <c r="A123" s="1" t="s">
        <v>288</v>
      </c>
      <c r="B123" s="1" t="s">
        <v>291</v>
      </c>
      <c r="C123" s="1" t="s">
        <v>292</v>
      </c>
      <c r="D123" s="5">
        <v>684842</v>
      </c>
      <c r="E123" s="5">
        <v>739213</v>
      </c>
      <c r="F123" s="5">
        <v>747315</v>
      </c>
      <c r="G123" s="5">
        <v>906502</v>
      </c>
      <c r="H123" s="5">
        <v>1074329</v>
      </c>
      <c r="I123" s="8">
        <f t="shared" si="200"/>
        <v>1211406</v>
      </c>
      <c r="J123" s="5">
        <v>1348482</v>
      </c>
      <c r="K123" s="8">
        <f t="shared" si="201"/>
        <v>1538780</v>
      </c>
      <c r="L123" s="8">
        <f t="shared" si="202"/>
        <v>1729078</v>
      </c>
      <c r="M123" s="5">
        <v>1957436</v>
      </c>
      <c r="N123" s="8">
        <f t="shared" si="296"/>
        <v>2031059</v>
      </c>
      <c r="O123" s="5">
        <v>2104682</v>
      </c>
      <c r="P123" s="9">
        <f t="shared" ref="P123:U123" si="372">ROUND(O123+($V123-$O123)/7, 0)</f>
        <v>2124934</v>
      </c>
      <c r="Q123" s="9">
        <f t="shared" si="372"/>
        <v>2145186</v>
      </c>
      <c r="R123" s="9">
        <f t="shared" si="372"/>
        <v>2165438</v>
      </c>
      <c r="S123" s="9">
        <f t="shared" si="372"/>
        <v>2185690</v>
      </c>
      <c r="T123" s="9">
        <f t="shared" si="372"/>
        <v>2205942</v>
      </c>
      <c r="U123" s="9">
        <f t="shared" si="372"/>
        <v>2226194</v>
      </c>
      <c r="V123" s="5">
        <v>2246443</v>
      </c>
      <c r="W123" s="9">
        <f t="shared" ref="W123:X123" si="373">ROUND(V123+($Y123-$V123)/3, 0)</f>
        <v>2289749</v>
      </c>
      <c r="X123" s="9">
        <f t="shared" si="373"/>
        <v>2333055</v>
      </c>
      <c r="Y123" s="5">
        <v>2376360</v>
      </c>
      <c r="Z123" s="10">
        <f t="shared" ref="Z123:AI123" si="374">ROUND(Y123+($AJ123-$Y123)/11, 0)</f>
        <v>2393292</v>
      </c>
      <c r="AA123" s="10">
        <f t="shared" si="374"/>
        <v>2410224</v>
      </c>
      <c r="AB123" s="10">
        <f t="shared" si="374"/>
        <v>2427156</v>
      </c>
      <c r="AC123" s="10">
        <f t="shared" si="374"/>
        <v>2444088</v>
      </c>
      <c r="AD123" s="10">
        <f t="shared" si="374"/>
        <v>2461020</v>
      </c>
      <c r="AE123" s="10">
        <f t="shared" si="374"/>
        <v>2477952</v>
      </c>
      <c r="AF123" s="10">
        <f t="shared" si="374"/>
        <v>2494884</v>
      </c>
      <c r="AG123" s="10">
        <f t="shared" si="374"/>
        <v>2511816</v>
      </c>
      <c r="AH123" s="10">
        <f t="shared" si="374"/>
        <v>2528748</v>
      </c>
      <c r="AI123" s="10">
        <f t="shared" si="374"/>
        <v>2545680</v>
      </c>
      <c r="AJ123" s="5">
        <v>2562609</v>
      </c>
    </row>
    <row r="124" spans="1:36" x14ac:dyDescent="0.25">
      <c r="A124" s="1" t="s">
        <v>288</v>
      </c>
      <c r="B124" s="1" t="s">
        <v>293</v>
      </c>
      <c r="C124" s="1" t="s">
        <v>294</v>
      </c>
      <c r="D124" s="5">
        <v>43871</v>
      </c>
      <c r="E124" s="5">
        <v>257771</v>
      </c>
      <c r="F124" s="5">
        <v>399061</v>
      </c>
      <c r="G124" s="5">
        <v>452203</v>
      </c>
      <c r="H124" s="5">
        <v>481732</v>
      </c>
      <c r="I124" s="8">
        <f t="shared" si="200"/>
        <v>486562</v>
      </c>
      <c r="J124" s="5">
        <v>491392</v>
      </c>
      <c r="K124" s="8">
        <f t="shared" si="201"/>
        <v>528013</v>
      </c>
      <c r="L124" s="8">
        <f t="shared" si="202"/>
        <v>564635</v>
      </c>
      <c r="M124" s="5">
        <v>608580</v>
      </c>
      <c r="N124" s="8">
        <f t="shared" si="296"/>
        <v>622060</v>
      </c>
      <c r="O124" s="5">
        <v>635539</v>
      </c>
      <c r="P124" s="9">
        <f t="shared" ref="P124:U124" si="375">ROUND(O124+($V124-$O124)/7, 0)</f>
        <v>640343</v>
      </c>
      <c r="Q124" s="9">
        <f t="shared" si="375"/>
        <v>645147</v>
      </c>
      <c r="R124" s="9">
        <f t="shared" si="375"/>
        <v>649951</v>
      </c>
      <c r="S124" s="9">
        <f t="shared" si="375"/>
        <v>654755</v>
      </c>
      <c r="T124" s="9">
        <f t="shared" si="375"/>
        <v>659559</v>
      </c>
      <c r="U124" s="9">
        <f t="shared" si="375"/>
        <v>664363</v>
      </c>
      <c r="V124" s="5">
        <v>669167</v>
      </c>
      <c r="W124" s="9">
        <f t="shared" ref="W124:X124" si="376">ROUND(V124+($Y124-$V124)/3, 0)</f>
        <v>678045</v>
      </c>
      <c r="X124" s="9">
        <f t="shared" si="376"/>
        <v>686923</v>
      </c>
      <c r="Y124" s="5">
        <v>695801</v>
      </c>
      <c r="Z124" s="10">
        <f t="shared" ref="Z124:AI124" si="377">ROUND(Y124+($AJ124-$Y124)/11, 0)</f>
        <v>699612</v>
      </c>
      <c r="AA124" s="10">
        <f t="shared" si="377"/>
        <v>703423</v>
      </c>
      <c r="AB124" s="10">
        <f t="shared" si="377"/>
        <v>707234</v>
      </c>
      <c r="AC124" s="10">
        <f t="shared" si="377"/>
        <v>711045</v>
      </c>
      <c r="AD124" s="10">
        <f t="shared" si="377"/>
        <v>714856</v>
      </c>
      <c r="AE124" s="10">
        <f t="shared" si="377"/>
        <v>718667</v>
      </c>
      <c r="AF124" s="10">
        <f t="shared" si="377"/>
        <v>722478</v>
      </c>
      <c r="AG124" s="10">
        <f t="shared" si="377"/>
        <v>726289</v>
      </c>
      <c r="AH124" s="10">
        <f t="shared" si="377"/>
        <v>730100</v>
      </c>
      <c r="AI124" s="10">
        <f t="shared" si="377"/>
        <v>733911</v>
      </c>
      <c r="AJ124" s="5">
        <v>737720</v>
      </c>
    </row>
    <row r="125" spans="1:36" x14ac:dyDescent="0.25">
      <c r="A125" s="1" t="s">
        <v>288</v>
      </c>
      <c r="B125" s="1" t="s">
        <v>295</v>
      </c>
      <c r="C125" s="1" t="s">
        <v>296</v>
      </c>
      <c r="D125" s="5">
        <v>442500</v>
      </c>
      <c r="E125" s="5">
        <v>718249</v>
      </c>
      <c r="F125" s="5">
        <v>667602</v>
      </c>
      <c r="G125" s="5">
        <v>738297</v>
      </c>
      <c r="H125" s="5">
        <v>742040</v>
      </c>
      <c r="I125" s="8">
        <f t="shared" si="200"/>
        <v>815415</v>
      </c>
      <c r="J125" s="5">
        <v>888789</v>
      </c>
      <c r="K125" s="8">
        <f t="shared" si="201"/>
        <v>990847</v>
      </c>
      <c r="L125" s="8">
        <f t="shared" si="202"/>
        <v>1092906</v>
      </c>
      <c r="M125" s="5">
        <v>1215376</v>
      </c>
      <c r="N125" s="8">
        <f t="shared" si="296"/>
        <v>1262551</v>
      </c>
      <c r="O125" s="5">
        <v>1309726</v>
      </c>
      <c r="P125" s="9">
        <f t="shared" ref="P125:U125" si="378">ROUND(O125+($V125-$O125)/7, 0)</f>
        <v>1325015</v>
      </c>
      <c r="Q125" s="9">
        <f t="shared" si="378"/>
        <v>1340304</v>
      </c>
      <c r="R125" s="9">
        <f t="shared" si="378"/>
        <v>1355593</v>
      </c>
      <c r="S125" s="9">
        <f t="shared" si="378"/>
        <v>1370882</v>
      </c>
      <c r="T125" s="9">
        <f t="shared" si="378"/>
        <v>1386171</v>
      </c>
      <c r="U125" s="9">
        <f t="shared" si="378"/>
        <v>1401460</v>
      </c>
      <c r="V125" s="5">
        <v>1416746</v>
      </c>
      <c r="W125" s="9">
        <f t="shared" ref="W125:X125" si="379">ROUND(V125+($Y125-$V125)/3, 0)</f>
        <v>1429201</v>
      </c>
      <c r="X125" s="9">
        <f t="shared" si="379"/>
        <v>1441656</v>
      </c>
      <c r="Y125" s="5">
        <v>1454111</v>
      </c>
      <c r="Z125" s="10">
        <f t="shared" ref="Z125:AI125" si="380">ROUND(Y125+($AJ125-$Y125)/11, 0)</f>
        <v>1462985</v>
      </c>
      <c r="AA125" s="10">
        <f t="shared" si="380"/>
        <v>1471859</v>
      </c>
      <c r="AB125" s="10">
        <f t="shared" si="380"/>
        <v>1480733</v>
      </c>
      <c r="AC125" s="10">
        <f t="shared" si="380"/>
        <v>1489607</v>
      </c>
      <c r="AD125" s="10">
        <f t="shared" si="380"/>
        <v>1498481</v>
      </c>
      <c r="AE125" s="10">
        <f t="shared" si="380"/>
        <v>1507355</v>
      </c>
      <c r="AF125" s="10">
        <f t="shared" si="380"/>
        <v>1516229</v>
      </c>
      <c r="AG125" s="10">
        <f t="shared" si="380"/>
        <v>1525103</v>
      </c>
      <c r="AH125" s="10">
        <f t="shared" si="380"/>
        <v>1533977</v>
      </c>
      <c r="AI125" s="10">
        <f t="shared" si="380"/>
        <v>1542851</v>
      </c>
      <c r="AJ125" s="5">
        <v>1551730</v>
      </c>
    </row>
    <row r="126" spans="1:36" x14ac:dyDescent="0.25">
      <c r="A126" s="1" t="s">
        <v>288</v>
      </c>
      <c r="B126" s="1" t="s">
        <v>297</v>
      </c>
      <c r="C126" s="1" t="s">
        <v>298</v>
      </c>
      <c r="D126" s="5">
        <v>242587</v>
      </c>
      <c r="E126" s="5">
        <v>275770</v>
      </c>
      <c r="F126" s="5">
        <v>241955</v>
      </c>
      <c r="G126" s="5">
        <v>283995</v>
      </c>
      <c r="H126" s="5">
        <v>336198</v>
      </c>
      <c r="I126" s="8">
        <f t="shared" si="200"/>
        <v>393598</v>
      </c>
      <c r="J126" s="5">
        <v>450997</v>
      </c>
      <c r="K126" s="8">
        <f t="shared" si="201"/>
        <v>517997</v>
      </c>
      <c r="L126" s="8">
        <f t="shared" si="202"/>
        <v>584996</v>
      </c>
      <c r="M126" s="5">
        <v>665396</v>
      </c>
      <c r="N126" s="8">
        <f t="shared" si="296"/>
        <v>692361</v>
      </c>
      <c r="O126" s="5">
        <v>719326</v>
      </c>
      <c r="P126" s="9">
        <f t="shared" ref="P126:U126" si="381">ROUND(O126+($V126-$O126)/7, 0)</f>
        <v>726629</v>
      </c>
      <c r="Q126" s="9">
        <f t="shared" si="381"/>
        <v>733932</v>
      </c>
      <c r="R126" s="9">
        <f t="shared" si="381"/>
        <v>741235</v>
      </c>
      <c r="S126" s="9">
        <f t="shared" si="381"/>
        <v>748538</v>
      </c>
      <c r="T126" s="9">
        <f t="shared" si="381"/>
        <v>755841</v>
      </c>
      <c r="U126" s="9">
        <f t="shared" si="381"/>
        <v>763144</v>
      </c>
      <c r="V126" s="5">
        <v>770447</v>
      </c>
      <c r="W126" s="9">
        <f t="shared" ref="W126:X126" si="382">ROUND(V126+($Y126-$V126)/3, 0)</f>
        <v>783940</v>
      </c>
      <c r="X126" s="9">
        <f t="shared" si="382"/>
        <v>797433</v>
      </c>
      <c r="Y126" s="5">
        <v>810926</v>
      </c>
      <c r="Z126" s="10">
        <f t="shared" ref="Z126:AI126" si="383">ROUND(Y126+($AJ126-$Y126)/11, 0)</f>
        <v>817476</v>
      </c>
      <c r="AA126" s="10">
        <f t="shared" si="383"/>
        <v>824026</v>
      </c>
      <c r="AB126" s="10">
        <f t="shared" si="383"/>
        <v>830576</v>
      </c>
      <c r="AC126" s="10">
        <f t="shared" si="383"/>
        <v>837126</v>
      </c>
      <c r="AD126" s="10">
        <f t="shared" si="383"/>
        <v>843676</v>
      </c>
      <c r="AE126" s="10">
        <f t="shared" si="383"/>
        <v>850226</v>
      </c>
      <c r="AF126" s="10">
        <f t="shared" si="383"/>
        <v>856776</v>
      </c>
      <c r="AG126" s="10">
        <f t="shared" si="383"/>
        <v>863326</v>
      </c>
      <c r="AH126" s="10">
        <f t="shared" si="383"/>
        <v>869876</v>
      </c>
      <c r="AI126" s="10">
        <f t="shared" si="383"/>
        <v>876426</v>
      </c>
      <c r="AJ126" s="5">
        <v>882979</v>
      </c>
    </row>
    <row r="127" spans="1:36" x14ac:dyDescent="0.25">
      <c r="A127" s="1" t="s">
        <v>288</v>
      </c>
      <c r="B127" s="1" t="s">
        <v>299</v>
      </c>
      <c r="C127" s="1" t="s">
        <v>300</v>
      </c>
      <c r="D127" s="5">
        <v>285071</v>
      </c>
      <c r="E127" s="5">
        <v>314354</v>
      </c>
      <c r="F127" s="5">
        <v>332478</v>
      </c>
      <c r="G127" s="5">
        <v>418466</v>
      </c>
      <c r="H127" s="5">
        <v>541786</v>
      </c>
      <c r="I127" s="8">
        <f t="shared" si="200"/>
        <v>646090</v>
      </c>
      <c r="J127" s="5">
        <v>750394</v>
      </c>
      <c r="K127" s="8">
        <f t="shared" si="201"/>
        <v>866377</v>
      </c>
      <c r="L127" s="8">
        <f t="shared" si="202"/>
        <v>982359</v>
      </c>
      <c r="M127" s="5">
        <v>1121538</v>
      </c>
      <c r="N127" s="8">
        <f t="shared" si="296"/>
        <v>1170245</v>
      </c>
      <c r="O127" s="5">
        <v>1218951</v>
      </c>
      <c r="P127" s="9">
        <f t="shared" ref="P127:U127" si="384">ROUND(O127+($V127-$O127)/7, 0)</f>
        <v>1233683</v>
      </c>
      <c r="Q127" s="9">
        <f t="shared" si="384"/>
        <v>1248415</v>
      </c>
      <c r="R127" s="9">
        <f t="shared" si="384"/>
        <v>1263147</v>
      </c>
      <c r="S127" s="9">
        <f t="shared" si="384"/>
        <v>1277879</v>
      </c>
      <c r="T127" s="9">
        <f t="shared" si="384"/>
        <v>1292611</v>
      </c>
      <c r="U127" s="9">
        <f t="shared" si="384"/>
        <v>1307343</v>
      </c>
      <c r="V127" s="5">
        <v>1322072</v>
      </c>
      <c r="W127" s="9">
        <f t="shared" ref="W127:X127" si="385">ROUND(V127+($Y127-$V127)/3, 0)</f>
        <v>1340467</v>
      </c>
      <c r="X127" s="9">
        <f t="shared" si="385"/>
        <v>1358862</v>
      </c>
      <c r="Y127" s="5">
        <v>1377257</v>
      </c>
      <c r="Z127" s="10">
        <f t="shared" ref="Z127:AI127" si="386">ROUND(Y127+($AJ127-$Y127)/11, 0)</f>
        <v>1389624</v>
      </c>
      <c r="AA127" s="10">
        <f t="shared" si="386"/>
        <v>1401991</v>
      </c>
      <c r="AB127" s="10">
        <f t="shared" si="386"/>
        <v>1414358</v>
      </c>
      <c r="AC127" s="10">
        <f t="shared" si="386"/>
        <v>1426725</v>
      </c>
      <c r="AD127" s="10">
        <f t="shared" si="386"/>
        <v>1439092</v>
      </c>
      <c r="AE127" s="10">
        <f t="shared" si="386"/>
        <v>1451459</v>
      </c>
      <c r="AF127" s="10">
        <f t="shared" si="386"/>
        <v>1463826</v>
      </c>
      <c r="AG127" s="10">
        <f t="shared" si="386"/>
        <v>1476193</v>
      </c>
      <c r="AH127" s="10">
        <f t="shared" si="386"/>
        <v>1488560</v>
      </c>
      <c r="AI127" s="10">
        <f t="shared" si="386"/>
        <v>1500927</v>
      </c>
      <c r="AJ127" s="5">
        <v>1513291</v>
      </c>
    </row>
    <row r="128" spans="1:36" x14ac:dyDescent="0.25">
      <c r="A128" s="1" t="s">
        <v>288</v>
      </c>
      <c r="B128" s="1" t="s">
        <v>301</v>
      </c>
      <c r="C128" s="1" t="s">
        <v>302</v>
      </c>
      <c r="D128" s="5">
        <v>581968</v>
      </c>
      <c r="E128" s="5">
        <v>596387</v>
      </c>
      <c r="F128" s="5">
        <v>645556</v>
      </c>
      <c r="G128" s="5">
        <v>854075</v>
      </c>
      <c r="H128" s="5">
        <v>1196599</v>
      </c>
      <c r="I128" s="8">
        <f t="shared" si="200"/>
        <v>1562210</v>
      </c>
      <c r="J128" s="5">
        <v>1927820</v>
      </c>
      <c r="K128" s="8">
        <f t="shared" si="201"/>
        <v>2255401</v>
      </c>
      <c r="L128" s="8">
        <f t="shared" si="202"/>
        <v>2582982</v>
      </c>
      <c r="M128" s="5">
        <v>2976079</v>
      </c>
      <c r="N128" s="8">
        <f t="shared" si="296"/>
        <v>3123857</v>
      </c>
      <c r="O128" s="5">
        <v>3271634</v>
      </c>
      <c r="P128" s="9">
        <f t="shared" ref="P128:U128" si="387">ROUND(O128+($V128-$O128)/7, 0)</f>
        <v>3317534</v>
      </c>
      <c r="Q128" s="9">
        <f t="shared" si="387"/>
        <v>3363434</v>
      </c>
      <c r="R128" s="9">
        <f t="shared" si="387"/>
        <v>3409334</v>
      </c>
      <c r="S128" s="9">
        <f t="shared" si="387"/>
        <v>3455234</v>
      </c>
      <c r="T128" s="9">
        <f t="shared" si="387"/>
        <v>3501134</v>
      </c>
      <c r="U128" s="9">
        <f t="shared" si="387"/>
        <v>3547034</v>
      </c>
      <c r="V128" s="5">
        <v>3592931</v>
      </c>
      <c r="W128" s="9">
        <f t="shared" ref="W128:X128" si="388">ROUND(V128+($Y128-$V128)/3, 0)</f>
        <v>3657161</v>
      </c>
      <c r="X128" s="9">
        <f t="shared" si="388"/>
        <v>3721391</v>
      </c>
      <c r="Y128" s="5">
        <v>3785620</v>
      </c>
      <c r="Z128" s="10">
        <f t="shared" ref="Z128:AI128" si="389">ROUND(Y128+($AJ128-$Y128)/11, 0)</f>
        <v>3821926</v>
      </c>
      <c r="AA128" s="10">
        <f t="shared" si="389"/>
        <v>3858232</v>
      </c>
      <c r="AB128" s="10">
        <f t="shared" si="389"/>
        <v>3894538</v>
      </c>
      <c r="AC128" s="10">
        <f t="shared" si="389"/>
        <v>3930844</v>
      </c>
      <c r="AD128" s="10">
        <f t="shared" si="389"/>
        <v>3967150</v>
      </c>
      <c r="AE128" s="10">
        <f t="shared" si="389"/>
        <v>4003456</v>
      </c>
      <c r="AF128" s="10">
        <f t="shared" si="389"/>
        <v>4039762</v>
      </c>
      <c r="AG128" s="10">
        <f t="shared" si="389"/>
        <v>4076068</v>
      </c>
      <c r="AH128" s="10">
        <f t="shared" si="389"/>
        <v>4112374</v>
      </c>
      <c r="AI128" s="10">
        <f t="shared" si="389"/>
        <v>4148680</v>
      </c>
      <c r="AJ128" s="5">
        <v>4184986</v>
      </c>
    </row>
    <row r="129" spans="1:36" x14ac:dyDescent="0.25">
      <c r="A129" s="1" t="s">
        <v>288</v>
      </c>
      <c r="B129" s="1" t="s">
        <v>303</v>
      </c>
      <c r="C129" s="1" t="s">
        <v>304</v>
      </c>
      <c r="D129" s="5"/>
      <c r="E129" s="5">
        <v>216500</v>
      </c>
      <c r="F129" s="5">
        <v>546585</v>
      </c>
      <c r="G129" s="5">
        <v>712200</v>
      </c>
      <c r="H129" s="5">
        <v>699539</v>
      </c>
      <c r="I129" s="8">
        <f t="shared" si="200"/>
        <v>691313</v>
      </c>
      <c r="J129" s="5">
        <v>683087</v>
      </c>
      <c r="K129" s="8">
        <f t="shared" si="201"/>
        <v>710396</v>
      </c>
      <c r="L129" s="8">
        <f t="shared" si="202"/>
        <v>737705</v>
      </c>
      <c r="M129" s="5">
        <v>770476</v>
      </c>
      <c r="N129" s="8">
        <f t="shared" si="296"/>
        <v>787173</v>
      </c>
      <c r="O129" s="5">
        <v>803870</v>
      </c>
      <c r="P129" s="9">
        <f t="shared" ref="P129:U129" si="390">ROUND(O129+($V129-$O129)/7, 0)</f>
        <v>807435</v>
      </c>
      <c r="Q129" s="9">
        <f t="shared" si="390"/>
        <v>811000</v>
      </c>
      <c r="R129" s="9">
        <f t="shared" si="390"/>
        <v>814565</v>
      </c>
      <c r="S129" s="9">
        <f t="shared" si="390"/>
        <v>818130</v>
      </c>
      <c r="T129" s="9">
        <f t="shared" si="390"/>
        <v>821695</v>
      </c>
      <c r="U129" s="9">
        <f t="shared" si="390"/>
        <v>825260</v>
      </c>
      <c r="V129" s="5">
        <v>828824</v>
      </c>
      <c r="W129" s="9">
        <f t="shared" ref="W129:X129" si="391">ROUND(V129+($Y129-$V129)/3, 0)</f>
        <v>835257</v>
      </c>
      <c r="X129" s="9">
        <f t="shared" si="391"/>
        <v>841690</v>
      </c>
      <c r="Y129" s="5">
        <v>848124</v>
      </c>
      <c r="Z129" s="10">
        <f t="shared" ref="Z129:AI129" si="392">ROUND(Y129+($AJ129-$Y129)/11, 0)</f>
        <v>850444</v>
      </c>
      <c r="AA129" s="10">
        <f t="shared" si="392"/>
        <v>852764</v>
      </c>
      <c r="AB129" s="10">
        <f t="shared" si="392"/>
        <v>855084</v>
      </c>
      <c r="AC129" s="10">
        <f t="shared" si="392"/>
        <v>857404</v>
      </c>
      <c r="AD129" s="10">
        <f t="shared" si="392"/>
        <v>859724</v>
      </c>
      <c r="AE129" s="10">
        <f t="shared" si="392"/>
        <v>862044</v>
      </c>
      <c r="AF129" s="10">
        <f t="shared" si="392"/>
        <v>864364</v>
      </c>
      <c r="AG129" s="10">
        <f t="shared" si="392"/>
        <v>866684</v>
      </c>
      <c r="AH129" s="10">
        <f t="shared" si="392"/>
        <v>869004</v>
      </c>
      <c r="AI129" s="10">
        <f t="shared" si="392"/>
        <v>871324</v>
      </c>
      <c r="AJ129" s="5">
        <v>873642</v>
      </c>
    </row>
    <row r="130" spans="1:36" x14ac:dyDescent="0.25">
      <c r="A130" s="1" t="s">
        <v>288</v>
      </c>
      <c r="B130" s="1" t="s">
        <v>305</v>
      </c>
      <c r="C130" s="1" t="s">
        <v>306</v>
      </c>
      <c r="D130" s="5">
        <v>12811</v>
      </c>
      <c r="E130" s="5">
        <v>281452</v>
      </c>
      <c r="F130" s="5">
        <v>318708</v>
      </c>
      <c r="G130" s="5">
        <v>339568</v>
      </c>
      <c r="H130" s="5">
        <v>303954</v>
      </c>
      <c r="I130" s="8">
        <f t="shared" si="200"/>
        <v>315752</v>
      </c>
      <c r="J130" s="5">
        <v>327550</v>
      </c>
      <c r="K130" s="8">
        <f t="shared" si="201"/>
        <v>346626</v>
      </c>
      <c r="L130" s="8">
        <f t="shared" si="202"/>
        <v>365703</v>
      </c>
      <c r="M130" s="5">
        <v>388594</v>
      </c>
      <c r="N130" s="8">
        <f t="shared" ref="N130:N161" si="393">ROUND(MEDIAN(M130,O130), 0)</f>
        <v>403358</v>
      </c>
      <c r="O130" s="5">
        <v>418121</v>
      </c>
      <c r="P130" s="9">
        <f t="shared" ref="P130:U130" si="394">ROUND(O130+($V130-$O130)/7, 0)</f>
        <v>420776</v>
      </c>
      <c r="Q130" s="9">
        <f t="shared" si="394"/>
        <v>423431</v>
      </c>
      <c r="R130" s="9">
        <f t="shared" si="394"/>
        <v>426086</v>
      </c>
      <c r="S130" s="9">
        <f t="shared" si="394"/>
        <v>428741</v>
      </c>
      <c r="T130" s="9">
        <f t="shared" si="394"/>
        <v>431396</v>
      </c>
      <c r="U130" s="9">
        <f t="shared" si="394"/>
        <v>434051</v>
      </c>
      <c r="V130" s="5">
        <v>436707</v>
      </c>
      <c r="W130" s="9">
        <f t="shared" ref="W130:X130" si="395">ROUND(V130+($Y130-$V130)/3, 0)</f>
        <v>437824</v>
      </c>
      <c r="X130" s="9">
        <f t="shared" si="395"/>
        <v>438941</v>
      </c>
      <c r="Y130" s="5">
        <v>440058</v>
      </c>
      <c r="Z130" s="10">
        <f t="shared" ref="Z130:AI130" si="396">ROUND(Y130+($AJ130-$Y130)/11, 0)</f>
        <v>442048</v>
      </c>
      <c r="AA130" s="10">
        <f t="shared" si="396"/>
        <v>444038</v>
      </c>
      <c r="AB130" s="10">
        <f t="shared" si="396"/>
        <v>446028</v>
      </c>
      <c r="AC130" s="10">
        <f t="shared" si="396"/>
        <v>448018</v>
      </c>
      <c r="AD130" s="10">
        <f t="shared" si="396"/>
        <v>450008</v>
      </c>
      <c r="AE130" s="10">
        <f t="shared" si="396"/>
        <v>451998</v>
      </c>
      <c r="AF130" s="10">
        <f t="shared" si="396"/>
        <v>453988</v>
      </c>
      <c r="AG130" s="10">
        <f t="shared" si="396"/>
        <v>455978</v>
      </c>
      <c r="AH130" s="10">
        <f t="shared" si="396"/>
        <v>457968</v>
      </c>
      <c r="AI130" s="10">
        <f t="shared" si="396"/>
        <v>459958</v>
      </c>
      <c r="AJ130" s="5">
        <v>461944</v>
      </c>
    </row>
    <row r="131" spans="1:36" x14ac:dyDescent="0.25">
      <c r="A131" s="1" t="s">
        <v>288</v>
      </c>
      <c r="B131" s="1" t="s">
        <v>307</v>
      </c>
      <c r="C131" s="1" t="s">
        <v>308</v>
      </c>
      <c r="D131" s="5">
        <v>154723</v>
      </c>
      <c r="E131" s="5">
        <v>286191</v>
      </c>
      <c r="F131" s="5">
        <v>319621</v>
      </c>
      <c r="G131" s="5">
        <v>373767</v>
      </c>
      <c r="H131" s="5">
        <v>390443</v>
      </c>
      <c r="I131" s="8">
        <f t="shared" ref="I131:I138" si="397">ROUND(MEDIAN(H131,J131), 0)</f>
        <v>385724</v>
      </c>
      <c r="J131" s="5">
        <v>381005</v>
      </c>
      <c r="K131" s="8">
        <f t="shared" ref="K131:K138" si="398">ROUND(J131+5*(M131-J131)/16, 0)</f>
        <v>415628</v>
      </c>
      <c r="L131" s="8">
        <f t="shared" ref="L131:L138" si="399">ROUND(J131+10*(M131-J131)/16, 0)</f>
        <v>450251</v>
      </c>
      <c r="M131" s="5">
        <v>491799</v>
      </c>
      <c r="N131" s="8">
        <f t="shared" si="393"/>
        <v>504652</v>
      </c>
      <c r="O131" s="5">
        <v>517504</v>
      </c>
      <c r="P131" s="9">
        <f t="shared" ref="P131:U131" si="400">ROUND(O131+($V131-$O131)/7, 0)</f>
        <v>520609</v>
      </c>
      <c r="Q131" s="9">
        <f t="shared" si="400"/>
        <v>523714</v>
      </c>
      <c r="R131" s="9">
        <f t="shared" si="400"/>
        <v>526819</v>
      </c>
      <c r="S131" s="9">
        <f t="shared" si="400"/>
        <v>529924</v>
      </c>
      <c r="T131" s="9">
        <f t="shared" si="400"/>
        <v>533029</v>
      </c>
      <c r="U131" s="9">
        <f t="shared" si="400"/>
        <v>536134</v>
      </c>
      <c r="V131" s="5">
        <v>539240</v>
      </c>
      <c r="W131" s="9">
        <f t="shared" ref="W131:X131" si="401">ROUND(V131+($Y131-$V131)/3, 0)</f>
        <v>544086</v>
      </c>
      <c r="X131" s="9">
        <f t="shared" si="401"/>
        <v>548932</v>
      </c>
      <c r="Y131" s="5">
        <v>553778</v>
      </c>
      <c r="Z131" s="10">
        <f t="shared" ref="Z131:AI131" si="402">ROUND(Y131+($AJ131-$Y131)/11, 0)</f>
        <v>555248</v>
      </c>
      <c r="AA131" s="10">
        <f t="shared" si="402"/>
        <v>556718</v>
      </c>
      <c r="AB131" s="10">
        <f t="shared" si="402"/>
        <v>558188</v>
      </c>
      <c r="AC131" s="10">
        <f t="shared" si="402"/>
        <v>559658</v>
      </c>
      <c r="AD131" s="10">
        <f t="shared" si="402"/>
        <v>561128</v>
      </c>
      <c r="AE131" s="10">
        <f t="shared" si="402"/>
        <v>562598</v>
      </c>
      <c r="AF131" s="10">
        <f t="shared" si="402"/>
        <v>564068</v>
      </c>
      <c r="AG131" s="10">
        <f t="shared" si="402"/>
        <v>565538</v>
      </c>
      <c r="AH131" s="10">
        <f t="shared" si="402"/>
        <v>567008</v>
      </c>
      <c r="AI131" s="10">
        <f t="shared" si="402"/>
        <v>568478</v>
      </c>
      <c r="AJ131" s="5">
        <v>569948</v>
      </c>
    </row>
    <row r="132" spans="1:36" x14ac:dyDescent="0.25">
      <c r="A132" s="1" t="s">
        <v>288</v>
      </c>
      <c r="B132" s="1" t="s">
        <v>309</v>
      </c>
      <c r="C132" s="1" t="s">
        <v>310</v>
      </c>
      <c r="D132" s="5">
        <v>193542</v>
      </c>
      <c r="E132" s="5">
        <v>246871</v>
      </c>
      <c r="F132" s="5">
        <v>269325</v>
      </c>
      <c r="G132" s="5">
        <v>332029</v>
      </c>
      <c r="H132" s="5">
        <v>409667</v>
      </c>
      <c r="I132" s="8">
        <f t="shared" si="397"/>
        <v>465892</v>
      </c>
      <c r="J132" s="5">
        <v>522116</v>
      </c>
      <c r="K132" s="8">
        <f t="shared" si="398"/>
        <v>574696</v>
      </c>
      <c r="L132" s="8">
        <f t="shared" si="399"/>
        <v>627276</v>
      </c>
      <c r="M132" s="5">
        <v>690372</v>
      </c>
      <c r="N132" s="8">
        <f t="shared" si="393"/>
        <v>719560</v>
      </c>
      <c r="O132" s="5">
        <v>748748</v>
      </c>
      <c r="P132" s="9">
        <f t="shared" ref="P132:U132" si="403">ROUND(O132+($V132-$O132)/7, 0)</f>
        <v>755137</v>
      </c>
      <c r="Q132" s="9">
        <f t="shared" si="403"/>
        <v>761526</v>
      </c>
      <c r="R132" s="9">
        <f t="shared" si="403"/>
        <v>767915</v>
      </c>
      <c r="S132" s="9">
        <f t="shared" si="403"/>
        <v>774304</v>
      </c>
      <c r="T132" s="9">
        <f t="shared" si="403"/>
        <v>780693</v>
      </c>
      <c r="U132" s="9">
        <f t="shared" si="403"/>
        <v>787082</v>
      </c>
      <c r="V132" s="5">
        <v>793469</v>
      </c>
      <c r="W132" s="9">
        <f t="shared" ref="W132:X132" si="404">ROUND(V132+($Y132-$V132)/3, 0)</f>
        <v>803797</v>
      </c>
      <c r="X132" s="9">
        <f t="shared" si="404"/>
        <v>814125</v>
      </c>
      <c r="Y132" s="5">
        <v>824453</v>
      </c>
      <c r="Z132" s="10">
        <f t="shared" ref="Z132:AI132" si="405">ROUND(Y132+($AJ132-$Y132)/11, 0)</f>
        <v>830040</v>
      </c>
      <c r="AA132" s="10">
        <f t="shared" si="405"/>
        <v>835627</v>
      </c>
      <c r="AB132" s="10">
        <f t="shared" si="405"/>
        <v>841214</v>
      </c>
      <c r="AC132" s="10">
        <f t="shared" si="405"/>
        <v>846801</v>
      </c>
      <c r="AD132" s="10">
        <f t="shared" si="405"/>
        <v>852388</v>
      </c>
      <c r="AE132" s="10">
        <f t="shared" si="405"/>
        <v>857975</v>
      </c>
      <c r="AF132" s="10">
        <f t="shared" si="405"/>
        <v>863562</v>
      </c>
      <c r="AG132" s="10">
        <f t="shared" si="405"/>
        <v>869149</v>
      </c>
      <c r="AH132" s="10">
        <f t="shared" si="405"/>
        <v>874736</v>
      </c>
      <c r="AI132" s="10">
        <f t="shared" si="405"/>
        <v>880323</v>
      </c>
      <c r="AJ132" s="5">
        <v>885913</v>
      </c>
    </row>
    <row r="133" spans="1:36" x14ac:dyDescent="0.25">
      <c r="A133" s="1" t="s">
        <v>288</v>
      </c>
      <c r="B133" s="1" t="s">
        <v>311</v>
      </c>
      <c r="C133" s="1" t="s">
        <v>312</v>
      </c>
      <c r="D133" s="5">
        <v>366906</v>
      </c>
      <c r="E133" s="5">
        <v>389967</v>
      </c>
      <c r="F133" s="5">
        <v>455127</v>
      </c>
      <c r="G133" s="5">
        <v>617231</v>
      </c>
      <c r="H133" s="5">
        <v>847321</v>
      </c>
      <c r="I133" s="8">
        <f t="shared" si="397"/>
        <v>1060374</v>
      </c>
      <c r="J133" s="5">
        <v>1273426</v>
      </c>
      <c r="K133" s="8">
        <f t="shared" si="398"/>
        <v>1491772</v>
      </c>
      <c r="L133" s="8">
        <f t="shared" si="399"/>
        <v>1710118</v>
      </c>
      <c r="M133" s="5">
        <v>1972133</v>
      </c>
      <c r="N133" s="8">
        <f t="shared" si="393"/>
        <v>2111608</v>
      </c>
      <c r="O133" s="5">
        <v>2251083</v>
      </c>
      <c r="P133" s="9">
        <f t="shared" ref="P133:U133" si="406">ROUND(O133+($V133-$O133)/7, 0)</f>
        <v>2279818</v>
      </c>
      <c r="Q133" s="9">
        <f t="shared" si="406"/>
        <v>2308553</v>
      </c>
      <c r="R133" s="9">
        <f t="shared" si="406"/>
        <v>2337288</v>
      </c>
      <c r="S133" s="9">
        <f t="shared" si="406"/>
        <v>2366023</v>
      </c>
      <c r="T133" s="9">
        <f t="shared" si="406"/>
        <v>2394758</v>
      </c>
      <c r="U133" s="9">
        <f t="shared" si="406"/>
        <v>2423493</v>
      </c>
      <c r="V133" s="5">
        <v>2452227</v>
      </c>
      <c r="W133" s="9">
        <f t="shared" ref="W133:X133" si="407">ROUND(V133+($Y133-$V133)/3, 0)</f>
        <v>2516324</v>
      </c>
      <c r="X133" s="9">
        <f t="shared" si="407"/>
        <v>2580421</v>
      </c>
      <c r="Y133" s="5">
        <v>2644519</v>
      </c>
      <c r="Z133" s="10">
        <f t="shared" ref="Z133:AI133" si="408">ROUND(Y133+($AJ133-$Y133)/11, 0)</f>
        <v>2688823</v>
      </c>
      <c r="AA133" s="10">
        <f t="shared" si="408"/>
        <v>2733127</v>
      </c>
      <c r="AB133" s="10">
        <f t="shared" si="408"/>
        <v>2777431</v>
      </c>
      <c r="AC133" s="10">
        <f t="shared" si="408"/>
        <v>2821735</v>
      </c>
      <c r="AD133" s="10">
        <f t="shared" si="408"/>
        <v>2866039</v>
      </c>
      <c r="AE133" s="10">
        <f t="shared" si="408"/>
        <v>2910343</v>
      </c>
      <c r="AF133" s="10">
        <f t="shared" si="408"/>
        <v>2954647</v>
      </c>
      <c r="AG133" s="10">
        <f t="shared" si="408"/>
        <v>2998951</v>
      </c>
      <c r="AH133" s="10">
        <f t="shared" si="408"/>
        <v>3043255</v>
      </c>
      <c r="AI133" s="10">
        <f t="shared" si="408"/>
        <v>3087559</v>
      </c>
      <c r="AJ133" s="5">
        <v>3131867</v>
      </c>
    </row>
    <row r="134" spans="1:36" x14ac:dyDescent="0.25">
      <c r="A134" s="1" t="s">
        <v>288</v>
      </c>
      <c r="B134" s="1" t="s">
        <v>313</v>
      </c>
      <c r="C134" s="1" t="s">
        <v>314</v>
      </c>
      <c r="D134" s="5">
        <v>428609</v>
      </c>
      <c r="E134" s="5">
        <v>396344</v>
      </c>
      <c r="F134" s="5">
        <v>477235</v>
      </c>
      <c r="G134" s="5">
        <v>610559</v>
      </c>
      <c r="H134" s="5">
        <v>834652</v>
      </c>
      <c r="I134" s="8">
        <f t="shared" si="397"/>
        <v>1027937</v>
      </c>
      <c r="J134" s="5">
        <v>1221221</v>
      </c>
      <c r="K134" s="8">
        <f t="shared" si="398"/>
        <v>1399813</v>
      </c>
      <c r="L134" s="8">
        <f t="shared" si="399"/>
        <v>1578404</v>
      </c>
      <c r="M134" s="5">
        <v>1792714</v>
      </c>
      <c r="N134" s="8">
        <f t="shared" si="393"/>
        <v>1892412</v>
      </c>
      <c r="O134" s="5">
        <v>1992110</v>
      </c>
      <c r="P134" s="9">
        <f t="shared" ref="P134:U134" si="409">ROUND(O134+($V134-$O134)/7, 0)</f>
        <v>2015449</v>
      </c>
      <c r="Q134" s="9">
        <f t="shared" si="409"/>
        <v>2038788</v>
      </c>
      <c r="R134" s="9">
        <f t="shared" si="409"/>
        <v>2062127</v>
      </c>
      <c r="S134" s="9">
        <f t="shared" si="409"/>
        <v>2085466</v>
      </c>
      <c r="T134" s="9">
        <f t="shared" si="409"/>
        <v>2108805</v>
      </c>
      <c r="U134" s="9">
        <f t="shared" si="409"/>
        <v>2132144</v>
      </c>
      <c r="V134" s="5">
        <v>2155485</v>
      </c>
      <c r="W134" s="9">
        <f t="shared" ref="W134:X134" si="410">ROUND(V134+($Y134-$V134)/3, 0)</f>
        <v>2191855</v>
      </c>
      <c r="X134" s="9">
        <f t="shared" si="410"/>
        <v>2228225</v>
      </c>
      <c r="Y134" s="5">
        <v>2264594</v>
      </c>
      <c r="Z134" s="10">
        <f t="shared" ref="Z134:AI134" si="411">ROUND(Y134+($AJ134-$Y134)/11, 0)</f>
        <v>2286515</v>
      </c>
      <c r="AA134" s="10">
        <f t="shared" si="411"/>
        <v>2308436</v>
      </c>
      <c r="AB134" s="10">
        <f t="shared" si="411"/>
        <v>2330357</v>
      </c>
      <c r="AC134" s="10">
        <f t="shared" si="411"/>
        <v>2352278</v>
      </c>
      <c r="AD134" s="10">
        <f t="shared" si="411"/>
        <v>2374199</v>
      </c>
      <c r="AE134" s="10">
        <f t="shared" si="411"/>
        <v>2396120</v>
      </c>
      <c r="AF134" s="10">
        <f t="shared" si="411"/>
        <v>2418041</v>
      </c>
      <c r="AG134" s="10">
        <f t="shared" si="411"/>
        <v>2439962</v>
      </c>
      <c r="AH134" s="10">
        <f t="shared" si="411"/>
        <v>2461883</v>
      </c>
      <c r="AI134" s="10">
        <f t="shared" si="411"/>
        <v>2483804</v>
      </c>
      <c r="AJ134" s="5">
        <v>2505723</v>
      </c>
    </row>
    <row r="135" spans="1:36" x14ac:dyDescent="0.25">
      <c r="A135" s="1" t="s">
        <v>288</v>
      </c>
      <c r="B135" s="1" t="s">
        <v>315</v>
      </c>
      <c r="C135" s="1" t="s">
        <v>316</v>
      </c>
      <c r="D135" s="5">
        <v>64802</v>
      </c>
      <c r="E135" s="5">
        <v>84231</v>
      </c>
      <c r="F135" s="5">
        <v>101657</v>
      </c>
      <c r="G135" s="5">
        <v>117202</v>
      </c>
      <c r="H135" s="5">
        <v>164587</v>
      </c>
      <c r="I135" s="8">
        <f t="shared" si="397"/>
        <v>202978</v>
      </c>
      <c r="J135" s="5">
        <v>241369</v>
      </c>
      <c r="K135" s="8">
        <f t="shared" si="398"/>
        <v>280417</v>
      </c>
      <c r="L135" s="8">
        <f t="shared" si="399"/>
        <v>319464</v>
      </c>
      <c r="M135" s="5">
        <v>366321</v>
      </c>
      <c r="N135" s="8">
        <f t="shared" si="393"/>
        <v>395529</v>
      </c>
      <c r="O135" s="5">
        <v>424736</v>
      </c>
      <c r="P135" s="9">
        <f t="shared" ref="P135:U135" si="412">ROUND(O135+($V135-$O135)/7, 0)</f>
        <v>427343</v>
      </c>
      <c r="Q135" s="9">
        <f t="shared" si="412"/>
        <v>429950</v>
      </c>
      <c r="R135" s="9">
        <f t="shared" si="412"/>
        <v>432557</v>
      </c>
      <c r="S135" s="9">
        <f t="shared" si="412"/>
        <v>435164</v>
      </c>
      <c r="T135" s="9">
        <f t="shared" si="412"/>
        <v>437771</v>
      </c>
      <c r="U135" s="9">
        <f t="shared" si="412"/>
        <v>440378</v>
      </c>
      <c r="V135" s="5">
        <v>442982</v>
      </c>
      <c r="W135" s="9">
        <f t="shared" ref="W135:X135" si="413">ROUND(V135+($Y135-$V135)/3, 0)</f>
        <v>449451</v>
      </c>
      <c r="X135" s="9">
        <f t="shared" si="413"/>
        <v>455920</v>
      </c>
      <c r="Y135" s="5">
        <v>462390</v>
      </c>
      <c r="Z135" s="10">
        <f t="shared" ref="Z135:AI135" si="414">ROUND(Y135+($AJ135-$Y135)/11, 0)</f>
        <v>467317</v>
      </c>
      <c r="AA135" s="10">
        <f t="shared" si="414"/>
        <v>472244</v>
      </c>
      <c r="AB135" s="10">
        <f t="shared" si="414"/>
        <v>477171</v>
      </c>
      <c r="AC135" s="10">
        <f t="shared" si="414"/>
        <v>482098</v>
      </c>
      <c r="AD135" s="10">
        <f t="shared" si="414"/>
        <v>487025</v>
      </c>
      <c r="AE135" s="10">
        <f t="shared" si="414"/>
        <v>491952</v>
      </c>
      <c r="AF135" s="10">
        <f t="shared" si="414"/>
        <v>496879</v>
      </c>
      <c r="AG135" s="10">
        <f t="shared" si="414"/>
        <v>501806</v>
      </c>
      <c r="AH135" s="10">
        <f t="shared" si="414"/>
        <v>506733</v>
      </c>
      <c r="AI135" s="10">
        <f t="shared" si="414"/>
        <v>511660</v>
      </c>
      <c r="AJ135" s="5">
        <v>516585</v>
      </c>
    </row>
    <row r="136" spans="1:36" x14ac:dyDescent="0.25">
      <c r="A136" s="1" t="s">
        <v>288</v>
      </c>
      <c r="B136" s="1" t="s">
        <v>317</v>
      </c>
      <c r="C136" s="1" t="s">
        <v>318</v>
      </c>
      <c r="D136" s="5">
        <v>826594</v>
      </c>
      <c r="E136" s="5">
        <v>1758446</v>
      </c>
      <c r="F136" s="5">
        <v>2923038</v>
      </c>
      <c r="G136" s="5">
        <v>5143547</v>
      </c>
      <c r="H136" s="5">
        <v>8766441</v>
      </c>
      <c r="I136" s="8">
        <f t="shared" si="397"/>
        <v>11130313</v>
      </c>
      <c r="J136" s="5">
        <v>13494185</v>
      </c>
      <c r="K136" s="8">
        <f t="shared" si="398"/>
        <v>14828726</v>
      </c>
      <c r="L136" s="8">
        <f t="shared" si="399"/>
        <v>16163267</v>
      </c>
      <c r="M136" s="5">
        <v>17764716</v>
      </c>
      <c r="N136" s="8">
        <f t="shared" si="393"/>
        <v>18481495</v>
      </c>
      <c r="O136" s="5">
        <v>19198273</v>
      </c>
      <c r="P136" s="9">
        <f t="shared" ref="P136:U136" si="415">ROUND(O136+($V136-$O136)/7, 0)</f>
        <v>19406391</v>
      </c>
      <c r="Q136" s="9">
        <f t="shared" si="415"/>
        <v>19614509</v>
      </c>
      <c r="R136" s="9">
        <f t="shared" si="415"/>
        <v>19822627</v>
      </c>
      <c r="S136" s="9">
        <f t="shared" si="415"/>
        <v>20030745</v>
      </c>
      <c r="T136" s="9">
        <f t="shared" si="415"/>
        <v>20238863</v>
      </c>
      <c r="U136" s="9">
        <f t="shared" si="415"/>
        <v>20446981</v>
      </c>
      <c r="V136" s="5">
        <v>20655102</v>
      </c>
      <c r="W136" s="9">
        <f t="shared" ref="W136:X136" si="416">ROUND(V136+($Y136-$V136)/3, 0)</f>
        <v>20821731</v>
      </c>
      <c r="X136" s="9">
        <f t="shared" si="416"/>
        <v>20988360</v>
      </c>
      <c r="Y136" s="5">
        <v>21154988</v>
      </c>
      <c r="Z136" s="10">
        <f t="shared" ref="Z136:AI136" si="417">ROUND(Y136+($AJ136-$Y136)/11, 0)</f>
        <v>21258596</v>
      </c>
      <c r="AA136" s="10">
        <f t="shared" si="417"/>
        <v>21362204</v>
      </c>
      <c r="AB136" s="10">
        <f t="shared" si="417"/>
        <v>21465812</v>
      </c>
      <c r="AC136" s="10">
        <f t="shared" si="417"/>
        <v>21569420</v>
      </c>
      <c r="AD136" s="10">
        <f t="shared" si="417"/>
        <v>21673028</v>
      </c>
      <c r="AE136" s="10">
        <f t="shared" si="417"/>
        <v>21776636</v>
      </c>
      <c r="AF136" s="10">
        <f t="shared" si="417"/>
        <v>21880244</v>
      </c>
      <c r="AG136" s="10">
        <f t="shared" si="417"/>
        <v>21983852</v>
      </c>
      <c r="AH136" s="10">
        <f t="shared" si="417"/>
        <v>22087460</v>
      </c>
      <c r="AI136" s="10">
        <f t="shared" si="417"/>
        <v>22191068</v>
      </c>
      <c r="AJ136" s="5">
        <v>22294672</v>
      </c>
    </row>
    <row r="137" spans="1:36" x14ac:dyDescent="0.25">
      <c r="A137" s="1" t="s">
        <v>319</v>
      </c>
      <c r="B137" s="1" t="s">
        <v>320</v>
      </c>
      <c r="C137" s="1" t="s">
        <v>321</v>
      </c>
      <c r="D137" s="5">
        <v>38993</v>
      </c>
      <c r="E137" s="5">
        <v>66300</v>
      </c>
      <c r="F137" s="5">
        <v>81681</v>
      </c>
      <c r="G137" s="5">
        <v>187477</v>
      </c>
      <c r="H137" s="5">
        <v>346426</v>
      </c>
      <c r="I137" s="8">
        <f t="shared" si="397"/>
        <v>436753</v>
      </c>
      <c r="J137" s="5">
        <v>527080</v>
      </c>
      <c r="K137" s="8">
        <f t="shared" si="398"/>
        <v>585220</v>
      </c>
      <c r="L137" s="8">
        <f t="shared" si="399"/>
        <v>643361</v>
      </c>
      <c r="M137" s="5">
        <v>713129</v>
      </c>
      <c r="N137" s="8">
        <f t="shared" si="393"/>
        <v>738841</v>
      </c>
      <c r="O137" s="5">
        <v>764552</v>
      </c>
      <c r="P137" s="9">
        <f t="shared" ref="P137:U137" si="418">ROUND(O137+($V137-$O137)/7, 0)</f>
        <v>768736</v>
      </c>
      <c r="Q137" s="9">
        <f t="shared" si="418"/>
        <v>772920</v>
      </c>
      <c r="R137" s="9">
        <f t="shared" si="418"/>
        <v>777104</v>
      </c>
      <c r="S137" s="9">
        <f t="shared" si="418"/>
        <v>781288</v>
      </c>
      <c r="T137" s="9">
        <f t="shared" si="418"/>
        <v>785472</v>
      </c>
      <c r="U137" s="9">
        <f t="shared" si="418"/>
        <v>789656</v>
      </c>
      <c r="V137" s="5">
        <v>793841</v>
      </c>
      <c r="W137" s="9">
        <f t="shared" ref="W137:X137" si="419">ROUND(V137+($Y137-$V137)/3, 0)</f>
        <v>819423</v>
      </c>
      <c r="X137" s="9">
        <f t="shared" si="419"/>
        <v>845005</v>
      </c>
      <c r="Y137" s="5">
        <v>870586</v>
      </c>
      <c r="Z137" s="10">
        <f t="shared" ref="Z137:AI137" si="420">ROUND(Y137+($AJ137-$Y137)/11, 0)</f>
        <v>874234</v>
      </c>
      <c r="AA137" s="10">
        <f t="shared" si="420"/>
        <v>877882</v>
      </c>
      <c r="AB137" s="10">
        <f t="shared" si="420"/>
        <v>881530</v>
      </c>
      <c r="AC137" s="10">
        <f t="shared" si="420"/>
        <v>885178</v>
      </c>
      <c r="AD137" s="10">
        <f t="shared" si="420"/>
        <v>888826</v>
      </c>
      <c r="AE137" s="10">
        <f t="shared" si="420"/>
        <v>892474</v>
      </c>
      <c r="AF137" s="10">
        <f t="shared" si="420"/>
        <v>896122</v>
      </c>
      <c r="AG137" s="10">
        <f t="shared" si="420"/>
        <v>899770</v>
      </c>
      <c r="AH137" s="10">
        <f t="shared" si="420"/>
        <v>903418</v>
      </c>
      <c r="AI137" s="10">
        <f t="shared" si="420"/>
        <v>907066</v>
      </c>
      <c r="AJ137" s="5">
        <v>910716</v>
      </c>
    </row>
    <row r="138" spans="1:36" x14ac:dyDescent="0.25">
      <c r="A138" s="1" t="s">
        <v>319</v>
      </c>
      <c r="B138" s="1" t="s">
        <v>322</v>
      </c>
      <c r="C138" s="1" t="s">
        <v>323</v>
      </c>
      <c r="D138" s="5">
        <v>72904</v>
      </c>
      <c r="E138" s="5">
        <v>98096</v>
      </c>
      <c r="F138" s="5">
        <v>122360</v>
      </c>
      <c r="G138" s="5">
        <v>136195</v>
      </c>
      <c r="H138" s="5">
        <v>174713</v>
      </c>
      <c r="I138" s="8">
        <f t="shared" si="397"/>
        <v>193341</v>
      </c>
      <c r="J138" s="5">
        <v>211969</v>
      </c>
      <c r="K138" s="8">
        <f t="shared" si="398"/>
        <v>250577</v>
      </c>
      <c r="L138" s="8">
        <f t="shared" si="399"/>
        <v>289184</v>
      </c>
      <c r="M138" s="5">
        <v>335513</v>
      </c>
      <c r="N138" s="8">
        <f t="shared" si="393"/>
        <v>364326</v>
      </c>
      <c r="O138" s="5">
        <v>393138</v>
      </c>
      <c r="P138" s="9">
        <f t="shared" ref="P138:U138" si="421">ROUND(O138+($V138-$O138)/7, 0)</f>
        <v>401231</v>
      </c>
      <c r="Q138" s="9">
        <f t="shared" si="421"/>
        <v>409324</v>
      </c>
      <c r="R138" s="9">
        <f t="shared" si="421"/>
        <v>417417</v>
      </c>
      <c r="S138" s="9">
        <f t="shared" si="421"/>
        <v>425510</v>
      </c>
      <c r="T138" s="9">
        <f t="shared" si="421"/>
        <v>433603</v>
      </c>
      <c r="U138" s="9">
        <f t="shared" si="421"/>
        <v>441696</v>
      </c>
      <c r="V138" s="5">
        <v>449786</v>
      </c>
      <c r="W138" s="9">
        <f t="shared" ref="W138:X138" si="422">ROUND(V138+($Y138-$V138)/3, 0)</f>
        <v>470810</v>
      </c>
      <c r="X138" s="9">
        <f t="shared" si="422"/>
        <v>491834</v>
      </c>
      <c r="Y138" s="5">
        <v>512859</v>
      </c>
      <c r="Z138" s="10">
        <f t="shared" ref="Z138:AI138" si="423">ROUND(Y138+($AJ138-$Y138)/11, 0)</f>
        <v>520849</v>
      </c>
      <c r="AA138" s="10">
        <f t="shared" si="423"/>
        <v>528839</v>
      </c>
      <c r="AB138" s="10">
        <f t="shared" si="423"/>
        <v>536829</v>
      </c>
      <c r="AC138" s="10">
        <f t="shared" si="423"/>
        <v>544819</v>
      </c>
      <c r="AD138" s="10">
        <f t="shared" si="423"/>
        <v>552809</v>
      </c>
      <c r="AE138" s="10">
        <f t="shared" si="423"/>
        <v>560799</v>
      </c>
      <c r="AF138" s="10">
        <f t="shared" si="423"/>
        <v>568789</v>
      </c>
      <c r="AG138" s="10">
        <f t="shared" si="423"/>
        <v>576779</v>
      </c>
      <c r="AH138" s="10">
        <f t="shared" si="423"/>
        <v>584769</v>
      </c>
      <c r="AI138" s="10">
        <f t="shared" si="423"/>
        <v>592759</v>
      </c>
      <c r="AJ138" s="5">
        <v>600744</v>
      </c>
    </row>
    <row r="140" spans="1:36" s="20" customFormat="1" x14ac:dyDescent="0.25">
      <c r="A140" s="21"/>
      <c r="B140" s="21"/>
      <c r="C140" s="21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</row>
    <row r="141" spans="1:36" s="20" customFormat="1" x14ac:dyDescent="0.25">
      <c r="A141" s="21"/>
      <c r="B141" s="21"/>
      <c r="C141" s="21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FE1F-144D-4D10-9B00-2F1822C05FD3}">
  <dimension ref="A1:AJ143"/>
  <sheetViews>
    <sheetView workbookViewId="0">
      <selection activeCell="L2" sqref="L2"/>
    </sheetView>
  </sheetViews>
  <sheetFormatPr defaultRowHeight="15" x14ac:dyDescent="0.25"/>
  <cols>
    <col min="1" max="1" width="4" style="1" customWidth="1"/>
    <col min="2" max="2" width="10" style="1" customWidth="1"/>
    <col min="3" max="3" width="30" style="1" customWidth="1"/>
    <col min="14" max="14" width="10" bestFit="1" customWidth="1"/>
  </cols>
  <sheetData>
    <row r="1" spans="1:36" x14ac:dyDescent="0.25">
      <c r="A1" s="1" t="s">
        <v>0</v>
      </c>
      <c r="B1" s="14" t="s">
        <v>379</v>
      </c>
      <c r="C1" s="14" t="s">
        <v>378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1990</v>
      </c>
      <c r="M1" s="6">
        <v>1996</v>
      </c>
      <c r="N1" s="6">
        <v>1999</v>
      </c>
      <c r="O1" s="6">
        <v>2000</v>
      </c>
      <c r="P1" s="6">
        <v>2001</v>
      </c>
      <c r="Q1" s="6">
        <v>2002</v>
      </c>
      <c r="R1" s="6">
        <v>2003</v>
      </c>
      <c r="S1" s="6">
        <v>2004</v>
      </c>
      <c r="T1" s="6">
        <v>2005</v>
      </c>
      <c r="U1" s="6">
        <v>2006</v>
      </c>
      <c r="V1" s="6">
        <v>2007</v>
      </c>
      <c r="W1" s="6">
        <v>2008</v>
      </c>
      <c r="X1" s="6">
        <v>2009</v>
      </c>
      <c r="Y1" s="6">
        <v>2010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25">
      <c r="A2" s="1" t="s">
        <v>23</v>
      </c>
      <c r="B2" s="1" t="s">
        <v>24</v>
      </c>
      <c r="C2" s="1" t="s">
        <v>25</v>
      </c>
      <c r="D2" s="7">
        <f>VLOOKUP($B2, gdp_tot_mes!$B:$XFD, MATCH(gdp_capita_mesorreg!D$1, gdp_tot_mes!$B$1:$XFD$1, 0), 0)*1000/VLOOKUP($B2, pop_mesorreg_interpol!$B:$XFD, MATCH(gdp_capita_mesorreg!D$1, pop_mesorreg_interpol!$B$1:$XFD$1, 0), 0)</f>
        <v>1133.3412006958397</v>
      </c>
      <c r="E2" s="7">
        <f>VLOOKUP($B2, gdp_tot_mes!$B:$XFD, MATCH(gdp_capita_mesorreg!E$1, gdp_tot_mes!$B$1:$XFD$1, 0), 0)*1000/VLOOKUP($B2, pop_mesorreg_interpol!$B:$XFD, MATCH(gdp_capita_mesorreg!E$1, pop_mesorreg_interpol!$B$1:$XFD$1, 0), 0)</f>
        <v>1528.4965546969397</v>
      </c>
      <c r="F2" s="7">
        <f>VLOOKUP($B2, gdp_tot_mes!$B:$XFD, MATCH(gdp_capita_mesorreg!F$1, gdp_tot_mes!$B$1:$XFD$1, 0), 0)*1000/VLOOKUP($B2, pop_mesorreg_interpol!$B:$XFD, MATCH(gdp_capita_mesorreg!F$1, pop_mesorreg_interpol!$B$1:$XFD$1, 0), 0)</f>
        <v>944.41072373422583</v>
      </c>
      <c r="G2" s="7">
        <f>VLOOKUP($B2, gdp_tot_mes!$B:$XFD, MATCH(gdp_capita_mesorreg!G$1, gdp_tot_mes!$B$1:$XFD$1, 0), 0)*1000/VLOOKUP($B2, pop_mesorreg_interpol!$B:$XFD, MATCH(gdp_capita_mesorreg!G$1, pop_mesorreg_interpol!$B$1:$XFD$1, 0), 0)</f>
        <v>1269.5224629075597</v>
      </c>
      <c r="H2" s="7">
        <f>VLOOKUP($B2, gdp_tot_mes!$B:$XFD, MATCH(gdp_capita_mesorreg!H$1, gdp_tot_mes!$B$1:$XFD$1, 0), 0)*1000/VLOOKUP($B2, pop_mesorreg_interpol!$B:$XFD, MATCH(gdp_capita_mesorreg!H$1, pop_mesorreg_interpol!$B$1:$XFD$1, 0), 0)</f>
        <v>2642.4431370570323</v>
      </c>
      <c r="I2" s="7">
        <f>VLOOKUP($B2, gdp_tot_mes!$B:$XFD, MATCH(gdp_capita_mesorreg!I$1, gdp_tot_mes!$B$1:$XFD$1, 0), 0)*1000/VLOOKUP($B2, pop_mesorreg_interpol!$B:$XFD, MATCH(gdp_capita_mesorreg!I$1, pop_mesorreg_interpol!$B$1:$XFD$1, 0), 0)</f>
        <v>2362.8419016389666</v>
      </c>
      <c r="J2" s="7">
        <f>VLOOKUP($B2, gdp_tot_mes!$B:$XFD, MATCH(gdp_capita_mesorreg!J$1, gdp_tot_mes!$B$1:$XFD$1, 0), 0)*1000/VLOOKUP($B2, pop_mesorreg_interpol!$B:$XFD, MATCH(gdp_capita_mesorreg!J$1, pop_mesorreg_interpol!$B$1:$XFD$1, 0), 0)</f>
        <v>3222.7099336237043</v>
      </c>
      <c r="K2" s="18">
        <f>VLOOKUP($B2, gdp_tot_mes!$B:$XFD, MATCH(gdp_capita_mesorreg!K$1, gdp_tot_mes!$B$1:$XFD$1, 0), 0)*1000/VLOOKUP($B2, pop_mesorreg_interpol!$B:$XFD, MATCH(gdp_capita_mesorreg!K$1, pop_mesorreg_interpol!$B$1:$XFD$1, 0), 0)</f>
        <v>3820.1580598135183</v>
      </c>
      <c r="L2" s="8">
        <f>VLOOKUP($B2, gdp_tot_mes!$B:$XFD, MATCH(gdp_capita_mesorreg!L$1, gdp_tot_mes!$B$1:$XFD$1, 0), 0)*1000/VLOOKUP($B2, pop_mesorreg_interpol!$B:$XFD, MATCH(gdp_capita_mesorreg!L$1, pop_mesorreg_interpol!$B$1:$XFD$1, 0), 0)</f>
        <v>3954.1532446299761</v>
      </c>
      <c r="M2" s="7">
        <f>VLOOKUP($B2, gdp_tot_mes!$B:$XFD, MATCH(gdp_capita_mesorreg!M$1, gdp_tot_mes!$B$1:$XFD$1, 0), 0)*1000/VLOOKUP($B2, pop_mesorreg_interpol!$B:$XFD, MATCH(gdp_capita_mesorreg!M$1, pop_mesorreg_interpol!$B$1:$XFD$1, 0), 0)</f>
        <v>4089.5053494666436</v>
      </c>
      <c r="N2" s="7">
        <f>VLOOKUP($B2, gdp_tot_mes!$B:$XFD, MATCH(gdp_capita_mesorreg!N$1, gdp_tot_mes!$B$1:$XFD$1, 0), 0)*1000/VLOOKUP($B2, pop_mesorreg_interpol!$B:$XFD, MATCH(gdp_capita_mesorreg!N$1, pop_mesorreg_interpol!$B$1:$XFD$1, 0), 0)</f>
        <v>6129.3323242040678</v>
      </c>
      <c r="O2" s="7">
        <f>VLOOKUP($B2, gdp_tot_mes!$B:$XFD, MATCH(gdp_capita_mesorreg!O$1, gdp_tot_mes!$B$1:$XFD$1, 0), 0)*1000/VLOOKUP($B2, pop_mesorreg_interpol!$B:$XFD, MATCH(gdp_capita_mesorreg!O$1, pop_mesorreg_interpol!$B$1:$XFD$1, 0), 0)</f>
        <v>6136.6797734148886</v>
      </c>
      <c r="P2" s="7">
        <f>VLOOKUP($B2, gdp_tot_mes!$B:$XFD, MATCH(gdp_capita_mesorreg!P$1, gdp_tot_mes!$B$1:$XFD$1, 0), 0)*1000/VLOOKUP($B2, pop_mesorreg_interpol!$B:$XFD, MATCH(gdp_capita_mesorreg!P$1, pop_mesorreg_interpol!$B$1:$XFD$1, 0), 0)</f>
        <v>6166.41671091442</v>
      </c>
      <c r="Q2" s="7">
        <f>VLOOKUP($B2, gdp_tot_mes!$B:$XFD, MATCH(gdp_capita_mesorreg!Q$1, gdp_tot_mes!$B$1:$XFD$1, 0), 0)*1000/VLOOKUP($B2, pop_mesorreg_interpol!$B:$XFD, MATCH(gdp_capita_mesorreg!Q$1, pop_mesorreg_interpol!$B$1:$XFD$1, 0), 0)</f>
        <v>6281.8982394726036</v>
      </c>
      <c r="R2" s="7">
        <f>VLOOKUP($B2, gdp_tot_mes!$B:$XFD, MATCH(gdp_capita_mesorreg!R$1, gdp_tot_mes!$B$1:$XFD$1, 0), 0)*1000/VLOOKUP($B2, pop_mesorreg_interpol!$B:$XFD, MATCH(gdp_capita_mesorreg!R$1, pop_mesorreg_interpol!$B$1:$XFD$1, 0), 0)</f>
        <v>6152.1264270418415</v>
      </c>
      <c r="S2" s="7">
        <f>VLOOKUP($B2, gdp_tot_mes!$B:$XFD, MATCH(gdp_capita_mesorreg!S$1, gdp_tot_mes!$B$1:$XFD$1, 0), 0)*1000/VLOOKUP($B2, pop_mesorreg_interpol!$B:$XFD, MATCH(gdp_capita_mesorreg!S$1, pop_mesorreg_interpol!$B$1:$XFD$1, 0), 0)</f>
        <v>6628.613355637005</v>
      </c>
      <c r="T2" s="7">
        <f>VLOOKUP($B2, gdp_tot_mes!$B:$XFD, MATCH(gdp_capita_mesorreg!T$1, gdp_tot_mes!$B$1:$XFD$1, 0), 0)*1000/VLOOKUP($B2, pop_mesorreg_interpol!$B:$XFD, MATCH(gdp_capita_mesorreg!T$1, pop_mesorreg_interpol!$B$1:$XFD$1, 0), 0)</f>
        <v>7066.6633015243297</v>
      </c>
      <c r="U2" s="7">
        <f>VLOOKUP($B2, gdp_tot_mes!$B:$XFD, MATCH(gdp_capita_mesorreg!U$1, gdp_tot_mes!$B$1:$XFD$1, 0), 0)*1000/VLOOKUP($B2, pop_mesorreg_interpol!$B:$XFD, MATCH(gdp_capita_mesorreg!U$1, pop_mesorreg_interpol!$B$1:$XFD$1, 0), 0)</f>
        <v>6847.9441903353445</v>
      </c>
      <c r="V2" s="7">
        <f>VLOOKUP($B2, gdp_tot_mes!$B:$XFD, MATCH(gdp_capita_mesorreg!V$1, gdp_tot_mes!$B$1:$XFD$1, 0), 0)*1000/VLOOKUP($B2, pop_mesorreg_interpol!$B:$XFD, MATCH(gdp_capita_mesorreg!V$1, pop_mesorreg_interpol!$B$1:$XFD$1, 0), 0)</f>
        <v>7596.8285320035211</v>
      </c>
      <c r="W2" s="7">
        <f>VLOOKUP($B2, gdp_tot_mes!$B:$XFD, MATCH(gdp_capita_mesorreg!W$1, gdp_tot_mes!$B$1:$XFD$1, 0), 0)*1000/VLOOKUP($B2, pop_mesorreg_interpol!$B:$XFD, MATCH(gdp_capita_mesorreg!W$1, pop_mesorreg_interpol!$B$1:$XFD$1, 0), 0)</f>
        <v>8271.6365920990193</v>
      </c>
      <c r="X2" s="7">
        <f>VLOOKUP($B2, gdp_tot_mes!$B:$XFD, MATCH(gdp_capita_mesorreg!X$1, gdp_tot_mes!$B$1:$XFD$1, 0), 0)*1000/VLOOKUP($B2, pop_mesorreg_interpol!$B:$XFD, MATCH(gdp_capita_mesorreg!X$1, pop_mesorreg_interpol!$B$1:$XFD$1, 0), 0)</f>
        <v>8922.8981230736426</v>
      </c>
      <c r="Y2" s="7">
        <f>VLOOKUP($B2, gdp_tot_mes!$B:$XFD, MATCH(gdp_capita_mesorreg!Y$1, gdp_tot_mes!$B$1:$XFD$1, 0), 0)*1000/VLOOKUP($B2, pop_mesorreg_interpol!$B:$XFD, MATCH(gdp_capita_mesorreg!Y$1, pop_mesorreg_interpol!$B$1:$XFD$1, 0), 0)</f>
        <v>9692.2203761572946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x14ac:dyDescent="0.25">
      <c r="A3" s="1" t="s">
        <v>23</v>
      </c>
      <c r="B3" s="1" t="s">
        <v>26</v>
      </c>
      <c r="C3" s="1" t="s">
        <v>27</v>
      </c>
      <c r="D3" s="7">
        <f>VLOOKUP($B3, gdp_tot_mes!$B:$XFD, MATCH(gdp_capita_mesorreg!D$1, gdp_tot_mes!$B$1:$XFD$1, 0), 0)*1000/VLOOKUP($B3, pop_mesorreg_interpol!$B:$XFD, MATCH(gdp_capita_mesorreg!D$1, pop_mesorreg_interpol!$B$1:$XFD$1, 0), 0)</f>
        <v>1459.8554964809164</v>
      </c>
      <c r="E3" s="7">
        <f>VLOOKUP($B3, gdp_tot_mes!$B:$XFD, MATCH(gdp_capita_mesorreg!E$1, gdp_tot_mes!$B$1:$XFD$1, 0), 0)*1000/VLOOKUP($B3, pop_mesorreg_interpol!$B:$XFD, MATCH(gdp_capita_mesorreg!E$1, pop_mesorreg_interpol!$B$1:$XFD$1, 0), 0)</f>
        <v>3175.2934903943201</v>
      </c>
      <c r="F3" s="7">
        <f>VLOOKUP($B3, gdp_tot_mes!$B:$XFD, MATCH(gdp_capita_mesorreg!F$1, gdp_tot_mes!$B$1:$XFD$1, 0), 0)*1000/VLOOKUP($B3, pop_mesorreg_interpol!$B:$XFD, MATCH(gdp_capita_mesorreg!F$1, pop_mesorreg_interpol!$B$1:$XFD$1, 0), 0)</f>
        <v>3032.1028470266251</v>
      </c>
      <c r="G3" s="7">
        <f>VLOOKUP($B3, gdp_tot_mes!$B:$XFD, MATCH(gdp_capita_mesorreg!G$1, gdp_tot_mes!$B$1:$XFD$1, 0), 0)*1000/VLOOKUP($B3, pop_mesorreg_interpol!$B:$XFD, MATCH(gdp_capita_mesorreg!G$1, pop_mesorreg_interpol!$B$1:$XFD$1, 0), 0)</f>
        <v>2182.4383192256209</v>
      </c>
      <c r="H3" s="7">
        <f>VLOOKUP($B3, gdp_tot_mes!$B:$XFD, MATCH(gdp_capita_mesorreg!H$1, gdp_tot_mes!$B$1:$XFD$1, 0), 0)*1000/VLOOKUP($B3, pop_mesorreg_interpol!$B:$XFD, MATCH(gdp_capita_mesorreg!H$1, pop_mesorreg_interpol!$B$1:$XFD$1, 0), 0)</f>
        <v>5151.4780412699829</v>
      </c>
      <c r="I3" s="7">
        <f>VLOOKUP($B3, gdp_tot_mes!$B:$XFD, MATCH(gdp_capita_mesorreg!I$1, gdp_tot_mes!$B$1:$XFD$1, 0), 0)*1000/VLOOKUP($B3, pop_mesorreg_interpol!$B:$XFD, MATCH(gdp_capita_mesorreg!I$1, pop_mesorreg_interpol!$B$1:$XFD$1, 0), 0)</f>
        <v>4234.21983388228</v>
      </c>
      <c r="J3" s="7">
        <f>VLOOKUP($B3, gdp_tot_mes!$B:$XFD, MATCH(gdp_capita_mesorreg!J$1, gdp_tot_mes!$B$1:$XFD$1, 0), 0)*1000/VLOOKUP($B3, pop_mesorreg_interpol!$B:$XFD, MATCH(gdp_capita_mesorreg!J$1, pop_mesorreg_interpol!$B$1:$XFD$1, 0), 0)</f>
        <v>8632.8798430625593</v>
      </c>
      <c r="K3" s="7">
        <f>VLOOKUP($B3, gdp_tot_mes!$B:$XFD, MATCH(gdp_capita_mesorreg!K$1, gdp_tot_mes!$B$1:$XFD$1, 0), 0)*1000/VLOOKUP($B3, pop_mesorreg_interpol!$B:$XFD, MATCH(gdp_capita_mesorreg!K$1, pop_mesorreg_interpol!$B$1:$XFD$1, 0), 0)</f>
        <v>9491.1703209175394</v>
      </c>
      <c r="L3" s="8">
        <f>VLOOKUP($B3, gdp_tot_mes!$B:$XFD, MATCH(gdp_capita_mesorreg!L$1, gdp_tot_mes!$B$1:$XFD$1, 0), 0)*1000/VLOOKUP($B3, pop_mesorreg_interpol!$B:$XFD, MATCH(gdp_capita_mesorreg!L$1, pop_mesorreg_interpol!$B$1:$XFD$1, 0), 0)</f>
        <v>9830.4167877618329</v>
      </c>
      <c r="M3" s="7">
        <f>VLOOKUP($B3, gdp_tot_mes!$B:$XFD, MATCH(gdp_capita_mesorreg!M$1, gdp_tot_mes!$B$1:$XFD$1, 0), 0)*1000/VLOOKUP($B3, pop_mesorreg_interpol!$B:$XFD, MATCH(gdp_capita_mesorreg!M$1, pop_mesorreg_interpol!$B$1:$XFD$1, 0), 0)</f>
        <v>10115.680025957772</v>
      </c>
      <c r="N3" s="7">
        <f>VLOOKUP($B3, gdp_tot_mes!$B:$XFD, MATCH(gdp_capita_mesorreg!N$1, gdp_tot_mes!$B$1:$XFD$1, 0), 0)*1000/VLOOKUP($B3, pop_mesorreg_interpol!$B:$XFD, MATCH(gdp_capita_mesorreg!N$1, pop_mesorreg_interpol!$B$1:$XFD$1, 0), 0)</f>
        <v>9501.6867989550447</v>
      </c>
      <c r="O3" s="7">
        <f>VLOOKUP($B3, gdp_tot_mes!$B:$XFD, MATCH(gdp_capita_mesorreg!O$1, gdp_tot_mes!$B$1:$XFD$1, 0), 0)*1000/VLOOKUP($B3, pop_mesorreg_interpol!$B:$XFD, MATCH(gdp_capita_mesorreg!O$1, pop_mesorreg_interpol!$B$1:$XFD$1, 0), 0)</f>
        <v>9736.6650812427379</v>
      </c>
      <c r="P3" s="7">
        <f>VLOOKUP($B3, gdp_tot_mes!$B:$XFD, MATCH(gdp_capita_mesorreg!P$1, gdp_tot_mes!$B$1:$XFD$1, 0), 0)*1000/VLOOKUP($B3, pop_mesorreg_interpol!$B:$XFD, MATCH(gdp_capita_mesorreg!P$1, pop_mesorreg_interpol!$B$1:$XFD$1, 0), 0)</f>
        <v>10167.341105782196</v>
      </c>
      <c r="Q3" s="7">
        <f>VLOOKUP($B3, gdp_tot_mes!$B:$XFD, MATCH(gdp_capita_mesorreg!Q$1, gdp_tot_mes!$B$1:$XFD$1, 0), 0)*1000/VLOOKUP($B3, pop_mesorreg_interpol!$B:$XFD, MATCH(gdp_capita_mesorreg!Q$1, pop_mesorreg_interpol!$B$1:$XFD$1, 0), 0)</f>
        <v>10512.233812399485</v>
      </c>
      <c r="R3" s="7">
        <f>VLOOKUP($B3, gdp_tot_mes!$B:$XFD, MATCH(gdp_capita_mesorreg!R$1, gdp_tot_mes!$B$1:$XFD$1, 0), 0)*1000/VLOOKUP($B3, pop_mesorreg_interpol!$B:$XFD, MATCH(gdp_capita_mesorreg!R$1, pop_mesorreg_interpol!$B$1:$XFD$1, 0), 0)</f>
        <v>10393.666693621635</v>
      </c>
      <c r="S3" s="7">
        <f>VLOOKUP($B3, gdp_tot_mes!$B:$XFD, MATCH(gdp_capita_mesorreg!S$1, gdp_tot_mes!$B$1:$XFD$1, 0), 0)*1000/VLOOKUP($B3, pop_mesorreg_interpol!$B:$XFD, MATCH(gdp_capita_mesorreg!S$1, pop_mesorreg_interpol!$B$1:$XFD$1, 0), 0)</f>
        <v>11257.149219804594</v>
      </c>
      <c r="T3" s="7">
        <f>VLOOKUP($B3, gdp_tot_mes!$B:$XFD, MATCH(gdp_capita_mesorreg!T$1, gdp_tot_mes!$B$1:$XFD$1, 0), 0)*1000/VLOOKUP($B3, pop_mesorreg_interpol!$B:$XFD, MATCH(gdp_capita_mesorreg!T$1, pop_mesorreg_interpol!$B$1:$XFD$1, 0), 0)</f>
        <v>11581.738220342238</v>
      </c>
      <c r="U3" s="7">
        <f>VLOOKUP($B3, gdp_tot_mes!$B:$XFD, MATCH(gdp_capita_mesorreg!U$1, gdp_tot_mes!$B$1:$XFD$1, 0), 0)*1000/VLOOKUP($B3, pop_mesorreg_interpol!$B:$XFD, MATCH(gdp_capita_mesorreg!U$1, pop_mesorreg_interpol!$B$1:$XFD$1, 0), 0)</f>
        <v>11258.416516263573</v>
      </c>
      <c r="V3" s="7">
        <f>VLOOKUP($B3, gdp_tot_mes!$B:$XFD, MATCH(gdp_capita_mesorreg!V$1, gdp_tot_mes!$B$1:$XFD$1, 0), 0)*1000/VLOOKUP($B3, pop_mesorreg_interpol!$B:$XFD, MATCH(gdp_capita_mesorreg!V$1, pop_mesorreg_interpol!$B$1:$XFD$1, 0), 0)</f>
        <v>12574.584997974325</v>
      </c>
      <c r="W3" s="7">
        <f>VLOOKUP($B3, gdp_tot_mes!$B:$XFD, MATCH(gdp_capita_mesorreg!W$1, gdp_tot_mes!$B$1:$XFD$1, 0), 0)*1000/VLOOKUP($B3, pop_mesorreg_interpol!$B:$XFD, MATCH(gdp_capita_mesorreg!W$1, pop_mesorreg_interpol!$B$1:$XFD$1, 0), 0)</f>
        <v>12790.972161784137</v>
      </c>
      <c r="X3" s="7">
        <f>VLOOKUP($B3, gdp_tot_mes!$B:$XFD, MATCH(gdp_capita_mesorreg!X$1, gdp_tot_mes!$B$1:$XFD$1, 0), 0)*1000/VLOOKUP($B3, pop_mesorreg_interpol!$B:$XFD, MATCH(gdp_capita_mesorreg!X$1, pop_mesorreg_interpol!$B$1:$XFD$1, 0), 0)</f>
        <v>12270.864865818765</v>
      </c>
      <c r="Y3" s="7">
        <f>VLOOKUP($B3, gdp_tot_mes!$B:$XFD, MATCH(gdp_capita_mesorreg!Y$1, gdp_tot_mes!$B$1:$XFD$1, 0), 0)*1000/VLOOKUP($B3, pop_mesorreg_interpol!$B:$XFD, MATCH(gdp_capita_mesorreg!Y$1, pop_mesorreg_interpol!$B$1:$XFD$1, 0), 0)</f>
        <v>12283.242176406466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25">
      <c r="A4" s="1" t="s">
        <v>28</v>
      </c>
      <c r="B4" s="1" t="s">
        <v>29</v>
      </c>
      <c r="C4" s="1" t="s">
        <v>30</v>
      </c>
      <c r="D4" s="7">
        <f>VLOOKUP($B4, gdp_tot_mes!$B:$XFD, MATCH(gdp_capita_mesorreg!D$1, gdp_tot_mes!$B$1:$XFD$1, 0), 0)*1000/VLOOKUP($B4, pop_mesorreg_interpol!$B:$XFD, MATCH(gdp_capita_mesorreg!D$1, pop_mesorreg_interpol!$B$1:$XFD$1, 0), 0)</f>
        <v>246.107667878738</v>
      </c>
      <c r="E4" s="7">
        <f>VLOOKUP($B4, gdp_tot_mes!$B:$XFD, MATCH(gdp_capita_mesorreg!E$1, gdp_tot_mes!$B$1:$XFD$1, 0), 0)*1000/VLOOKUP($B4, pop_mesorreg_interpol!$B:$XFD, MATCH(gdp_capita_mesorreg!E$1, pop_mesorreg_interpol!$B$1:$XFD$1, 0), 0)</f>
        <v>493.38820418495675</v>
      </c>
      <c r="F4" s="7">
        <f>VLOOKUP($B4, gdp_tot_mes!$B:$XFD, MATCH(gdp_capita_mesorreg!F$1, gdp_tot_mes!$B$1:$XFD$1, 0), 0)*1000/VLOOKUP($B4, pop_mesorreg_interpol!$B:$XFD, MATCH(gdp_capita_mesorreg!F$1, pop_mesorreg_interpol!$B$1:$XFD$1, 0), 0)</f>
        <v>915.21187577599233</v>
      </c>
      <c r="G4" s="7">
        <f>VLOOKUP($B4, gdp_tot_mes!$B:$XFD, MATCH(gdp_capita_mesorreg!G$1, gdp_tot_mes!$B$1:$XFD$1, 0), 0)*1000/VLOOKUP($B4, pop_mesorreg_interpol!$B:$XFD, MATCH(gdp_capita_mesorreg!G$1, pop_mesorreg_interpol!$B$1:$XFD$1, 0), 0)</f>
        <v>1199.4498076503655</v>
      </c>
      <c r="H4" s="7">
        <f>VLOOKUP($B4, gdp_tot_mes!$B:$XFD, MATCH(gdp_capita_mesorreg!H$1, gdp_tot_mes!$B$1:$XFD$1, 0), 0)*1000/VLOOKUP($B4, pop_mesorreg_interpol!$B:$XFD, MATCH(gdp_capita_mesorreg!H$1, pop_mesorreg_interpol!$B$1:$XFD$1, 0), 0)</f>
        <v>2119.663932412142</v>
      </c>
      <c r="I4" s="7">
        <f>VLOOKUP($B4, gdp_tot_mes!$B:$XFD, MATCH(gdp_capita_mesorreg!I$1, gdp_tot_mes!$B$1:$XFD$1, 0), 0)*1000/VLOOKUP($B4, pop_mesorreg_interpol!$B:$XFD, MATCH(gdp_capita_mesorreg!I$1, pop_mesorreg_interpol!$B$1:$XFD$1, 0), 0)</f>
        <v>2513.5087099528778</v>
      </c>
      <c r="J4" s="7">
        <f>VLOOKUP($B4, gdp_tot_mes!$B:$XFD, MATCH(gdp_capita_mesorreg!J$1, gdp_tot_mes!$B$1:$XFD$1, 0), 0)*1000/VLOOKUP($B4, pop_mesorreg_interpol!$B:$XFD, MATCH(gdp_capita_mesorreg!J$1, pop_mesorreg_interpol!$B$1:$XFD$1, 0), 0)</f>
        <v>2254.9471478412825</v>
      </c>
      <c r="K4" s="7">
        <f>VLOOKUP($B4, gdp_tot_mes!$B:$XFD, MATCH(gdp_capita_mesorreg!K$1, gdp_tot_mes!$B$1:$XFD$1, 0), 0)*1000/VLOOKUP($B4, pop_mesorreg_interpol!$B:$XFD, MATCH(gdp_capita_mesorreg!K$1, pop_mesorreg_interpol!$B$1:$XFD$1, 0), 0)</f>
        <v>2916.9154358655073</v>
      </c>
      <c r="L4" s="8">
        <f>VLOOKUP($B4, gdp_tot_mes!$B:$XFD, MATCH(gdp_capita_mesorreg!L$1, gdp_tot_mes!$B$1:$XFD$1, 0), 0)*1000/VLOOKUP($B4, pop_mesorreg_interpol!$B:$XFD, MATCH(gdp_capita_mesorreg!L$1, pop_mesorreg_interpol!$B$1:$XFD$1, 0), 0)</f>
        <v>2557.7494953340756</v>
      </c>
      <c r="M4" s="7">
        <f>VLOOKUP($B4, gdp_tot_mes!$B:$XFD, MATCH(gdp_capita_mesorreg!M$1, gdp_tot_mes!$B$1:$XFD$1, 0), 0)*1000/VLOOKUP($B4, pop_mesorreg_interpol!$B:$XFD, MATCH(gdp_capita_mesorreg!M$1, pop_mesorreg_interpol!$B$1:$XFD$1, 0), 0)</f>
        <v>2178.6413175193507</v>
      </c>
      <c r="N4" s="7">
        <f>VLOOKUP($B4, gdp_tot_mes!$B:$XFD, MATCH(gdp_capita_mesorreg!N$1, gdp_tot_mes!$B$1:$XFD$1, 0), 0)*1000/VLOOKUP($B4, pop_mesorreg_interpol!$B:$XFD, MATCH(gdp_capita_mesorreg!N$1, pop_mesorreg_interpol!$B$1:$XFD$1, 0), 0)</f>
        <v>3362.0433604071281</v>
      </c>
      <c r="O4" s="7">
        <f>VLOOKUP($B4, gdp_tot_mes!$B:$XFD, MATCH(gdp_capita_mesorreg!O$1, gdp_tot_mes!$B$1:$XFD$1, 0), 0)*1000/VLOOKUP($B4, pop_mesorreg_interpol!$B:$XFD, MATCH(gdp_capita_mesorreg!O$1, pop_mesorreg_interpol!$B$1:$XFD$1, 0), 0)</f>
        <v>3506.8125507107125</v>
      </c>
      <c r="P4" s="7">
        <f>VLOOKUP($B4, gdp_tot_mes!$B:$XFD, MATCH(gdp_capita_mesorreg!P$1, gdp_tot_mes!$B$1:$XFD$1, 0), 0)*1000/VLOOKUP($B4, pop_mesorreg_interpol!$B:$XFD, MATCH(gdp_capita_mesorreg!P$1, pop_mesorreg_interpol!$B$1:$XFD$1, 0), 0)</f>
        <v>3516.4084771756079</v>
      </c>
      <c r="Q4" s="7">
        <f>VLOOKUP($B4, gdp_tot_mes!$B:$XFD, MATCH(gdp_capita_mesorreg!Q$1, gdp_tot_mes!$B$1:$XFD$1, 0), 0)*1000/VLOOKUP($B4, pop_mesorreg_interpol!$B:$XFD, MATCH(gdp_capita_mesorreg!Q$1, pop_mesorreg_interpol!$B$1:$XFD$1, 0), 0)</f>
        <v>3562.6827200724128</v>
      </c>
      <c r="R4" s="7">
        <f>VLOOKUP($B4, gdp_tot_mes!$B:$XFD, MATCH(gdp_capita_mesorreg!R$1, gdp_tot_mes!$B$1:$XFD$1, 0), 0)*1000/VLOOKUP($B4, pop_mesorreg_interpol!$B:$XFD, MATCH(gdp_capita_mesorreg!R$1, pop_mesorreg_interpol!$B$1:$XFD$1, 0), 0)</f>
        <v>3318.9808702699606</v>
      </c>
      <c r="S4" s="7">
        <f>VLOOKUP($B4, gdp_tot_mes!$B:$XFD, MATCH(gdp_capita_mesorreg!S$1, gdp_tot_mes!$B$1:$XFD$1, 0), 0)*1000/VLOOKUP($B4, pop_mesorreg_interpol!$B:$XFD, MATCH(gdp_capita_mesorreg!S$1, pop_mesorreg_interpol!$B$1:$XFD$1, 0), 0)</f>
        <v>3585.1454347758863</v>
      </c>
      <c r="T4" s="7">
        <f>VLOOKUP($B4, gdp_tot_mes!$B:$XFD, MATCH(gdp_capita_mesorreg!T$1, gdp_tot_mes!$B$1:$XFD$1, 0), 0)*1000/VLOOKUP($B4, pop_mesorreg_interpol!$B:$XFD, MATCH(gdp_capita_mesorreg!T$1, pop_mesorreg_interpol!$B$1:$XFD$1, 0), 0)</f>
        <v>3687.9352564086385</v>
      </c>
      <c r="U4" s="7">
        <f>VLOOKUP($B4, gdp_tot_mes!$B:$XFD, MATCH(gdp_capita_mesorreg!U$1, gdp_tot_mes!$B$1:$XFD$1, 0), 0)*1000/VLOOKUP($B4, pop_mesorreg_interpol!$B:$XFD, MATCH(gdp_capita_mesorreg!U$1, pop_mesorreg_interpol!$B$1:$XFD$1, 0), 0)</f>
        <v>3757.7551449901343</v>
      </c>
      <c r="V4" s="7">
        <f>VLOOKUP($B4, gdp_tot_mes!$B:$XFD, MATCH(gdp_capita_mesorreg!V$1, gdp_tot_mes!$B$1:$XFD$1, 0), 0)*1000/VLOOKUP($B4, pop_mesorreg_interpol!$B:$XFD, MATCH(gdp_capita_mesorreg!V$1, pop_mesorreg_interpol!$B$1:$XFD$1, 0), 0)</f>
        <v>4140.7946334778544</v>
      </c>
      <c r="W4" s="7">
        <f>VLOOKUP($B4, gdp_tot_mes!$B:$XFD, MATCH(gdp_capita_mesorreg!W$1, gdp_tot_mes!$B$1:$XFD$1, 0), 0)*1000/VLOOKUP($B4, pop_mesorreg_interpol!$B:$XFD, MATCH(gdp_capita_mesorreg!W$1, pop_mesorreg_interpol!$B$1:$XFD$1, 0), 0)</f>
        <v>4056.3265445926777</v>
      </c>
      <c r="X4" s="7">
        <f>VLOOKUP($B4, gdp_tot_mes!$B:$XFD, MATCH(gdp_capita_mesorreg!X$1, gdp_tot_mes!$B$1:$XFD$1, 0), 0)*1000/VLOOKUP($B4, pop_mesorreg_interpol!$B:$XFD, MATCH(gdp_capita_mesorreg!X$1, pop_mesorreg_interpol!$B$1:$XFD$1, 0), 0)</f>
        <v>3963.4287275758447</v>
      </c>
      <c r="Y4" s="7">
        <f>VLOOKUP($B4, gdp_tot_mes!$B:$XFD, MATCH(gdp_capita_mesorreg!Y$1, gdp_tot_mes!$B$1:$XFD$1, 0), 0)*1000/VLOOKUP($B4, pop_mesorreg_interpol!$B:$XFD, MATCH(gdp_capita_mesorreg!Y$1, pop_mesorreg_interpol!$B$1:$XFD$1, 0), 0)</f>
        <v>4112.3425821705832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25">
      <c r="A5" s="1" t="s">
        <v>28</v>
      </c>
      <c r="B5" s="1" t="s">
        <v>31</v>
      </c>
      <c r="C5" s="1" t="s">
        <v>32</v>
      </c>
      <c r="D5" s="7">
        <f>VLOOKUP($B5, gdp_tot_mes!$B:$XFD, MATCH(gdp_capita_mesorreg!D$1, gdp_tot_mes!$B$1:$XFD$1, 0), 0)*1000/VLOOKUP($B5, pop_mesorreg_interpol!$B:$XFD, MATCH(gdp_capita_mesorreg!D$1, pop_mesorreg_interpol!$B$1:$XFD$1, 0), 0)</f>
        <v>245.06175832228777</v>
      </c>
      <c r="E5" s="7">
        <f>VLOOKUP($B5, gdp_tot_mes!$B:$XFD, MATCH(gdp_capita_mesorreg!E$1, gdp_tot_mes!$B$1:$XFD$1, 0), 0)*1000/VLOOKUP($B5, pop_mesorreg_interpol!$B:$XFD, MATCH(gdp_capita_mesorreg!E$1, pop_mesorreg_interpol!$B$1:$XFD$1, 0), 0)</f>
        <v>402.35994571154566</v>
      </c>
      <c r="F5" s="7">
        <f>VLOOKUP($B5, gdp_tot_mes!$B:$XFD, MATCH(gdp_capita_mesorreg!F$1, gdp_tot_mes!$B$1:$XFD$1, 0), 0)*1000/VLOOKUP($B5, pop_mesorreg_interpol!$B:$XFD, MATCH(gdp_capita_mesorreg!F$1, pop_mesorreg_interpol!$B$1:$XFD$1, 0), 0)</f>
        <v>944.74573152459413</v>
      </c>
      <c r="G5" s="7">
        <f>VLOOKUP($B5, gdp_tot_mes!$B:$XFD, MATCH(gdp_capita_mesorreg!G$1, gdp_tot_mes!$B$1:$XFD$1, 0), 0)*1000/VLOOKUP($B5, pop_mesorreg_interpol!$B:$XFD, MATCH(gdp_capita_mesorreg!G$1, pop_mesorreg_interpol!$B$1:$XFD$1, 0), 0)</f>
        <v>1592.9792128760701</v>
      </c>
      <c r="H5" s="7">
        <f>VLOOKUP($B5, gdp_tot_mes!$B:$XFD, MATCH(gdp_capita_mesorreg!H$1, gdp_tot_mes!$B$1:$XFD$1, 0), 0)*1000/VLOOKUP($B5, pop_mesorreg_interpol!$B:$XFD, MATCH(gdp_capita_mesorreg!H$1, pop_mesorreg_interpol!$B$1:$XFD$1, 0), 0)</f>
        <v>1722.3136950593762</v>
      </c>
      <c r="I5" s="7">
        <f>VLOOKUP($B5, gdp_tot_mes!$B:$XFD, MATCH(gdp_capita_mesorreg!I$1, gdp_tot_mes!$B$1:$XFD$1, 0), 0)*1000/VLOOKUP($B5, pop_mesorreg_interpol!$B:$XFD, MATCH(gdp_capita_mesorreg!I$1, pop_mesorreg_interpol!$B$1:$XFD$1, 0), 0)</f>
        <v>2577.249866951106</v>
      </c>
      <c r="J5" s="7">
        <f>VLOOKUP($B5, gdp_tot_mes!$B:$XFD, MATCH(gdp_capita_mesorreg!J$1, gdp_tot_mes!$B$1:$XFD$1, 0), 0)*1000/VLOOKUP($B5, pop_mesorreg_interpol!$B:$XFD, MATCH(gdp_capita_mesorreg!J$1, pop_mesorreg_interpol!$B$1:$XFD$1, 0), 0)</f>
        <v>3345.0079809973245</v>
      </c>
      <c r="K5" s="7">
        <f>VLOOKUP($B5, gdp_tot_mes!$B:$XFD, MATCH(gdp_capita_mesorreg!K$1, gdp_tot_mes!$B$1:$XFD$1, 0), 0)*1000/VLOOKUP($B5, pop_mesorreg_interpol!$B:$XFD, MATCH(gdp_capita_mesorreg!K$1, pop_mesorreg_interpol!$B$1:$XFD$1, 0), 0)</f>
        <v>3597.1548456262699</v>
      </c>
      <c r="L5" s="8">
        <f>VLOOKUP($B5, gdp_tot_mes!$B:$XFD, MATCH(gdp_capita_mesorreg!L$1, gdp_tot_mes!$B$1:$XFD$1, 0), 0)*1000/VLOOKUP($B5, pop_mesorreg_interpol!$B:$XFD, MATCH(gdp_capita_mesorreg!L$1, pop_mesorreg_interpol!$B$1:$XFD$1, 0), 0)</f>
        <v>3183.9911076702883</v>
      </c>
      <c r="M5" s="7">
        <f>VLOOKUP($B5, gdp_tot_mes!$B:$XFD, MATCH(gdp_capita_mesorreg!M$1, gdp_tot_mes!$B$1:$XFD$1, 0), 0)*1000/VLOOKUP($B5, pop_mesorreg_interpol!$B:$XFD, MATCH(gdp_capita_mesorreg!M$1, pop_mesorreg_interpol!$B$1:$XFD$1, 0), 0)</f>
        <v>2746.9710152710682</v>
      </c>
      <c r="N5" s="7">
        <f>VLOOKUP($B5, gdp_tot_mes!$B:$XFD, MATCH(gdp_capita_mesorreg!N$1, gdp_tot_mes!$B$1:$XFD$1, 0), 0)*1000/VLOOKUP($B5, pop_mesorreg_interpol!$B:$XFD, MATCH(gdp_capita_mesorreg!N$1, pop_mesorreg_interpol!$B$1:$XFD$1, 0), 0)</f>
        <v>4226.6938031843501</v>
      </c>
      <c r="O5" s="7">
        <f>VLOOKUP($B5, gdp_tot_mes!$B:$XFD, MATCH(gdp_capita_mesorreg!O$1, gdp_tot_mes!$B$1:$XFD$1, 0), 0)*1000/VLOOKUP($B5, pop_mesorreg_interpol!$B:$XFD, MATCH(gdp_capita_mesorreg!O$1, pop_mesorreg_interpol!$B$1:$XFD$1, 0), 0)</f>
        <v>4304.9330251014571</v>
      </c>
      <c r="P5" s="7">
        <f>VLOOKUP($B5, gdp_tot_mes!$B:$XFD, MATCH(gdp_capita_mesorreg!P$1, gdp_tot_mes!$B$1:$XFD$1, 0), 0)*1000/VLOOKUP($B5, pop_mesorreg_interpol!$B:$XFD, MATCH(gdp_capita_mesorreg!P$1, pop_mesorreg_interpol!$B$1:$XFD$1, 0), 0)</f>
        <v>4253.1238226604328</v>
      </c>
      <c r="Q5" s="7">
        <f>VLOOKUP($B5, gdp_tot_mes!$B:$XFD, MATCH(gdp_capita_mesorreg!Q$1, gdp_tot_mes!$B$1:$XFD$1, 0), 0)*1000/VLOOKUP($B5, pop_mesorreg_interpol!$B:$XFD, MATCH(gdp_capita_mesorreg!Q$1, pop_mesorreg_interpol!$B$1:$XFD$1, 0), 0)</f>
        <v>4351.7419973341875</v>
      </c>
      <c r="R5" s="7">
        <f>VLOOKUP($B5, gdp_tot_mes!$B:$XFD, MATCH(gdp_capita_mesorreg!R$1, gdp_tot_mes!$B$1:$XFD$1, 0), 0)*1000/VLOOKUP($B5, pop_mesorreg_interpol!$B:$XFD, MATCH(gdp_capita_mesorreg!R$1, pop_mesorreg_interpol!$B$1:$XFD$1, 0), 0)</f>
        <v>4038.3220001553709</v>
      </c>
      <c r="S5" s="7">
        <f>VLOOKUP($B5, gdp_tot_mes!$B:$XFD, MATCH(gdp_capita_mesorreg!S$1, gdp_tot_mes!$B$1:$XFD$1, 0), 0)*1000/VLOOKUP($B5, pop_mesorreg_interpol!$B:$XFD, MATCH(gdp_capita_mesorreg!S$1, pop_mesorreg_interpol!$B$1:$XFD$1, 0), 0)</f>
        <v>4244.3998608823886</v>
      </c>
      <c r="T5" s="7">
        <f>VLOOKUP($B5, gdp_tot_mes!$B:$XFD, MATCH(gdp_capita_mesorreg!T$1, gdp_tot_mes!$B$1:$XFD$1, 0), 0)*1000/VLOOKUP($B5, pop_mesorreg_interpol!$B:$XFD, MATCH(gdp_capita_mesorreg!T$1, pop_mesorreg_interpol!$B$1:$XFD$1, 0), 0)</f>
        <v>4477.8025223095028</v>
      </c>
      <c r="U5" s="7">
        <f>VLOOKUP($B5, gdp_tot_mes!$B:$XFD, MATCH(gdp_capita_mesorreg!U$1, gdp_tot_mes!$B$1:$XFD$1, 0), 0)*1000/VLOOKUP($B5, pop_mesorreg_interpol!$B:$XFD, MATCH(gdp_capita_mesorreg!U$1, pop_mesorreg_interpol!$B$1:$XFD$1, 0), 0)</f>
        <v>4661.3443986605016</v>
      </c>
      <c r="V5" s="7">
        <f>VLOOKUP($B5, gdp_tot_mes!$B:$XFD, MATCH(gdp_capita_mesorreg!V$1, gdp_tot_mes!$B$1:$XFD$1, 0), 0)*1000/VLOOKUP($B5, pop_mesorreg_interpol!$B:$XFD, MATCH(gdp_capita_mesorreg!V$1, pop_mesorreg_interpol!$B$1:$XFD$1, 0), 0)</f>
        <v>5224.5131225001414</v>
      </c>
      <c r="W5" s="7">
        <f>VLOOKUP($B5, gdp_tot_mes!$B:$XFD, MATCH(gdp_capita_mesorreg!W$1, gdp_tot_mes!$B$1:$XFD$1, 0), 0)*1000/VLOOKUP($B5, pop_mesorreg_interpol!$B:$XFD, MATCH(gdp_capita_mesorreg!W$1, pop_mesorreg_interpol!$B$1:$XFD$1, 0), 0)</f>
        <v>5270.4358761060275</v>
      </c>
      <c r="X5" s="7">
        <f>VLOOKUP($B5, gdp_tot_mes!$B:$XFD, MATCH(gdp_capita_mesorreg!X$1, gdp_tot_mes!$B$1:$XFD$1, 0), 0)*1000/VLOOKUP($B5, pop_mesorreg_interpol!$B:$XFD, MATCH(gdp_capita_mesorreg!X$1, pop_mesorreg_interpol!$B$1:$XFD$1, 0), 0)</f>
        <v>5518.6832917564643</v>
      </c>
      <c r="Y5" s="7">
        <f>VLOOKUP($B5, gdp_tot_mes!$B:$XFD, MATCH(gdp_capita_mesorreg!Y$1, gdp_tot_mes!$B$1:$XFD$1, 0), 0)*1000/VLOOKUP($B5, pop_mesorreg_interpol!$B:$XFD, MATCH(gdp_capita_mesorreg!Y$1, pop_mesorreg_interpol!$B$1:$XFD$1, 0), 0)</f>
        <v>5721.5134284825017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5">
      <c r="A6" s="1" t="s">
        <v>28</v>
      </c>
      <c r="B6" s="1" t="s">
        <v>33</v>
      </c>
      <c r="C6" s="1" t="s">
        <v>34</v>
      </c>
      <c r="D6" s="7">
        <f>VLOOKUP($B6, gdp_tot_mes!$B:$XFD, MATCH(gdp_capita_mesorreg!D$1, gdp_tot_mes!$B$1:$XFD$1, 0), 0)*1000/VLOOKUP($B6, pop_mesorreg_interpol!$B:$XFD, MATCH(gdp_capita_mesorreg!D$1, pop_mesorreg_interpol!$B$1:$XFD$1, 0), 0)</f>
        <v>456.5323414655611</v>
      </c>
      <c r="E6" s="7">
        <f>VLOOKUP($B6, gdp_tot_mes!$B:$XFD, MATCH(gdp_capita_mesorreg!E$1, gdp_tot_mes!$B$1:$XFD$1, 0), 0)*1000/VLOOKUP($B6, pop_mesorreg_interpol!$B:$XFD, MATCH(gdp_capita_mesorreg!E$1, pop_mesorreg_interpol!$B$1:$XFD$1, 0), 0)</f>
        <v>1184.1063694388656</v>
      </c>
      <c r="F6" s="7">
        <f>VLOOKUP($B6, gdp_tot_mes!$B:$XFD, MATCH(gdp_capita_mesorreg!F$1, gdp_tot_mes!$B$1:$XFD$1, 0), 0)*1000/VLOOKUP($B6, pop_mesorreg_interpol!$B:$XFD, MATCH(gdp_capita_mesorreg!F$1, pop_mesorreg_interpol!$B$1:$XFD$1, 0), 0)</f>
        <v>1756.1437073830873</v>
      </c>
      <c r="G6" s="7">
        <f>VLOOKUP($B6, gdp_tot_mes!$B:$XFD, MATCH(gdp_capita_mesorreg!G$1, gdp_tot_mes!$B$1:$XFD$1, 0), 0)*1000/VLOOKUP($B6, pop_mesorreg_interpol!$B:$XFD, MATCH(gdp_capita_mesorreg!G$1, pop_mesorreg_interpol!$B$1:$XFD$1, 0), 0)</f>
        <v>2412.9360002509461</v>
      </c>
      <c r="H6" s="7">
        <f>VLOOKUP($B6, gdp_tot_mes!$B:$XFD, MATCH(gdp_capita_mesorreg!H$1, gdp_tot_mes!$B$1:$XFD$1, 0), 0)*1000/VLOOKUP($B6, pop_mesorreg_interpol!$B:$XFD, MATCH(gdp_capita_mesorreg!H$1, pop_mesorreg_interpol!$B$1:$XFD$1, 0), 0)</f>
        <v>3748.9113476491725</v>
      </c>
      <c r="I6" s="7">
        <f>VLOOKUP($B6, gdp_tot_mes!$B:$XFD, MATCH(gdp_capita_mesorreg!I$1, gdp_tot_mes!$B$1:$XFD$1, 0), 0)*1000/VLOOKUP($B6, pop_mesorreg_interpol!$B:$XFD, MATCH(gdp_capita_mesorreg!I$1, pop_mesorreg_interpol!$B$1:$XFD$1, 0), 0)</f>
        <v>5303.4717092127057</v>
      </c>
      <c r="J6" s="7">
        <f>VLOOKUP($B6, gdp_tot_mes!$B:$XFD, MATCH(gdp_capita_mesorreg!J$1, gdp_tot_mes!$B$1:$XFD$1, 0), 0)*1000/VLOOKUP($B6, pop_mesorreg_interpol!$B:$XFD, MATCH(gdp_capita_mesorreg!J$1, pop_mesorreg_interpol!$B$1:$XFD$1, 0), 0)</f>
        <v>7675.0463804775291</v>
      </c>
      <c r="K6" s="7">
        <f>VLOOKUP($B6, gdp_tot_mes!$B:$XFD, MATCH(gdp_capita_mesorreg!K$1, gdp_tot_mes!$B$1:$XFD$1, 0), 0)*1000/VLOOKUP($B6, pop_mesorreg_interpol!$B:$XFD, MATCH(gdp_capita_mesorreg!K$1, pop_mesorreg_interpol!$B$1:$XFD$1, 0), 0)</f>
        <v>8296.5904112954777</v>
      </c>
      <c r="L6" s="8">
        <f>VLOOKUP($B6, gdp_tot_mes!$B:$XFD, MATCH(gdp_capita_mesorreg!L$1, gdp_tot_mes!$B$1:$XFD$1, 0), 0)*1000/VLOOKUP($B6, pop_mesorreg_interpol!$B:$XFD, MATCH(gdp_capita_mesorreg!L$1, pop_mesorreg_interpol!$B$1:$XFD$1, 0), 0)</f>
        <v>8088.2101109467467</v>
      </c>
      <c r="M6" s="7">
        <f>VLOOKUP($B6, gdp_tot_mes!$B:$XFD, MATCH(gdp_capita_mesorreg!M$1, gdp_tot_mes!$B$1:$XFD$1, 0), 0)*1000/VLOOKUP($B6, pop_mesorreg_interpol!$B:$XFD, MATCH(gdp_capita_mesorreg!M$1, pop_mesorreg_interpol!$B$1:$XFD$1, 0), 0)</f>
        <v>7887.5212270682987</v>
      </c>
      <c r="N6" s="7">
        <f>VLOOKUP($B6, gdp_tot_mes!$B:$XFD, MATCH(gdp_capita_mesorreg!N$1, gdp_tot_mes!$B$1:$XFD$1, 0), 0)*1000/VLOOKUP($B6, pop_mesorreg_interpol!$B:$XFD, MATCH(gdp_capita_mesorreg!N$1, pop_mesorreg_interpol!$B$1:$XFD$1, 0), 0)</f>
        <v>7246.4105134186057</v>
      </c>
      <c r="O6" s="7">
        <f>VLOOKUP($B6, gdp_tot_mes!$B:$XFD, MATCH(gdp_capita_mesorreg!O$1, gdp_tot_mes!$B$1:$XFD$1, 0), 0)*1000/VLOOKUP($B6, pop_mesorreg_interpol!$B:$XFD, MATCH(gdp_capita_mesorreg!O$1, pop_mesorreg_interpol!$B$1:$XFD$1, 0), 0)</f>
        <v>7412.7576207818574</v>
      </c>
      <c r="P6" s="7">
        <f>VLOOKUP($B6, gdp_tot_mes!$B:$XFD, MATCH(gdp_capita_mesorreg!P$1, gdp_tot_mes!$B$1:$XFD$1, 0), 0)*1000/VLOOKUP($B6, pop_mesorreg_interpol!$B:$XFD, MATCH(gdp_capita_mesorreg!P$1, pop_mesorreg_interpol!$B$1:$XFD$1, 0), 0)</f>
        <v>7407.1011590258468</v>
      </c>
      <c r="Q6" s="7">
        <f>VLOOKUP($B6, gdp_tot_mes!$B:$XFD, MATCH(gdp_capita_mesorreg!Q$1, gdp_tot_mes!$B$1:$XFD$1, 0), 0)*1000/VLOOKUP($B6, pop_mesorreg_interpol!$B:$XFD, MATCH(gdp_capita_mesorreg!Q$1, pop_mesorreg_interpol!$B$1:$XFD$1, 0), 0)</f>
        <v>7754.7295545586858</v>
      </c>
      <c r="R6" s="7">
        <f>VLOOKUP($B6, gdp_tot_mes!$B:$XFD, MATCH(gdp_capita_mesorreg!R$1, gdp_tot_mes!$B$1:$XFD$1, 0), 0)*1000/VLOOKUP($B6, pop_mesorreg_interpol!$B:$XFD, MATCH(gdp_capita_mesorreg!R$1, pop_mesorreg_interpol!$B$1:$XFD$1, 0), 0)</f>
        <v>7806.3131889757742</v>
      </c>
      <c r="S6" s="7">
        <f>VLOOKUP($B6, gdp_tot_mes!$B:$XFD, MATCH(gdp_capita_mesorreg!S$1, gdp_tot_mes!$B$1:$XFD$1, 0), 0)*1000/VLOOKUP($B6, pop_mesorreg_interpol!$B:$XFD, MATCH(gdp_capita_mesorreg!S$1, pop_mesorreg_interpol!$B$1:$XFD$1, 0), 0)</f>
        <v>8224.168438363602</v>
      </c>
      <c r="T6" s="7">
        <f>VLOOKUP($B6, gdp_tot_mes!$B:$XFD, MATCH(gdp_capita_mesorreg!T$1, gdp_tot_mes!$B$1:$XFD$1, 0), 0)*1000/VLOOKUP($B6, pop_mesorreg_interpol!$B:$XFD, MATCH(gdp_capita_mesorreg!T$1, pop_mesorreg_interpol!$B$1:$XFD$1, 0), 0)</f>
        <v>8229.6456533352666</v>
      </c>
      <c r="U6" s="7">
        <f>VLOOKUP($B6, gdp_tot_mes!$B:$XFD, MATCH(gdp_capita_mesorreg!U$1, gdp_tot_mes!$B$1:$XFD$1, 0), 0)*1000/VLOOKUP($B6, pop_mesorreg_interpol!$B:$XFD, MATCH(gdp_capita_mesorreg!U$1, pop_mesorreg_interpol!$B$1:$XFD$1, 0), 0)</f>
        <v>8302.5702768674873</v>
      </c>
      <c r="V6" s="7">
        <f>VLOOKUP($B6, gdp_tot_mes!$B:$XFD, MATCH(gdp_capita_mesorreg!V$1, gdp_tot_mes!$B$1:$XFD$1, 0), 0)*1000/VLOOKUP($B6, pop_mesorreg_interpol!$B:$XFD, MATCH(gdp_capita_mesorreg!V$1, pop_mesorreg_interpol!$B$1:$XFD$1, 0), 0)</f>
        <v>8770.8640387495489</v>
      </c>
      <c r="W6" s="7">
        <f>VLOOKUP($B6, gdp_tot_mes!$B:$XFD, MATCH(gdp_capita_mesorreg!W$1, gdp_tot_mes!$B$1:$XFD$1, 0), 0)*1000/VLOOKUP($B6, pop_mesorreg_interpol!$B:$XFD, MATCH(gdp_capita_mesorreg!W$1, pop_mesorreg_interpol!$B$1:$XFD$1, 0), 0)</f>
        <v>8740.1778466151391</v>
      </c>
      <c r="X6" s="7">
        <f>VLOOKUP($B6, gdp_tot_mes!$B:$XFD, MATCH(gdp_capita_mesorreg!X$1, gdp_tot_mes!$B$1:$XFD$1, 0), 0)*1000/VLOOKUP($B6, pop_mesorreg_interpol!$B:$XFD, MATCH(gdp_capita_mesorreg!X$1, pop_mesorreg_interpol!$B$1:$XFD$1, 0), 0)</f>
        <v>8758.3829934231981</v>
      </c>
      <c r="Y6" s="7">
        <f>VLOOKUP($B6, gdp_tot_mes!$B:$XFD, MATCH(gdp_capita_mesorreg!Y$1, gdp_tot_mes!$B$1:$XFD$1, 0), 0)*1000/VLOOKUP($B6, pop_mesorreg_interpol!$B:$XFD, MATCH(gdp_capita_mesorreg!Y$1, pop_mesorreg_interpol!$B$1:$XFD$1, 0), 0)</f>
        <v>9314.1532899819613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25">
      <c r="A7" s="1" t="s">
        <v>35</v>
      </c>
      <c r="B7" s="1" t="s">
        <v>36</v>
      </c>
      <c r="C7" s="1" t="s">
        <v>37</v>
      </c>
      <c r="D7" s="7">
        <f>VLOOKUP($B7, gdp_tot_mes!$B:$XFD, MATCH(gdp_capita_mesorreg!D$1, gdp_tot_mes!$B$1:$XFD$1, 0), 0)*1000/VLOOKUP($B7, pop_mesorreg_interpol!$B:$XFD, MATCH(gdp_capita_mesorreg!D$1, pop_mesorreg_interpol!$B$1:$XFD$1, 0), 0)</f>
        <v>447.18066833568565</v>
      </c>
      <c r="E7" s="7">
        <f>VLOOKUP($B7, gdp_tot_mes!$B:$XFD, MATCH(gdp_capita_mesorreg!E$1, gdp_tot_mes!$B$1:$XFD$1, 0), 0)*1000/VLOOKUP($B7, pop_mesorreg_interpol!$B:$XFD, MATCH(gdp_capita_mesorreg!E$1, pop_mesorreg_interpol!$B$1:$XFD$1, 0), 0)</f>
        <v>780.1679684237838</v>
      </c>
      <c r="F7" s="7">
        <f>VLOOKUP($B7, gdp_tot_mes!$B:$XFD, MATCH(gdp_capita_mesorreg!F$1, gdp_tot_mes!$B$1:$XFD$1, 0), 0)*1000/VLOOKUP($B7, pop_mesorreg_interpol!$B:$XFD, MATCH(gdp_capita_mesorreg!F$1, pop_mesorreg_interpol!$B$1:$XFD$1, 0), 0)</f>
        <v>281.46373605484075</v>
      </c>
      <c r="G7" s="7">
        <f>VLOOKUP($B7, gdp_tot_mes!$B:$XFD, MATCH(gdp_capita_mesorreg!G$1, gdp_tot_mes!$B$1:$XFD$1, 0), 0)*1000/VLOOKUP($B7, pop_mesorreg_interpol!$B:$XFD, MATCH(gdp_capita_mesorreg!G$1, pop_mesorreg_interpol!$B$1:$XFD$1, 0), 0)</f>
        <v>579.45799569984945</v>
      </c>
      <c r="H7" s="7">
        <f>VLOOKUP($B7, gdp_tot_mes!$B:$XFD, MATCH(gdp_capita_mesorreg!H$1, gdp_tot_mes!$B$1:$XFD$1, 0), 0)*1000/VLOOKUP($B7, pop_mesorreg_interpol!$B:$XFD, MATCH(gdp_capita_mesorreg!H$1, pop_mesorreg_interpol!$B$1:$XFD$1, 0), 0)</f>
        <v>2759.2568797817362</v>
      </c>
      <c r="I7" s="7">
        <f>VLOOKUP($B7, gdp_tot_mes!$B:$XFD, MATCH(gdp_capita_mesorreg!I$1, gdp_tot_mes!$B$1:$XFD$1, 0), 0)*1000/VLOOKUP($B7, pop_mesorreg_interpol!$B:$XFD, MATCH(gdp_capita_mesorreg!I$1, pop_mesorreg_interpol!$B$1:$XFD$1, 0), 0)</f>
        <v>2884.3772625108263</v>
      </c>
      <c r="J7" s="7">
        <f>VLOOKUP($B7, gdp_tot_mes!$B:$XFD, MATCH(gdp_capita_mesorreg!J$1, gdp_tot_mes!$B$1:$XFD$1, 0), 0)*1000/VLOOKUP($B7, pop_mesorreg_interpol!$B:$XFD, MATCH(gdp_capita_mesorreg!J$1, pop_mesorreg_interpol!$B$1:$XFD$1, 0), 0)</f>
        <v>3369.6917759832681</v>
      </c>
      <c r="K7" s="7">
        <f>VLOOKUP($B7, gdp_tot_mes!$B:$XFD, MATCH(gdp_capita_mesorreg!K$1, gdp_tot_mes!$B$1:$XFD$1, 0), 0)*1000/VLOOKUP($B7, pop_mesorreg_interpol!$B:$XFD, MATCH(gdp_capita_mesorreg!K$1, pop_mesorreg_interpol!$B$1:$XFD$1, 0), 0)</f>
        <v>4224.1320301111928</v>
      </c>
      <c r="L7" s="8">
        <f>VLOOKUP($B7, gdp_tot_mes!$B:$XFD, MATCH(gdp_capita_mesorreg!L$1, gdp_tot_mes!$B$1:$XFD$1, 0), 0)*1000/VLOOKUP($B7, pop_mesorreg_interpol!$B:$XFD, MATCH(gdp_capita_mesorreg!L$1, pop_mesorreg_interpol!$B$1:$XFD$1, 0), 0)</f>
        <v>4120.1134749499997</v>
      </c>
      <c r="M7" s="7">
        <f>VLOOKUP($B7, gdp_tot_mes!$B:$XFD, MATCH(gdp_capita_mesorreg!M$1, gdp_tot_mes!$B$1:$XFD$1, 0), 0)*1000/VLOOKUP($B7, pop_mesorreg_interpol!$B:$XFD, MATCH(gdp_capita_mesorreg!M$1, pop_mesorreg_interpol!$B$1:$XFD$1, 0), 0)</f>
        <v>4034.0527087490987</v>
      </c>
      <c r="N7" s="7">
        <f>VLOOKUP($B7, gdp_tot_mes!$B:$XFD, MATCH(gdp_capita_mesorreg!N$1, gdp_tot_mes!$B$1:$XFD$1, 0), 0)*1000/VLOOKUP($B7, pop_mesorreg_interpol!$B:$XFD, MATCH(gdp_capita_mesorreg!N$1, pop_mesorreg_interpol!$B$1:$XFD$1, 0), 0)</f>
        <v>3689.2695330488664</v>
      </c>
      <c r="O7" s="7">
        <f>VLOOKUP($B7, gdp_tot_mes!$B:$XFD, MATCH(gdp_capita_mesorreg!O$1, gdp_tot_mes!$B$1:$XFD$1, 0), 0)*1000/VLOOKUP($B7, pop_mesorreg_interpol!$B:$XFD, MATCH(gdp_capita_mesorreg!O$1, pop_mesorreg_interpol!$B$1:$XFD$1, 0), 0)</f>
        <v>3223.2437388752846</v>
      </c>
      <c r="P7" s="7">
        <f>VLOOKUP($B7, gdp_tot_mes!$B:$XFD, MATCH(gdp_capita_mesorreg!P$1, gdp_tot_mes!$B$1:$XFD$1, 0), 0)*1000/VLOOKUP($B7, pop_mesorreg_interpol!$B:$XFD, MATCH(gdp_capita_mesorreg!P$1, pop_mesorreg_interpol!$B$1:$XFD$1, 0), 0)</f>
        <v>3134.0671576913192</v>
      </c>
      <c r="Q7" s="7">
        <f>VLOOKUP($B7, gdp_tot_mes!$B:$XFD, MATCH(gdp_capita_mesorreg!Q$1, gdp_tot_mes!$B$1:$XFD$1, 0), 0)*1000/VLOOKUP($B7, pop_mesorreg_interpol!$B:$XFD, MATCH(gdp_capita_mesorreg!Q$1, pop_mesorreg_interpol!$B$1:$XFD$1, 0), 0)</f>
        <v>4562.4320678015247</v>
      </c>
      <c r="R7" s="7">
        <f>VLOOKUP($B7, gdp_tot_mes!$B:$XFD, MATCH(gdp_capita_mesorreg!R$1, gdp_tot_mes!$B$1:$XFD$1, 0), 0)*1000/VLOOKUP($B7, pop_mesorreg_interpol!$B:$XFD, MATCH(gdp_capita_mesorreg!R$1, pop_mesorreg_interpol!$B$1:$XFD$1, 0), 0)</f>
        <v>3921.9542954021426</v>
      </c>
      <c r="S7" s="7">
        <f>VLOOKUP($B7, gdp_tot_mes!$B:$XFD, MATCH(gdp_capita_mesorreg!S$1, gdp_tot_mes!$B$1:$XFD$1, 0), 0)*1000/VLOOKUP($B7, pop_mesorreg_interpol!$B:$XFD, MATCH(gdp_capita_mesorreg!S$1, pop_mesorreg_interpol!$B$1:$XFD$1, 0), 0)</f>
        <v>3879.1824782445815</v>
      </c>
      <c r="T7" s="7">
        <f>VLOOKUP($B7, gdp_tot_mes!$B:$XFD, MATCH(gdp_capita_mesorreg!T$1, gdp_tot_mes!$B$1:$XFD$1, 0), 0)*1000/VLOOKUP($B7, pop_mesorreg_interpol!$B:$XFD, MATCH(gdp_capita_mesorreg!T$1, pop_mesorreg_interpol!$B$1:$XFD$1, 0), 0)</f>
        <v>3609.1431419193641</v>
      </c>
      <c r="U7" s="7">
        <f>VLOOKUP($B7, gdp_tot_mes!$B:$XFD, MATCH(gdp_capita_mesorreg!U$1, gdp_tot_mes!$B$1:$XFD$1, 0), 0)*1000/VLOOKUP($B7, pop_mesorreg_interpol!$B:$XFD, MATCH(gdp_capita_mesorreg!U$1, pop_mesorreg_interpol!$B$1:$XFD$1, 0), 0)</f>
        <v>4213.2009450174446</v>
      </c>
      <c r="V7" s="7">
        <f>VLOOKUP($B7, gdp_tot_mes!$B:$XFD, MATCH(gdp_capita_mesorreg!V$1, gdp_tot_mes!$B$1:$XFD$1, 0), 0)*1000/VLOOKUP($B7, pop_mesorreg_interpol!$B:$XFD, MATCH(gdp_capita_mesorreg!V$1, pop_mesorreg_interpol!$B$1:$XFD$1, 0), 0)</f>
        <v>4418.8766342124409</v>
      </c>
      <c r="W7" s="7">
        <f>VLOOKUP($B7, gdp_tot_mes!$B:$XFD, MATCH(gdp_capita_mesorreg!W$1, gdp_tot_mes!$B$1:$XFD$1, 0), 0)*1000/VLOOKUP($B7, pop_mesorreg_interpol!$B:$XFD, MATCH(gdp_capita_mesorreg!W$1, pop_mesorreg_interpol!$B$1:$XFD$1, 0), 0)</f>
        <v>4803.084179208282</v>
      </c>
      <c r="X7" s="7">
        <f>VLOOKUP($B7, gdp_tot_mes!$B:$XFD, MATCH(gdp_capita_mesorreg!X$1, gdp_tot_mes!$B$1:$XFD$1, 0), 0)*1000/VLOOKUP($B7, pop_mesorreg_interpol!$B:$XFD, MATCH(gdp_capita_mesorreg!X$1, pop_mesorreg_interpol!$B$1:$XFD$1, 0), 0)</f>
        <v>4808.4210909403009</v>
      </c>
      <c r="Y7" s="7">
        <f>VLOOKUP($B7, gdp_tot_mes!$B:$XFD, MATCH(gdp_capita_mesorreg!Y$1, gdp_tot_mes!$B$1:$XFD$1, 0), 0)*1000/VLOOKUP($B7, pop_mesorreg_interpol!$B:$XFD, MATCH(gdp_capita_mesorreg!Y$1, pop_mesorreg_interpol!$B$1:$XFD$1, 0), 0)</f>
        <v>4472.3293471900588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5">
      <c r="A8" s="1" t="s">
        <v>35</v>
      </c>
      <c r="B8" s="1" t="s">
        <v>38</v>
      </c>
      <c r="C8" s="1" t="s">
        <v>39</v>
      </c>
      <c r="D8" s="7">
        <f>VLOOKUP($B8, gdp_tot_mes!$B:$XFD, MATCH(gdp_capita_mesorreg!D$1, gdp_tot_mes!$B$1:$XFD$1, 0), 0)*1000/VLOOKUP($B8, pop_mesorreg_interpol!$B:$XFD, MATCH(gdp_capita_mesorreg!D$1, pop_mesorreg_interpol!$B$1:$XFD$1, 0), 0)</f>
        <v>832.88430107651902</v>
      </c>
      <c r="E8" s="7">
        <f>VLOOKUP($B8, gdp_tot_mes!$B:$XFD, MATCH(gdp_capita_mesorreg!E$1, gdp_tot_mes!$B$1:$XFD$1, 0), 0)*1000/VLOOKUP($B8, pop_mesorreg_interpol!$B:$XFD, MATCH(gdp_capita_mesorreg!E$1, pop_mesorreg_interpol!$B$1:$XFD$1, 0), 0)</f>
        <v>779.86940727183332</v>
      </c>
      <c r="F8" s="7">
        <f>VLOOKUP($B8, gdp_tot_mes!$B:$XFD, MATCH(gdp_capita_mesorreg!F$1, gdp_tot_mes!$B$1:$XFD$1, 0), 0)*1000/VLOOKUP($B8, pop_mesorreg_interpol!$B:$XFD, MATCH(gdp_capita_mesorreg!F$1, pop_mesorreg_interpol!$B$1:$XFD$1, 0), 0)</f>
        <v>205.89831400861718</v>
      </c>
      <c r="G8" s="7">
        <f>VLOOKUP($B8, gdp_tot_mes!$B:$XFD, MATCH(gdp_capita_mesorreg!G$1, gdp_tot_mes!$B$1:$XFD$1, 0), 0)*1000/VLOOKUP($B8, pop_mesorreg_interpol!$B:$XFD, MATCH(gdp_capita_mesorreg!G$1, pop_mesorreg_interpol!$B$1:$XFD$1, 0), 0)</f>
        <v>505.68955399606517</v>
      </c>
      <c r="H8" s="7">
        <f>VLOOKUP($B8, gdp_tot_mes!$B:$XFD, MATCH(gdp_capita_mesorreg!H$1, gdp_tot_mes!$B$1:$XFD$1, 0), 0)*1000/VLOOKUP($B8, pop_mesorreg_interpol!$B:$XFD, MATCH(gdp_capita_mesorreg!H$1, pop_mesorreg_interpol!$B$1:$XFD$1, 0), 0)</f>
        <v>2146.3892969832386</v>
      </c>
      <c r="I8" s="7">
        <f>VLOOKUP($B8, gdp_tot_mes!$B:$XFD, MATCH(gdp_capita_mesorreg!I$1, gdp_tot_mes!$B$1:$XFD$1, 0), 0)*1000/VLOOKUP($B8, pop_mesorreg_interpol!$B:$XFD, MATCH(gdp_capita_mesorreg!I$1, pop_mesorreg_interpol!$B$1:$XFD$1, 0), 0)</f>
        <v>4302.3043194299771</v>
      </c>
      <c r="J8" s="7">
        <f>VLOOKUP($B8, gdp_tot_mes!$B:$XFD, MATCH(gdp_capita_mesorreg!J$1, gdp_tot_mes!$B$1:$XFD$1, 0), 0)*1000/VLOOKUP($B8, pop_mesorreg_interpol!$B:$XFD, MATCH(gdp_capita_mesorreg!J$1, pop_mesorreg_interpol!$B$1:$XFD$1, 0), 0)</f>
        <v>3536.7874794235754</v>
      </c>
      <c r="K8" s="7">
        <f>VLOOKUP($B8, gdp_tot_mes!$B:$XFD, MATCH(gdp_capita_mesorreg!K$1, gdp_tot_mes!$B$1:$XFD$1, 0), 0)*1000/VLOOKUP($B8, pop_mesorreg_interpol!$B:$XFD, MATCH(gdp_capita_mesorreg!K$1, pop_mesorreg_interpol!$B$1:$XFD$1, 0), 0)</f>
        <v>7185.9944723666285</v>
      </c>
      <c r="L8" s="8">
        <f>VLOOKUP($B8, gdp_tot_mes!$B:$XFD, MATCH(gdp_capita_mesorreg!L$1, gdp_tot_mes!$B$1:$XFD$1, 0), 0)*1000/VLOOKUP($B8, pop_mesorreg_interpol!$B:$XFD, MATCH(gdp_capita_mesorreg!L$1, pop_mesorreg_interpol!$B$1:$XFD$1, 0), 0)</f>
        <v>4985.3508969005743</v>
      </c>
      <c r="M8" s="7">
        <f>VLOOKUP($B8, gdp_tot_mes!$B:$XFD, MATCH(gdp_capita_mesorreg!M$1, gdp_tot_mes!$B$1:$XFD$1, 0), 0)*1000/VLOOKUP($B8, pop_mesorreg_interpol!$B:$XFD, MATCH(gdp_capita_mesorreg!M$1, pop_mesorreg_interpol!$B$1:$XFD$1, 0), 0)</f>
        <v>3054.615664915993</v>
      </c>
      <c r="N8" s="7">
        <f>VLOOKUP($B8, gdp_tot_mes!$B:$XFD, MATCH(gdp_capita_mesorreg!N$1, gdp_tot_mes!$B$1:$XFD$1, 0), 0)*1000/VLOOKUP($B8, pop_mesorreg_interpol!$B:$XFD, MATCH(gdp_capita_mesorreg!N$1, pop_mesorreg_interpol!$B$1:$XFD$1, 0), 0)</f>
        <v>4206.382798567598</v>
      </c>
      <c r="O8" s="7">
        <f>VLOOKUP($B8, gdp_tot_mes!$B:$XFD, MATCH(gdp_capita_mesorreg!O$1, gdp_tot_mes!$B$1:$XFD$1, 0), 0)*1000/VLOOKUP($B8, pop_mesorreg_interpol!$B:$XFD, MATCH(gdp_capita_mesorreg!O$1, pop_mesorreg_interpol!$B$1:$XFD$1, 0), 0)</f>
        <v>3477.847032054176</v>
      </c>
      <c r="P8" s="7">
        <f>VLOOKUP($B8, gdp_tot_mes!$B:$XFD, MATCH(gdp_capita_mesorreg!P$1, gdp_tot_mes!$B$1:$XFD$1, 0), 0)*1000/VLOOKUP($B8, pop_mesorreg_interpol!$B:$XFD, MATCH(gdp_capita_mesorreg!P$1, pop_mesorreg_interpol!$B$1:$XFD$1, 0), 0)</f>
        <v>3643.827566425919</v>
      </c>
      <c r="Q8" s="7">
        <f>VLOOKUP($B8, gdp_tot_mes!$B:$XFD, MATCH(gdp_capita_mesorreg!Q$1, gdp_tot_mes!$B$1:$XFD$1, 0), 0)*1000/VLOOKUP($B8, pop_mesorreg_interpol!$B:$XFD, MATCH(gdp_capita_mesorreg!Q$1, pop_mesorreg_interpol!$B$1:$XFD$1, 0), 0)</f>
        <v>4606.3103395487269</v>
      </c>
      <c r="R8" s="7">
        <f>VLOOKUP($B8, gdp_tot_mes!$B:$XFD, MATCH(gdp_capita_mesorreg!R$1, gdp_tot_mes!$B$1:$XFD$1, 0), 0)*1000/VLOOKUP($B8, pop_mesorreg_interpol!$B:$XFD, MATCH(gdp_capita_mesorreg!R$1, pop_mesorreg_interpol!$B$1:$XFD$1, 0), 0)</f>
        <v>4239.669342739594</v>
      </c>
      <c r="S8" s="7">
        <f>VLOOKUP($B8, gdp_tot_mes!$B:$XFD, MATCH(gdp_capita_mesorreg!S$1, gdp_tot_mes!$B$1:$XFD$1, 0), 0)*1000/VLOOKUP($B8, pop_mesorreg_interpol!$B:$XFD, MATCH(gdp_capita_mesorreg!S$1, pop_mesorreg_interpol!$B$1:$XFD$1, 0), 0)</f>
        <v>4074.2678854609858</v>
      </c>
      <c r="T8" s="7">
        <f>VLOOKUP($B8, gdp_tot_mes!$B:$XFD, MATCH(gdp_capita_mesorreg!T$1, gdp_tot_mes!$B$1:$XFD$1, 0), 0)*1000/VLOOKUP($B8, pop_mesorreg_interpol!$B:$XFD, MATCH(gdp_capita_mesorreg!T$1, pop_mesorreg_interpol!$B$1:$XFD$1, 0), 0)</f>
        <v>3827.3304306054579</v>
      </c>
      <c r="U8" s="7">
        <f>VLOOKUP($B8, gdp_tot_mes!$B:$XFD, MATCH(gdp_capita_mesorreg!U$1, gdp_tot_mes!$B$1:$XFD$1, 0), 0)*1000/VLOOKUP($B8, pop_mesorreg_interpol!$B:$XFD, MATCH(gdp_capita_mesorreg!U$1, pop_mesorreg_interpol!$B$1:$XFD$1, 0), 0)</f>
        <v>4485.5934713389679</v>
      </c>
      <c r="V8" s="7">
        <f>VLOOKUP($B8, gdp_tot_mes!$B:$XFD, MATCH(gdp_capita_mesorreg!V$1, gdp_tot_mes!$B$1:$XFD$1, 0), 0)*1000/VLOOKUP($B8, pop_mesorreg_interpol!$B:$XFD, MATCH(gdp_capita_mesorreg!V$1, pop_mesorreg_interpol!$B$1:$XFD$1, 0), 0)</f>
        <v>4441.0691216422656</v>
      </c>
      <c r="W8" s="7">
        <f>VLOOKUP($B8, gdp_tot_mes!$B:$XFD, MATCH(gdp_capita_mesorreg!W$1, gdp_tot_mes!$B$1:$XFD$1, 0), 0)*1000/VLOOKUP($B8, pop_mesorreg_interpol!$B:$XFD, MATCH(gdp_capita_mesorreg!W$1, pop_mesorreg_interpol!$B$1:$XFD$1, 0), 0)</f>
        <v>4518.2557063047725</v>
      </c>
      <c r="X8" s="7">
        <f>VLOOKUP($B8, gdp_tot_mes!$B:$XFD, MATCH(gdp_capita_mesorreg!X$1, gdp_tot_mes!$B$1:$XFD$1, 0), 0)*1000/VLOOKUP($B8, pop_mesorreg_interpol!$B:$XFD, MATCH(gdp_capita_mesorreg!X$1, pop_mesorreg_interpol!$B$1:$XFD$1, 0), 0)</f>
        <v>4411.6718339772251</v>
      </c>
      <c r="Y8" s="7">
        <f>VLOOKUP($B8, gdp_tot_mes!$B:$XFD, MATCH(gdp_capita_mesorreg!Y$1, gdp_tot_mes!$B$1:$XFD$1, 0), 0)*1000/VLOOKUP($B8, pop_mesorreg_interpol!$B:$XFD, MATCH(gdp_capita_mesorreg!Y$1, pop_mesorreg_interpol!$B$1:$XFD$1, 0), 0)</f>
        <v>4588.7956321976253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25">
      <c r="A9" s="1" t="s">
        <v>35</v>
      </c>
      <c r="B9" s="1" t="s">
        <v>40</v>
      </c>
      <c r="C9" s="1" t="s">
        <v>41</v>
      </c>
      <c r="D9" s="7">
        <f>VLOOKUP($B9, gdp_tot_mes!$B:$XFD, MATCH(gdp_capita_mesorreg!D$1, gdp_tot_mes!$B$1:$XFD$1, 0), 0)*1000/VLOOKUP($B9, pop_mesorreg_interpol!$B:$XFD, MATCH(gdp_capita_mesorreg!D$1, pop_mesorreg_interpol!$B$1:$XFD$1, 0), 0)</f>
        <v>770.54451475296355</v>
      </c>
      <c r="E9" s="7">
        <f>VLOOKUP($B9, gdp_tot_mes!$B:$XFD, MATCH(gdp_capita_mesorreg!E$1, gdp_tot_mes!$B$1:$XFD$1, 0), 0)*1000/VLOOKUP($B9, pop_mesorreg_interpol!$B:$XFD, MATCH(gdp_capita_mesorreg!E$1, pop_mesorreg_interpol!$B$1:$XFD$1, 0), 0)</f>
        <v>2725.0479724767392</v>
      </c>
      <c r="F9" s="7">
        <f>VLOOKUP($B9, gdp_tot_mes!$B:$XFD, MATCH(gdp_capita_mesorreg!F$1, gdp_tot_mes!$B$1:$XFD$1, 0), 0)*1000/VLOOKUP($B9, pop_mesorreg_interpol!$B:$XFD, MATCH(gdp_capita_mesorreg!F$1, pop_mesorreg_interpol!$B$1:$XFD$1, 0), 0)</f>
        <v>2733.5366782727669</v>
      </c>
      <c r="G9" s="7">
        <f>VLOOKUP($B9, gdp_tot_mes!$B:$XFD, MATCH(gdp_capita_mesorreg!G$1, gdp_tot_mes!$B$1:$XFD$1, 0), 0)*1000/VLOOKUP($B9, pop_mesorreg_interpol!$B:$XFD, MATCH(gdp_capita_mesorreg!G$1, pop_mesorreg_interpol!$B$1:$XFD$1, 0), 0)</f>
        <v>4588.8521988654056</v>
      </c>
      <c r="H9" s="7">
        <f>VLOOKUP($B9, gdp_tot_mes!$B:$XFD, MATCH(gdp_capita_mesorreg!H$1, gdp_tot_mes!$B$1:$XFD$1, 0), 0)*1000/VLOOKUP($B9, pop_mesorreg_interpol!$B:$XFD, MATCH(gdp_capita_mesorreg!H$1, pop_mesorreg_interpol!$B$1:$XFD$1, 0), 0)</f>
        <v>6339.4866398969189</v>
      </c>
      <c r="I9" s="7">
        <f>VLOOKUP($B9, gdp_tot_mes!$B:$XFD, MATCH(gdp_capita_mesorreg!I$1, gdp_tot_mes!$B$1:$XFD$1, 0), 0)*1000/VLOOKUP($B9, pop_mesorreg_interpol!$B:$XFD, MATCH(gdp_capita_mesorreg!I$1, pop_mesorreg_interpol!$B$1:$XFD$1, 0), 0)</f>
        <v>9141.9209886492863</v>
      </c>
      <c r="J9" s="7">
        <f>VLOOKUP($B9, gdp_tot_mes!$B:$XFD, MATCH(gdp_capita_mesorreg!J$1, gdp_tot_mes!$B$1:$XFD$1, 0), 0)*1000/VLOOKUP($B9, pop_mesorreg_interpol!$B:$XFD, MATCH(gdp_capita_mesorreg!J$1, pop_mesorreg_interpol!$B$1:$XFD$1, 0), 0)</f>
        <v>16815.769428552041</v>
      </c>
      <c r="K9" s="7">
        <f>VLOOKUP($B9, gdp_tot_mes!$B:$XFD, MATCH(gdp_capita_mesorreg!K$1, gdp_tot_mes!$B$1:$XFD$1, 0), 0)*1000/VLOOKUP($B9, pop_mesorreg_interpol!$B:$XFD, MATCH(gdp_capita_mesorreg!K$1, pop_mesorreg_interpol!$B$1:$XFD$1, 0), 0)</f>
        <v>17635.43328335572</v>
      </c>
      <c r="L9" s="8">
        <f>VLOOKUP($B9, gdp_tot_mes!$B:$XFD, MATCH(gdp_capita_mesorreg!L$1, gdp_tot_mes!$B$1:$XFD$1, 0), 0)*1000/VLOOKUP($B9, pop_mesorreg_interpol!$B:$XFD, MATCH(gdp_capita_mesorreg!L$1, pop_mesorreg_interpol!$B$1:$XFD$1, 0), 0)</f>
        <v>16354.373223329325</v>
      </c>
      <c r="M9" s="7">
        <f>VLOOKUP($B9, gdp_tot_mes!$B:$XFD, MATCH(gdp_capita_mesorreg!M$1, gdp_tot_mes!$B$1:$XFD$1, 0), 0)*1000/VLOOKUP($B9, pop_mesorreg_interpol!$B:$XFD, MATCH(gdp_capita_mesorreg!M$1, pop_mesorreg_interpol!$B$1:$XFD$1, 0), 0)</f>
        <v>15263.580102960093</v>
      </c>
      <c r="N9" s="7">
        <f>VLOOKUP($B9, gdp_tot_mes!$B:$XFD, MATCH(gdp_capita_mesorreg!N$1, gdp_tot_mes!$B$1:$XFD$1, 0), 0)*1000/VLOOKUP($B9, pop_mesorreg_interpol!$B:$XFD, MATCH(gdp_capita_mesorreg!N$1, pop_mesorreg_interpol!$B$1:$XFD$1, 0), 0)</f>
        <v>15403.795858191459</v>
      </c>
      <c r="O9" s="7">
        <f>VLOOKUP($B9, gdp_tot_mes!$B:$XFD, MATCH(gdp_capita_mesorreg!O$1, gdp_tot_mes!$B$1:$XFD$1, 0), 0)*1000/VLOOKUP($B9, pop_mesorreg_interpol!$B:$XFD, MATCH(gdp_capita_mesorreg!O$1, pop_mesorreg_interpol!$B$1:$XFD$1, 0), 0)</f>
        <v>16396.494830876858</v>
      </c>
      <c r="P9" s="7">
        <f>VLOOKUP($B9, gdp_tot_mes!$B:$XFD, MATCH(gdp_capita_mesorreg!P$1, gdp_tot_mes!$B$1:$XFD$1, 0), 0)*1000/VLOOKUP($B9, pop_mesorreg_interpol!$B:$XFD, MATCH(gdp_capita_mesorreg!P$1, pop_mesorreg_interpol!$B$1:$XFD$1, 0), 0)</f>
        <v>15928.67349417373</v>
      </c>
      <c r="Q9" s="7">
        <f>VLOOKUP($B9, gdp_tot_mes!$B:$XFD, MATCH(gdp_capita_mesorreg!Q$1, gdp_tot_mes!$B$1:$XFD$1, 0), 0)*1000/VLOOKUP($B9, pop_mesorreg_interpol!$B:$XFD, MATCH(gdp_capita_mesorreg!Q$1, pop_mesorreg_interpol!$B$1:$XFD$1, 0), 0)</f>
        <v>16915.589605051799</v>
      </c>
      <c r="R9" s="7">
        <f>VLOOKUP($B9, gdp_tot_mes!$B:$XFD, MATCH(gdp_capita_mesorreg!R$1, gdp_tot_mes!$B$1:$XFD$1, 0), 0)*1000/VLOOKUP($B9, pop_mesorreg_interpol!$B:$XFD, MATCH(gdp_capita_mesorreg!R$1, pop_mesorreg_interpol!$B$1:$XFD$1, 0), 0)</f>
        <v>16715.632457233572</v>
      </c>
      <c r="S9" s="7">
        <f>VLOOKUP($B9, gdp_tot_mes!$B:$XFD, MATCH(gdp_capita_mesorreg!S$1, gdp_tot_mes!$B$1:$XFD$1, 0), 0)*1000/VLOOKUP($B9, pop_mesorreg_interpol!$B:$XFD, MATCH(gdp_capita_mesorreg!S$1, pop_mesorreg_interpol!$B$1:$XFD$1, 0), 0)</f>
        <v>18640.389974644208</v>
      </c>
      <c r="T9" s="7">
        <f>VLOOKUP($B9, gdp_tot_mes!$B:$XFD, MATCH(gdp_capita_mesorreg!T$1, gdp_tot_mes!$B$1:$XFD$1, 0), 0)*1000/VLOOKUP($B9, pop_mesorreg_interpol!$B:$XFD, MATCH(gdp_capita_mesorreg!T$1, pop_mesorreg_interpol!$B$1:$XFD$1, 0), 0)</f>
        <v>18681.337305484216</v>
      </c>
      <c r="U9" s="7">
        <f>VLOOKUP($B9, gdp_tot_mes!$B:$XFD, MATCH(gdp_capita_mesorreg!U$1, gdp_tot_mes!$B$1:$XFD$1, 0), 0)*1000/VLOOKUP($B9, pop_mesorreg_interpol!$B:$XFD, MATCH(gdp_capita_mesorreg!U$1, pop_mesorreg_interpol!$B$1:$XFD$1, 0), 0)</f>
        <v>19701.429176205198</v>
      </c>
      <c r="V9" s="7">
        <f>VLOOKUP($B9, gdp_tot_mes!$B:$XFD, MATCH(gdp_capita_mesorreg!V$1, gdp_tot_mes!$B$1:$XFD$1, 0), 0)*1000/VLOOKUP($B9, pop_mesorreg_interpol!$B:$XFD, MATCH(gdp_capita_mesorreg!V$1, pop_mesorreg_interpol!$B$1:$XFD$1, 0), 0)</f>
        <v>19885.577626109211</v>
      </c>
      <c r="W9" s="7">
        <f>VLOOKUP($B9, gdp_tot_mes!$B:$XFD, MATCH(gdp_capita_mesorreg!W$1, gdp_tot_mes!$B$1:$XFD$1, 0), 0)*1000/VLOOKUP($B9, pop_mesorreg_interpol!$B:$XFD, MATCH(gdp_capita_mesorreg!W$1, pop_mesorreg_interpol!$B$1:$XFD$1, 0), 0)</f>
        <v>19648.745088109816</v>
      </c>
      <c r="X9" s="7">
        <f>VLOOKUP($B9, gdp_tot_mes!$B:$XFD, MATCH(gdp_capita_mesorreg!X$1, gdp_tot_mes!$B$1:$XFD$1, 0), 0)*1000/VLOOKUP($B9, pop_mesorreg_interpol!$B:$XFD, MATCH(gdp_capita_mesorreg!X$1, pop_mesorreg_interpol!$B$1:$XFD$1, 0), 0)</f>
        <v>18840.429255527244</v>
      </c>
      <c r="Y9" s="7">
        <f>VLOOKUP($B9, gdp_tot_mes!$B:$XFD, MATCH(gdp_capita_mesorreg!Y$1, gdp_tot_mes!$B$1:$XFD$1, 0), 0)*1000/VLOOKUP($B9, pop_mesorreg_interpol!$B:$XFD, MATCH(gdp_capita_mesorreg!Y$1, pop_mesorreg_interpol!$B$1:$XFD$1, 0), 0)</f>
        <v>20483.746634799463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5">
      <c r="A10" s="1" t="s">
        <v>35</v>
      </c>
      <c r="B10" s="1" t="s">
        <v>42</v>
      </c>
      <c r="C10" s="1" t="s">
        <v>43</v>
      </c>
      <c r="D10" s="7">
        <f>VLOOKUP($B10, gdp_tot_mes!$B:$XFD, MATCH(gdp_capita_mesorreg!D$1, gdp_tot_mes!$B$1:$XFD$1, 0), 0)*1000/VLOOKUP($B10, pop_mesorreg_interpol!$B:$XFD, MATCH(gdp_capita_mesorreg!D$1, pop_mesorreg_interpol!$B$1:$XFD$1, 0), 0)</f>
        <v>1036.8066370633537</v>
      </c>
      <c r="E10" s="7">
        <f>VLOOKUP($B10, gdp_tot_mes!$B:$XFD, MATCH(gdp_capita_mesorreg!E$1, gdp_tot_mes!$B$1:$XFD$1, 0), 0)*1000/VLOOKUP($B10, pop_mesorreg_interpol!$B:$XFD, MATCH(gdp_capita_mesorreg!E$1, pop_mesorreg_interpol!$B$1:$XFD$1, 0), 0)</f>
        <v>1379.9757046017496</v>
      </c>
      <c r="F10" s="7">
        <f>VLOOKUP($B10, gdp_tot_mes!$B:$XFD, MATCH(gdp_capita_mesorreg!F$1, gdp_tot_mes!$B$1:$XFD$1, 0), 0)*1000/VLOOKUP($B10, pop_mesorreg_interpol!$B:$XFD, MATCH(gdp_capita_mesorreg!F$1, pop_mesorreg_interpol!$B$1:$XFD$1, 0), 0)</f>
        <v>525.91024819391055</v>
      </c>
      <c r="G10" s="7">
        <f>VLOOKUP($B10, gdp_tot_mes!$B:$XFD, MATCH(gdp_capita_mesorreg!G$1, gdp_tot_mes!$B$1:$XFD$1, 0), 0)*1000/VLOOKUP($B10, pop_mesorreg_interpol!$B:$XFD, MATCH(gdp_capita_mesorreg!G$1, pop_mesorreg_interpol!$B$1:$XFD$1, 0), 0)</f>
        <v>634.3217065456231</v>
      </c>
      <c r="H10" s="7">
        <f>VLOOKUP($B10, gdp_tot_mes!$B:$XFD, MATCH(gdp_capita_mesorreg!H$1, gdp_tot_mes!$B$1:$XFD$1, 0), 0)*1000/VLOOKUP($B10, pop_mesorreg_interpol!$B:$XFD, MATCH(gdp_capita_mesorreg!H$1, pop_mesorreg_interpol!$B$1:$XFD$1, 0), 0)</f>
        <v>2204.9183686380352</v>
      </c>
      <c r="I10" s="7">
        <f>VLOOKUP($B10, gdp_tot_mes!$B:$XFD, MATCH(gdp_capita_mesorreg!I$1, gdp_tot_mes!$B$1:$XFD$1, 0), 0)*1000/VLOOKUP($B10, pop_mesorreg_interpol!$B:$XFD, MATCH(gdp_capita_mesorreg!I$1, pop_mesorreg_interpol!$B$1:$XFD$1, 0), 0)</f>
        <v>2316.2011288496283</v>
      </c>
      <c r="J10" s="7">
        <f>VLOOKUP($B10, gdp_tot_mes!$B:$XFD, MATCH(gdp_capita_mesorreg!J$1, gdp_tot_mes!$B$1:$XFD$1, 0), 0)*1000/VLOOKUP($B10, pop_mesorreg_interpol!$B:$XFD, MATCH(gdp_capita_mesorreg!J$1, pop_mesorreg_interpol!$B$1:$XFD$1, 0), 0)</f>
        <v>5630.4191411988513</v>
      </c>
      <c r="K10" s="7">
        <f>VLOOKUP($B10, gdp_tot_mes!$B:$XFD, MATCH(gdp_capita_mesorreg!K$1, gdp_tot_mes!$B$1:$XFD$1, 0), 0)*1000/VLOOKUP($B10, pop_mesorreg_interpol!$B:$XFD, MATCH(gdp_capita_mesorreg!K$1, pop_mesorreg_interpol!$B$1:$XFD$1, 0), 0)</f>
        <v>5826.2132190718958</v>
      </c>
      <c r="L10" s="8">
        <f>VLOOKUP($B10, gdp_tot_mes!$B:$XFD, MATCH(gdp_capita_mesorreg!L$1, gdp_tot_mes!$B$1:$XFD$1, 0), 0)*1000/VLOOKUP($B10, pop_mesorreg_interpol!$B:$XFD, MATCH(gdp_capita_mesorreg!L$1, pop_mesorreg_interpol!$B$1:$XFD$1, 0), 0)</f>
        <v>4592.3076287419781</v>
      </c>
      <c r="M10" s="7">
        <f>VLOOKUP($B10, gdp_tot_mes!$B:$XFD, MATCH(gdp_capita_mesorreg!M$1, gdp_tot_mes!$B$1:$XFD$1, 0), 0)*1000/VLOOKUP($B10, pop_mesorreg_interpol!$B:$XFD, MATCH(gdp_capita_mesorreg!M$1, pop_mesorreg_interpol!$B$1:$XFD$1, 0), 0)</f>
        <v>3321.8471168332931</v>
      </c>
      <c r="N10" s="7">
        <f>VLOOKUP($B10, gdp_tot_mes!$B:$XFD, MATCH(gdp_capita_mesorreg!N$1, gdp_tot_mes!$B$1:$XFD$1, 0), 0)*1000/VLOOKUP($B10, pop_mesorreg_interpol!$B:$XFD, MATCH(gdp_capita_mesorreg!N$1, pop_mesorreg_interpol!$B$1:$XFD$1, 0), 0)</f>
        <v>4099.7015483714049</v>
      </c>
      <c r="O10" s="7">
        <f>VLOOKUP($B10, gdp_tot_mes!$B:$XFD, MATCH(gdp_capita_mesorreg!O$1, gdp_tot_mes!$B$1:$XFD$1, 0), 0)*1000/VLOOKUP($B10, pop_mesorreg_interpol!$B:$XFD, MATCH(gdp_capita_mesorreg!O$1, pop_mesorreg_interpol!$B$1:$XFD$1, 0), 0)</f>
        <v>3636.9614791435342</v>
      </c>
      <c r="P10" s="7">
        <f>VLOOKUP($B10, gdp_tot_mes!$B:$XFD, MATCH(gdp_capita_mesorreg!P$1, gdp_tot_mes!$B$1:$XFD$1, 0), 0)*1000/VLOOKUP($B10, pop_mesorreg_interpol!$B:$XFD, MATCH(gdp_capita_mesorreg!P$1, pop_mesorreg_interpol!$B$1:$XFD$1, 0), 0)</f>
        <v>3660.5974488264701</v>
      </c>
      <c r="Q10" s="7">
        <f>VLOOKUP($B10, gdp_tot_mes!$B:$XFD, MATCH(gdp_capita_mesorreg!Q$1, gdp_tot_mes!$B$1:$XFD$1, 0), 0)*1000/VLOOKUP($B10, pop_mesorreg_interpol!$B:$XFD, MATCH(gdp_capita_mesorreg!Q$1, pop_mesorreg_interpol!$B$1:$XFD$1, 0), 0)</f>
        <v>4681.1066116809734</v>
      </c>
      <c r="R10" s="7">
        <f>VLOOKUP($B10, gdp_tot_mes!$B:$XFD, MATCH(gdp_capita_mesorreg!R$1, gdp_tot_mes!$B$1:$XFD$1, 0), 0)*1000/VLOOKUP($B10, pop_mesorreg_interpol!$B:$XFD, MATCH(gdp_capita_mesorreg!R$1, pop_mesorreg_interpol!$B$1:$XFD$1, 0), 0)</f>
        <v>4596.4735807378611</v>
      </c>
      <c r="S10" s="7">
        <f>VLOOKUP($B10, gdp_tot_mes!$B:$XFD, MATCH(gdp_capita_mesorreg!S$1, gdp_tot_mes!$B$1:$XFD$1, 0), 0)*1000/VLOOKUP($B10, pop_mesorreg_interpol!$B:$XFD, MATCH(gdp_capita_mesorreg!S$1, pop_mesorreg_interpol!$B$1:$XFD$1, 0), 0)</f>
        <v>4268.5936754276509</v>
      </c>
      <c r="T10" s="7">
        <f>VLOOKUP($B10, gdp_tot_mes!$B:$XFD, MATCH(gdp_capita_mesorreg!T$1, gdp_tot_mes!$B$1:$XFD$1, 0), 0)*1000/VLOOKUP($B10, pop_mesorreg_interpol!$B:$XFD, MATCH(gdp_capita_mesorreg!T$1, pop_mesorreg_interpol!$B$1:$XFD$1, 0), 0)</f>
        <v>5051.1447394491597</v>
      </c>
      <c r="U10" s="7">
        <f>VLOOKUP($B10, gdp_tot_mes!$B:$XFD, MATCH(gdp_capita_mesorreg!U$1, gdp_tot_mes!$B$1:$XFD$1, 0), 0)*1000/VLOOKUP($B10, pop_mesorreg_interpol!$B:$XFD, MATCH(gdp_capita_mesorreg!U$1, pop_mesorreg_interpol!$B$1:$XFD$1, 0), 0)</f>
        <v>5529.13977808049</v>
      </c>
      <c r="V10" s="7">
        <f>VLOOKUP($B10, gdp_tot_mes!$B:$XFD, MATCH(gdp_capita_mesorreg!V$1, gdp_tot_mes!$B$1:$XFD$1, 0), 0)*1000/VLOOKUP($B10, pop_mesorreg_interpol!$B:$XFD, MATCH(gdp_capita_mesorreg!V$1, pop_mesorreg_interpol!$B$1:$XFD$1, 0), 0)</f>
        <v>5063.222775845933</v>
      </c>
      <c r="W10" s="7">
        <f>VLOOKUP($B10, gdp_tot_mes!$B:$XFD, MATCH(gdp_capita_mesorreg!W$1, gdp_tot_mes!$B$1:$XFD$1, 0), 0)*1000/VLOOKUP($B10, pop_mesorreg_interpol!$B:$XFD, MATCH(gdp_capita_mesorreg!W$1, pop_mesorreg_interpol!$B$1:$XFD$1, 0), 0)</f>
        <v>6193.0912605052717</v>
      </c>
      <c r="X10" s="7">
        <f>VLOOKUP($B10, gdp_tot_mes!$B:$XFD, MATCH(gdp_capita_mesorreg!X$1, gdp_tot_mes!$B$1:$XFD$1, 0), 0)*1000/VLOOKUP($B10, pop_mesorreg_interpol!$B:$XFD, MATCH(gdp_capita_mesorreg!X$1, pop_mesorreg_interpol!$B$1:$XFD$1, 0), 0)</f>
        <v>6122.6379174649592</v>
      </c>
      <c r="Y10" s="7">
        <f>VLOOKUP($B10, gdp_tot_mes!$B:$XFD, MATCH(gdp_capita_mesorreg!Y$1, gdp_tot_mes!$B$1:$XFD$1, 0), 0)*1000/VLOOKUP($B10, pop_mesorreg_interpol!$B:$XFD, MATCH(gdp_capita_mesorreg!Y$1, pop_mesorreg_interpol!$B$1:$XFD$1, 0), 0)</f>
        <v>6225.7479690256605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25">
      <c r="A11" s="1" t="s">
        <v>44</v>
      </c>
      <c r="B11" s="1" t="s">
        <v>45</v>
      </c>
      <c r="C11" s="1" t="s">
        <v>46</v>
      </c>
      <c r="D11" s="7">
        <f>VLOOKUP($B11, gdp_tot_mes!$B:$XFD, MATCH(gdp_capita_mesorreg!D$1, gdp_tot_mes!$B$1:$XFD$1, 0), 0)*1000/VLOOKUP($B11, pop_mesorreg_interpol!$B:$XFD, MATCH(gdp_capita_mesorreg!D$1, pop_mesorreg_interpol!$B$1:$XFD$1, 0), 0)</f>
        <v>433.09922075983093</v>
      </c>
      <c r="E11" s="7">
        <f>VLOOKUP($B11, gdp_tot_mes!$B:$XFD, MATCH(gdp_capita_mesorreg!E$1, gdp_tot_mes!$B$1:$XFD$1, 0), 0)*1000/VLOOKUP($B11, pop_mesorreg_interpol!$B:$XFD, MATCH(gdp_capita_mesorreg!E$1, pop_mesorreg_interpol!$B$1:$XFD$1, 0), 0)</f>
        <v>745.3345762314558</v>
      </c>
      <c r="F11" s="7">
        <f>VLOOKUP($B11, gdp_tot_mes!$B:$XFD, MATCH(gdp_capita_mesorreg!F$1, gdp_tot_mes!$B$1:$XFD$1, 0), 0)*1000/VLOOKUP($B11, pop_mesorreg_interpol!$B:$XFD, MATCH(gdp_capita_mesorreg!F$1, pop_mesorreg_interpol!$B$1:$XFD$1, 0), 0)</f>
        <v>269.94363037143825</v>
      </c>
      <c r="G11" s="7">
        <f>VLOOKUP($B11, gdp_tot_mes!$B:$XFD, MATCH(gdp_capita_mesorreg!G$1, gdp_tot_mes!$B$1:$XFD$1, 0), 0)*1000/VLOOKUP($B11, pop_mesorreg_interpol!$B:$XFD, MATCH(gdp_capita_mesorreg!G$1, pop_mesorreg_interpol!$B$1:$XFD$1, 0), 0)</f>
        <v>638.91779237936942</v>
      </c>
      <c r="H11" s="7">
        <f>VLOOKUP($B11, gdp_tot_mes!$B:$XFD, MATCH(gdp_capita_mesorreg!H$1, gdp_tot_mes!$B$1:$XFD$1, 0), 0)*1000/VLOOKUP($B11, pop_mesorreg_interpol!$B:$XFD, MATCH(gdp_capita_mesorreg!H$1, pop_mesorreg_interpol!$B$1:$XFD$1, 0), 0)</f>
        <v>3024.1933654952259</v>
      </c>
      <c r="I11" s="7">
        <f>VLOOKUP($B11, gdp_tot_mes!$B:$XFD, MATCH(gdp_capita_mesorreg!I$1, gdp_tot_mes!$B$1:$XFD$1, 0), 0)*1000/VLOOKUP($B11, pop_mesorreg_interpol!$B:$XFD, MATCH(gdp_capita_mesorreg!I$1, pop_mesorreg_interpol!$B$1:$XFD$1, 0), 0)</f>
        <v>3116.9314609896655</v>
      </c>
      <c r="J11" s="7">
        <f>VLOOKUP($B11, gdp_tot_mes!$B:$XFD, MATCH(gdp_capita_mesorreg!J$1, gdp_tot_mes!$B$1:$XFD$1, 0), 0)*1000/VLOOKUP($B11, pop_mesorreg_interpol!$B:$XFD, MATCH(gdp_capita_mesorreg!J$1, pop_mesorreg_interpol!$B$1:$XFD$1, 0), 0)</f>
        <v>3647.4181000352155</v>
      </c>
      <c r="K11" s="7">
        <f>VLOOKUP($B11, gdp_tot_mes!$B:$XFD, MATCH(gdp_capita_mesorreg!K$1, gdp_tot_mes!$B$1:$XFD$1, 0), 0)*1000/VLOOKUP($B11, pop_mesorreg_interpol!$B:$XFD, MATCH(gdp_capita_mesorreg!K$1, pop_mesorreg_interpol!$B$1:$XFD$1, 0), 0)</f>
        <v>5660.1150263369454</v>
      </c>
      <c r="L11" s="8">
        <f>VLOOKUP($B11, gdp_tot_mes!$B:$XFD, MATCH(gdp_capita_mesorreg!L$1, gdp_tot_mes!$B$1:$XFD$1, 0), 0)*1000/VLOOKUP($B11, pop_mesorreg_interpol!$B:$XFD, MATCH(gdp_capita_mesorreg!L$1, pop_mesorreg_interpol!$B$1:$XFD$1, 0), 0)</f>
        <v>5759.7070802135158</v>
      </c>
      <c r="M11" s="7">
        <f>VLOOKUP($B11, gdp_tot_mes!$B:$XFD, MATCH(gdp_capita_mesorreg!M$1, gdp_tot_mes!$B$1:$XFD$1, 0), 0)*1000/VLOOKUP($B11, pop_mesorreg_interpol!$B:$XFD, MATCH(gdp_capita_mesorreg!M$1, pop_mesorreg_interpol!$B$1:$XFD$1, 0), 0)</f>
        <v>5847.7760117318358</v>
      </c>
      <c r="N11" s="7">
        <f>VLOOKUP($B11, gdp_tot_mes!$B:$XFD, MATCH(gdp_capita_mesorreg!N$1, gdp_tot_mes!$B$1:$XFD$1, 0), 0)*1000/VLOOKUP($B11, pop_mesorreg_interpol!$B:$XFD, MATCH(gdp_capita_mesorreg!N$1, pop_mesorreg_interpol!$B$1:$XFD$1, 0), 0)</f>
        <v>8473.8447034176115</v>
      </c>
      <c r="O11" s="7">
        <f>VLOOKUP($B11, gdp_tot_mes!$B:$XFD, MATCH(gdp_capita_mesorreg!O$1, gdp_tot_mes!$B$1:$XFD$1, 0), 0)*1000/VLOOKUP($B11, pop_mesorreg_interpol!$B:$XFD, MATCH(gdp_capita_mesorreg!O$1, pop_mesorreg_interpol!$B$1:$XFD$1, 0), 0)</f>
        <v>8270.8430418627358</v>
      </c>
      <c r="P11" s="7">
        <f>VLOOKUP($B11, gdp_tot_mes!$B:$XFD, MATCH(gdp_capita_mesorreg!P$1, gdp_tot_mes!$B$1:$XFD$1, 0), 0)*1000/VLOOKUP($B11, pop_mesorreg_interpol!$B:$XFD, MATCH(gdp_capita_mesorreg!P$1, pop_mesorreg_interpol!$B$1:$XFD$1, 0), 0)</f>
        <v>9399.1119725637582</v>
      </c>
      <c r="Q11" s="7">
        <f>VLOOKUP($B11, gdp_tot_mes!$B:$XFD, MATCH(gdp_capita_mesorreg!Q$1, gdp_tot_mes!$B$1:$XFD$1, 0), 0)*1000/VLOOKUP($B11, pop_mesorreg_interpol!$B:$XFD, MATCH(gdp_capita_mesorreg!Q$1, pop_mesorreg_interpol!$B$1:$XFD$1, 0), 0)</f>
        <v>9576.224130361823</v>
      </c>
      <c r="R11" s="7">
        <f>VLOOKUP($B11, gdp_tot_mes!$B:$XFD, MATCH(gdp_capita_mesorreg!R$1, gdp_tot_mes!$B$1:$XFD$1, 0), 0)*1000/VLOOKUP($B11, pop_mesorreg_interpol!$B:$XFD, MATCH(gdp_capita_mesorreg!R$1, pop_mesorreg_interpol!$B$1:$XFD$1, 0), 0)</f>
        <v>8574.9751675284606</v>
      </c>
      <c r="S11" s="7">
        <f>VLOOKUP($B11, gdp_tot_mes!$B:$XFD, MATCH(gdp_capita_mesorreg!S$1, gdp_tot_mes!$B$1:$XFD$1, 0), 0)*1000/VLOOKUP($B11, pop_mesorreg_interpol!$B:$XFD, MATCH(gdp_capita_mesorreg!S$1, pop_mesorreg_interpol!$B$1:$XFD$1, 0), 0)</f>
        <v>9447.8865195967719</v>
      </c>
      <c r="T11" s="7">
        <f>VLOOKUP($B11, gdp_tot_mes!$B:$XFD, MATCH(gdp_capita_mesorreg!T$1, gdp_tot_mes!$B$1:$XFD$1, 0), 0)*1000/VLOOKUP($B11, pop_mesorreg_interpol!$B:$XFD, MATCH(gdp_capita_mesorreg!T$1, pop_mesorreg_interpol!$B$1:$XFD$1, 0), 0)</f>
        <v>9836.6208402511293</v>
      </c>
      <c r="U11" s="7">
        <f>VLOOKUP($B11, gdp_tot_mes!$B:$XFD, MATCH(gdp_capita_mesorreg!U$1, gdp_tot_mes!$B$1:$XFD$1, 0), 0)*1000/VLOOKUP($B11, pop_mesorreg_interpol!$B:$XFD, MATCH(gdp_capita_mesorreg!U$1, pop_mesorreg_interpol!$B$1:$XFD$1, 0), 0)</f>
        <v>10484.065927890846</v>
      </c>
      <c r="V11" s="7">
        <f>VLOOKUP($B11, gdp_tot_mes!$B:$XFD, MATCH(gdp_capita_mesorreg!V$1, gdp_tot_mes!$B$1:$XFD$1, 0), 0)*1000/VLOOKUP($B11, pop_mesorreg_interpol!$B:$XFD, MATCH(gdp_capita_mesorreg!V$1, pop_mesorreg_interpol!$B$1:$XFD$1, 0), 0)</f>
        <v>11545.875884322028</v>
      </c>
      <c r="W11" s="7">
        <f>VLOOKUP($B11, gdp_tot_mes!$B:$XFD, MATCH(gdp_capita_mesorreg!W$1, gdp_tot_mes!$B$1:$XFD$1, 0), 0)*1000/VLOOKUP($B11, pop_mesorreg_interpol!$B:$XFD, MATCH(gdp_capita_mesorreg!W$1, pop_mesorreg_interpol!$B$1:$XFD$1, 0), 0)</f>
        <v>11334.350105073609</v>
      </c>
      <c r="X11" s="7">
        <f>VLOOKUP($B11, gdp_tot_mes!$B:$XFD, MATCH(gdp_capita_mesorreg!X$1, gdp_tot_mes!$B$1:$XFD$1, 0), 0)*1000/VLOOKUP($B11, pop_mesorreg_interpol!$B:$XFD, MATCH(gdp_capita_mesorreg!X$1, pop_mesorreg_interpol!$B$1:$XFD$1, 0), 0)</f>
        <v>11618.562484331234</v>
      </c>
      <c r="Y11" s="7">
        <f>VLOOKUP($B11, gdp_tot_mes!$B:$XFD, MATCH(gdp_capita_mesorreg!Y$1, gdp_tot_mes!$B$1:$XFD$1, 0), 0)*1000/VLOOKUP($B11, pop_mesorreg_interpol!$B:$XFD, MATCH(gdp_capita_mesorreg!Y$1, pop_mesorreg_interpol!$B$1:$XFD$1, 0), 0)</f>
        <v>11142.944858530796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25">
      <c r="A12" s="1" t="s">
        <v>44</v>
      </c>
      <c r="B12" s="1" t="s">
        <v>47</v>
      </c>
      <c r="C12" s="1" t="s">
        <v>48</v>
      </c>
      <c r="D12" s="7">
        <f>VLOOKUP($B12, gdp_tot_mes!$B:$XFD, MATCH(gdp_capita_mesorreg!D$1, gdp_tot_mes!$B$1:$XFD$1, 0), 0)*1000/VLOOKUP($B12, pop_mesorreg_interpol!$B:$XFD, MATCH(gdp_capita_mesorreg!D$1, pop_mesorreg_interpol!$B$1:$XFD$1, 0), 0)</f>
        <v>375.94820030560021</v>
      </c>
      <c r="E12" s="7">
        <f>VLOOKUP($B12, gdp_tot_mes!$B:$XFD, MATCH(gdp_capita_mesorreg!E$1, gdp_tot_mes!$B$1:$XFD$1, 0), 0)*1000/VLOOKUP($B12, pop_mesorreg_interpol!$B:$XFD, MATCH(gdp_capita_mesorreg!E$1, pop_mesorreg_interpol!$B$1:$XFD$1, 0), 0)</f>
        <v>700.16266738023637</v>
      </c>
      <c r="F12" s="7">
        <f>VLOOKUP($B12, gdp_tot_mes!$B:$XFD, MATCH(gdp_capita_mesorreg!F$1, gdp_tot_mes!$B$1:$XFD$1, 0), 0)*1000/VLOOKUP($B12, pop_mesorreg_interpol!$B:$XFD, MATCH(gdp_capita_mesorreg!F$1, pop_mesorreg_interpol!$B$1:$XFD$1, 0), 0)</f>
        <v>2641.6255324170434</v>
      </c>
      <c r="G12" s="7">
        <f>VLOOKUP($B12, gdp_tot_mes!$B:$XFD, MATCH(gdp_capita_mesorreg!G$1, gdp_tot_mes!$B$1:$XFD$1, 0), 0)*1000/VLOOKUP($B12, pop_mesorreg_interpol!$B:$XFD, MATCH(gdp_capita_mesorreg!G$1, pop_mesorreg_interpol!$B$1:$XFD$1, 0), 0)</f>
        <v>11517.03265870939</v>
      </c>
      <c r="H12" s="7">
        <f>VLOOKUP($B12, gdp_tot_mes!$B:$XFD, MATCH(gdp_capita_mesorreg!H$1, gdp_tot_mes!$B$1:$XFD$1, 0), 0)*1000/VLOOKUP($B12, pop_mesorreg_interpol!$B:$XFD, MATCH(gdp_capita_mesorreg!H$1, pop_mesorreg_interpol!$B$1:$XFD$1, 0), 0)</f>
        <v>7591.242938904179</v>
      </c>
      <c r="I12" s="7">
        <f>VLOOKUP($B12, gdp_tot_mes!$B:$XFD, MATCH(gdp_capita_mesorreg!I$1, gdp_tot_mes!$B$1:$XFD$1, 0), 0)*1000/VLOOKUP($B12, pop_mesorreg_interpol!$B:$XFD, MATCH(gdp_capita_mesorreg!I$1, pop_mesorreg_interpol!$B$1:$XFD$1, 0), 0)</f>
        <v>5151.2048556453892</v>
      </c>
      <c r="J12" s="7">
        <f>VLOOKUP($B12, gdp_tot_mes!$B:$XFD, MATCH(gdp_capita_mesorreg!J$1, gdp_tot_mes!$B$1:$XFD$1, 0), 0)*1000/VLOOKUP($B12, pop_mesorreg_interpol!$B:$XFD, MATCH(gdp_capita_mesorreg!J$1, pop_mesorreg_interpol!$B$1:$XFD$1, 0), 0)</f>
        <v>8581.9899019984896</v>
      </c>
      <c r="K12" s="7">
        <f>VLOOKUP($B12, gdp_tot_mes!$B:$XFD, MATCH(gdp_capita_mesorreg!K$1, gdp_tot_mes!$B$1:$XFD$1, 0), 0)*1000/VLOOKUP($B12, pop_mesorreg_interpol!$B:$XFD, MATCH(gdp_capita_mesorreg!K$1, pop_mesorreg_interpol!$B$1:$XFD$1, 0), 0)</f>
        <v>9345.3888005360004</v>
      </c>
      <c r="L12" s="8">
        <f>VLOOKUP($B12, gdp_tot_mes!$B:$XFD, MATCH(gdp_capita_mesorreg!L$1, gdp_tot_mes!$B$1:$XFD$1, 0), 0)*1000/VLOOKUP($B12, pop_mesorreg_interpol!$B:$XFD, MATCH(gdp_capita_mesorreg!L$1, pop_mesorreg_interpol!$B$1:$XFD$1, 0), 0)</f>
        <v>9111.4011396746919</v>
      </c>
      <c r="M12" s="7">
        <f>VLOOKUP($B12, gdp_tot_mes!$B:$XFD, MATCH(gdp_capita_mesorreg!M$1, gdp_tot_mes!$B$1:$XFD$1, 0), 0)*1000/VLOOKUP($B12, pop_mesorreg_interpol!$B:$XFD, MATCH(gdp_capita_mesorreg!M$1, pop_mesorreg_interpol!$B$1:$XFD$1, 0), 0)</f>
        <v>8936.9059574168914</v>
      </c>
      <c r="N12" s="7">
        <f>VLOOKUP($B12, gdp_tot_mes!$B:$XFD, MATCH(gdp_capita_mesorreg!N$1, gdp_tot_mes!$B$1:$XFD$1, 0), 0)*1000/VLOOKUP($B12, pop_mesorreg_interpol!$B:$XFD, MATCH(gdp_capita_mesorreg!N$1, pop_mesorreg_interpol!$B$1:$XFD$1, 0), 0)</f>
        <v>12122.312676877164</v>
      </c>
      <c r="O12" s="7">
        <f>VLOOKUP($B12, gdp_tot_mes!$B:$XFD, MATCH(gdp_capita_mesorreg!O$1, gdp_tot_mes!$B$1:$XFD$1, 0), 0)*1000/VLOOKUP($B12, pop_mesorreg_interpol!$B:$XFD, MATCH(gdp_capita_mesorreg!O$1, pop_mesorreg_interpol!$B$1:$XFD$1, 0), 0)</f>
        <v>11390.537169972804</v>
      </c>
      <c r="P12" s="7">
        <f>VLOOKUP($B12, gdp_tot_mes!$B:$XFD, MATCH(gdp_capita_mesorreg!P$1, gdp_tot_mes!$B$1:$XFD$1, 0), 0)*1000/VLOOKUP($B12, pop_mesorreg_interpol!$B:$XFD, MATCH(gdp_capita_mesorreg!P$1, pop_mesorreg_interpol!$B$1:$XFD$1, 0), 0)</f>
        <v>12067.350147667743</v>
      </c>
      <c r="Q12" s="7">
        <f>VLOOKUP($B12, gdp_tot_mes!$B:$XFD, MATCH(gdp_capita_mesorreg!Q$1, gdp_tot_mes!$B$1:$XFD$1, 0), 0)*1000/VLOOKUP($B12, pop_mesorreg_interpol!$B:$XFD, MATCH(gdp_capita_mesorreg!Q$1, pop_mesorreg_interpol!$B$1:$XFD$1, 0), 0)</f>
        <v>12530.927019719124</v>
      </c>
      <c r="R12" s="7">
        <f>VLOOKUP($B12, gdp_tot_mes!$B:$XFD, MATCH(gdp_capita_mesorreg!R$1, gdp_tot_mes!$B$1:$XFD$1, 0), 0)*1000/VLOOKUP($B12, pop_mesorreg_interpol!$B:$XFD, MATCH(gdp_capita_mesorreg!R$1, pop_mesorreg_interpol!$B$1:$XFD$1, 0), 0)</f>
        <v>11112.326872794696</v>
      </c>
      <c r="S12" s="7">
        <f>VLOOKUP($B12, gdp_tot_mes!$B:$XFD, MATCH(gdp_capita_mesorreg!S$1, gdp_tot_mes!$B$1:$XFD$1, 0), 0)*1000/VLOOKUP($B12, pop_mesorreg_interpol!$B:$XFD, MATCH(gdp_capita_mesorreg!S$1, pop_mesorreg_interpol!$B$1:$XFD$1, 0), 0)</f>
        <v>11145.970874816492</v>
      </c>
      <c r="T12" s="7">
        <f>VLOOKUP($B12, gdp_tot_mes!$B:$XFD, MATCH(gdp_capita_mesorreg!T$1, gdp_tot_mes!$B$1:$XFD$1, 0), 0)*1000/VLOOKUP($B12, pop_mesorreg_interpol!$B:$XFD, MATCH(gdp_capita_mesorreg!T$1, pop_mesorreg_interpol!$B$1:$XFD$1, 0), 0)</f>
        <v>11420.405008264355</v>
      </c>
      <c r="U12" s="7">
        <f>VLOOKUP($B12, gdp_tot_mes!$B:$XFD, MATCH(gdp_capita_mesorreg!U$1, gdp_tot_mes!$B$1:$XFD$1, 0), 0)*1000/VLOOKUP($B12, pop_mesorreg_interpol!$B:$XFD, MATCH(gdp_capita_mesorreg!U$1, pop_mesorreg_interpol!$B$1:$XFD$1, 0), 0)</f>
        <v>12342.917660824183</v>
      </c>
      <c r="V12" s="7">
        <f>VLOOKUP($B12, gdp_tot_mes!$B:$XFD, MATCH(gdp_capita_mesorreg!V$1, gdp_tot_mes!$B$1:$XFD$1, 0), 0)*1000/VLOOKUP($B12, pop_mesorreg_interpol!$B:$XFD, MATCH(gdp_capita_mesorreg!V$1, pop_mesorreg_interpol!$B$1:$XFD$1, 0), 0)</f>
        <v>13114.237344995974</v>
      </c>
      <c r="W12" s="7">
        <f>VLOOKUP($B12, gdp_tot_mes!$B:$XFD, MATCH(gdp_capita_mesorreg!W$1, gdp_tot_mes!$B$1:$XFD$1, 0), 0)*1000/VLOOKUP($B12, pop_mesorreg_interpol!$B:$XFD, MATCH(gdp_capita_mesorreg!W$1, pop_mesorreg_interpol!$B$1:$XFD$1, 0), 0)</f>
        <v>12940.342978682742</v>
      </c>
      <c r="X12" s="7">
        <f>VLOOKUP($B12, gdp_tot_mes!$B:$XFD, MATCH(gdp_capita_mesorreg!X$1, gdp_tot_mes!$B$1:$XFD$1, 0), 0)*1000/VLOOKUP($B12, pop_mesorreg_interpol!$B:$XFD, MATCH(gdp_capita_mesorreg!X$1, pop_mesorreg_interpol!$B$1:$XFD$1, 0), 0)</f>
        <v>12581.937799867079</v>
      </c>
      <c r="Y12" s="7">
        <f>VLOOKUP($B12, gdp_tot_mes!$B:$XFD, MATCH(gdp_capita_mesorreg!Y$1, gdp_tot_mes!$B$1:$XFD$1, 0), 0)*1000/VLOOKUP($B12, pop_mesorreg_interpol!$B:$XFD, MATCH(gdp_capita_mesorreg!Y$1, pop_mesorreg_interpol!$B$1:$XFD$1, 0), 0)</f>
        <v>12451.398125706637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25">
      <c r="A13" s="1" t="s">
        <v>49</v>
      </c>
      <c r="B13" s="1" t="s">
        <v>50</v>
      </c>
      <c r="C13" s="1" t="s">
        <v>51</v>
      </c>
      <c r="D13" s="7">
        <f>VLOOKUP($B13, gdp_tot_mes!$B:$XFD, MATCH(gdp_capita_mesorreg!D$1, gdp_tot_mes!$B$1:$XFD$1, 0), 0)*1000/VLOOKUP($B13, pop_mesorreg_interpol!$B:$XFD, MATCH(gdp_capita_mesorreg!D$1, pop_mesorreg_interpol!$B$1:$XFD$1, 0), 0)</f>
        <v>305.14812072895887</v>
      </c>
      <c r="E13" s="7">
        <f>VLOOKUP($B13, gdp_tot_mes!$B:$XFD, MATCH(gdp_capita_mesorreg!E$1, gdp_tot_mes!$B$1:$XFD$1, 0), 0)*1000/VLOOKUP($B13, pop_mesorreg_interpol!$B:$XFD, MATCH(gdp_capita_mesorreg!E$1, pop_mesorreg_interpol!$B$1:$XFD$1, 0), 0)</f>
        <v>601.44861732981201</v>
      </c>
      <c r="F13" s="7">
        <f>VLOOKUP($B13, gdp_tot_mes!$B:$XFD, MATCH(gdp_capita_mesorreg!F$1, gdp_tot_mes!$B$1:$XFD$1, 0), 0)*1000/VLOOKUP($B13, pop_mesorreg_interpol!$B:$XFD, MATCH(gdp_capita_mesorreg!F$1, pop_mesorreg_interpol!$B$1:$XFD$1, 0), 0)</f>
        <v>724.14370504833869</v>
      </c>
      <c r="G13" s="7">
        <f>VLOOKUP($B13, gdp_tot_mes!$B:$XFD, MATCH(gdp_capita_mesorreg!G$1, gdp_tot_mes!$B$1:$XFD$1, 0), 0)*1000/VLOOKUP($B13, pop_mesorreg_interpol!$B:$XFD, MATCH(gdp_capita_mesorreg!G$1, pop_mesorreg_interpol!$B$1:$XFD$1, 0), 0)</f>
        <v>894.86793255347413</v>
      </c>
      <c r="H13" s="7">
        <f>VLOOKUP($B13, gdp_tot_mes!$B:$XFD, MATCH(gdp_capita_mesorreg!H$1, gdp_tot_mes!$B$1:$XFD$1, 0), 0)*1000/VLOOKUP($B13, pop_mesorreg_interpol!$B:$XFD, MATCH(gdp_capita_mesorreg!H$1, pop_mesorreg_interpol!$B$1:$XFD$1, 0), 0)</f>
        <v>1131.4818425948247</v>
      </c>
      <c r="I13" s="7">
        <f>VLOOKUP($B13, gdp_tot_mes!$B:$XFD, MATCH(gdp_capita_mesorreg!I$1, gdp_tot_mes!$B$1:$XFD$1, 0), 0)*1000/VLOOKUP($B13, pop_mesorreg_interpol!$B:$XFD, MATCH(gdp_capita_mesorreg!I$1, pop_mesorreg_interpol!$B$1:$XFD$1, 0), 0)</f>
        <v>1554.0849041585441</v>
      </c>
      <c r="J13" s="7">
        <f>VLOOKUP($B13, gdp_tot_mes!$B:$XFD, MATCH(gdp_capita_mesorreg!J$1, gdp_tot_mes!$B$1:$XFD$1, 0), 0)*1000/VLOOKUP($B13, pop_mesorreg_interpol!$B:$XFD, MATCH(gdp_capita_mesorreg!J$1, pop_mesorreg_interpol!$B$1:$XFD$1, 0), 0)</f>
        <v>2312.2593407601516</v>
      </c>
      <c r="K13" s="7">
        <f>VLOOKUP($B13, gdp_tot_mes!$B:$XFD, MATCH(gdp_capita_mesorreg!K$1, gdp_tot_mes!$B$1:$XFD$1, 0), 0)*1000/VLOOKUP($B13, pop_mesorreg_interpol!$B:$XFD, MATCH(gdp_capita_mesorreg!K$1, pop_mesorreg_interpol!$B$1:$XFD$1, 0), 0)</f>
        <v>2452.025930446855</v>
      </c>
      <c r="L13" s="8">
        <f>VLOOKUP($B13, gdp_tot_mes!$B:$XFD, MATCH(gdp_capita_mesorreg!L$1, gdp_tot_mes!$B$1:$XFD$1, 0), 0)*1000/VLOOKUP($B13, pop_mesorreg_interpol!$B:$XFD, MATCH(gdp_capita_mesorreg!L$1, pop_mesorreg_interpol!$B$1:$XFD$1, 0), 0)</f>
        <v>3557.6701047018919</v>
      </c>
      <c r="M13" s="7">
        <f>VLOOKUP($B13, gdp_tot_mes!$B:$XFD, MATCH(gdp_capita_mesorreg!M$1, gdp_tot_mes!$B$1:$XFD$1, 0), 0)*1000/VLOOKUP($B13, pop_mesorreg_interpol!$B:$XFD, MATCH(gdp_capita_mesorreg!M$1, pop_mesorreg_interpol!$B$1:$XFD$1, 0), 0)</f>
        <v>4639.3055561564715</v>
      </c>
      <c r="N13" s="7">
        <f>VLOOKUP($B13, gdp_tot_mes!$B:$XFD, MATCH(gdp_capita_mesorreg!N$1, gdp_tot_mes!$B$1:$XFD$1, 0), 0)*1000/VLOOKUP($B13, pop_mesorreg_interpol!$B:$XFD, MATCH(gdp_capita_mesorreg!N$1, pop_mesorreg_interpol!$B$1:$XFD$1, 0), 0)</f>
        <v>7989.0161058463837</v>
      </c>
      <c r="O13" s="7">
        <f>VLOOKUP($B13, gdp_tot_mes!$B:$XFD, MATCH(gdp_capita_mesorreg!O$1, gdp_tot_mes!$B$1:$XFD$1, 0), 0)*1000/VLOOKUP($B13, pop_mesorreg_interpol!$B:$XFD, MATCH(gdp_capita_mesorreg!O$1, pop_mesorreg_interpol!$B$1:$XFD$1, 0), 0)</f>
        <v>8960.6249017655464</v>
      </c>
      <c r="P13" s="7">
        <f>VLOOKUP($B13, gdp_tot_mes!$B:$XFD, MATCH(gdp_capita_mesorreg!P$1, gdp_tot_mes!$B$1:$XFD$1, 0), 0)*1000/VLOOKUP($B13, pop_mesorreg_interpol!$B:$XFD, MATCH(gdp_capita_mesorreg!P$1, pop_mesorreg_interpol!$B$1:$XFD$1, 0), 0)</f>
        <v>9631.3312990903905</v>
      </c>
      <c r="Q13" s="7">
        <f>VLOOKUP($B13, gdp_tot_mes!$B:$XFD, MATCH(gdp_capita_mesorreg!Q$1, gdp_tot_mes!$B$1:$XFD$1, 0), 0)*1000/VLOOKUP($B13, pop_mesorreg_interpol!$B:$XFD, MATCH(gdp_capita_mesorreg!Q$1, pop_mesorreg_interpol!$B$1:$XFD$1, 0), 0)</f>
        <v>10263.425173776302</v>
      </c>
      <c r="R13" s="7">
        <f>VLOOKUP($B13, gdp_tot_mes!$B:$XFD, MATCH(gdp_capita_mesorreg!R$1, gdp_tot_mes!$B$1:$XFD$1, 0), 0)*1000/VLOOKUP($B13, pop_mesorreg_interpol!$B:$XFD, MATCH(gdp_capita_mesorreg!R$1, pop_mesorreg_interpol!$B$1:$XFD$1, 0), 0)</f>
        <v>11324.806705718875</v>
      </c>
      <c r="S13" s="7">
        <f>VLOOKUP($B13, gdp_tot_mes!$B:$XFD, MATCH(gdp_capita_mesorreg!S$1, gdp_tot_mes!$B$1:$XFD$1, 0), 0)*1000/VLOOKUP($B13, pop_mesorreg_interpol!$B:$XFD, MATCH(gdp_capita_mesorreg!S$1, pop_mesorreg_interpol!$B$1:$XFD$1, 0), 0)</f>
        <v>14246.532829761889</v>
      </c>
      <c r="T13" s="7">
        <f>VLOOKUP($B13, gdp_tot_mes!$B:$XFD, MATCH(gdp_capita_mesorreg!T$1, gdp_tot_mes!$B$1:$XFD$1, 0), 0)*1000/VLOOKUP($B13, pop_mesorreg_interpol!$B:$XFD, MATCH(gdp_capita_mesorreg!T$1, pop_mesorreg_interpol!$B$1:$XFD$1, 0), 0)</f>
        <v>12752.418519064384</v>
      </c>
      <c r="U13" s="7">
        <f>VLOOKUP($B13, gdp_tot_mes!$B:$XFD, MATCH(gdp_capita_mesorreg!U$1, gdp_tot_mes!$B$1:$XFD$1, 0), 0)*1000/VLOOKUP($B13, pop_mesorreg_interpol!$B:$XFD, MATCH(gdp_capita_mesorreg!U$1, pop_mesorreg_interpol!$B$1:$XFD$1, 0), 0)</f>
        <v>9993.2780659295986</v>
      </c>
      <c r="V13" s="7">
        <f>VLOOKUP($B13, gdp_tot_mes!$B:$XFD, MATCH(gdp_capita_mesorreg!V$1, gdp_tot_mes!$B$1:$XFD$1, 0), 0)*1000/VLOOKUP($B13, pop_mesorreg_interpol!$B:$XFD, MATCH(gdp_capita_mesorreg!V$1, pop_mesorreg_interpol!$B$1:$XFD$1, 0), 0)</f>
        <v>12288.28414322012</v>
      </c>
      <c r="W13" s="7">
        <f>VLOOKUP($B13, gdp_tot_mes!$B:$XFD, MATCH(gdp_capita_mesorreg!W$1, gdp_tot_mes!$B$1:$XFD$1, 0), 0)*1000/VLOOKUP($B13, pop_mesorreg_interpol!$B:$XFD, MATCH(gdp_capita_mesorreg!W$1, pop_mesorreg_interpol!$B$1:$XFD$1, 0), 0)</f>
        <v>13857.165019474731</v>
      </c>
      <c r="X13" s="7">
        <f>VLOOKUP($B13, gdp_tot_mes!$B:$XFD, MATCH(gdp_capita_mesorreg!X$1, gdp_tot_mes!$B$1:$XFD$1, 0), 0)*1000/VLOOKUP($B13, pop_mesorreg_interpol!$B:$XFD, MATCH(gdp_capita_mesorreg!X$1, pop_mesorreg_interpol!$B$1:$XFD$1, 0), 0)</f>
        <v>14227.942468421852</v>
      </c>
      <c r="Y13" s="7">
        <f>VLOOKUP($B13, gdp_tot_mes!$B:$XFD, MATCH(gdp_capita_mesorreg!Y$1, gdp_tot_mes!$B$1:$XFD$1, 0), 0)*1000/VLOOKUP($B13, pop_mesorreg_interpol!$B:$XFD, MATCH(gdp_capita_mesorreg!Y$1, pop_mesorreg_interpol!$B$1:$XFD$1, 0), 0)</f>
        <v>13362.394974216793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5">
      <c r="A14" s="1" t="s">
        <v>49</v>
      </c>
      <c r="B14" s="1" t="s">
        <v>52</v>
      </c>
      <c r="C14" s="1" t="s">
        <v>53</v>
      </c>
      <c r="D14" s="7">
        <f>VLOOKUP($B14, gdp_tot_mes!$B:$XFD, MATCH(gdp_capita_mesorreg!D$1, gdp_tot_mes!$B$1:$XFD$1, 0), 0)*1000/VLOOKUP($B14, pop_mesorreg_interpol!$B:$XFD, MATCH(gdp_capita_mesorreg!D$1, pop_mesorreg_interpol!$B$1:$XFD$1, 0), 0)</f>
        <v>456.97051062557802</v>
      </c>
      <c r="E14" s="7">
        <f>VLOOKUP($B14, gdp_tot_mes!$B:$XFD, MATCH(gdp_capita_mesorreg!E$1, gdp_tot_mes!$B$1:$XFD$1, 0), 0)*1000/VLOOKUP($B14, pop_mesorreg_interpol!$B:$XFD, MATCH(gdp_capita_mesorreg!E$1, pop_mesorreg_interpol!$B$1:$XFD$1, 0), 0)</f>
        <v>731.55856981330101</v>
      </c>
      <c r="F14" s="7">
        <f>VLOOKUP($B14, gdp_tot_mes!$B:$XFD, MATCH(gdp_capita_mesorreg!F$1, gdp_tot_mes!$B$1:$XFD$1, 0), 0)*1000/VLOOKUP($B14, pop_mesorreg_interpol!$B:$XFD, MATCH(gdp_capita_mesorreg!F$1, pop_mesorreg_interpol!$B$1:$XFD$1, 0), 0)</f>
        <v>919.66316278439172</v>
      </c>
      <c r="G14" s="7">
        <f>VLOOKUP($B14, gdp_tot_mes!$B:$XFD, MATCH(gdp_capita_mesorreg!G$1, gdp_tot_mes!$B$1:$XFD$1, 0), 0)*1000/VLOOKUP($B14, pop_mesorreg_interpol!$B:$XFD, MATCH(gdp_capita_mesorreg!G$1, pop_mesorreg_interpol!$B$1:$XFD$1, 0), 0)</f>
        <v>1314.4017197360311</v>
      </c>
      <c r="H14" s="7">
        <f>VLOOKUP($B14, gdp_tot_mes!$B:$XFD, MATCH(gdp_capita_mesorreg!H$1, gdp_tot_mes!$B$1:$XFD$1, 0), 0)*1000/VLOOKUP($B14, pop_mesorreg_interpol!$B:$XFD, MATCH(gdp_capita_mesorreg!H$1, pop_mesorreg_interpol!$B$1:$XFD$1, 0), 0)</f>
        <v>1516.1081782683625</v>
      </c>
      <c r="I14" s="7">
        <f>VLOOKUP($B14, gdp_tot_mes!$B:$XFD, MATCH(gdp_capita_mesorreg!I$1, gdp_tot_mes!$B$1:$XFD$1, 0), 0)*1000/VLOOKUP($B14, pop_mesorreg_interpol!$B:$XFD, MATCH(gdp_capita_mesorreg!I$1, pop_mesorreg_interpol!$B$1:$XFD$1, 0), 0)</f>
        <v>2246.9312158198791</v>
      </c>
      <c r="J14" s="7">
        <f>VLOOKUP($B14, gdp_tot_mes!$B:$XFD, MATCH(gdp_capita_mesorreg!J$1, gdp_tot_mes!$B$1:$XFD$1, 0), 0)*1000/VLOOKUP($B14, pop_mesorreg_interpol!$B:$XFD, MATCH(gdp_capita_mesorreg!J$1, pop_mesorreg_interpol!$B$1:$XFD$1, 0), 0)</f>
        <v>3237.6168865002455</v>
      </c>
      <c r="K14" s="7">
        <f>VLOOKUP($B14, gdp_tot_mes!$B:$XFD, MATCH(gdp_capita_mesorreg!K$1, gdp_tot_mes!$B$1:$XFD$1, 0), 0)*1000/VLOOKUP($B14, pop_mesorreg_interpol!$B:$XFD, MATCH(gdp_capita_mesorreg!K$1, pop_mesorreg_interpol!$B$1:$XFD$1, 0), 0)</f>
        <v>3901.4319074111918</v>
      </c>
      <c r="L14" s="8">
        <f>VLOOKUP($B14, gdp_tot_mes!$B:$XFD, MATCH(gdp_capita_mesorreg!L$1, gdp_tot_mes!$B$1:$XFD$1, 0), 0)*1000/VLOOKUP($B14, pop_mesorreg_interpol!$B:$XFD, MATCH(gdp_capita_mesorreg!L$1, pop_mesorreg_interpol!$B$1:$XFD$1, 0), 0)</f>
        <v>3427.0995632487825</v>
      </c>
      <c r="M14" s="7">
        <f>VLOOKUP($B14, gdp_tot_mes!$B:$XFD, MATCH(gdp_capita_mesorreg!M$1, gdp_tot_mes!$B$1:$XFD$1, 0), 0)*1000/VLOOKUP($B14, pop_mesorreg_interpol!$B:$XFD, MATCH(gdp_capita_mesorreg!M$1, pop_mesorreg_interpol!$B$1:$XFD$1, 0), 0)</f>
        <v>2951.254347794511</v>
      </c>
      <c r="N14" s="7">
        <f>VLOOKUP($B14, gdp_tot_mes!$B:$XFD, MATCH(gdp_capita_mesorreg!N$1, gdp_tot_mes!$B$1:$XFD$1, 0), 0)*1000/VLOOKUP($B14, pop_mesorreg_interpol!$B:$XFD, MATCH(gdp_capita_mesorreg!N$1, pop_mesorreg_interpol!$B$1:$XFD$1, 0), 0)</f>
        <v>5997.0723904338665</v>
      </c>
      <c r="O14" s="7">
        <f>VLOOKUP($B14, gdp_tot_mes!$B:$XFD, MATCH(gdp_capita_mesorreg!O$1, gdp_tot_mes!$B$1:$XFD$1, 0), 0)*1000/VLOOKUP($B14, pop_mesorreg_interpol!$B:$XFD, MATCH(gdp_capita_mesorreg!O$1, pop_mesorreg_interpol!$B$1:$XFD$1, 0), 0)</f>
        <v>6559.026800789441</v>
      </c>
      <c r="P14" s="7">
        <f>VLOOKUP($B14, gdp_tot_mes!$B:$XFD, MATCH(gdp_capita_mesorreg!P$1, gdp_tot_mes!$B$1:$XFD$1, 0), 0)*1000/VLOOKUP($B14, pop_mesorreg_interpol!$B:$XFD, MATCH(gdp_capita_mesorreg!P$1, pop_mesorreg_interpol!$B$1:$XFD$1, 0), 0)</f>
        <v>5504.8886401447953</v>
      </c>
      <c r="Q14" s="7">
        <f>VLOOKUP($B14, gdp_tot_mes!$B:$XFD, MATCH(gdp_capita_mesorreg!Q$1, gdp_tot_mes!$B$1:$XFD$1, 0), 0)*1000/VLOOKUP($B14, pop_mesorreg_interpol!$B:$XFD, MATCH(gdp_capita_mesorreg!Q$1, pop_mesorreg_interpol!$B$1:$XFD$1, 0), 0)</f>
        <v>7027.150272128818</v>
      </c>
      <c r="R14" s="7">
        <f>VLOOKUP($B14, gdp_tot_mes!$B:$XFD, MATCH(gdp_capita_mesorreg!R$1, gdp_tot_mes!$B$1:$XFD$1, 0), 0)*1000/VLOOKUP($B14, pop_mesorreg_interpol!$B:$XFD, MATCH(gdp_capita_mesorreg!R$1, pop_mesorreg_interpol!$B$1:$XFD$1, 0), 0)</f>
        <v>6705.082981120785</v>
      </c>
      <c r="S14" s="7">
        <f>VLOOKUP($B14, gdp_tot_mes!$B:$XFD, MATCH(gdp_capita_mesorreg!S$1, gdp_tot_mes!$B$1:$XFD$1, 0), 0)*1000/VLOOKUP($B14, pop_mesorreg_interpol!$B:$XFD, MATCH(gdp_capita_mesorreg!S$1, pop_mesorreg_interpol!$B$1:$XFD$1, 0), 0)</f>
        <v>6699.3703982977922</v>
      </c>
      <c r="T14" s="7">
        <f>VLOOKUP($B14, gdp_tot_mes!$B:$XFD, MATCH(gdp_capita_mesorreg!T$1, gdp_tot_mes!$B$1:$XFD$1, 0), 0)*1000/VLOOKUP($B14, pop_mesorreg_interpol!$B:$XFD, MATCH(gdp_capita_mesorreg!T$1, pop_mesorreg_interpol!$B$1:$XFD$1, 0), 0)</f>
        <v>6458.5527846918812</v>
      </c>
      <c r="U14" s="7">
        <f>VLOOKUP($B14, gdp_tot_mes!$B:$XFD, MATCH(gdp_capita_mesorreg!U$1, gdp_tot_mes!$B$1:$XFD$1, 0), 0)*1000/VLOOKUP($B14, pop_mesorreg_interpol!$B:$XFD, MATCH(gdp_capita_mesorreg!U$1, pop_mesorreg_interpol!$B$1:$XFD$1, 0), 0)</f>
        <v>6874.9383999376387</v>
      </c>
      <c r="V14" s="7">
        <f>VLOOKUP($B14, gdp_tot_mes!$B:$XFD, MATCH(gdp_capita_mesorreg!V$1, gdp_tot_mes!$B$1:$XFD$1, 0), 0)*1000/VLOOKUP($B14, pop_mesorreg_interpol!$B:$XFD, MATCH(gdp_capita_mesorreg!V$1, pop_mesorreg_interpol!$B$1:$XFD$1, 0), 0)</f>
        <v>7832.005745130492</v>
      </c>
      <c r="W14" s="7">
        <f>VLOOKUP($B14, gdp_tot_mes!$B:$XFD, MATCH(gdp_capita_mesorreg!W$1, gdp_tot_mes!$B$1:$XFD$1, 0), 0)*1000/VLOOKUP($B14, pop_mesorreg_interpol!$B:$XFD, MATCH(gdp_capita_mesorreg!W$1, pop_mesorreg_interpol!$B$1:$XFD$1, 0), 0)</f>
        <v>7353.9053270039649</v>
      </c>
      <c r="X14" s="7">
        <f>VLOOKUP($B14, gdp_tot_mes!$B:$XFD, MATCH(gdp_capita_mesorreg!X$1, gdp_tot_mes!$B$1:$XFD$1, 0), 0)*1000/VLOOKUP($B14, pop_mesorreg_interpol!$B:$XFD, MATCH(gdp_capita_mesorreg!X$1, pop_mesorreg_interpol!$B$1:$XFD$1, 0), 0)</f>
        <v>6999.6478240304232</v>
      </c>
      <c r="Y14" s="7">
        <f>VLOOKUP($B14, gdp_tot_mes!$B:$XFD, MATCH(gdp_capita_mesorreg!Y$1, gdp_tot_mes!$B$1:$XFD$1, 0), 0)*1000/VLOOKUP($B14, pop_mesorreg_interpol!$B:$XFD, MATCH(gdp_capita_mesorreg!Y$1, pop_mesorreg_interpol!$B$1:$XFD$1, 0), 0)</f>
        <v>7715.4146245612601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25">
      <c r="A15" s="1" t="s">
        <v>49</v>
      </c>
      <c r="B15" s="1" t="s">
        <v>54</v>
      </c>
      <c r="C15" s="1" t="s">
        <v>55</v>
      </c>
      <c r="D15" s="7">
        <f>VLOOKUP($B15, gdp_tot_mes!$B:$XFD, MATCH(gdp_capita_mesorreg!D$1, gdp_tot_mes!$B$1:$XFD$1, 0), 0)*1000/VLOOKUP($B15, pop_mesorreg_interpol!$B:$XFD, MATCH(gdp_capita_mesorreg!D$1, pop_mesorreg_interpol!$B$1:$XFD$1, 0), 0)</f>
        <v>350.87946845578239</v>
      </c>
      <c r="E15" s="7">
        <f>VLOOKUP($B15, gdp_tot_mes!$B:$XFD, MATCH(gdp_capita_mesorreg!E$1, gdp_tot_mes!$B$1:$XFD$1, 0), 0)*1000/VLOOKUP($B15, pop_mesorreg_interpol!$B:$XFD, MATCH(gdp_capita_mesorreg!E$1, pop_mesorreg_interpol!$B$1:$XFD$1, 0), 0)</f>
        <v>656.76561074110407</v>
      </c>
      <c r="F15" s="7">
        <f>VLOOKUP($B15, gdp_tot_mes!$B:$XFD, MATCH(gdp_capita_mesorreg!F$1, gdp_tot_mes!$B$1:$XFD$1, 0), 0)*1000/VLOOKUP($B15, pop_mesorreg_interpol!$B:$XFD, MATCH(gdp_capita_mesorreg!F$1, pop_mesorreg_interpol!$B$1:$XFD$1, 0), 0)</f>
        <v>1150.9697720577847</v>
      </c>
      <c r="G15" s="7">
        <f>VLOOKUP($B15, gdp_tot_mes!$B:$XFD, MATCH(gdp_capita_mesorreg!G$1, gdp_tot_mes!$B$1:$XFD$1, 0), 0)*1000/VLOOKUP($B15, pop_mesorreg_interpol!$B:$XFD, MATCH(gdp_capita_mesorreg!G$1, pop_mesorreg_interpol!$B$1:$XFD$1, 0), 0)</f>
        <v>1442.2681435072725</v>
      </c>
      <c r="H15" s="7">
        <f>VLOOKUP($B15, gdp_tot_mes!$B:$XFD, MATCH(gdp_capita_mesorreg!H$1, gdp_tot_mes!$B$1:$XFD$1, 0), 0)*1000/VLOOKUP($B15, pop_mesorreg_interpol!$B:$XFD, MATCH(gdp_capita_mesorreg!H$1, pop_mesorreg_interpol!$B$1:$XFD$1, 0), 0)</f>
        <v>2376.172784425401</v>
      </c>
      <c r="I15" s="7">
        <f>VLOOKUP($B15, gdp_tot_mes!$B:$XFD, MATCH(gdp_capita_mesorreg!I$1, gdp_tot_mes!$B$1:$XFD$1, 0), 0)*1000/VLOOKUP($B15, pop_mesorreg_interpol!$B:$XFD, MATCH(gdp_capita_mesorreg!I$1, pop_mesorreg_interpol!$B$1:$XFD$1, 0), 0)</f>
        <v>2837.5881377782293</v>
      </c>
      <c r="J15" s="7">
        <f>VLOOKUP($B15, gdp_tot_mes!$B:$XFD, MATCH(gdp_capita_mesorreg!J$1, gdp_tot_mes!$B$1:$XFD$1, 0), 0)*1000/VLOOKUP($B15, pop_mesorreg_interpol!$B:$XFD, MATCH(gdp_capita_mesorreg!J$1, pop_mesorreg_interpol!$B$1:$XFD$1, 0), 0)</f>
        <v>4199.6830054504153</v>
      </c>
      <c r="K15" s="7">
        <f>VLOOKUP($B15, gdp_tot_mes!$B:$XFD, MATCH(gdp_capita_mesorreg!K$1, gdp_tot_mes!$B$1:$XFD$1, 0), 0)*1000/VLOOKUP($B15, pop_mesorreg_interpol!$B:$XFD, MATCH(gdp_capita_mesorreg!K$1, pop_mesorreg_interpol!$B$1:$XFD$1, 0), 0)</f>
        <v>4267.6280643032023</v>
      </c>
      <c r="L15" s="8">
        <f>VLOOKUP($B15, gdp_tot_mes!$B:$XFD, MATCH(gdp_capita_mesorreg!L$1, gdp_tot_mes!$B$1:$XFD$1, 0), 0)*1000/VLOOKUP($B15, pop_mesorreg_interpol!$B:$XFD, MATCH(gdp_capita_mesorreg!L$1, pop_mesorreg_interpol!$B$1:$XFD$1, 0), 0)</f>
        <v>3629.9326428038007</v>
      </c>
      <c r="M15" s="7">
        <f>VLOOKUP($B15, gdp_tot_mes!$B:$XFD, MATCH(gdp_capita_mesorreg!M$1, gdp_tot_mes!$B$1:$XFD$1, 0), 0)*1000/VLOOKUP($B15, pop_mesorreg_interpol!$B:$XFD, MATCH(gdp_capita_mesorreg!M$1, pop_mesorreg_interpol!$B$1:$XFD$1, 0), 0)</f>
        <v>2990.8928554407557</v>
      </c>
      <c r="N15" s="7">
        <f>VLOOKUP($B15, gdp_tot_mes!$B:$XFD, MATCH(gdp_capita_mesorreg!N$1, gdp_tot_mes!$B$1:$XFD$1, 0), 0)*1000/VLOOKUP($B15, pop_mesorreg_interpol!$B:$XFD, MATCH(gdp_capita_mesorreg!N$1, pop_mesorreg_interpol!$B$1:$XFD$1, 0), 0)</f>
        <v>4135.2324450754058</v>
      </c>
      <c r="O15" s="7">
        <f>VLOOKUP($B15, gdp_tot_mes!$B:$XFD, MATCH(gdp_capita_mesorreg!O$1, gdp_tot_mes!$B$1:$XFD$1, 0), 0)*1000/VLOOKUP($B15, pop_mesorreg_interpol!$B:$XFD, MATCH(gdp_capita_mesorreg!O$1, pop_mesorreg_interpol!$B$1:$XFD$1, 0), 0)</f>
        <v>4410.2012291352803</v>
      </c>
      <c r="P15" s="7">
        <f>VLOOKUP($B15, gdp_tot_mes!$B:$XFD, MATCH(gdp_capita_mesorreg!P$1, gdp_tot_mes!$B$1:$XFD$1, 0), 0)*1000/VLOOKUP($B15, pop_mesorreg_interpol!$B:$XFD, MATCH(gdp_capita_mesorreg!P$1, pop_mesorreg_interpol!$B$1:$XFD$1, 0), 0)</f>
        <v>4400.4790595788718</v>
      </c>
      <c r="Q15" s="7">
        <f>VLOOKUP($B15, gdp_tot_mes!$B:$XFD, MATCH(gdp_capita_mesorreg!Q$1, gdp_tot_mes!$B$1:$XFD$1, 0), 0)*1000/VLOOKUP($B15, pop_mesorreg_interpol!$B:$XFD, MATCH(gdp_capita_mesorreg!Q$1, pop_mesorreg_interpol!$B$1:$XFD$1, 0), 0)</f>
        <v>4842.5973338754047</v>
      </c>
      <c r="R15" s="7">
        <f>VLOOKUP($B15, gdp_tot_mes!$B:$XFD, MATCH(gdp_capita_mesorreg!R$1, gdp_tot_mes!$B$1:$XFD$1, 0), 0)*1000/VLOOKUP($B15, pop_mesorreg_interpol!$B:$XFD, MATCH(gdp_capita_mesorreg!R$1, pop_mesorreg_interpol!$B$1:$XFD$1, 0), 0)</f>
        <v>4925.1761014813301</v>
      </c>
      <c r="S15" s="7">
        <f>VLOOKUP($B15, gdp_tot_mes!$B:$XFD, MATCH(gdp_capita_mesorreg!S$1, gdp_tot_mes!$B$1:$XFD$1, 0), 0)*1000/VLOOKUP($B15, pop_mesorreg_interpol!$B:$XFD, MATCH(gdp_capita_mesorreg!S$1, pop_mesorreg_interpol!$B$1:$XFD$1, 0), 0)</f>
        <v>5075.9426643285778</v>
      </c>
      <c r="T15" s="7">
        <f>VLOOKUP($B15, gdp_tot_mes!$B:$XFD, MATCH(gdp_capita_mesorreg!T$1, gdp_tot_mes!$B$1:$XFD$1, 0), 0)*1000/VLOOKUP($B15, pop_mesorreg_interpol!$B:$XFD, MATCH(gdp_capita_mesorreg!T$1, pop_mesorreg_interpol!$B$1:$XFD$1, 0), 0)</f>
        <v>5452.7960228288393</v>
      </c>
      <c r="U15" s="7">
        <f>VLOOKUP($B15, gdp_tot_mes!$B:$XFD, MATCH(gdp_capita_mesorreg!U$1, gdp_tot_mes!$B$1:$XFD$1, 0), 0)*1000/VLOOKUP($B15, pop_mesorreg_interpol!$B:$XFD, MATCH(gdp_capita_mesorreg!U$1, pop_mesorreg_interpol!$B$1:$XFD$1, 0), 0)</f>
        <v>5524.3729034199305</v>
      </c>
      <c r="V15" s="7">
        <f>VLOOKUP($B15, gdp_tot_mes!$B:$XFD, MATCH(gdp_capita_mesorreg!V$1, gdp_tot_mes!$B$1:$XFD$1, 0), 0)*1000/VLOOKUP($B15, pop_mesorreg_interpol!$B:$XFD, MATCH(gdp_capita_mesorreg!V$1, pop_mesorreg_interpol!$B$1:$XFD$1, 0), 0)</f>
        <v>6108.5790729824648</v>
      </c>
      <c r="W15" s="7">
        <f>VLOOKUP($B15, gdp_tot_mes!$B:$XFD, MATCH(gdp_capita_mesorreg!W$1, gdp_tot_mes!$B$1:$XFD$1, 0), 0)*1000/VLOOKUP($B15, pop_mesorreg_interpol!$B:$XFD, MATCH(gdp_capita_mesorreg!W$1, pop_mesorreg_interpol!$B$1:$XFD$1, 0), 0)</f>
        <v>6421.3031628033887</v>
      </c>
      <c r="X15" s="7">
        <f>VLOOKUP($B15, gdp_tot_mes!$B:$XFD, MATCH(gdp_capita_mesorreg!X$1, gdp_tot_mes!$B$1:$XFD$1, 0), 0)*1000/VLOOKUP($B15, pop_mesorreg_interpol!$B:$XFD, MATCH(gdp_capita_mesorreg!X$1, pop_mesorreg_interpol!$B$1:$XFD$1, 0), 0)</f>
        <v>7027.0775372199741</v>
      </c>
      <c r="Y15" s="7">
        <f>VLOOKUP($B15, gdp_tot_mes!$B:$XFD, MATCH(gdp_capita_mesorreg!Y$1, gdp_tot_mes!$B$1:$XFD$1, 0), 0)*1000/VLOOKUP($B15, pop_mesorreg_interpol!$B:$XFD, MATCH(gdp_capita_mesorreg!Y$1, pop_mesorreg_interpol!$B$1:$XFD$1, 0), 0)</f>
        <v>7421.4720684543881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25">
      <c r="A16" s="1" t="s">
        <v>49</v>
      </c>
      <c r="B16" s="1" t="s">
        <v>56</v>
      </c>
      <c r="C16" s="1" t="s">
        <v>57</v>
      </c>
      <c r="D16" s="7">
        <f>VLOOKUP($B16, gdp_tot_mes!$B:$XFD, MATCH(gdp_capita_mesorreg!D$1, gdp_tot_mes!$B$1:$XFD$1, 0), 0)*1000/VLOOKUP($B16, pop_mesorreg_interpol!$B:$XFD, MATCH(gdp_capita_mesorreg!D$1, pop_mesorreg_interpol!$B$1:$XFD$1, 0), 0)</f>
        <v>314.5428771230691</v>
      </c>
      <c r="E16" s="7">
        <f>VLOOKUP($B16, gdp_tot_mes!$B:$XFD, MATCH(gdp_capita_mesorreg!E$1, gdp_tot_mes!$B$1:$XFD$1, 0), 0)*1000/VLOOKUP($B16, pop_mesorreg_interpol!$B:$XFD, MATCH(gdp_capita_mesorreg!E$1, pop_mesorreg_interpol!$B$1:$XFD$1, 0), 0)</f>
        <v>625.71114060322464</v>
      </c>
      <c r="F16" s="7">
        <f>VLOOKUP($B16, gdp_tot_mes!$B:$XFD, MATCH(gdp_capita_mesorreg!F$1, gdp_tot_mes!$B$1:$XFD$1, 0), 0)*1000/VLOOKUP($B16, pop_mesorreg_interpol!$B:$XFD, MATCH(gdp_capita_mesorreg!F$1, pop_mesorreg_interpol!$B$1:$XFD$1, 0), 0)</f>
        <v>823.20270441677974</v>
      </c>
      <c r="G16" s="7">
        <f>VLOOKUP($B16, gdp_tot_mes!$B:$XFD, MATCH(gdp_capita_mesorreg!G$1, gdp_tot_mes!$B$1:$XFD$1, 0), 0)*1000/VLOOKUP($B16, pop_mesorreg_interpol!$B:$XFD, MATCH(gdp_capita_mesorreg!G$1, pop_mesorreg_interpol!$B$1:$XFD$1, 0), 0)</f>
        <v>1146.3588575502588</v>
      </c>
      <c r="H16" s="7">
        <f>VLOOKUP($B16, gdp_tot_mes!$B:$XFD, MATCH(gdp_capita_mesorreg!H$1, gdp_tot_mes!$B$1:$XFD$1, 0), 0)*1000/VLOOKUP($B16, pop_mesorreg_interpol!$B:$XFD, MATCH(gdp_capita_mesorreg!H$1, pop_mesorreg_interpol!$B$1:$XFD$1, 0), 0)</f>
        <v>1369.4820768103721</v>
      </c>
      <c r="I16" s="7">
        <f>VLOOKUP($B16, gdp_tot_mes!$B:$XFD, MATCH(gdp_capita_mesorreg!I$1, gdp_tot_mes!$B$1:$XFD$1, 0), 0)*1000/VLOOKUP($B16, pop_mesorreg_interpol!$B:$XFD, MATCH(gdp_capita_mesorreg!I$1, pop_mesorreg_interpol!$B$1:$XFD$1, 0), 0)</f>
        <v>2546.2909793478475</v>
      </c>
      <c r="J16" s="7">
        <f>VLOOKUP($B16, gdp_tot_mes!$B:$XFD, MATCH(gdp_capita_mesorreg!J$1, gdp_tot_mes!$B$1:$XFD$1, 0), 0)*1000/VLOOKUP($B16, pop_mesorreg_interpol!$B:$XFD, MATCH(gdp_capita_mesorreg!J$1, pop_mesorreg_interpol!$B$1:$XFD$1, 0), 0)</f>
        <v>2963.1566648842404</v>
      </c>
      <c r="K16" s="7">
        <f>VLOOKUP($B16, gdp_tot_mes!$B:$XFD, MATCH(gdp_capita_mesorreg!K$1, gdp_tot_mes!$B$1:$XFD$1, 0), 0)*1000/VLOOKUP($B16, pop_mesorreg_interpol!$B:$XFD, MATCH(gdp_capita_mesorreg!K$1, pop_mesorreg_interpol!$B$1:$XFD$1, 0), 0)</f>
        <v>3848.0094972596526</v>
      </c>
      <c r="L16" s="8">
        <f>VLOOKUP($B16, gdp_tot_mes!$B:$XFD, MATCH(gdp_capita_mesorreg!L$1, gdp_tot_mes!$B$1:$XFD$1, 0), 0)*1000/VLOOKUP($B16, pop_mesorreg_interpol!$B:$XFD, MATCH(gdp_capita_mesorreg!L$1, pop_mesorreg_interpol!$B$1:$XFD$1, 0), 0)</f>
        <v>3197.9536769794404</v>
      </c>
      <c r="M16" s="7">
        <f>VLOOKUP($B16, gdp_tot_mes!$B:$XFD, MATCH(gdp_capita_mesorreg!M$1, gdp_tot_mes!$B$1:$XFD$1, 0), 0)*1000/VLOOKUP($B16, pop_mesorreg_interpol!$B:$XFD, MATCH(gdp_capita_mesorreg!M$1, pop_mesorreg_interpol!$B$1:$XFD$1, 0), 0)</f>
        <v>2531.3837743190779</v>
      </c>
      <c r="N16" s="7">
        <f>VLOOKUP($B16, gdp_tot_mes!$B:$XFD, MATCH(gdp_capita_mesorreg!N$1, gdp_tot_mes!$B$1:$XFD$1, 0), 0)*1000/VLOOKUP($B16, pop_mesorreg_interpol!$B:$XFD, MATCH(gdp_capita_mesorreg!N$1, pop_mesorreg_interpol!$B$1:$XFD$1, 0), 0)</f>
        <v>3413.1936931854661</v>
      </c>
      <c r="O16" s="7">
        <f>VLOOKUP($B16, gdp_tot_mes!$B:$XFD, MATCH(gdp_capita_mesorreg!O$1, gdp_tot_mes!$B$1:$XFD$1, 0), 0)*1000/VLOOKUP($B16, pop_mesorreg_interpol!$B:$XFD, MATCH(gdp_capita_mesorreg!O$1, pop_mesorreg_interpol!$B$1:$XFD$1, 0), 0)</f>
        <v>3580.116343779343</v>
      </c>
      <c r="P16" s="7">
        <f>VLOOKUP($B16, gdp_tot_mes!$B:$XFD, MATCH(gdp_capita_mesorreg!P$1, gdp_tot_mes!$B$1:$XFD$1, 0), 0)*1000/VLOOKUP($B16, pop_mesorreg_interpol!$B:$XFD, MATCH(gdp_capita_mesorreg!P$1, pop_mesorreg_interpol!$B$1:$XFD$1, 0), 0)</f>
        <v>3686.4313008316003</v>
      </c>
      <c r="Q16" s="7">
        <f>VLOOKUP($B16, gdp_tot_mes!$B:$XFD, MATCH(gdp_capita_mesorreg!Q$1, gdp_tot_mes!$B$1:$XFD$1, 0), 0)*1000/VLOOKUP($B16, pop_mesorreg_interpol!$B:$XFD, MATCH(gdp_capita_mesorreg!Q$1, pop_mesorreg_interpol!$B$1:$XFD$1, 0), 0)</f>
        <v>4284.9922636750107</v>
      </c>
      <c r="R16" s="7">
        <f>VLOOKUP($B16, gdp_tot_mes!$B:$XFD, MATCH(gdp_capita_mesorreg!R$1, gdp_tot_mes!$B$1:$XFD$1, 0), 0)*1000/VLOOKUP($B16, pop_mesorreg_interpol!$B:$XFD, MATCH(gdp_capita_mesorreg!R$1, pop_mesorreg_interpol!$B$1:$XFD$1, 0), 0)</f>
        <v>3969.3446168521832</v>
      </c>
      <c r="S16" s="7">
        <f>VLOOKUP($B16, gdp_tot_mes!$B:$XFD, MATCH(gdp_capita_mesorreg!S$1, gdp_tot_mes!$B$1:$XFD$1, 0), 0)*1000/VLOOKUP($B16, pop_mesorreg_interpol!$B:$XFD, MATCH(gdp_capita_mesorreg!S$1, pop_mesorreg_interpol!$B$1:$XFD$1, 0), 0)</f>
        <v>4111.7823053118027</v>
      </c>
      <c r="T16" s="7">
        <f>VLOOKUP($B16, gdp_tot_mes!$B:$XFD, MATCH(gdp_capita_mesorreg!T$1, gdp_tot_mes!$B$1:$XFD$1, 0), 0)*1000/VLOOKUP($B16, pop_mesorreg_interpol!$B:$XFD, MATCH(gdp_capita_mesorreg!T$1, pop_mesorreg_interpol!$B$1:$XFD$1, 0), 0)</f>
        <v>4503.2367940345302</v>
      </c>
      <c r="U16" s="7">
        <f>VLOOKUP($B16, gdp_tot_mes!$B:$XFD, MATCH(gdp_capita_mesorreg!U$1, gdp_tot_mes!$B$1:$XFD$1, 0), 0)*1000/VLOOKUP($B16, pop_mesorreg_interpol!$B:$XFD, MATCH(gdp_capita_mesorreg!U$1, pop_mesorreg_interpol!$B$1:$XFD$1, 0), 0)</f>
        <v>4626.9646594726637</v>
      </c>
      <c r="V16" s="7">
        <f>VLOOKUP($B16, gdp_tot_mes!$B:$XFD, MATCH(gdp_capita_mesorreg!V$1, gdp_tot_mes!$B$1:$XFD$1, 0), 0)*1000/VLOOKUP($B16, pop_mesorreg_interpol!$B:$XFD, MATCH(gdp_capita_mesorreg!V$1, pop_mesorreg_interpol!$B$1:$XFD$1, 0), 0)</f>
        <v>5092.1182366309595</v>
      </c>
      <c r="W16" s="7">
        <f>VLOOKUP($B16, gdp_tot_mes!$B:$XFD, MATCH(gdp_capita_mesorreg!W$1, gdp_tot_mes!$B$1:$XFD$1, 0), 0)*1000/VLOOKUP($B16, pop_mesorreg_interpol!$B:$XFD, MATCH(gdp_capita_mesorreg!W$1, pop_mesorreg_interpol!$B$1:$XFD$1, 0), 0)</f>
        <v>5107.3429486062523</v>
      </c>
      <c r="X16" s="7">
        <f>VLOOKUP($B16, gdp_tot_mes!$B:$XFD, MATCH(gdp_capita_mesorreg!X$1, gdp_tot_mes!$B$1:$XFD$1, 0), 0)*1000/VLOOKUP($B16, pop_mesorreg_interpol!$B:$XFD, MATCH(gdp_capita_mesorreg!X$1, pop_mesorreg_interpol!$B$1:$XFD$1, 0), 0)</f>
        <v>5178.4596002053249</v>
      </c>
      <c r="Y16" s="7">
        <f>VLOOKUP($B16, gdp_tot_mes!$B:$XFD, MATCH(gdp_capita_mesorreg!Y$1, gdp_tot_mes!$B$1:$XFD$1, 0), 0)*1000/VLOOKUP($B16, pop_mesorreg_interpol!$B:$XFD, MATCH(gdp_capita_mesorreg!Y$1, pop_mesorreg_interpol!$B$1:$XFD$1, 0), 0)</f>
        <v>5591.5952557761657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25">
      <c r="A17" s="1" t="s">
        <v>49</v>
      </c>
      <c r="B17" s="1" t="s">
        <v>58</v>
      </c>
      <c r="C17" s="1" t="s">
        <v>59</v>
      </c>
      <c r="D17" s="7">
        <f>VLOOKUP($B17, gdp_tot_mes!$B:$XFD, MATCH(gdp_capita_mesorreg!D$1, gdp_tot_mes!$B$1:$XFD$1, 0), 0)*1000/VLOOKUP($B17, pop_mesorreg_interpol!$B:$XFD, MATCH(gdp_capita_mesorreg!D$1, pop_mesorreg_interpol!$B$1:$XFD$1, 0), 0)</f>
        <v>795.78365718010889</v>
      </c>
      <c r="E17" s="7">
        <f>VLOOKUP($B17, gdp_tot_mes!$B:$XFD, MATCH(gdp_capita_mesorreg!E$1, gdp_tot_mes!$B$1:$XFD$1, 0), 0)*1000/VLOOKUP($B17, pop_mesorreg_interpol!$B:$XFD, MATCH(gdp_capita_mesorreg!E$1, pop_mesorreg_interpol!$B$1:$XFD$1, 0), 0)</f>
        <v>2501.0962736532451</v>
      </c>
      <c r="F17" s="7">
        <f>VLOOKUP($B17, gdp_tot_mes!$B:$XFD, MATCH(gdp_capita_mesorreg!F$1, gdp_tot_mes!$B$1:$XFD$1, 0), 0)*1000/VLOOKUP($B17, pop_mesorreg_interpol!$B:$XFD, MATCH(gdp_capita_mesorreg!F$1, pop_mesorreg_interpol!$B$1:$XFD$1, 0), 0)</f>
        <v>2949.5902216997229</v>
      </c>
      <c r="G17" s="7">
        <f>VLOOKUP($B17, gdp_tot_mes!$B:$XFD, MATCH(gdp_capita_mesorreg!G$1, gdp_tot_mes!$B$1:$XFD$1, 0), 0)*1000/VLOOKUP($B17, pop_mesorreg_interpol!$B:$XFD, MATCH(gdp_capita_mesorreg!G$1, pop_mesorreg_interpol!$B$1:$XFD$1, 0), 0)</f>
        <v>5014.9683262318486</v>
      </c>
      <c r="H17" s="7">
        <f>VLOOKUP($B17, gdp_tot_mes!$B:$XFD, MATCH(gdp_capita_mesorreg!H$1, gdp_tot_mes!$B$1:$XFD$1, 0), 0)*1000/VLOOKUP($B17, pop_mesorreg_interpol!$B:$XFD, MATCH(gdp_capita_mesorreg!H$1, pop_mesorreg_interpol!$B$1:$XFD$1, 0), 0)</f>
        <v>8245.9363967455483</v>
      </c>
      <c r="I17" s="7">
        <f>VLOOKUP($B17, gdp_tot_mes!$B:$XFD, MATCH(gdp_capita_mesorreg!I$1, gdp_tot_mes!$B$1:$XFD$1, 0), 0)*1000/VLOOKUP($B17, pop_mesorreg_interpol!$B:$XFD, MATCH(gdp_capita_mesorreg!I$1, pop_mesorreg_interpol!$B$1:$XFD$1, 0), 0)</f>
        <v>12376.264161649146</v>
      </c>
      <c r="J17" s="7">
        <f>VLOOKUP($B17, gdp_tot_mes!$B:$XFD, MATCH(gdp_capita_mesorreg!J$1, gdp_tot_mes!$B$1:$XFD$1, 0), 0)*1000/VLOOKUP($B17, pop_mesorreg_interpol!$B:$XFD, MATCH(gdp_capita_mesorreg!J$1, pop_mesorreg_interpol!$B$1:$XFD$1, 0), 0)</f>
        <v>19166.594481861408</v>
      </c>
      <c r="K17" s="7">
        <f>VLOOKUP($B17, gdp_tot_mes!$B:$XFD, MATCH(gdp_capita_mesorreg!K$1, gdp_tot_mes!$B$1:$XFD$1, 0), 0)*1000/VLOOKUP($B17, pop_mesorreg_interpol!$B:$XFD, MATCH(gdp_capita_mesorreg!K$1, pop_mesorreg_interpol!$B$1:$XFD$1, 0), 0)</f>
        <v>21631.305011564367</v>
      </c>
      <c r="L17" s="8">
        <f>VLOOKUP($B17, gdp_tot_mes!$B:$XFD, MATCH(gdp_capita_mesorreg!L$1, gdp_tot_mes!$B$1:$XFD$1, 0), 0)*1000/VLOOKUP($B17, pop_mesorreg_interpol!$B:$XFD, MATCH(gdp_capita_mesorreg!L$1, pop_mesorreg_interpol!$B$1:$XFD$1, 0), 0)</f>
        <v>18495.714540578887</v>
      </c>
      <c r="M17" s="7">
        <f>VLOOKUP($B17, gdp_tot_mes!$B:$XFD, MATCH(gdp_capita_mesorreg!M$1, gdp_tot_mes!$B$1:$XFD$1, 0), 0)*1000/VLOOKUP($B17, pop_mesorreg_interpol!$B:$XFD, MATCH(gdp_capita_mesorreg!M$1, pop_mesorreg_interpol!$B$1:$XFD$1, 0), 0)</f>
        <v>15509.591681258944</v>
      </c>
      <c r="N17" s="7">
        <f>VLOOKUP($B17, gdp_tot_mes!$B:$XFD, MATCH(gdp_capita_mesorreg!N$1, gdp_tot_mes!$B$1:$XFD$1, 0), 0)*1000/VLOOKUP($B17, pop_mesorreg_interpol!$B:$XFD, MATCH(gdp_capita_mesorreg!N$1, pop_mesorreg_interpol!$B$1:$XFD$1, 0), 0)</f>
        <v>15901.294937604331</v>
      </c>
      <c r="O17" s="7">
        <f>VLOOKUP($B17, gdp_tot_mes!$B:$XFD, MATCH(gdp_capita_mesorreg!O$1, gdp_tot_mes!$B$1:$XFD$1, 0), 0)*1000/VLOOKUP($B17, pop_mesorreg_interpol!$B:$XFD, MATCH(gdp_capita_mesorreg!O$1, pop_mesorreg_interpol!$B$1:$XFD$1, 0), 0)</f>
        <v>15859.259905666073</v>
      </c>
      <c r="P17" s="7">
        <f>VLOOKUP($B17, gdp_tot_mes!$B:$XFD, MATCH(gdp_capita_mesorreg!P$1, gdp_tot_mes!$B$1:$XFD$1, 0), 0)*1000/VLOOKUP($B17, pop_mesorreg_interpol!$B:$XFD, MATCH(gdp_capita_mesorreg!P$1, pop_mesorreg_interpol!$B$1:$XFD$1, 0), 0)</f>
        <v>15675.074812355377</v>
      </c>
      <c r="Q17" s="7">
        <f>VLOOKUP($B17, gdp_tot_mes!$B:$XFD, MATCH(gdp_capita_mesorreg!Q$1, gdp_tot_mes!$B$1:$XFD$1, 0), 0)*1000/VLOOKUP($B17, pop_mesorreg_interpol!$B:$XFD, MATCH(gdp_capita_mesorreg!Q$1, pop_mesorreg_interpol!$B$1:$XFD$1, 0), 0)</f>
        <v>15978.358086928247</v>
      </c>
      <c r="R17" s="7">
        <f>VLOOKUP($B17, gdp_tot_mes!$B:$XFD, MATCH(gdp_capita_mesorreg!R$1, gdp_tot_mes!$B$1:$XFD$1, 0), 0)*1000/VLOOKUP($B17, pop_mesorreg_interpol!$B:$XFD, MATCH(gdp_capita_mesorreg!R$1, pop_mesorreg_interpol!$B$1:$XFD$1, 0), 0)</f>
        <v>15119.087376334872</v>
      </c>
      <c r="S17" s="7">
        <f>VLOOKUP($B17, gdp_tot_mes!$B:$XFD, MATCH(gdp_capita_mesorreg!S$1, gdp_tot_mes!$B$1:$XFD$1, 0), 0)*1000/VLOOKUP($B17, pop_mesorreg_interpol!$B:$XFD, MATCH(gdp_capita_mesorreg!S$1, pop_mesorreg_interpol!$B$1:$XFD$1, 0), 0)</f>
        <v>16109.60659372249</v>
      </c>
      <c r="T17" s="7">
        <f>VLOOKUP($B17, gdp_tot_mes!$B:$XFD, MATCH(gdp_capita_mesorreg!T$1, gdp_tot_mes!$B$1:$XFD$1, 0), 0)*1000/VLOOKUP($B17, pop_mesorreg_interpol!$B:$XFD, MATCH(gdp_capita_mesorreg!T$1, pop_mesorreg_interpol!$B$1:$XFD$1, 0), 0)</f>
        <v>17290.420806810871</v>
      </c>
      <c r="U17" s="7">
        <f>VLOOKUP($B17, gdp_tot_mes!$B:$XFD, MATCH(gdp_capita_mesorreg!U$1, gdp_tot_mes!$B$1:$XFD$1, 0), 0)*1000/VLOOKUP($B17, pop_mesorreg_interpol!$B:$XFD, MATCH(gdp_capita_mesorreg!U$1, pop_mesorreg_interpol!$B$1:$XFD$1, 0), 0)</f>
        <v>16349.303249094928</v>
      </c>
      <c r="V17" s="7">
        <f>VLOOKUP($B17, gdp_tot_mes!$B:$XFD, MATCH(gdp_capita_mesorreg!V$1, gdp_tot_mes!$B$1:$XFD$1, 0), 0)*1000/VLOOKUP($B17, pop_mesorreg_interpol!$B:$XFD, MATCH(gdp_capita_mesorreg!V$1, pop_mesorreg_interpol!$B$1:$XFD$1, 0), 0)</f>
        <v>16814.04396656387</v>
      </c>
      <c r="W17" s="7">
        <f>VLOOKUP($B17, gdp_tot_mes!$B:$XFD, MATCH(gdp_capita_mesorreg!W$1, gdp_tot_mes!$B$1:$XFD$1, 0), 0)*1000/VLOOKUP($B17, pop_mesorreg_interpol!$B:$XFD, MATCH(gdp_capita_mesorreg!W$1, pop_mesorreg_interpol!$B$1:$XFD$1, 0), 0)</f>
        <v>17015.284070110727</v>
      </c>
      <c r="X17" s="7">
        <f>VLOOKUP($B17, gdp_tot_mes!$B:$XFD, MATCH(gdp_capita_mesorreg!X$1, gdp_tot_mes!$B$1:$XFD$1, 0), 0)*1000/VLOOKUP($B17, pop_mesorreg_interpol!$B:$XFD, MATCH(gdp_capita_mesorreg!X$1, pop_mesorreg_interpol!$B$1:$XFD$1, 0), 0)</f>
        <v>18252.386788254964</v>
      </c>
      <c r="Y17" s="7">
        <f>VLOOKUP($B17, gdp_tot_mes!$B:$XFD, MATCH(gdp_capita_mesorreg!Y$1, gdp_tot_mes!$B$1:$XFD$1, 0), 0)*1000/VLOOKUP($B17, pop_mesorreg_interpol!$B:$XFD, MATCH(gdp_capita_mesorreg!Y$1, pop_mesorreg_interpol!$B$1:$XFD$1, 0), 0)</f>
        <v>18923.924341746668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5">
      <c r="A18" s="1" t="s">
        <v>49</v>
      </c>
      <c r="B18" s="1" t="s">
        <v>60</v>
      </c>
      <c r="C18" s="1" t="s">
        <v>61</v>
      </c>
      <c r="D18" s="7">
        <f>VLOOKUP($B18, gdp_tot_mes!$B:$XFD, MATCH(gdp_capita_mesorreg!D$1, gdp_tot_mes!$B$1:$XFD$1, 0), 0)*1000/VLOOKUP($B18, pop_mesorreg_interpol!$B:$XFD, MATCH(gdp_capita_mesorreg!D$1, pop_mesorreg_interpol!$B$1:$XFD$1, 0), 0)</f>
        <v>330.0335774612376</v>
      </c>
      <c r="E18" s="7">
        <f>VLOOKUP($B18, gdp_tot_mes!$B:$XFD, MATCH(gdp_capita_mesorreg!E$1, gdp_tot_mes!$B$1:$XFD$1, 0), 0)*1000/VLOOKUP($B18, pop_mesorreg_interpol!$B:$XFD, MATCH(gdp_capita_mesorreg!E$1, pop_mesorreg_interpol!$B$1:$XFD$1, 0), 0)</f>
        <v>587.4527387415261</v>
      </c>
      <c r="F18" s="7">
        <f>VLOOKUP($B18, gdp_tot_mes!$B:$XFD, MATCH(gdp_capita_mesorreg!F$1, gdp_tot_mes!$B$1:$XFD$1, 0), 0)*1000/VLOOKUP($B18, pop_mesorreg_interpol!$B:$XFD, MATCH(gdp_capita_mesorreg!F$1, pop_mesorreg_interpol!$B$1:$XFD$1, 0), 0)</f>
        <v>841.05033111255523</v>
      </c>
      <c r="G18" s="7">
        <f>VLOOKUP($B18, gdp_tot_mes!$B:$XFD, MATCH(gdp_capita_mesorreg!G$1, gdp_tot_mes!$B$1:$XFD$1, 0), 0)*1000/VLOOKUP($B18, pop_mesorreg_interpol!$B:$XFD, MATCH(gdp_capita_mesorreg!G$1, pop_mesorreg_interpol!$B$1:$XFD$1, 0), 0)</f>
        <v>1442.8064041826947</v>
      </c>
      <c r="H18" s="7">
        <f>VLOOKUP($B18, gdp_tot_mes!$B:$XFD, MATCH(gdp_capita_mesorreg!H$1, gdp_tot_mes!$B$1:$XFD$1, 0), 0)*1000/VLOOKUP($B18, pop_mesorreg_interpol!$B:$XFD, MATCH(gdp_capita_mesorreg!H$1, pop_mesorreg_interpol!$B$1:$XFD$1, 0), 0)</f>
        <v>2189.0842844237782</v>
      </c>
      <c r="I18" s="7">
        <f>VLOOKUP($B18, gdp_tot_mes!$B:$XFD, MATCH(gdp_capita_mesorreg!I$1, gdp_tot_mes!$B$1:$XFD$1, 0), 0)*1000/VLOOKUP($B18, pop_mesorreg_interpol!$B:$XFD, MATCH(gdp_capita_mesorreg!I$1, pop_mesorreg_interpol!$B$1:$XFD$1, 0), 0)</f>
        <v>2566.7768755594525</v>
      </c>
      <c r="J18" s="7">
        <f>VLOOKUP($B18, gdp_tot_mes!$B:$XFD, MATCH(gdp_capita_mesorreg!J$1, gdp_tot_mes!$B$1:$XFD$1, 0), 0)*1000/VLOOKUP($B18, pop_mesorreg_interpol!$B:$XFD, MATCH(gdp_capita_mesorreg!J$1, pop_mesorreg_interpol!$B$1:$XFD$1, 0), 0)</f>
        <v>3632.6424666882881</v>
      </c>
      <c r="K18" s="7">
        <f>VLOOKUP($B18, gdp_tot_mes!$B:$XFD, MATCH(gdp_capita_mesorreg!K$1, gdp_tot_mes!$B$1:$XFD$1, 0), 0)*1000/VLOOKUP($B18, pop_mesorreg_interpol!$B:$XFD, MATCH(gdp_capita_mesorreg!K$1, pop_mesorreg_interpol!$B$1:$XFD$1, 0), 0)</f>
        <v>4933.0214492935156</v>
      </c>
      <c r="L18" s="8">
        <f>VLOOKUP($B18, gdp_tot_mes!$B:$XFD, MATCH(gdp_capita_mesorreg!L$1, gdp_tot_mes!$B$1:$XFD$1, 0), 0)*1000/VLOOKUP($B18, pop_mesorreg_interpol!$B:$XFD, MATCH(gdp_capita_mesorreg!L$1, pop_mesorreg_interpol!$B$1:$XFD$1, 0), 0)</f>
        <v>3819.3205326131269</v>
      </c>
      <c r="M18" s="7">
        <f>VLOOKUP($B18, gdp_tot_mes!$B:$XFD, MATCH(gdp_capita_mesorreg!M$1, gdp_tot_mes!$B$1:$XFD$1, 0), 0)*1000/VLOOKUP($B18, pop_mesorreg_interpol!$B:$XFD, MATCH(gdp_capita_mesorreg!M$1, pop_mesorreg_interpol!$B$1:$XFD$1, 0), 0)</f>
        <v>2691.0971482864302</v>
      </c>
      <c r="N18" s="7">
        <f>VLOOKUP($B18, gdp_tot_mes!$B:$XFD, MATCH(gdp_capita_mesorreg!N$1, gdp_tot_mes!$B$1:$XFD$1, 0), 0)*1000/VLOOKUP($B18, pop_mesorreg_interpol!$B:$XFD, MATCH(gdp_capita_mesorreg!N$1, pop_mesorreg_interpol!$B$1:$XFD$1, 0), 0)</f>
        <v>3890.8046165978044</v>
      </c>
      <c r="O18" s="7">
        <f>VLOOKUP($B18, gdp_tot_mes!$B:$XFD, MATCH(gdp_capita_mesorreg!O$1, gdp_tot_mes!$B$1:$XFD$1, 0), 0)*1000/VLOOKUP($B18, pop_mesorreg_interpol!$B:$XFD, MATCH(gdp_capita_mesorreg!O$1, pop_mesorreg_interpol!$B$1:$XFD$1, 0), 0)</f>
        <v>3993.471699240863</v>
      </c>
      <c r="P18" s="7">
        <f>VLOOKUP($B18, gdp_tot_mes!$B:$XFD, MATCH(gdp_capita_mesorreg!P$1, gdp_tot_mes!$B$1:$XFD$1, 0), 0)*1000/VLOOKUP($B18, pop_mesorreg_interpol!$B:$XFD, MATCH(gdp_capita_mesorreg!P$1, pop_mesorreg_interpol!$B$1:$XFD$1, 0), 0)</f>
        <v>4173.4679794974718</v>
      </c>
      <c r="Q18" s="7">
        <f>VLOOKUP($B18, gdp_tot_mes!$B:$XFD, MATCH(gdp_capita_mesorreg!Q$1, gdp_tot_mes!$B$1:$XFD$1, 0), 0)*1000/VLOOKUP($B18, pop_mesorreg_interpol!$B:$XFD, MATCH(gdp_capita_mesorreg!Q$1, pop_mesorreg_interpol!$B$1:$XFD$1, 0), 0)</f>
        <v>4602.9948885002814</v>
      </c>
      <c r="R18" s="7">
        <f>VLOOKUP($B18, gdp_tot_mes!$B:$XFD, MATCH(gdp_capita_mesorreg!R$1, gdp_tot_mes!$B$1:$XFD$1, 0), 0)*1000/VLOOKUP($B18, pop_mesorreg_interpol!$B:$XFD, MATCH(gdp_capita_mesorreg!R$1, pop_mesorreg_interpol!$B$1:$XFD$1, 0), 0)</f>
        <v>4595.4922966007025</v>
      </c>
      <c r="S18" s="7">
        <f>VLOOKUP($B18, gdp_tot_mes!$B:$XFD, MATCH(gdp_capita_mesorreg!S$1, gdp_tot_mes!$B$1:$XFD$1, 0), 0)*1000/VLOOKUP($B18, pop_mesorreg_interpol!$B:$XFD, MATCH(gdp_capita_mesorreg!S$1, pop_mesorreg_interpol!$B$1:$XFD$1, 0), 0)</f>
        <v>4765.3722024704739</v>
      </c>
      <c r="T18" s="7">
        <f>VLOOKUP($B18, gdp_tot_mes!$B:$XFD, MATCH(gdp_capita_mesorreg!T$1, gdp_tot_mes!$B$1:$XFD$1, 0), 0)*1000/VLOOKUP($B18, pop_mesorreg_interpol!$B:$XFD, MATCH(gdp_capita_mesorreg!T$1, pop_mesorreg_interpol!$B$1:$XFD$1, 0), 0)</f>
        <v>5249.9412161460914</v>
      </c>
      <c r="U18" s="7">
        <f>VLOOKUP($B18, gdp_tot_mes!$B:$XFD, MATCH(gdp_capita_mesorreg!U$1, gdp_tot_mes!$B$1:$XFD$1, 0), 0)*1000/VLOOKUP($B18, pop_mesorreg_interpol!$B:$XFD, MATCH(gdp_capita_mesorreg!U$1, pop_mesorreg_interpol!$B$1:$XFD$1, 0), 0)</f>
        <v>5303.688658471975</v>
      </c>
      <c r="V18" s="7">
        <f>VLOOKUP($B18, gdp_tot_mes!$B:$XFD, MATCH(gdp_capita_mesorreg!V$1, gdp_tot_mes!$B$1:$XFD$1, 0), 0)*1000/VLOOKUP($B18, pop_mesorreg_interpol!$B:$XFD, MATCH(gdp_capita_mesorreg!V$1, pop_mesorreg_interpol!$B$1:$XFD$1, 0), 0)</f>
        <v>5848.8824839880017</v>
      </c>
      <c r="W18" s="7">
        <f>VLOOKUP($B18, gdp_tot_mes!$B:$XFD, MATCH(gdp_capita_mesorreg!W$1, gdp_tot_mes!$B$1:$XFD$1, 0), 0)*1000/VLOOKUP($B18, pop_mesorreg_interpol!$B:$XFD, MATCH(gdp_capita_mesorreg!W$1, pop_mesorreg_interpol!$B$1:$XFD$1, 0), 0)</f>
        <v>5954.4117663555553</v>
      </c>
      <c r="X18" s="7">
        <f>VLOOKUP($B18, gdp_tot_mes!$B:$XFD, MATCH(gdp_capita_mesorreg!X$1, gdp_tot_mes!$B$1:$XFD$1, 0), 0)*1000/VLOOKUP($B18, pop_mesorreg_interpol!$B:$XFD, MATCH(gdp_capita_mesorreg!X$1, pop_mesorreg_interpol!$B$1:$XFD$1, 0), 0)</f>
        <v>6352.9325516478248</v>
      </c>
      <c r="Y18" s="7">
        <f>VLOOKUP($B18, gdp_tot_mes!$B:$XFD, MATCH(gdp_capita_mesorreg!Y$1, gdp_tot_mes!$B$1:$XFD$1, 0), 0)*1000/VLOOKUP($B18, pop_mesorreg_interpol!$B:$XFD, MATCH(gdp_capita_mesorreg!Y$1, pop_mesorreg_interpol!$B$1:$XFD$1, 0), 0)</f>
        <v>6486.4189129602501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25">
      <c r="A19" s="1" t="s">
        <v>49</v>
      </c>
      <c r="B19" s="1" t="s">
        <v>62</v>
      </c>
      <c r="C19" s="1" t="s">
        <v>63</v>
      </c>
      <c r="D19" s="7">
        <f>VLOOKUP($B19, gdp_tot_mes!$B:$XFD, MATCH(gdp_capita_mesorreg!D$1, gdp_tot_mes!$B$1:$XFD$1, 0), 0)*1000/VLOOKUP($B19, pop_mesorreg_interpol!$B:$XFD, MATCH(gdp_capita_mesorreg!D$1, pop_mesorreg_interpol!$B$1:$XFD$1, 0), 0)</f>
        <v>1027.407752951962</v>
      </c>
      <c r="E19" s="7">
        <f>VLOOKUP($B19, gdp_tot_mes!$B:$XFD, MATCH(gdp_capita_mesorreg!E$1, gdp_tot_mes!$B$1:$XFD$1, 0), 0)*1000/VLOOKUP($B19, pop_mesorreg_interpol!$B:$XFD, MATCH(gdp_capita_mesorreg!E$1, pop_mesorreg_interpol!$B$1:$XFD$1, 0), 0)</f>
        <v>1604.2589677781905</v>
      </c>
      <c r="F19" s="7">
        <f>VLOOKUP($B19, gdp_tot_mes!$B:$XFD, MATCH(gdp_capita_mesorreg!F$1, gdp_tot_mes!$B$1:$XFD$1, 0), 0)*1000/VLOOKUP($B19, pop_mesorreg_interpol!$B:$XFD, MATCH(gdp_capita_mesorreg!F$1, pop_mesorreg_interpol!$B$1:$XFD$1, 0), 0)</f>
        <v>1337.7433809501533</v>
      </c>
      <c r="G19" s="7">
        <f>VLOOKUP($B19, gdp_tot_mes!$B:$XFD, MATCH(gdp_capita_mesorreg!G$1, gdp_tot_mes!$B$1:$XFD$1, 0), 0)*1000/VLOOKUP($B19, pop_mesorreg_interpol!$B:$XFD, MATCH(gdp_capita_mesorreg!G$1, pop_mesorreg_interpol!$B$1:$XFD$1, 0), 0)</f>
        <v>2557.5913835840329</v>
      </c>
      <c r="H19" s="7">
        <f>VLOOKUP($B19, gdp_tot_mes!$B:$XFD, MATCH(gdp_capita_mesorreg!H$1, gdp_tot_mes!$B$1:$XFD$1, 0), 0)*1000/VLOOKUP($B19, pop_mesorreg_interpol!$B:$XFD, MATCH(gdp_capita_mesorreg!H$1, pop_mesorreg_interpol!$B$1:$XFD$1, 0), 0)</f>
        <v>3280.8735074992819</v>
      </c>
      <c r="I19" s="7">
        <f>VLOOKUP($B19, gdp_tot_mes!$B:$XFD, MATCH(gdp_capita_mesorreg!I$1, gdp_tot_mes!$B$1:$XFD$1, 0), 0)*1000/VLOOKUP($B19, pop_mesorreg_interpol!$B:$XFD, MATCH(gdp_capita_mesorreg!I$1, pop_mesorreg_interpol!$B$1:$XFD$1, 0), 0)</f>
        <v>4824.348313162548</v>
      </c>
      <c r="J19" s="7">
        <f>VLOOKUP($B19, gdp_tot_mes!$B:$XFD, MATCH(gdp_capita_mesorreg!J$1, gdp_tot_mes!$B$1:$XFD$1, 0), 0)*1000/VLOOKUP($B19, pop_mesorreg_interpol!$B:$XFD, MATCH(gdp_capita_mesorreg!J$1, pop_mesorreg_interpol!$B$1:$XFD$1, 0), 0)</f>
        <v>6887.5723144056192</v>
      </c>
      <c r="K19" s="7">
        <f>VLOOKUP($B19, gdp_tot_mes!$B:$XFD, MATCH(gdp_capita_mesorreg!K$1, gdp_tot_mes!$B$1:$XFD$1, 0), 0)*1000/VLOOKUP($B19, pop_mesorreg_interpol!$B:$XFD, MATCH(gdp_capita_mesorreg!K$1, pop_mesorreg_interpol!$B$1:$XFD$1, 0), 0)</f>
        <v>10331.820586026415</v>
      </c>
      <c r="L19" s="8">
        <f>VLOOKUP($B19, gdp_tot_mes!$B:$XFD, MATCH(gdp_capita_mesorreg!L$1, gdp_tot_mes!$B$1:$XFD$1, 0), 0)*1000/VLOOKUP($B19, pop_mesorreg_interpol!$B:$XFD, MATCH(gdp_capita_mesorreg!L$1, pop_mesorreg_interpol!$B$1:$XFD$1, 0), 0)</f>
        <v>7315.4895020182148</v>
      </c>
      <c r="M19" s="7">
        <f>VLOOKUP($B19, gdp_tot_mes!$B:$XFD, MATCH(gdp_capita_mesorreg!M$1, gdp_tot_mes!$B$1:$XFD$1, 0), 0)*1000/VLOOKUP($B19, pop_mesorreg_interpol!$B:$XFD, MATCH(gdp_capita_mesorreg!M$1, pop_mesorreg_interpol!$B$1:$XFD$1, 0), 0)</f>
        <v>4206.9230302041869</v>
      </c>
      <c r="N19" s="7">
        <f>VLOOKUP($B19, gdp_tot_mes!$B:$XFD, MATCH(gdp_capita_mesorreg!N$1, gdp_tot_mes!$B$1:$XFD$1, 0), 0)*1000/VLOOKUP($B19, pop_mesorreg_interpol!$B:$XFD, MATCH(gdp_capita_mesorreg!N$1, pop_mesorreg_interpol!$B$1:$XFD$1, 0), 0)</f>
        <v>5834.7186778031837</v>
      </c>
      <c r="O19" s="7">
        <f>VLOOKUP($B19, gdp_tot_mes!$B:$XFD, MATCH(gdp_capita_mesorreg!O$1, gdp_tot_mes!$B$1:$XFD$1, 0), 0)*1000/VLOOKUP($B19, pop_mesorreg_interpol!$B:$XFD, MATCH(gdp_capita_mesorreg!O$1, pop_mesorreg_interpol!$B$1:$XFD$1, 0), 0)</f>
        <v>5861.3778252551538</v>
      </c>
      <c r="P19" s="7">
        <f>VLOOKUP($B19, gdp_tot_mes!$B:$XFD, MATCH(gdp_capita_mesorreg!P$1, gdp_tot_mes!$B$1:$XFD$1, 0), 0)*1000/VLOOKUP($B19, pop_mesorreg_interpol!$B:$XFD, MATCH(gdp_capita_mesorreg!P$1, pop_mesorreg_interpol!$B$1:$XFD$1, 0), 0)</f>
        <v>6159.7657449217459</v>
      </c>
      <c r="Q19" s="7">
        <f>VLOOKUP($B19, gdp_tot_mes!$B:$XFD, MATCH(gdp_capita_mesorreg!Q$1, gdp_tot_mes!$B$1:$XFD$1, 0), 0)*1000/VLOOKUP($B19, pop_mesorreg_interpol!$B:$XFD, MATCH(gdp_capita_mesorreg!Q$1, pop_mesorreg_interpol!$B$1:$XFD$1, 0), 0)</f>
        <v>6788.9811819274055</v>
      </c>
      <c r="R19" s="7">
        <f>VLOOKUP($B19, gdp_tot_mes!$B:$XFD, MATCH(gdp_capita_mesorreg!R$1, gdp_tot_mes!$B$1:$XFD$1, 0), 0)*1000/VLOOKUP($B19, pop_mesorreg_interpol!$B:$XFD, MATCH(gdp_capita_mesorreg!R$1, pop_mesorreg_interpol!$B$1:$XFD$1, 0), 0)</f>
        <v>6763.5735655933768</v>
      </c>
      <c r="S19" s="7">
        <f>VLOOKUP($B19, gdp_tot_mes!$B:$XFD, MATCH(gdp_capita_mesorreg!S$1, gdp_tot_mes!$B$1:$XFD$1, 0), 0)*1000/VLOOKUP($B19, pop_mesorreg_interpol!$B:$XFD, MATCH(gdp_capita_mesorreg!S$1, pop_mesorreg_interpol!$B$1:$XFD$1, 0), 0)</f>
        <v>7039.3006648060791</v>
      </c>
      <c r="T19" s="7">
        <f>VLOOKUP($B19, gdp_tot_mes!$B:$XFD, MATCH(gdp_capita_mesorreg!T$1, gdp_tot_mes!$B$1:$XFD$1, 0), 0)*1000/VLOOKUP($B19, pop_mesorreg_interpol!$B:$XFD, MATCH(gdp_capita_mesorreg!T$1, pop_mesorreg_interpol!$B$1:$XFD$1, 0), 0)</f>
        <v>7196.6263692853927</v>
      </c>
      <c r="U19" s="7">
        <f>VLOOKUP($B19, gdp_tot_mes!$B:$XFD, MATCH(gdp_capita_mesorreg!U$1, gdp_tot_mes!$B$1:$XFD$1, 0), 0)*1000/VLOOKUP($B19, pop_mesorreg_interpol!$B:$XFD, MATCH(gdp_capita_mesorreg!U$1, pop_mesorreg_interpol!$B$1:$XFD$1, 0), 0)</f>
        <v>7066.5494839747453</v>
      </c>
      <c r="V19" s="7">
        <f>VLOOKUP($B19, gdp_tot_mes!$B:$XFD, MATCH(gdp_capita_mesorreg!V$1, gdp_tot_mes!$B$1:$XFD$1, 0), 0)*1000/VLOOKUP($B19, pop_mesorreg_interpol!$B:$XFD, MATCH(gdp_capita_mesorreg!V$1, pop_mesorreg_interpol!$B$1:$XFD$1, 0), 0)</f>
        <v>7888.0545580759008</v>
      </c>
      <c r="W19" s="7">
        <f>VLOOKUP($B19, gdp_tot_mes!$B:$XFD, MATCH(gdp_capita_mesorreg!W$1, gdp_tot_mes!$B$1:$XFD$1, 0), 0)*1000/VLOOKUP($B19, pop_mesorreg_interpol!$B:$XFD, MATCH(gdp_capita_mesorreg!W$1, pop_mesorreg_interpol!$B$1:$XFD$1, 0), 0)</f>
        <v>8299.7349023437728</v>
      </c>
      <c r="X19" s="7">
        <f>VLOOKUP($B19, gdp_tot_mes!$B:$XFD, MATCH(gdp_capita_mesorreg!X$1, gdp_tot_mes!$B$1:$XFD$1, 0), 0)*1000/VLOOKUP($B19, pop_mesorreg_interpol!$B:$XFD, MATCH(gdp_capita_mesorreg!X$1, pop_mesorreg_interpol!$B$1:$XFD$1, 0), 0)</f>
        <v>8378.7646849715566</v>
      </c>
      <c r="Y19" s="7">
        <f>VLOOKUP($B19, gdp_tot_mes!$B:$XFD, MATCH(gdp_capita_mesorreg!Y$1, gdp_tot_mes!$B$1:$XFD$1, 0), 0)*1000/VLOOKUP($B19, pop_mesorreg_interpol!$B:$XFD, MATCH(gdp_capita_mesorreg!Y$1, pop_mesorreg_interpol!$B$1:$XFD$1, 0), 0)</f>
        <v>9064.4203351327687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25">
      <c r="A20" s="1" t="s">
        <v>64</v>
      </c>
      <c r="B20" s="1" t="s">
        <v>65</v>
      </c>
      <c r="C20" s="1" t="s">
        <v>66</v>
      </c>
      <c r="D20" s="7">
        <f>VLOOKUP($B20, gdp_tot_mes!$B:$XFD, MATCH(gdp_capita_mesorreg!D$1, gdp_tot_mes!$B$1:$XFD$1, 0), 0)*1000/VLOOKUP($B20, pop_mesorreg_interpol!$B:$XFD, MATCH(gdp_capita_mesorreg!D$1, pop_mesorreg_interpol!$B$1:$XFD$1, 0), 0)</f>
        <v>232.54903939539693</v>
      </c>
      <c r="E20" s="7">
        <f>VLOOKUP($B20, gdp_tot_mes!$B:$XFD, MATCH(gdp_capita_mesorreg!E$1, gdp_tot_mes!$B$1:$XFD$1, 0), 0)*1000/VLOOKUP($B20, pop_mesorreg_interpol!$B:$XFD, MATCH(gdp_capita_mesorreg!E$1, pop_mesorreg_interpol!$B$1:$XFD$1, 0), 0)</f>
        <v>940.22793763275774</v>
      </c>
      <c r="F20" s="7">
        <f>VLOOKUP($B20, gdp_tot_mes!$B:$XFD, MATCH(gdp_capita_mesorreg!F$1, gdp_tot_mes!$B$1:$XFD$1, 0), 0)*1000/VLOOKUP($B20, pop_mesorreg_interpol!$B:$XFD, MATCH(gdp_capita_mesorreg!F$1, pop_mesorreg_interpol!$B$1:$XFD$1, 0), 0)</f>
        <v>630.80687845820262</v>
      </c>
      <c r="G20" s="7">
        <f>VLOOKUP($B20, gdp_tot_mes!$B:$XFD, MATCH(gdp_capita_mesorreg!G$1, gdp_tot_mes!$B$1:$XFD$1, 0), 0)*1000/VLOOKUP($B20, pop_mesorreg_interpol!$B:$XFD, MATCH(gdp_capita_mesorreg!G$1, pop_mesorreg_interpol!$B$1:$XFD$1, 0), 0)</f>
        <v>956.14793364854791</v>
      </c>
      <c r="H20" s="7">
        <f>VLOOKUP($B20, gdp_tot_mes!$B:$XFD, MATCH(gdp_capita_mesorreg!H$1, gdp_tot_mes!$B$1:$XFD$1, 0), 0)*1000/VLOOKUP($B20, pop_mesorreg_interpol!$B:$XFD, MATCH(gdp_capita_mesorreg!H$1, pop_mesorreg_interpol!$B$1:$XFD$1, 0), 0)</f>
        <v>1323.2171212757648</v>
      </c>
      <c r="I20" s="7">
        <f>VLOOKUP($B20, gdp_tot_mes!$B:$XFD, MATCH(gdp_capita_mesorreg!I$1, gdp_tot_mes!$B$1:$XFD$1, 0), 0)*1000/VLOOKUP($B20, pop_mesorreg_interpol!$B:$XFD, MATCH(gdp_capita_mesorreg!I$1, pop_mesorreg_interpol!$B$1:$XFD$1, 0), 0)</f>
        <v>1661.8571094880676</v>
      </c>
      <c r="J20" s="7">
        <f>VLOOKUP($B20, gdp_tot_mes!$B:$XFD, MATCH(gdp_capita_mesorreg!J$1, gdp_tot_mes!$B$1:$XFD$1, 0), 0)*1000/VLOOKUP($B20, pop_mesorreg_interpol!$B:$XFD, MATCH(gdp_capita_mesorreg!J$1, pop_mesorreg_interpol!$B$1:$XFD$1, 0), 0)</f>
        <v>2144.7564858658511</v>
      </c>
      <c r="K20" s="7">
        <f>VLOOKUP($B20, gdp_tot_mes!$B:$XFD, MATCH(gdp_capita_mesorreg!K$1, gdp_tot_mes!$B$1:$XFD$1, 0), 0)*1000/VLOOKUP($B20, pop_mesorreg_interpol!$B:$XFD, MATCH(gdp_capita_mesorreg!K$1, pop_mesorreg_interpol!$B$1:$XFD$1, 0), 0)</f>
        <v>2796.9907197907673</v>
      </c>
      <c r="L20" s="8">
        <f>VLOOKUP($B20, gdp_tot_mes!$B:$XFD, MATCH(gdp_capita_mesorreg!L$1, gdp_tot_mes!$B$1:$XFD$1, 0), 0)*1000/VLOOKUP($B20, pop_mesorreg_interpol!$B:$XFD, MATCH(gdp_capita_mesorreg!L$1, pop_mesorreg_interpol!$B$1:$XFD$1, 0), 0)</f>
        <v>2681.7662986124433</v>
      </c>
      <c r="M20" s="7">
        <f>VLOOKUP($B20, gdp_tot_mes!$B:$XFD, MATCH(gdp_capita_mesorreg!M$1, gdp_tot_mes!$B$1:$XFD$1, 0), 0)*1000/VLOOKUP($B20, pop_mesorreg_interpol!$B:$XFD, MATCH(gdp_capita_mesorreg!M$1, pop_mesorreg_interpol!$B$1:$XFD$1, 0), 0)</f>
        <v>2559.4843684228304</v>
      </c>
      <c r="N20" s="7">
        <f>VLOOKUP($B20, gdp_tot_mes!$B:$XFD, MATCH(gdp_capita_mesorreg!N$1, gdp_tot_mes!$B$1:$XFD$1, 0), 0)*1000/VLOOKUP($B20, pop_mesorreg_interpol!$B:$XFD, MATCH(gdp_capita_mesorreg!N$1, pop_mesorreg_interpol!$B$1:$XFD$1, 0), 0)</f>
        <v>4262.1903098526573</v>
      </c>
      <c r="O20" s="7">
        <f>VLOOKUP($B20, gdp_tot_mes!$B:$XFD, MATCH(gdp_capita_mesorreg!O$1, gdp_tot_mes!$B$1:$XFD$1, 0), 0)*1000/VLOOKUP($B20, pop_mesorreg_interpol!$B:$XFD, MATCH(gdp_capita_mesorreg!O$1, pop_mesorreg_interpol!$B$1:$XFD$1, 0), 0)</f>
        <v>4285.9125364370666</v>
      </c>
      <c r="P20" s="7">
        <f>VLOOKUP($B20, gdp_tot_mes!$B:$XFD, MATCH(gdp_capita_mesorreg!P$1, gdp_tot_mes!$B$1:$XFD$1, 0), 0)*1000/VLOOKUP($B20, pop_mesorreg_interpol!$B:$XFD, MATCH(gdp_capita_mesorreg!P$1, pop_mesorreg_interpol!$B$1:$XFD$1, 0), 0)</f>
        <v>4309.2337761523313</v>
      </c>
      <c r="Q20" s="7">
        <f>VLOOKUP($B20, gdp_tot_mes!$B:$XFD, MATCH(gdp_capita_mesorreg!Q$1, gdp_tot_mes!$B$1:$XFD$1, 0), 0)*1000/VLOOKUP($B20, pop_mesorreg_interpol!$B:$XFD, MATCH(gdp_capita_mesorreg!Q$1, pop_mesorreg_interpol!$B$1:$XFD$1, 0), 0)</f>
        <v>4482.544097271887</v>
      </c>
      <c r="R20" s="7">
        <f>VLOOKUP($B20, gdp_tot_mes!$B:$XFD, MATCH(gdp_capita_mesorreg!R$1, gdp_tot_mes!$B$1:$XFD$1, 0), 0)*1000/VLOOKUP($B20, pop_mesorreg_interpol!$B:$XFD, MATCH(gdp_capita_mesorreg!R$1, pop_mesorreg_interpol!$B$1:$XFD$1, 0), 0)</f>
        <v>4603.3947600625424</v>
      </c>
      <c r="S20" s="7">
        <f>VLOOKUP($B20, gdp_tot_mes!$B:$XFD, MATCH(gdp_capita_mesorreg!S$1, gdp_tot_mes!$B$1:$XFD$1, 0), 0)*1000/VLOOKUP($B20, pop_mesorreg_interpol!$B:$XFD, MATCH(gdp_capita_mesorreg!S$1, pop_mesorreg_interpol!$B$1:$XFD$1, 0), 0)</f>
        <v>4933.8117350911953</v>
      </c>
      <c r="T20" s="7">
        <f>VLOOKUP($B20, gdp_tot_mes!$B:$XFD, MATCH(gdp_capita_mesorreg!T$1, gdp_tot_mes!$B$1:$XFD$1, 0), 0)*1000/VLOOKUP($B20, pop_mesorreg_interpol!$B:$XFD, MATCH(gdp_capita_mesorreg!T$1, pop_mesorreg_interpol!$B$1:$XFD$1, 0), 0)</f>
        <v>4956.5165791727304</v>
      </c>
      <c r="U20" s="7">
        <f>VLOOKUP($B20, gdp_tot_mes!$B:$XFD, MATCH(gdp_capita_mesorreg!U$1, gdp_tot_mes!$B$1:$XFD$1, 0), 0)*1000/VLOOKUP($B20, pop_mesorreg_interpol!$B:$XFD, MATCH(gdp_capita_mesorreg!U$1, pop_mesorreg_interpol!$B$1:$XFD$1, 0), 0)</f>
        <v>5046.4013478323968</v>
      </c>
      <c r="V20" s="7">
        <f>VLOOKUP($B20, gdp_tot_mes!$B:$XFD, MATCH(gdp_capita_mesorreg!V$1, gdp_tot_mes!$B$1:$XFD$1, 0), 0)*1000/VLOOKUP($B20, pop_mesorreg_interpol!$B:$XFD, MATCH(gdp_capita_mesorreg!V$1, pop_mesorreg_interpol!$B$1:$XFD$1, 0), 0)</f>
        <v>5184.5074679264617</v>
      </c>
      <c r="W20" s="7">
        <f>VLOOKUP($B20, gdp_tot_mes!$B:$XFD, MATCH(gdp_capita_mesorreg!W$1, gdp_tot_mes!$B$1:$XFD$1, 0), 0)*1000/VLOOKUP($B20, pop_mesorreg_interpol!$B:$XFD, MATCH(gdp_capita_mesorreg!W$1, pop_mesorreg_interpol!$B$1:$XFD$1, 0), 0)</f>
        <v>5355.447268967142</v>
      </c>
      <c r="X20" s="7">
        <f>VLOOKUP($B20, gdp_tot_mes!$B:$XFD, MATCH(gdp_capita_mesorreg!X$1, gdp_tot_mes!$B$1:$XFD$1, 0), 0)*1000/VLOOKUP($B20, pop_mesorreg_interpol!$B:$XFD, MATCH(gdp_capita_mesorreg!X$1, pop_mesorreg_interpol!$B$1:$XFD$1, 0), 0)</f>
        <v>5466.179839775853</v>
      </c>
      <c r="Y20" s="7">
        <f>VLOOKUP($B20, gdp_tot_mes!$B:$XFD, MATCH(gdp_capita_mesorreg!Y$1, gdp_tot_mes!$B$1:$XFD$1, 0), 0)*1000/VLOOKUP($B20, pop_mesorreg_interpol!$B:$XFD, MATCH(gdp_capita_mesorreg!Y$1, pop_mesorreg_interpol!$B$1:$XFD$1, 0), 0)</f>
        <v>5790.593769384468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25">
      <c r="A21" s="1" t="s">
        <v>64</v>
      </c>
      <c r="B21" s="1" t="s">
        <v>67</v>
      </c>
      <c r="C21" s="1" t="s">
        <v>68</v>
      </c>
      <c r="D21" s="7">
        <f>VLOOKUP($B21, gdp_tot_mes!$B:$XFD, MATCH(gdp_capita_mesorreg!D$1, gdp_tot_mes!$B$1:$XFD$1, 0), 0)*1000/VLOOKUP($B21, pop_mesorreg_interpol!$B:$XFD, MATCH(gdp_capita_mesorreg!D$1, pop_mesorreg_interpol!$B$1:$XFD$1, 0), 0)</f>
        <v>219.34973485170138</v>
      </c>
      <c r="E21" s="7">
        <f>VLOOKUP($B21, gdp_tot_mes!$B:$XFD, MATCH(gdp_capita_mesorreg!E$1, gdp_tot_mes!$B$1:$XFD$1, 0), 0)*1000/VLOOKUP($B21, pop_mesorreg_interpol!$B:$XFD, MATCH(gdp_capita_mesorreg!E$1, pop_mesorreg_interpol!$B$1:$XFD$1, 0), 0)</f>
        <v>628.32843761869947</v>
      </c>
      <c r="F21" s="7">
        <f>VLOOKUP($B21, gdp_tot_mes!$B:$XFD, MATCH(gdp_capita_mesorreg!F$1, gdp_tot_mes!$B$1:$XFD$1, 0), 0)*1000/VLOOKUP($B21, pop_mesorreg_interpol!$B:$XFD, MATCH(gdp_capita_mesorreg!F$1, pop_mesorreg_interpol!$B$1:$XFD$1, 0), 0)</f>
        <v>615.15263030207848</v>
      </c>
      <c r="G21" s="7">
        <f>VLOOKUP($B21, gdp_tot_mes!$B:$XFD, MATCH(gdp_capita_mesorreg!G$1, gdp_tot_mes!$B$1:$XFD$1, 0), 0)*1000/VLOOKUP($B21, pop_mesorreg_interpol!$B:$XFD, MATCH(gdp_capita_mesorreg!G$1, pop_mesorreg_interpol!$B$1:$XFD$1, 0), 0)</f>
        <v>934.65613707404441</v>
      </c>
      <c r="H21" s="7">
        <f>VLOOKUP($B21, gdp_tot_mes!$B:$XFD, MATCH(gdp_capita_mesorreg!H$1, gdp_tot_mes!$B$1:$XFD$1, 0), 0)*1000/VLOOKUP($B21, pop_mesorreg_interpol!$B:$XFD, MATCH(gdp_capita_mesorreg!H$1, pop_mesorreg_interpol!$B$1:$XFD$1, 0), 0)</f>
        <v>1082.856783565011</v>
      </c>
      <c r="I21" s="7">
        <f>VLOOKUP($B21, gdp_tot_mes!$B:$XFD, MATCH(gdp_capita_mesorreg!I$1, gdp_tot_mes!$B$1:$XFD$1, 0), 0)*1000/VLOOKUP($B21, pop_mesorreg_interpol!$B:$XFD, MATCH(gdp_capita_mesorreg!I$1, pop_mesorreg_interpol!$B$1:$XFD$1, 0), 0)</f>
        <v>1730.1302524806983</v>
      </c>
      <c r="J21" s="7">
        <f>VLOOKUP($B21, gdp_tot_mes!$B:$XFD, MATCH(gdp_capita_mesorreg!J$1, gdp_tot_mes!$B$1:$XFD$1, 0), 0)*1000/VLOOKUP($B21, pop_mesorreg_interpol!$B:$XFD, MATCH(gdp_capita_mesorreg!J$1, pop_mesorreg_interpol!$B$1:$XFD$1, 0), 0)</f>
        <v>2513.3936831928231</v>
      </c>
      <c r="K21" s="7">
        <f>VLOOKUP($B21, gdp_tot_mes!$B:$XFD, MATCH(gdp_capita_mesorreg!K$1, gdp_tot_mes!$B$1:$XFD$1, 0), 0)*1000/VLOOKUP($B21, pop_mesorreg_interpol!$B:$XFD, MATCH(gdp_capita_mesorreg!K$1, pop_mesorreg_interpol!$B$1:$XFD$1, 0), 0)</f>
        <v>3512.3866351516153</v>
      </c>
      <c r="L21" s="8">
        <f>VLOOKUP($B21, gdp_tot_mes!$B:$XFD, MATCH(gdp_capita_mesorreg!L$1, gdp_tot_mes!$B$1:$XFD$1, 0), 0)*1000/VLOOKUP($B21, pop_mesorreg_interpol!$B:$XFD, MATCH(gdp_capita_mesorreg!L$1, pop_mesorreg_interpol!$B$1:$XFD$1, 0), 0)</f>
        <v>2824.1454352675851</v>
      </c>
      <c r="M21" s="7">
        <f>VLOOKUP($B21, gdp_tot_mes!$B:$XFD, MATCH(gdp_capita_mesorreg!M$1, gdp_tot_mes!$B$1:$XFD$1, 0), 0)*1000/VLOOKUP($B21, pop_mesorreg_interpol!$B:$XFD, MATCH(gdp_capita_mesorreg!M$1, pop_mesorreg_interpol!$B$1:$XFD$1, 0), 0)</f>
        <v>2084.01394192515</v>
      </c>
      <c r="N21" s="7">
        <f>VLOOKUP($B21, gdp_tot_mes!$B:$XFD, MATCH(gdp_capita_mesorreg!N$1, gdp_tot_mes!$B$1:$XFD$1, 0), 0)*1000/VLOOKUP($B21, pop_mesorreg_interpol!$B:$XFD, MATCH(gdp_capita_mesorreg!N$1, pop_mesorreg_interpol!$B$1:$XFD$1, 0), 0)</f>
        <v>4028.2459730399678</v>
      </c>
      <c r="O21" s="7">
        <f>VLOOKUP($B21, gdp_tot_mes!$B:$XFD, MATCH(gdp_capita_mesorreg!O$1, gdp_tot_mes!$B$1:$XFD$1, 0), 0)*1000/VLOOKUP($B21, pop_mesorreg_interpol!$B:$XFD, MATCH(gdp_capita_mesorreg!O$1, pop_mesorreg_interpol!$B$1:$XFD$1, 0), 0)</f>
        <v>4132.2606526664986</v>
      </c>
      <c r="P21" s="7">
        <f>VLOOKUP($B21, gdp_tot_mes!$B:$XFD, MATCH(gdp_capita_mesorreg!P$1, gdp_tot_mes!$B$1:$XFD$1, 0), 0)*1000/VLOOKUP($B21, pop_mesorreg_interpol!$B:$XFD, MATCH(gdp_capita_mesorreg!P$1, pop_mesorreg_interpol!$B$1:$XFD$1, 0), 0)</f>
        <v>4227.8957895484773</v>
      </c>
      <c r="Q21" s="7">
        <f>VLOOKUP($B21, gdp_tot_mes!$B:$XFD, MATCH(gdp_capita_mesorreg!Q$1, gdp_tot_mes!$B$1:$XFD$1, 0), 0)*1000/VLOOKUP($B21, pop_mesorreg_interpol!$B:$XFD, MATCH(gdp_capita_mesorreg!Q$1, pop_mesorreg_interpol!$B$1:$XFD$1, 0), 0)</f>
        <v>4344.2036669868257</v>
      </c>
      <c r="R21" s="7">
        <f>VLOOKUP($B21, gdp_tot_mes!$B:$XFD, MATCH(gdp_capita_mesorreg!R$1, gdp_tot_mes!$B$1:$XFD$1, 0), 0)*1000/VLOOKUP($B21, pop_mesorreg_interpol!$B:$XFD, MATCH(gdp_capita_mesorreg!R$1, pop_mesorreg_interpol!$B$1:$XFD$1, 0), 0)</f>
        <v>4235.9234162286848</v>
      </c>
      <c r="S21" s="7">
        <f>VLOOKUP($B21, gdp_tot_mes!$B:$XFD, MATCH(gdp_capita_mesorreg!S$1, gdp_tot_mes!$B$1:$XFD$1, 0), 0)*1000/VLOOKUP($B21, pop_mesorreg_interpol!$B:$XFD, MATCH(gdp_capita_mesorreg!S$1, pop_mesorreg_interpol!$B$1:$XFD$1, 0), 0)</f>
        <v>4470.302271759967</v>
      </c>
      <c r="T21" s="7">
        <f>VLOOKUP($B21, gdp_tot_mes!$B:$XFD, MATCH(gdp_capita_mesorreg!T$1, gdp_tot_mes!$B$1:$XFD$1, 0), 0)*1000/VLOOKUP($B21, pop_mesorreg_interpol!$B:$XFD, MATCH(gdp_capita_mesorreg!T$1, pop_mesorreg_interpol!$B$1:$XFD$1, 0), 0)</f>
        <v>4448.3453831214456</v>
      </c>
      <c r="U21" s="7">
        <f>VLOOKUP($B21, gdp_tot_mes!$B:$XFD, MATCH(gdp_capita_mesorreg!U$1, gdp_tot_mes!$B$1:$XFD$1, 0), 0)*1000/VLOOKUP($B21, pop_mesorreg_interpol!$B:$XFD, MATCH(gdp_capita_mesorreg!U$1, pop_mesorreg_interpol!$B$1:$XFD$1, 0), 0)</f>
        <v>4982.3898197833469</v>
      </c>
      <c r="V21" s="7">
        <f>VLOOKUP($B21, gdp_tot_mes!$B:$XFD, MATCH(gdp_capita_mesorreg!V$1, gdp_tot_mes!$B$1:$XFD$1, 0), 0)*1000/VLOOKUP($B21, pop_mesorreg_interpol!$B:$XFD, MATCH(gdp_capita_mesorreg!V$1, pop_mesorreg_interpol!$B$1:$XFD$1, 0), 0)</f>
        <v>4882.4820542060443</v>
      </c>
      <c r="W21" s="7">
        <f>VLOOKUP($B21, gdp_tot_mes!$B:$XFD, MATCH(gdp_capita_mesorreg!W$1, gdp_tot_mes!$B$1:$XFD$1, 0), 0)*1000/VLOOKUP($B21, pop_mesorreg_interpol!$B:$XFD, MATCH(gdp_capita_mesorreg!W$1, pop_mesorreg_interpol!$B$1:$XFD$1, 0), 0)</f>
        <v>5408.1339068600864</v>
      </c>
      <c r="X21" s="7">
        <f>VLOOKUP($B21, gdp_tot_mes!$B:$XFD, MATCH(gdp_capita_mesorreg!X$1, gdp_tot_mes!$B$1:$XFD$1, 0), 0)*1000/VLOOKUP($B21, pop_mesorreg_interpol!$B:$XFD, MATCH(gdp_capita_mesorreg!X$1, pop_mesorreg_interpol!$B$1:$XFD$1, 0), 0)</f>
        <v>5172.2054216467159</v>
      </c>
      <c r="Y21" s="7">
        <f>VLOOKUP($B21, gdp_tot_mes!$B:$XFD, MATCH(gdp_capita_mesorreg!Y$1, gdp_tot_mes!$B$1:$XFD$1, 0), 0)*1000/VLOOKUP($B21, pop_mesorreg_interpol!$B:$XFD, MATCH(gdp_capita_mesorreg!Y$1, pop_mesorreg_interpol!$B$1:$XFD$1, 0), 0)</f>
        <v>6009.0479285343872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5">
      <c r="A22" s="1" t="s">
        <v>64</v>
      </c>
      <c r="B22" s="1" t="s">
        <v>69</v>
      </c>
      <c r="C22" s="1" t="s">
        <v>70</v>
      </c>
      <c r="D22" s="7">
        <f>VLOOKUP($B22, gdp_tot_mes!$B:$XFD, MATCH(gdp_capita_mesorreg!D$1, gdp_tot_mes!$B$1:$XFD$1, 0), 0)*1000/VLOOKUP($B22, pop_mesorreg_interpol!$B:$XFD, MATCH(gdp_capita_mesorreg!D$1, pop_mesorreg_interpol!$B$1:$XFD$1, 0), 0)</f>
        <v>631.65907846111486</v>
      </c>
      <c r="E22" s="7">
        <f>VLOOKUP($B22, gdp_tot_mes!$B:$XFD, MATCH(gdp_capita_mesorreg!E$1, gdp_tot_mes!$B$1:$XFD$1, 0), 0)*1000/VLOOKUP($B22, pop_mesorreg_interpol!$B:$XFD, MATCH(gdp_capita_mesorreg!E$1, pop_mesorreg_interpol!$B$1:$XFD$1, 0), 0)</f>
        <v>2270.9614414408643</v>
      </c>
      <c r="F22" s="7">
        <f>VLOOKUP($B22, gdp_tot_mes!$B:$XFD, MATCH(gdp_capita_mesorreg!F$1, gdp_tot_mes!$B$1:$XFD$1, 0), 0)*1000/VLOOKUP($B22, pop_mesorreg_interpol!$B:$XFD, MATCH(gdp_capita_mesorreg!F$1, pop_mesorreg_interpol!$B$1:$XFD$1, 0), 0)</f>
        <v>2670.6410287567187</v>
      </c>
      <c r="G22" s="7">
        <f>VLOOKUP($B22, gdp_tot_mes!$B:$XFD, MATCH(gdp_capita_mesorreg!G$1, gdp_tot_mes!$B$1:$XFD$1, 0), 0)*1000/VLOOKUP($B22, pop_mesorreg_interpol!$B:$XFD, MATCH(gdp_capita_mesorreg!G$1, pop_mesorreg_interpol!$B$1:$XFD$1, 0), 0)</f>
        <v>3091.4619637120009</v>
      </c>
      <c r="H22" s="7">
        <f>VLOOKUP($B22, gdp_tot_mes!$B:$XFD, MATCH(gdp_capita_mesorreg!H$1, gdp_tot_mes!$B$1:$XFD$1, 0), 0)*1000/VLOOKUP($B22, pop_mesorreg_interpol!$B:$XFD, MATCH(gdp_capita_mesorreg!H$1, pop_mesorreg_interpol!$B$1:$XFD$1, 0), 0)</f>
        <v>5527.5524268639756</v>
      </c>
      <c r="I22" s="7">
        <f>VLOOKUP($B22, gdp_tot_mes!$B:$XFD, MATCH(gdp_capita_mesorreg!I$1, gdp_tot_mes!$B$1:$XFD$1, 0), 0)*1000/VLOOKUP($B22, pop_mesorreg_interpol!$B:$XFD, MATCH(gdp_capita_mesorreg!I$1, pop_mesorreg_interpol!$B$1:$XFD$1, 0), 0)</f>
        <v>6614.678715348904</v>
      </c>
      <c r="J22" s="7">
        <f>VLOOKUP($B22, gdp_tot_mes!$B:$XFD, MATCH(gdp_capita_mesorreg!J$1, gdp_tot_mes!$B$1:$XFD$1, 0), 0)*1000/VLOOKUP($B22, pop_mesorreg_interpol!$B:$XFD, MATCH(gdp_capita_mesorreg!J$1, pop_mesorreg_interpol!$B$1:$XFD$1, 0), 0)</f>
        <v>10327.32895682362</v>
      </c>
      <c r="K22" s="7">
        <f>VLOOKUP($B22, gdp_tot_mes!$B:$XFD, MATCH(gdp_capita_mesorreg!K$1, gdp_tot_mes!$B$1:$XFD$1, 0), 0)*1000/VLOOKUP($B22, pop_mesorreg_interpol!$B:$XFD, MATCH(gdp_capita_mesorreg!K$1, pop_mesorreg_interpol!$B$1:$XFD$1, 0), 0)</f>
        <v>10650.770128091759</v>
      </c>
      <c r="L22" s="8">
        <f>VLOOKUP($B22, gdp_tot_mes!$B:$XFD, MATCH(gdp_capita_mesorreg!L$1, gdp_tot_mes!$B$1:$XFD$1, 0), 0)*1000/VLOOKUP($B22, pop_mesorreg_interpol!$B:$XFD, MATCH(gdp_capita_mesorreg!L$1, pop_mesorreg_interpol!$B$1:$XFD$1, 0), 0)</f>
        <v>10916.056923938189</v>
      </c>
      <c r="M22" s="7">
        <f>VLOOKUP($B22, gdp_tot_mes!$B:$XFD, MATCH(gdp_capita_mesorreg!M$1, gdp_tot_mes!$B$1:$XFD$1, 0), 0)*1000/VLOOKUP($B22, pop_mesorreg_interpol!$B:$XFD, MATCH(gdp_capita_mesorreg!M$1, pop_mesorreg_interpol!$B$1:$XFD$1, 0), 0)</f>
        <v>11150.16198837656</v>
      </c>
      <c r="N22" s="7">
        <f>VLOOKUP($B22, gdp_tot_mes!$B:$XFD, MATCH(gdp_capita_mesorreg!N$1, gdp_tot_mes!$B$1:$XFD$1, 0), 0)*1000/VLOOKUP($B22, pop_mesorreg_interpol!$B:$XFD, MATCH(gdp_capita_mesorreg!N$1, pop_mesorreg_interpol!$B$1:$XFD$1, 0), 0)</f>
        <v>11416.006572007713</v>
      </c>
      <c r="O22" s="7">
        <f>VLOOKUP($B22, gdp_tot_mes!$B:$XFD, MATCH(gdp_capita_mesorreg!O$1, gdp_tot_mes!$B$1:$XFD$1, 0), 0)*1000/VLOOKUP($B22, pop_mesorreg_interpol!$B:$XFD, MATCH(gdp_capita_mesorreg!O$1, pop_mesorreg_interpol!$B$1:$XFD$1, 0), 0)</f>
        <v>11160.285748184413</v>
      </c>
      <c r="P22" s="7">
        <f>VLOOKUP($B22, gdp_tot_mes!$B:$XFD, MATCH(gdp_capita_mesorreg!P$1, gdp_tot_mes!$B$1:$XFD$1, 0), 0)*1000/VLOOKUP($B22, pop_mesorreg_interpol!$B:$XFD, MATCH(gdp_capita_mesorreg!P$1, pop_mesorreg_interpol!$B$1:$XFD$1, 0), 0)</f>
        <v>10859.36610132106</v>
      </c>
      <c r="Q22" s="7">
        <f>VLOOKUP($B22, gdp_tot_mes!$B:$XFD, MATCH(gdp_capita_mesorreg!Q$1, gdp_tot_mes!$B$1:$XFD$1, 0), 0)*1000/VLOOKUP($B22, pop_mesorreg_interpol!$B:$XFD, MATCH(gdp_capita_mesorreg!Q$1, pop_mesorreg_interpol!$B$1:$XFD$1, 0), 0)</f>
        <v>11549.945154810886</v>
      </c>
      <c r="R22" s="7">
        <f>VLOOKUP($B22, gdp_tot_mes!$B:$XFD, MATCH(gdp_capita_mesorreg!R$1, gdp_tot_mes!$B$1:$XFD$1, 0), 0)*1000/VLOOKUP($B22, pop_mesorreg_interpol!$B:$XFD, MATCH(gdp_capita_mesorreg!R$1, pop_mesorreg_interpol!$B$1:$XFD$1, 0), 0)</f>
        <v>10986.613563661274</v>
      </c>
      <c r="S22" s="7">
        <f>VLOOKUP($B22, gdp_tot_mes!$B:$XFD, MATCH(gdp_capita_mesorreg!S$1, gdp_tot_mes!$B$1:$XFD$1, 0), 0)*1000/VLOOKUP($B22, pop_mesorreg_interpol!$B:$XFD, MATCH(gdp_capita_mesorreg!S$1, pop_mesorreg_interpol!$B$1:$XFD$1, 0), 0)</f>
        <v>11267.208880584052</v>
      </c>
      <c r="T22" s="7">
        <f>VLOOKUP($B22, gdp_tot_mes!$B:$XFD, MATCH(gdp_capita_mesorreg!T$1, gdp_tot_mes!$B$1:$XFD$1, 0), 0)*1000/VLOOKUP($B22, pop_mesorreg_interpol!$B:$XFD, MATCH(gdp_capita_mesorreg!T$1, pop_mesorreg_interpol!$B$1:$XFD$1, 0), 0)</f>
        <v>11569.154884760379</v>
      </c>
      <c r="U22" s="7">
        <f>VLOOKUP($B22, gdp_tot_mes!$B:$XFD, MATCH(gdp_capita_mesorreg!U$1, gdp_tot_mes!$B$1:$XFD$1, 0), 0)*1000/VLOOKUP($B22, pop_mesorreg_interpol!$B:$XFD, MATCH(gdp_capita_mesorreg!U$1, pop_mesorreg_interpol!$B$1:$XFD$1, 0), 0)</f>
        <v>11588.082411862622</v>
      </c>
      <c r="V22" s="7">
        <f>VLOOKUP($B22, gdp_tot_mes!$B:$XFD, MATCH(gdp_capita_mesorreg!V$1, gdp_tot_mes!$B$1:$XFD$1, 0), 0)*1000/VLOOKUP($B22, pop_mesorreg_interpol!$B:$XFD, MATCH(gdp_capita_mesorreg!V$1, pop_mesorreg_interpol!$B$1:$XFD$1, 0), 0)</f>
        <v>11923.114831724895</v>
      </c>
      <c r="W22" s="7">
        <f>VLOOKUP($B22, gdp_tot_mes!$B:$XFD, MATCH(gdp_capita_mesorreg!W$1, gdp_tot_mes!$B$1:$XFD$1, 0), 0)*1000/VLOOKUP($B22, pop_mesorreg_interpol!$B:$XFD, MATCH(gdp_capita_mesorreg!W$1, pop_mesorreg_interpol!$B$1:$XFD$1, 0), 0)</f>
        <v>12941.557384780226</v>
      </c>
      <c r="X22" s="7">
        <f>VLOOKUP($B22, gdp_tot_mes!$B:$XFD, MATCH(gdp_capita_mesorreg!X$1, gdp_tot_mes!$B$1:$XFD$1, 0), 0)*1000/VLOOKUP($B22, pop_mesorreg_interpol!$B:$XFD, MATCH(gdp_capita_mesorreg!X$1, pop_mesorreg_interpol!$B$1:$XFD$1, 0), 0)</f>
        <v>13151.611702863735</v>
      </c>
      <c r="Y22" s="7">
        <f>VLOOKUP($B22, gdp_tot_mes!$B:$XFD, MATCH(gdp_capita_mesorreg!Y$1, gdp_tot_mes!$B$1:$XFD$1, 0), 0)*1000/VLOOKUP($B22, pop_mesorreg_interpol!$B:$XFD, MATCH(gdp_capita_mesorreg!Y$1, pop_mesorreg_interpol!$B$1:$XFD$1, 0), 0)</f>
        <v>14088.369941844863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25">
      <c r="A23" s="1" t="s">
        <v>64</v>
      </c>
      <c r="B23" s="1" t="s">
        <v>71</v>
      </c>
      <c r="C23" s="1" t="s">
        <v>72</v>
      </c>
      <c r="D23" s="7">
        <f>VLOOKUP($B23, gdp_tot_mes!$B:$XFD, MATCH(gdp_capita_mesorreg!D$1, gdp_tot_mes!$B$1:$XFD$1, 0), 0)*1000/VLOOKUP($B23, pop_mesorreg_interpol!$B:$XFD, MATCH(gdp_capita_mesorreg!D$1, pop_mesorreg_interpol!$B$1:$XFD$1, 0), 0)</f>
        <v>195.27814936988003</v>
      </c>
      <c r="E23" s="7">
        <f>VLOOKUP($B23, gdp_tot_mes!$B:$XFD, MATCH(gdp_capita_mesorreg!E$1, gdp_tot_mes!$B$1:$XFD$1, 0), 0)*1000/VLOOKUP($B23, pop_mesorreg_interpol!$B:$XFD, MATCH(gdp_capita_mesorreg!E$1, pop_mesorreg_interpol!$B$1:$XFD$1, 0), 0)</f>
        <v>705.9140679986557</v>
      </c>
      <c r="F23" s="7">
        <f>VLOOKUP($B23, gdp_tot_mes!$B:$XFD, MATCH(gdp_capita_mesorreg!F$1, gdp_tot_mes!$B$1:$XFD$1, 0), 0)*1000/VLOOKUP($B23, pop_mesorreg_interpol!$B:$XFD, MATCH(gdp_capita_mesorreg!F$1, pop_mesorreg_interpol!$B$1:$XFD$1, 0), 0)</f>
        <v>991.1240078160223</v>
      </c>
      <c r="G23" s="7">
        <f>VLOOKUP($B23, gdp_tot_mes!$B:$XFD, MATCH(gdp_capita_mesorreg!G$1, gdp_tot_mes!$B$1:$XFD$1, 0), 0)*1000/VLOOKUP($B23, pop_mesorreg_interpol!$B:$XFD, MATCH(gdp_capita_mesorreg!G$1, pop_mesorreg_interpol!$B$1:$XFD$1, 0), 0)</f>
        <v>1256.3397474922606</v>
      </c>
      <c r="H23" s="7">
        <f>VLOOKUP($B23, gdp_tot_mes!$B:$XFD, MATCH(gdp_capita_mesorreg!H$1, gdp_tot_mes!$B$1:$XFD$1, 0), 0)*1000/VLOOKUP($B23, pop_mesorreg_interpol!$B:$XFD, MATCH(gdp_capita_mesorreg!H$1, pop_mesorreg_interpol!$B$1:$XFD$1, 0), 0)</f>
        <v>1085.3507623248559</v>
      </c>
      <c r="I23" s="7">
        <f>VLOOKUP($B23, gdp_tot_mes!$B:$XFD, MATCH(gdp_capita_mesorreg!I$1, gdp_tot_mes!$B$1:$XFD$1, 0), 0)*1000/VLOOKUP($B23, pop_mesorreg_interpol!$B:$XFD, MATCH(gdp_capita_mesorreg!I$1, pop_mesorreg_interpol!$B$1:$XFD$1, 0), 0)</f>
        <v>1879.2809601876424</v>
      </c>
      <c r="J23" s="7">
        <f>VLOOKUP($B23, gdp_tot_mes!$B:$XFD, MATCH(gdp_capita_mesorreg!J$1, gdp_tot_mes!$B$1:$XFD$1, 0), 0)*1000/VLOOKUP($B23, pop_mesorreg_interpol!$B:$XFD, MATCH(gdp_capita_mesorreg!J$1, pop_mesorreg_interpol!$B$1:$XFD$1, 0), 0)</f>
        <v>2794.1889773741673</v>
      </c>
      <c r="K23" s="7">
        <f>VLOOKUP($B23, gdp_tot_mes!$B:$XFD, MATCH(gdp_capita_mesorreg!K$1, gdp_tot_mes!$B$1:$XFD$1, 0), 0)*1000/VLOOKUP($B23, pop_mesorreg_interpol!$B:$XFD, MATCH(gdp_capita_mesorreg!K$1, pop_mesorreg_interpol!$B$1:$XFD$1, 0), 0)</f>
        <v>3432.6980211776608</v>
      </c>
      <c r="L23" s="8">
        <f>VLOOKUP($B23, gdp_tot_mes!$B:$XFD, MATCH(gdp_capita_mesorreg!L$1, gdp_tot_mes!$B$1:$XFD$1, 0), 0)*1000/VLOOKUP($B23, pop_mesorreg_interpol!$B:$XFD, MATCH(gdp_capita_mesorreg!L$1, pop_mesorreg_interpol!$B$1:$XFD$1, 0), 0)</f>
        <v>2905.500414677384</v>
      </c>
      <c r="M23" s="7">
        <f>VLOOKUP($B23, gdp_tot_mes!$B:$XFD, MATCH(gdp_capita_mesorreg!M$1, gdp_tot_mes!$B$1:$XFD$1, 0), 0)*1000/VLOOKUP($B23, pop_mesorreg_interpol!$B:$XFD, MATCH(gdp_capita_mesorreg!M$1, pop_mesorreg_interpol!$B$1:$XFD$1, 0), 0)</f>
        <v>2273.9806140402197</v>
      </c>
      <c r="N23" s="7">
        <f>VLOOKUP($B23, gdp_tot_mes!$B:$XFD, MATCH(gdp_capita_mesorreg!N$1, gdp_tot_mes!$B$1:$XFD$1, 0), 0)*1000/VLOOKUP($B23, pop_mesorreg_interpol!$B:$XFD, MATCH(gdp_capita_mesorreg!N$1, pop_mesorreg_interpol!$B$1:$XFD$1, 0), 0)</f>
        <v>3380.9486481168815</v>
      </c>
      <c r="O23" s="7">
        <f>VLOOKUP($B23, gdp_tot_mes!$B:$XFD, MATCH(gdp_capita_mesorreg!O$1, gdp_tot_mes!$B$1:$XFD$1, 0), 0)*1000/VLOOKUP($B23, pop_mesorreg_interpol!$B:$XFD, MATCH(gdp_capita_mesorreg!O$1, pop_mesorreg_interpol!$B$1:$XFD$1, 0), 0)</f>
        <v>3358.6185951892285</v>
      </c>
      <c r="P23" s="7">
        <f>VLOOKUP($B23, gdp_tot_mes!$B:$XFD, MATCH(gdp_capita_mesorreg!P$1, gdp_tot_mes!$B$1:$XFD$1, 0), 0)*1000/VLOOKUP($B23, pop_mesorreg_interpol!$B:$XFD, MATCH(gdp_capita_mesorreg!P$1, pop_mesorreg_interpol!$B$1:$XFD$1, 0), 0)</f>
        <v>3367.6628545036947</v>
      </c>
      <c r="Q23" s="7">
        <f>VLOOKUP($B23, gdp_tot_mes!$B:$XFD, MATCH(gdp_capita_mesorreg!Q$1, gdp_tot_mes!$B$1:$XFD$1, 0), 0)*1000/VLOOKUP($B23, pop_mesorreg_interpol!$B:$XFD, MATCH(gdp_capita_mesorreg!Q$1, pop_mesorreg_interpol!$B$1:$XFD$1, 0), 0)</f>
        <v>3534.1295740534847</v>
      </c>
      <c r="R23" s="7">
        <f>VLOOKUP($B23, gdp_tot_mes!$B:$XFD, MATCH(gdp_capita_mesorreg!R$1, gdp_tot_mes!$B$1:$XFD$1, 0), 0)*1000/VLOOKUP($B23, pop_mesorreg_interpol!$B:$XFD, MATCH(gdp_capita_mesorreg!R$1, pop_mesorreg_interpol!$B$1:$XFD$1, 0), 0)</f>
        <v>3601.1753202013851</v>
      </c>
      <c r="S23" s="7">
        <f>VLOOKUP($B23, gdp_tot_mes!$B:$XFD, MATCH(gdp_capita_mesorreg!S$1, gdp_tot_mes!$B$1:$XFD$1, 0), 0)*1000/VLOOKUP($B23, pop_mesorreg_interpol!$B:$XFD, MATCH(gdp_capita_mesorreg!S$1, pop_mesorreg_interpol!$B$1:$XFD$1, 0), 0)</f>
        <v>3551.2833124336175</v>
      </c>
      <c r="T23" s="7">
        <f>VLOOKUP($B23, gdp_tot_mes!$B:$XFD, MATCH(gdp_capita_mesorreg!T$1, gdp_tot_mes!$B$1:$XFD$1, 0), 0)*1000/VLOOKUP($B23, pop_mesorreg_interpol!$B:$XFD, MATCH(gdp_capita_mesorreg!T$1, pop_mesorreg_interpol!$B$1:$XFD$1, 0), 0)</f>
        <v>3656.0697727241318</v>
      </c>
      <c r="U23" s="7">
        <f>VLOOKUP($B23, gdp_tot_mes!$B:$XFD, MATCH(gdp_capita_mesorreg!U$1, gdp_tot_mes!$B$1:$XFD$1, 0), 0)*1000/VLOOKUP($B23, pop_mesorreg_interpol!$B:$XFD, MATCH(gdp_capita_mesorreg!U$1, pop_mesorreg_interpol!$B$1:$XFD$1, 0), 0)</f>
        <v>3890.4463706807478</v>
      </c>
      <c r="V23" s="7">
        <f>VLOOKUP($B23, gdp_tot_mes!$B:$XFD, MATCH(gdp_capita_mesorreg!V$1, gdp_tot_mes!$B$1:$XFD$1, 0), 0)*1000/VLOOKUP($B23, pop_mesorreg_interpol!$B:$XFD, MATCH(gdp_capita_mesorreg!V$1, pop_mesorreg_interpol!$B$1:$XFD$1, 0), 0)</f>
        <v>3904.7183739608708</v>
      </c>
      <c r="W23" s="7">
        <f>VLOOKUP($B23, gdp_tot_mes!$B:$XFD, MATCH(gdp_capita_mesorreg!W$1, gdp_tot_mes!$B$1:$XFD$1, 0), 0)*1000/VLOOKUP($B23, pop_mesorreg_interpol!$B:$XFD, MATCH(gdp_capita_mesorreg!W$1, pop_mesorreg_interpol!$B$1:$XFD$1, 0), 0)</f>
        <v>4467.1580368676168</v>
      </c>
      <c r="X23" s="7">
        <f>VLOOKUP($B23, gdp_tot_mes!$B:$XFD, MATCH(gdp_capita_mesorreg!X$1, gdp_tot_mes!$B$1:$XFD$1, 0), 0)*1000/VLOOKUP($B23, pop_mesorreg_interpol!$B:$XFD, MATCH(gdp_capita_mesorreg!X$1, pop_mesorreg_interpol!$B$1:$XFD$1, 0), 0)</f>
        <v>4313.0833035680744</v>
      </c>
      <c r="Y23" s="7">
        <f>VLOOKUP($B23, gdp_tot_mes!$B:$XFD, MATCH(gdp_capita_mesorreg!Y$1, gdp_tot_mes!$B$1:$XFD$1, 0), 0)*1000/VLOOKUP($B23, pop_mesorreg_interpol!$B:$XFD, MATCH(gdp_capita_mesorreg!Y$1, pop_mesorreg_interpol!$B$1:$XFD$1, 0), 0)</f>
        <v>4609.153233353798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25">
      <c r="A24" s="1" t="s">
        <v>64</v>
      </c>
      <c r="B24" s="1" t="s">
        <v>73</v>
      </c>
      <c r="C24" s="1" t="s">
        <v>74</v>
      </c>
      <c r="D24" s="7">
        <f>VLOOKUP($B24, gdp_tot_mes!$B:$XFD, MATCH(gdp_capita_mesorreg!D$1, gdp_tot_mes!$B$1:$XFD$1, 0), 0)*1000/VLOOKUP($B24, pop_mesorreg_interpol!$B:$XFD, MATCH(gdp_capita_mesorreg!D$1, pop_mesorreg_interpol!$B$1:$XFD$1, 0), 0)</f>
        <v>230.07290551344909</v>
      </c>
      <c r="E24" s="7">
        <f>VLOOKUP($B24, gdp_tot_mes!$B:$XFD, MATCH(gdp_capita_mesorreg!E$1, gdp_tot_mes!$B$1:$XFD$1, 0), 0)*1000/VLOOKUP($B24, pop_mesorreg_interpol!$B:$XFD, MATCH(gdp_capita_mesorreg!E$1, pop_mesorreg_interpol!$B$1:$XFD$1, 0), 0)</f>
        <v>1098.5083281753602</v>
      </c>
      <c r="F24" s="7">
        <f>VLOOKUP($B24, gdp_tot_mes!$B:$XFD, MATCH(gdp_capita_mesorreg!F$1, gdp_tot_mes!$B$1:$XFD$1, 0), 0)*1000/VLOOKUP($B24, pop_mesorreg_interpol!$B:$XFD, MATCH(gdp_capita_mesorreg!F$1, pop_mesorreg_interpol!$B$1:$XFD$1, 0), 0)</f>
        <v>847.61022725114503</v>
      </c>
      <c r="G24" s="7">
        <f>VLOOKUP($B24, gdp_tot_mes!$B:$XFD, MATCH(gdp_capita_mesorreg!G$1, gdp_tot_mes!$B$1:$XFD$1, 0), 0)*1000/VLOOKUP($B24, pop_mesorreg_interpol!$B:$XFD, MATCH(gdp_capita_mesorreg!G$1, pop_mesorreg_interpol!$B$1:$XFD$1, 0), 0)</f>
        <v>1301.2875454732161</v>
      </c>
      <c r="H24" s="7">
        <f>VLOOKUP($B24, gdp_tot_mes!$B:$XFD, MATCH(gdp_capita_mesorreg!H$1, gdp_tot_mes!$B$1:$XFD$1, 0), 0)*1000/VLOOKUP($B24, pop_mesorreg_interpol!$B:$XFD, MATCH(gdp_capita_mesorreg!H$1, pop_mesorreg_interpol!$B$1:$XFD$1, 0), 0)</f>
        <v>1206.8520681121242</v>
      </c>
      <c r="I24" s="7">
        <f>VLOOKUP($B24, gdp_tot_mes!$B:$XFD, MATCH(gdp_capita_mesorreg!I$1, gdp_tot_mes!$B$1:$XFD$1, 0), 0)*1000/VLOOKUP($B24, pop_mesorreg_interpol!$B:$XFD, MATCH(gdp_capita_mesorreg!I$1, pop_mesorreg_interpol!$B$1:$XFD$1, 0), 0)</f>
        <v>1699.1245577895968</v>
      </c>
      <c r="J24" s="7">
        <f>VLOOKUP($B24, gdp_tot_mes!$B:$XFD, MATCH(gdp_capita_mesorreg!J$1, gdp_tot_mes!$B$1:$XFD$1, 0), 0)*1000/VLOOKUP($B24, pop_mesorreg_interpol!$B:$XFD, MATCH(gdp_capita_mesorreg!J$1, pop_mesorreg_interpol!$B$1:$XFD$1, 0), 0)</f>
        <v>2814.9495879107894</v>
      </c>
      <c r="K24" s="7">
        <f>VLOOKUP($B24, gdp_tot_mes!$B:$XFD, MATCH(gdp_capita_mesorreg!K$1, gdp_tot_mes!$B$1:$XFD$1, 0), 0)*1000/VLOOKUP($B24, pop_mesorreg_interpol!$B:$XFD, MATCH(gdp_capita_mesorreg!K$1, pop_mesorreg_interpol!$B$1:$XFD$1, 0), 0)</f>
        <v>4258.1377193953358</v>
      </c>
      <c r="L24" s="8">
        <f>VLOOKUP($B24, gdp_tot_mes!$B:$XFD, MATCH(gdp_capita_mesorreg!L$1, gdp_tot_mes!$B$1:$XFD$1, 0), 0)*1000/VLOOKUP($B24, pop_mesorreg_interpol!$B:$XFD, MATCH(gdp_capita_mesorreg!L$1, pop_mesorreg_interpol!$B$1:$XFD$1, 0), 0)</f>
        <v>3669.8037650592787</v>
      </c>
      <c r="M24" s="7">
        <f>VLOOKUP($B24, gdp_tot_mes!$B:$XFD, MATCH(gdp_capita_mesorreg!M$1, gdp_tot_mes!$B$1:$XFD$1, 0), 0)*1000/VLOOKUP($B24, pop_mesorreg_interpol!$B:$XFD, MATCH(gdp_capita_mesorreg!M$1, pop_mesorreg_interpol!$B$1:$XFD$1, 0), 0)</f>
        <v>3033.9855183811364</v>
      </c>
      <c r="N24" s="7">
        <f>VLOOKUP($B24, gdp_tot_mes!$B:$XFD, MATCH(gdp_capita_mesorreg!N$1, gdp_tot_mes!$B$1:$XFD$1, 0), 0)*1000/VLOOKUP($B24, pop_mesorreg_interpol!$B:$XFD, MATCH(gdp_capita_mesorreg!N$1, pop_mesorreg_interpol!$B$1:$XFD$1, 0), 0)</f>
        <v>4887.8751660883227</v>
      </c>
      <c r="O24" s="7">
        <f>VLOOKUP($B24, gdp_tot_mes!$B:$XFD, MATCH(gdp_capita_mesorreg!O$1, gdp_tot_mes!$B$1:$XFD$1, 0), 0)*1000/VLOOKUP($B24, pop_mesorreg_interpol!$B:$XFD, MATCH(gdp_capita_mesorreg!O$1, pop_mesorreg_interpol!$B$1:$XFD$1, 0), 0)</f>
        <v>4845.7978462450055</v>
      </c>
      <c r="P24" s="7">
        <f>VLOOKUP($B24, gdp_tot_mes!$B:$XFD, MATCH(gdp_capita_mesorreg!P$1, gdp_tot_mes!$B$1:$XFD$1, 0), 0)*1000/VLOOKUP($B24, pop_mesorreg_interpol!$B:$XFD, MATCH(gdp_capita_mesorreg!P$1, pop_mesorreg_interpol!$B$1:$XFD$1, 0), 0)</f>
        <v>4959.4771846842687</v>
      </c>
      <c r="Q24" s="7">
        <f>VLOOKUP($B24, gdp_tot_mes!$B:$XFD, MATCH(gdp_capita_mesorreg!Q$1, gdp_tot_mes!$B$1:$XFD$1, 0), 0)*1000/VLOOKUP($B24, pop_mesorreg_interpol!$B:$XFD, MATCH(gdp_capita_mesorreg!Q$1, pop_mesorreg_interpol!$B$1:$XFD$1, 0), 0)</f>
        <v>5238.473739338182</v>
      </c>
      <c r="R24" s="7">
        <f>VLOOKUP($B24, gdp_tot_mes!$B:$XFD, MATCH(gdp_capita_mesorreg!R$1, gdp_tot_mes!$B$1:$XFD$1, 0), 0)*1000/VLOOKUP($B24, pop_mesorreg_interpol!$B:$XFD, MATCH(gdp_capita_mesorreg!R$1, pop_mesorreg_interpol!$B$1:$XFD$1, 0), 0)</f>
        <v>5261.1202541195216</v>
      </c>
      <c r="S24" s="7">
        <f>VLOOKUP($B24, gdp_tot_mes!$B:$XFD, MATCH(gdp_capita_mesorreg!S$1, gdp_tot_mes!$B$1:$XFD$1, 0), 0)*1000/VLOOKUP($B24, pop_mesorreg_interpol!$B:$XFD, MATCH(gdp_capita_mesorreg!S$1, pop_mesorreg_interpol!$B$1:$XFD$1, 0), 0)</f>
        <v>5800.6642720913551</v>
      </c>
      <c r="T24" s="7">
        <f>VLOOKUP($B24, gdp_tot_mes!$B:$XFD, MATCH(gdp_capita_mesorreg!T$1, gdp_tot_mes!$B$1:$XFD$1, 0), 0)*1000/VLOOKUP($B24, pop_mesorreg_interpol!$B:$XFD, MATCH(gdp_capita_mesorreg!T$1, pop_mesorreg_interpol!$B$1:$XFD$1, 0), 0)</f>
        <v>5683.67013293729</v>
      </c>
      <c r="U24" s="7">
        <f>VLOOKUP($B24, gdp_tot_mes!$B:$XFD, MATCH(gdp_capita_mesorreg!U$1, gdp_tot_mes!$B$1:$XFD$1, 0), 0)*1000/VLOOKUP($B24, pop_mesorreg_interpol!$B:$XFD, MATCH(gdp_capita_mesorreg!U$1, pop_mesorreg_interpol!$B$1:$XFD$1, 0), 0)</f>
        <v>6143.807829749383</v>
      </c>
      <c r="V24" s="7">
        <f>VLOOKUP($B24, gdp_tot_mes!$B:$XFD, MATCH(gdp_capita_mesorreg!V$1, gdp_tot_mes!$B$1:$XFD$1, 0), 0)*1000/VLOOKUP($B24, pop_mesorreg_interpol!$B:$XFD, MATCH(gdp_capita_mesorreg!V$1, pop_mesorreg_interpol!$B$1:$XFD$1, 0), 0)</f>
        <v>6318.7165391308745</v>
      </c>
      <c r="W24" s="7">
        <f>VLOOKUP($B24, gdp_tot_mes!$B:$XFD, MATCH(gdp_capita_mesorreg!W$1, gdp_tot_mes!$B$1:$XFD$1, 0), 0)*1000/VLOOKUP($B24, pop_mesorreg_interpol!$B:$XFD, MATCH(gdp_capita_mesorreg!W$1, pop_mesorreg_interpol!$B$1:$XFD$1, 0), 0)</f>
        <v>6879.9751190763409</v>
      </c>
      <c r="X24" s="7">
        <f>VLOOKUP($B24, gdp_tot_mes!$B:$XFD, MATCH(gdp_capita_mesorreg!X$1, gdp_tot_mes!$B$1:$XFD$1, 0), 0)*1000/VLOOKUP($B24, pop_mesorreg_interpol!$B:$XFD, MATCH(gdp_capita_mesorreg!X$1, pop_mesorreg_interpol!$B$1:$XFD$1, 0), 0)</f>
        <v>6318.5523620195254</v>
      </c>
      <c r="Y24" s="7">
        <f>VLOOKUP($B24, gdp_tot_mes!$B:$XFD, MATCH(gdp_capita_mesorreg!Y$1, gdp_tot_mes!$B$1:$XFD$1, 0), 0)*1000/VLOOKUP($B24, pop_mesorreg_interpol!$B:$XFD, MATCH(gdp_capita_mesorreg!Y$1, pop_mesorreg_interpol!$B$1:$XFD$1, 0), 0)</f>
        <v>7889.1192884753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25">
      <c r="A25" s="1" t="s">
        <v>64</v>
      </c>
      <c r="B25" s="1" t="s">
        <v>75</v>
      </c>
      <c r="C25" s="1" t="s">
        <v>76</v>
      </c>
      <c r="D25" s="7">
        <f>VLOOKUP($B25, gdp_tot_mes!$B:$XFD, MATCH(gdp_capita_mesorreg!D$1, gdp_tot_mes!$B$1:$XFD$1, 0), 0)*1000/VLOOKUP($B25, pop_mesorreg_interpol!$B:$XFD, MATCH(gdp_capita_mesorreg!D$1, pop_mesorreg_interpol!$B$1:$XFD$1, 0), 0)</f>
        <v>331.99014700523276</v>
      </c>
      <c r="E25" s="7">
        <f>VLOOKUP($B25, gdp_tot_mes!$B:$XFD, MATCH(gdp_capita_mesorreg!E$1, gdp_tot_mes!$B$1:$XFD$1, 0), 0)*1000/VLOOKUP($B25, pop_mesorreg_interpol!$B:$XFD, MATCH(gdp_capita_mesorreg!E$1, pop_mesorreg_interpol!$B$1:$XFD$1, 0), 0)</f>
        <v>797.14543437860732</v>
      </c>
      <c r="F25" s="7">
        <f>VLOOKUP($B25, gdp_tot_mes!$B:$XFD, MATCH(gdp_capita_mesorreg!F$1, gdp_tot_mes!$B$1:$XFD$1, 0), 0)*1000/VLOOKUP($B25, pop_mesorreg_interpol!$B:$XFD, MATCH(gdp_capita_mesorreg!F$1, pop_mesorreg_interpol!$B$1:$XFD$1, 0), 0)</f>
        <v>1571.3420873339817</v>
      </c>
      <c r="G25" s="7">
        <f>VLOOKUP($B25, gdp_tot_mes!$B:$XFD, MATCH(gdp_capita_mesorreg!G$1, gdp_tot_mes!$B$1:$XFD$1, 0), 0)*1000/VLOOKUP($B25, pop_mesorreg_interpol!$B:$XFD, MATCH(gdp_capita_mesorreg!G$1, pop_mesorreg_interpol!$B$1:$XFD$1, 0), 0)</f>
        <v>1976.6765085904615</v>
      </c>
      <c r="H25" s="7">
        <f>VLOOKUP($B25, gdp_tot_mes!$B:$XFD, MATCH(gdp_capita_mesorreg!H$1, gdp_tot_mes!$B$1:$XFD$1, 0), 0)*1000/VLOOKUP($B25, pop_mesorreg_interpol!$B:$XFD, MATCH(gdp_capita_mesorreg!H$1, pop_mesorreg_interpol!$B$1:$XFD$1, 0), 0)</f>
        <v>1686.2756114372339</v>
      </c>
      <c r="I25" s="7">
        <f>VLOOKUP($B25, gdp_tot_mes!$B:$XFD, MATCH(gdp_capita_mesorreg!I$1, gdp_tot_mes!$B$1:$XFD$1, 0), 0)*1000/VLOOKUP($B25, pop_mesorreg_interpol!$B:$XFD, MATCH(gdp_capita_mesorreg!I$1, pop_mesorreg_interpol!$B$1:$XFD$1, 0), 0)</f>
        <v>2708.5676376450738</v>
      </c>
      <c r="J25" s="7">
        <f>VLOOKUP($B25, gdp_tot_mes!$B:$XFD, MATCH(gdp_capita_mesorreg!J$1, gdp_tot_mes!$B$1:$XFD$1, 0), 0)*1000/VLOOKUP($B25, pop_mesorreg_interpol!$B:$XFD, MATCH(gdp_capita_mesorreg!J$1, pop_mesorreg_interpol!$B$1:$XFD$1, 0), 0)</f>
        <v>3546.3527627568333</v>
      </c>
      <c r="K25" s="7">
        <f>VLOOKUP($B25, gdp_tot_mes!$B:$XFD, MATCH(gdp_capita_mesorreg!K$1, gdp_tot_mes!$B$1:$XFD$1, 0), 0)*1000/VLOOKUP($B25, pop_mesorreg_interpol!$B:$XFD, MATCH(gdp_capita_mesorreg!K$1, pop_mesorreg_interpol!$B$1:$XFD$1, 0), 0)</f>
        <v>3663.7899306351705</v>
      </c>
      <c r="L25" s="8">
        <f>VLOOKUP($B25, gdp_tot_mes!$B:$XFD, MATCH(gdp_capita_mesorreg!L$1, gdp_tot_mes!$B$1:$XFD$1, 0), 0)*1000/VLOOKUP($B25, pop_mesorreg_interpol!$B:$XFD, MATCH(gdp_capita_mesorreg!L$1, pop_mesorreg_interpol!$B$1:$XFD$1, 0), 0)</f>
        <v>3014.4767219560704</v>
      </c>
      <c r="M25" s="7">
        <f>VLOOKUP($B25, gdp_tot_mes!$B:$XFD, MATCH(gdp_capita_mesorreg!M$1, gdp_tot_mes!$B$1:$XFD$1, 0), 0)*1000/VLOOKUP($B25, pop_mesorreg_interpol!$B:$XFD, MATCH(gdp_capita_mesorreg!M$1, pop_mesorreg_interpol!$B$1:$XFD$1, 0), 0)</f>
        <v>2283.5453479530256</v>
      </c>
      <c r="N25" s="7">
        <f>VLOOKUP($B25, gdp_tot_mes!$B:$XFD, MATCH(gdp_capita_mesorreg!N$1, gdp_tot_mes!$B$1:$XFD$1, 0), 0)*1000/VLOOKUP($B25, pop_mesorreg_interpol!$B:$XFD, MATCH(gdp_capita_mesorreg!N$1, pop_mesorreg_interpol!$B$1:$XFD$1, 0), 0)</f>
        <v>3741.1597654484976</v>
      </c>
      <c r="O25" s="7">
        <f>VLOOKUP($B25, gdp_tot_mes!$B:$XFD, MATCH(gdp_capita_mesorreg!O$1, gdp_tot_mes!$B$1:$XFD$1, 0), 0)*1000/VLOOKUP($B25, pop_mesorreg_interpol!$B:$XFD, MATCH(gdp_capita_mesorreg!O$1, pop_mesorreg_interpol!$B$1:$XFD$1, 0), 0)</f>
        <v>3776.6167755249403</v>
      </c>
      <c r="P25" s="7">
        <f>VLOOKUP($B25, gdp_tot_mes!$B:$XFD, MATCH(gdp_capita_mesorreg!P$1, gdp_tot_mes!$B$1:$XFD$1, 0), 0)*1000/VLOOKUP($B25, pop_mesorreg_interpol!$B:$XFD, MATCH(gdp_capita_mesorreg!P$1, pop_mesorreg_interpol!$B$1:$XFD$1, 0), 0)</f>
        <v>3713.5619521529452</v>
      </c>
      <c r="Q25" s="7">
        <f>VLOOKUP($B25, gdp_tot_mes!$B:$XFD, MATCH(gdp_capita_mesorreg!Q$1, gdp_tot_mes!$B$1:$XFD$1, 0), 0)*1000/VLOOKUP($B25, pop_mesorreg_interpol!$B:$XFD, MATCH(gdp_capita_mesorreg!Q$1, pop_mesorreg_interpol!$B$1:$XFD$1, 0), 0)</f>
        <v>3737.1755759880457</v>
      </c>
      <c r="R25" s="7">
        <f>VLOOKUP($B25, gdp_tot_mes!$B:$XFD, MATCH(gdp_capita_mesorreg!R$1, gdp_tot_mes!$B$1:$XFD$1, 0), 0)*1000/VLOOKUP($B25, pop_mesorreg_interpol!$B:$XFD, MATCH(gdp_capita_mesorreg!R$1, pop_mesorreg_interpol!$B$1:$XFD$1, 0), 0)</f>
        <v>3806.4071680392899</v>
      </c>
      <c r="S25" s="7">
        <f>VLOOKUP($B25, gdp_tot_mes!$B:$XFD, MATCH(gdp_capita_mesorreg!S$1, gdp_tot_mes!$B$1:$XFD$1, 0), 0)*1000/VLOOKUP($B25, pop_mesorreg_interpol!$B:$XFD, MATCH(gdp_capita_mesorreg!S$1, pop_mesorreg_interpol!$B$1:$XFD$1, 0), 0)</f>
        <v>3912.3773751736339</v>
      </c>
      <c r="T25" s="7">
        <f>VLOOKUP($B25, gdp_tot_mes!$B:$XFD, MATCH(gdp_capita_mesorreg!T$1, gdp_tot_mes!$B$1:$XFD$1, 0), 0)*1000/VLOOKUP($B25, pop_mesorreg_interpol!$B:$XFD, MATCH(gdp_capita_mesorreg!T$1, pop_mesorreg_interpol!$B$1:$XFD$1, 0), 0)</f>
        <v>3961.82249828666</v>
      </c>
      <c r="U25" s="7">
        <f>VLOOKUP($B25, gdp_tot_mes!$B:$XFD, MATCH(gdp_capita_mesorreg!U$1, gdp_tot_mes!$B$1:$XFD$1, 0), 0)*1000/VLOOKUP($B25, pop_mesorreg_interpol!$B:$XFD, MATCH(gdp_capita_mesorreg!U$1, pop_mesorreg_interpol!$B$1:$XFD$1, 0), 0)</f>
        <v>4217.7890031538545</v>
      </c>
      <c r="V25" s="7">
        <f>VLOOKUP($B25, gdp_tot_mes!$B:$XFD, MATCH(gdp_capita_mesorreg!V$1, gdp_tot_mes!$B$1:$XFD$1, 0), 0)*1000/VLOOKUP($B25, pop_mesorreg_interpol!$B:$XFD, MATCH(gdp_capita_mesorreg!V$1, pop_mesorreg_interpol!$B$1:$XFD$1, 0), 0)</f>
        <v>4249.9064751813839</v>
      </c>
      <c r="W25" s="7">
        <f>VLOOKUP($B25, gdp_tot_mes!$B:$XFD, MATCH(gdp_capita_mesorreg!W$1, gdp_tot_mes!$B$1:$XFD$1, 0), 0)*1000/VLOOKUP($B25, pop_mesorreg_interpol!$B:$XFD, MATCH(gdp_capita_mesorreg!W$1, pop_mesorreg_interpol!$B$1:$XFD$1, 0), 0)</f>
        <v>4581.0378847419452</v>
      </c>
      <c r="X25" s="7">
        <f>VLOOKUP($B25, gdp_tot_mes!$B:$XFD, MATCH(gdp_capita_mesorreg!X$1, gdp_tot_mes!$B$1:$XFD$1, 0), 0)*1000/VLOOKUP($B25, pop_mesorreg_interpol!$B:$XFD, MATCH(gdp_capita_mesorreg!X$1, pop_mesorreg_interpol!$B$1:$XFD$1, 0), 0)</f>
        <v>4664.5903336414503</v>
      </c>
      <c r="Y25" s="7">
        <f>VLOOKUP($B25, gdp_tot_mes!$B:$XFD, MATCH(gdp_capita_mesorreg!Y$1, gdp_tot_mes!$B$1:$XFD$1, 0), 0)*1000/VLOOKUP($B25, pop_mesorreg_interpol!$B:$XFD, MATCH(gdp_capita_mesorreg!Y$1, pop_mesorreg_interpol!$B$1:$XFD$1, 0), 0)</f>
        <v>5167.7526598784289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25">
      <c r="A26" s="1" t="s">
        <v>64</v>
      </c>
      <c r="B26" s="1" t="s">
        <v>77</v>
      </c>
      <c r="C26" s="1" t="s">
        <v>78</v>
      </c>
      <c r="D26" s="7">
        <f>VLOOKUP($B26, gdp_tot_mes!$B:$XFD, MATCH(gdp_capita_mesorreg!D$1, gdp_tot_mes!$B$1:$XFD$1, 0), 0)*1000/VLOOKUP($B26, pop_mesorreg_interpol!$B:$XFD, MATCH(gdp_capita_mesorreg!D$1, pop_mesorreg_interpol!$B$1:$XFD$1, 0), 0)</f>
        <v>354.78515513598916</v>
      </c>
      <c r="E26" s="7">
        <f>VLOOKUP($B26, gdp_tot_mes!$B:$XFD, MATCH(gdp_capita_mesorreg!E$1, gdp_tot_mes!$B$1:$XFD$1, 0), 0)*1000/VLOOKUP($B26, pop_mesorreg_interpol!$B:$XFD, MATCH(gdp_capita_mesorreg!E$1, pop_mesorreg_interpol!$B$1:$XFD$1, 0), 0)</f>
        <v>634.62195687262226</v>
      </c>
      <c r="F26" s="7">
        <f>VLOOKUP($B26, gdp_tot_mes!$B:$XFD, MATCH(gdp_capita_mesorreg!F$1, gdp_tot_mes!$B$1:$XFD$1, 0), 0)*1000/VLOOKUP($B26, pop_mesorreg_interpol!$B:$XFD, MATCH(gdp_capita_mesorreg!F$1, pop_mesorreg_interpol!$B$1:$XFD$1, 0), 0)</f>
        <v>1296.4277482529087</v>
      </c>
      <c r="G26" s="7">
        <f>VLOOKUP($B26, gdp_tot_mes!$B:$XFD, MATCH(gdp_capita_mesorreg!G$1, gdp_tot_mes!$B$1:$XFD$1, 0), 0)*1000/VLOOKUP($B26, pop_mesorreg_interpol!$B:$XFD, MATCH(gdp_capita_mesorreg!G$1, pop_mesorreg_interpol!$B$1:$XFD$1, 0), 0)</f>
        <v>2545.6251588421123</v>
      </c>
      <c r="H26" s="7">
        <f>VLOOKUP($B26, gdp_tot_mes!$B:$XFD, MATCH(gdp_capita_mesorreg!H$1, gdp_tot_mes!$B$1:$XFD$1, 0), 0)*1000/VLOOKUP($B26, pop_mesorreg_interpol!$B:$XFD, MATCH(gdp_capita_mesorreg!H$1, pop_mesorreg_interpol!$B$1:$XFD$1, 0), 0)</f>
        <v>1507.5662571895709</v>
      </c>
      <c r="I26" s="7">
        <f>VLOOKUP($B26, gdp_tot_mes!$B:$XFD, MATCH(gdp_capita_mesorreg!I$1, gdp_tot_mes!$B$1:$XFD$1, 0), 0)*1000/VLOOKUP($B26, pop_mesorreg_interpol!$B:$XFD, MATCH(gdp_capita_mesorreg!I$1, pop_mesorreg_interpol!$B$1:$XFD$1, 0), 0)</f>
        <v>2184.032573794786</v>
      </c>
      <c r="J26" s="7">
        <f>VLOOKUP($B26, gdp_tot_mes!$B:$XFD, MATCH(gdp_capita_mesorreg!J$1, gdp_tot_mes!$B$1:$XFD$1, 0), 0)*1000/VLOOKUP($B26, pop_mesorreg_interpol!$B:$XFD, MATCH(gdp_capita_mesorreg!J$1, pop_mesorreg_interpol!$B$1:$XFD$1, 0), 0)</f>
        <v>3368.8397948001352</v>
      </c>
      <c r="K26" s="7">
        <f>VLOOKUP($B26, gdp_tot_mes!$B:$XFD, MATCH(gdp_capita_mesorreg!K$1, gdp_tot_mes!$B$1:$XFD$1, 0), 0)*1000/VLOOKUP($B26, pop_mesorreg_interpol!$B:$XFD, MATCH(gdp_capita_mesorreg!K$1, pop_mesorreg_interpol!$B$1:$XFD$1, 0), 0)</f>
        <v>3516.9210817456574</v>
      </c>
      <c r="L26" s="8">
        <f>VLOOKUP($B26, gdp_tot_mes!$B:$XFD, MATCH(gdp_capita_mesorreg!L$1, gdp_tot_mes!$B$1:$XFD$1, 0), 0)*1000/VLOOKUP($B26, pop_mesorreg_interpol!$B:$XFD, MATCH(gdp_capita_mesorreg!L$1, pop_mesorreg_interpol!$B$1:$XFD$1, 0), 0)</f>
        <v>3108.442836552575</v>
      </c>
      <c r="M26" s="7">
        <f>VLOOKUP($B26, gdp_tot_mes!$B:$XFD, MATCH(gdp_capita_mesorreg!M$1, gdp_tot_mes!$B$1:$XFD$1, 0), 0)*1000/VLOOKUP($B26, pop_mesorreg_interpol!$B:$XFD, MATCH(gdp_capita_mesorreg!M$1, pop_mesorreg_interpol!$B$1:$XFD$1, 0), 0)</f>
        <v>2666.195798247616</v>
      </c>
      <c r="N26" s="7">
        <f>VLOOKUP($B26, gdp_tot_mes!$B:$XFD, MATCH(gdp_capita_mesorreg!N$1, gdp_tot_mes!$B$1:$XFD$1, 0), 0)*1000/VLOOKUP($B26, pop_mesorreg_interpol!$B:$XFD, MATCH(gdp_capita_mesorreg!N$1, pop_mesorreg_interpol!$B$1:$XFD$1, 0), 0)</f>
        <v>4155.9113522310099</v>
      </c>
      <c r="O26" s="7">
        <f>VLOOKUP($B26, gdp_tot_mes!$B:$XFD, MATCH(gdp_capita_mesorreg!O$1, gdp_tot_mes!$B$1:$XFD$1, 0), 0)*1000/VLOOKUP($B26, pop_mesorreg_interpol!$B:$XFD, MATCH(gdp_capita_mesorreg!O$1, pop_mesorreg_interpol!$B$1:$XFD$1, 0), 0)</f>
        <v>4082.2376697566974</v>
      </c>
      <c r="P26" s="7">
        <f>VLOOKUP($B26, gdp_tot_mes!$B:$XFD, MATCH(gdp_capita_mesorreg!P$1, gdp_tot_mes!$B$1:$XFD$1, 0), 0)*1000/VLOOKUP($B26, pop_mesorreg_interpol!$B:$XFD, MATCH(gdp_capita_mesorreg!P$1, pop_mesorreg_interpol!$B$1:$XFD$1, 0), 0)</f>
        <v>4072.8678440064159</v>
      </c>
      <c r="Q26" s="7">
        <f>VLOOKUP($B26, gdp_tot_mes!$B:$XFD, MATCH(gdp_capita_mesorreg!Q$1, gdp_tot_mes!$B$1:$XFD$1, 0), 0)*1000/VLOOKUP($B26, pop_mesorreg_interpol!$B:$XFD, MATCH(gdp_capita_mesorreg!Q$1, pop_mesorreg_interpol!$B$1:$XFD$1, 0), 0)</f>
        <v>4244.4483998273699</v>
      </c>
      <c r="R26" s="7">
        <f>VLOOKUP($B26, gdp_tot_mes!$B:$XFD, MATCH(gdp_capita_mesorreg!R$1, gdp_tot_mes!$B$1:$XFD$1, 0), 0)*1000/VLOOKUP($B26, pop_mesorreg_interpol!$B:$XFD, MATCH(gdp_capita_mesorreg!R$1, pop_mesorreg_interpol!$B$1:$XFD$1, 0), 0)</f>
        <v>4269.572244593277</v>
      </c>
      <c r="S26" s="7">
        <f>VLOOKUP($B26, gdp_tot_mes!$B:$XFD, MATCH(gdp_capita_mesorreg!S$1, gdp_tot_mes!$B$1:$XFD$1, 0), 0)*1000/VLOOKUP($B26, pop_mesorreg_interpol!$B:$XFD, MATCH(gdp_capita_mesorreg!S$1, pop_mesorreg_interpol!$B$1:$XFD$1, 0), 0)</f>
        <v>4351.3490634277459</v>
      </c>
      <c r="T26" s="7">
        <f>VLOOKUP($B26, gdp_tot_mes!$B:$XFD, MATCH(gdp_capita_mesorreg!T$1, gdp_tot_mes!$B$1:$XFD$1, 0), 0)*1000/VLOOKUP($B26, pop_mesorreg_interpol!$B:$XFD, MATCH(gdp_capita_mesorreg!T$1, pop_mesorreg_interpol!$B$1:$XFD$1, 0), 0)</f>
        <v>4297.7718379684666</v>
      </c>
      <c r="U26" s="7">
        <f>VLOOKUP($B26, gdp_tot_mes!$B:$XFD, MATCH(gdp_capita_mesorreg!U$1, gdp_tot_mes!$B$1:$XFD$1, 0), 0)*1000/VLOOKUP($B26, pop_mesorreg_interpol!$B:$XFD, MATCH(gdp_capita_mesorreg!U$1, pop_mesorreg_interpol!$B$1:$XFD$1, 0), 0)</f>
        <v>4621.6915750169665</v>
      </c>
      <c r="V26" s="7">
        <f>VLOOKUP($B26, gdp_tot_mes!$B:$XFD, MATCH(gdp_capita_mesorreg!V$1, gdp_tot_mes!$B$1:$XFD$1, 0), 0)*1000/VLOOKUP($B26, pop_mesorreg_interpol!$B:$XFD, MATCH(gdp_capita_mesorreg!V$1, pop_mesorreg_interpol!$B$1:$XFD$1, 0), 0)</f>
        <v>4767.7419201187404</v>
      </c>
      <c r="W26" s="7">
        <f>VLOOKUP($B26, gdp_tot_mes!$B:$XFD, MATCH(gdp_capita_mesorreg!W$1, gdp_tot_mes!$B$1:$XFD$1, 0), 0)*1000/VLOOKUP($B26, pop_mesorreg_interpol!$B:$XFD, MATCH(gdp_capita_mesorreg!W$1, pop_mesorreg_interpol!$B$1:$XFD$1, 0), 0)</f>
        <v>5322.1193470172893</v>
      </c>
      <c r="X26" s="7">
        <f>VLOOKUP($B26, gdp_tot_mes!$B:$XFD, MATCH(gdp_capita_mesorreg!X$1, gdp_tot_mes!$B$1:$XFD$1, 0), 0)*1000/VLOOKUP($B26, pop_mesorreg_interpol!$B:$XFD, MATCH(gdp_capita_mesorreg!X$1, pop_mesorreg_interpol!$B$1:$XFD$1, 0), 0)</f>
        <v>5746.9693528495327</v>
      </c>
      <c r="Y26" s="7">
        <f>VLOOKUP($B26, gdp_tot_mes!$B:$XFD, MATCH(gdp_capita_mesorreg!Y$1, gdp_tot_mes!$B$1:$XFD$1, 0), 0)*1000/VLOOKUP($B26, pop_mesorreg_interpol!$B:$XFD, MATCH(gdp_capita_mesorreg!Y$1, pop_mesorreg_interpol!$B$1:$XFD$1, 0), 0)</f>
        <v>5878.1194615560116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s="26" customFormat="1" x14ac:dyDescent="0.25">
      <c r="A27" s="24" t="s">
        <v>79</v>
      </c>
      <c r="B27" s="24" t="s">
        <v>80</v>
      </c>
      <c r="C27" s="24" t="s">
        <v>81</v>
      </c>
      <c r="D27" s="25" t="e">
        <f>NA()</f>
        <v>#N/A</v>
      </c>
      <c r="E27" s="25" t="e">
        <f>NA()</f>
        <v>#N/A</v>
      </c>
      <c r="F27" s="25" t="e">
        <f>NA()</f>
        <v>#N/A</v>
      </c>
      <c r="G27" s="25" t="e">
        <f>NA()</f>
        <v>#N/A</v>
      </c>
      <c r="H27" s="25">
        <f>VLOOKUP($B27, gdp_tot_mes!$B:$XFD, MATCH(gdp_capita_mesorreg!H$1, gdp_tot_mes!$B$1:$XFD$1, 0), 0)*1000/VLOOKUP($B27, pop_mesorreg_interpol!$B:$XFD, MATCH(gdp_capita_mesorreg!H$1, pop_mesorreg_interpol!$B$1:$XFD$1, 0), 0)</f>
        <v>16530.790305199094</v>
      </c>
      <c r="I27" s="25">
        <f>VLOOKUP($B27, gdp_tot_mes!$B:$XFD, MATCH(gdp_capita_mesorreg!I$1, gdp_tot_mes!$B$1:$XFD$1, 0), 0)*1000/VLOOKUP($B27, pop_mesorreg_interpol!$B:$XFD, MATCH(gdp_capita_mesorreg!I$1, pop_mesorreg_interpol!$B$1:$XFD$1, 0), 0)</f>
        <v>19271.712918370624</v>
      </c>
      <c r="J27" s="25">
        <f>VLOOKUP($B27, gdp_tot_mes!$B:$XFD, MATCH(gdp_capita_mesorreg!J$1, gdp_tot_mes!$B$1:$XFD$1, 0), 0)*1000/VLOOKUP($B27, pop_mesorreg_interpol!$B:$XFD, MATCH(gdp_capita_mesorreg!J$1, pop_mesorreg_interpol!$B$1:$XFD$1, 0), 0)</f>
        <v>29540.860519496255</v>
      </c>
      <c r="K27" s="25">
        <f>VLOOKUP($B27, gdp_tot_mes!$B:$XFD, MATCH(gdp_capita_mesorreg!K$1, gdp_tot_mes!$B$1:$XFD$1, 0), 0)*1000/VLOOKUP($B27, pop_mesorreg_interpol!$B:$XFD, MATCH(gdp_capita_mesorreg!K$1, pop_mesorreg_interpol!$B$1:$XFD$1, 0), 0)</f>
        <v>30821.924625684846</v>
      </c>
      <c r="L27" s="8">
        <f>VLOOKUP($B27, gdp_tot_mes!$B:$XFD, MATCH(gdp_capita_mesorreg!L$1, gdp_tot_mes!$B$1:$XFD$1, 0), 0)*1000/VLOOKUP($B27, pop_mesorreg_interpol!$B:$XFD, MATCH(gdp_capita_mesorreg!L$1, pop_mesorreg_interpol!$B$1:$XFD$1, 0), 0)</f>
        <v>33254.33265215523</v>
      </c>
      <c r="M27" s="25">
        <f>VLOOKUP($B27, gdp_tot_mes!$B:$XFD, MATCH(gdp_capita_mesorreg!M$1, gdp_tot_mes!$B$1:$XFD$1, 0), 0)*1000/VLOOKUP($B27, pop_mesorreg_interpol!$B:$XFD, MATCH(gdp_capita_mesorreg!M$1, pop_mesorreg_interpol!$B$1:$XFD$1, 0), 0)</f>
        <v>35462.779045026691</v>
      </c>
      <c r="N27" s="25">
        <f>VLOOKUP($B27, gdp_tot_mes!$B:$XFD, MATCH(gdp_capita_mesorreg!N$1, gdp_tot_mes!$B$1:$XFD$1, 0), 0)*1000/VLOOKUP($B27, pop_mesorreg_interpol!$B:$XFD, MATCH(gdp_capita_mesorreg!N$1, pop_mesorreg_interpol!$B$1:$XFD$1, 0), 0)</f>
        <v>59853.161307952403</v>
      </c>
      <c r="O27" s="25">
        <f>VLOOKUP($B27, gdp_tot_mes!$B:$XFD, MATCH(gdp_capita_mesorreg!O$1, gdp_tot_mes!$B$1:$XFD$1, 0), 0)*1000/VLOOKUP($B27, pop_mesorreg_interpol!$B:$XFD, MATCH(gdp_capita_mesorreg!O$1, pop_mesorreg_interpol!$B$1:$XFD$1, 0), 0)</f>
        <v>51149.351858168549</v>
      </c>
      <c r="P27" s="25">
        <f>VLOOKUP($B27, gdp_tot_mes!$B:$XFD, MATCH(gdp_capita_mesorreg!P$1, gdp_tot_mes!$B$1:$XFD$1, 0), 0)*1000/VLOOKUP($B27, pop_mesorreg_interpol!$B:$XFD, MATCH(gdp_capita_mesorreg!P$1, pop_mesorreg_interpol!$B$1:$XFD$1, 0), 0)</f>
        <v>50959.428638931466</v>
      </c>
      <c r="Q27" s="25">
        <f>VLOOKUP($B27, gdp_tot_mes!$B:$XFD, MATCH(gdp_capita_mesorreg!Q$1, gdp_tot_mes!$B$1:$XFD$1, 0), 0)*1000/VLOOKUP($B27, pop_mesorreg_interpol!$B:$XFD, MATCH(gdp_capita_mesorreg!Q$1, pop_mesorreg_interpol!$B$1:$XFD$1, 0), 0)</f>
        <v>49219.305157740244</v>
      </c>
      <c r="R27" s="25">
        <f>VLOOKUP($B27, gdp_tot_mes!$B:$XFD, MATCH(gdp_capita_mesorreg!R$1, gdp_tot_mes!$B$1:$XFD$1, 0), 0)*1000/VLOOKUP($B27, pop_mesorreg_interpol!$B:$XFD, MATCH(gdp_capita_mesorreg!R$1, pop_mesorreg_interpol!$B$1:$XFD$1, 0), 0)</f>
        <v>47233.793986443474</v>
      </c>
      <c r="S27" s="25">
        <f>VLOOKUP($B27, gdp_tot_mes!$B:$XFD, MATCH(gdp_capita_mesorreg!S$1, gdp_tot_mes!$B$1:$XFD$1, 0), 0)*1000/VLOOKUP($B27, pop_mesorreg_interpol!$B:$XFD, MATCH(gdp_capita_mesorreg!S$1, pop_mesorreg_interpol!$B$1:$XFD$1, 0), 0)</f>
        <v>47883.701931091986</v>
      </c>
      <c r="T27" s="25">
        <f>VLOOKUP($B27, gdp_tot_mes!$B:$XFD, MATCH(gdp_capita_mesorreg!T$1, gdp_tot_mes!$B$1:$XFD$1, 0), 0)*1000/VLOOKUP($B27, pop_mesorreg_interpol!$B:$XFD, MATCH(gdp_capita_mesorreg!T$1, pop_mesorreg_interpol!$B$1:$XFD$1, 0), 0)</f>
        <v>49495.301031041046</v>
      </c>
      <c r="U27" s="25">
        <f>VLOOKUP($B27, gdp_tot_mes!$B:$XFD, MATCH(gdp_capita_mesorreg!U$1, gdp_tot_mes!$B$1:$XFD$1, 0), 0)*1000/VLOOKUP($B27, pop_mesorreg_interpol!$B:$XFD, MATCH(gdp_capita_mesorreg!U$1, pop_mesorreg_interpol!$B$1:$XFD$1, 0), 0)</f>
        <v>49480.666006785854</v>
      </c>
      <c r="V27" s="25">
        <f>VLOOKUP($B27, gdp_tot_mes!$B:$XFD, MATCH(gdp_capita_mesorreg!V$1, gdp_tot_mes!$B$1:$XFD$1, 0), 0)*1000/VLOOKUP($B27, pop_mesorreg_interpol!$B:$XFD, MATCH(gdp_capita_mesorreg!V$1, pop_mesorreg_interpol!$B$1:$XFD$1, 0), 0)</f>
        <v>51507.788007492156</v>
      </c>
      <c r="W27" s="25">
        <f>VLOOKUP($B27, gdp_tot_mes!$B:$XFD, MATCH(gdp_capita_mesorreg!W$1, gdp_tot_mes!$B$1:$XFD$1, 0), 0)*1000/VLOOKUP($B27, pop_mesorreg_interpol!$B:$XFD, MATCH(gdp_capita_mesorreg!W$1, pop_mesorreg_interpol!$B$1:$XFD$1, 0), 0)</f>
        <v>54851.181292556619</v>
      </c>
      <c r="X27" s="25">
        <f>VLOOKUP($B27, gdp_tot_mes!$B:$XFD, MATCH(gdp_capita_mesorreg!X$1, gdp_tot_mes!$B$1:$XFD$1, 0), 0)*1000/VLOOKUP($B27, pop_mesorreg_interpol!$B:$XFD, MATCH(gdp_capita_mesorreg!X$1, pop_mesorreg_interpol!$B$1:$XFD$1, 0), 0)</f>
        <v>56302.78934979059</v>
      </c>
      <c r="Y27" s="25">
        <f>VLOOKUP($B27, gdp_tot_mes!$B:$XFD, MATCH(gdp_capita_mesorreg!Y$1, gdp_tot_mes!$B$1:$XFD$1, 0), 0)*1000/VLOOKUP($B27, pop_mesorreg_interpol!$B:$XFD, MATCH(gdp_capita_mesorreg!Y$1, pop_mesorreg_interpol!$B$1:$XFD$1, 0), 0)</f>
        <v>58325.675786332366</v>
      </c>
      <c r="Z27" s="25"/>
      <c r="AA27" s="27"/>
      <c r="AB27" s="27"/>
      <c r="AC27" s="25"/>
      <c r="AD27" s="25"/>
      <c r="AE27" s="25"/>
      <c r="AF27" s="25"/>
      <c r="AG27" s="25"/>
      <c r="AH27" s="25"/>
      <c r="AI27" s="25"/>
      <c r="AJ27" s="25"/>
    </row>
    <row r="28" spans="1:36" x14ac:dyDescent="0.25">
      <c r="A28" s="1" t="s">
        <v>82</v>
      </c>
      <c r="B28" s="1" t="s">
        <v>83</v>
      </c>
      <c r="C28" s="1" t="s">
        <v>84</v>
      </c>
      <c r="D28" s="7">
        <f>VLOOKUP($B28, gdp_tot_mes!$B:$XFD, MATCH(gdp_capita_mesorreg!D$1, gdp_tot_mes!$B$1:$XFD$1, 0), 0)*1000/VLOOKUP($B28, pop_mesorreg_interpol!$B:$XFD, MATCH(gdp_capita_mesorreg!D$1, pop_mesorreg_interpol!$B$1:$XFD$1, 0), 0)</f>
        <v>966.77503723536938</v>
      </c>
      <c r="E28" s="7">
        <f>VLOOKUP($B28, gdp_tot_mes!$B:$XFD, MATCH(gdp_capita_mesorreg!E$1, gdp_tot_mes!$B$1:$XFD$1, 0), 0)*1000/VLOOKUP($B28, pop_mesorreg_interpol!$B:$XFD, MATCH(gdp_capita_mesorreg!E$1, pop_mesorreg_interpol!$B$1:$XFD$1, 0), 0)</f>
        <v>874.63264929433899</v>
      </c>
      <c r="F28" s="7">
        <f>VLOOKUP($B28, gdp_tot_mes!$B:$XFD, MATCH(gdp_capita_mesorreg!F$1, gdp_tot_mes!$B$1:$XFD$1, 0), 0)*1000/VLOOKUP($B28, pop_mesorreg_interpol!$B:$XFD, MATCH(gdp_capita_mesorreg!F$1, pop_mesorreg_interpol!$B$1:$XFD$1, 0), 0)</f>
        <v>1528.691573204743</v>
      </c>
      <c r="G28" s="7">
        <f>VLOOKUP($B28, gdp_tot_mes!$B:$XFD, MATCH(gdp_capita_mesorreg!G$1, gdp_tot_mes!$B$1:$XFD$1, 0), 0)*1000/VLOOKUP($B28, pop_mesorreg_interpol!$B:$XFD, MATCH(gdp_capita_mesorreg!G$1, pop_mesorreg_interpol!$B$1:$XFD$1, 0), 0)</f>
        <v>1111.7870100478865</v>
      </c>
      <c r="H28" s="7">
        <f>VLOOKUP($B28, gdp_tot_mes!$B:$XFD, MATCH(gdp_capita_mesorreg!H$1, gdp_tot_mes!$B$1:$XFD$1, 0), 0)*1000/VLOOKUP($B28, pop_mesorreg_interpol!$B:$XFD, MATCH(gdp_capita_mesorreg!H$1, pop_mesorreg_interpol!$B$1:$XFD$1, 0), 0)</f>
        <v>2997.8165284777497</v>
      </c>
      <c r="I28" s="7">
        <f>VLOOKUP($B28, gdp_tot_mes!$B:$XFD, MATCH(gdp_capita_mesorreg!I$1, gdp_tot_mes!$B$1:$XFD$1, 0), 0)*1000/VLOOKUP($B28, pop_mesorreg_interpol!$B:$XFD, MATCH(gdp_capita_mesorreg!I$1, pop_mesorreg_interpol!$B$1:$XFD$1, 0), 0)</f>
        <v>4615.1532875114326</v>
      </c>
      <c r="J28" s="7">
        <f>VLOOKUP($B28, gdp_tot_mes!$B:$XFD, MATCH(gdp_capita_mesorreg!J$1, gdp_tot_mes!$B$1:$XFD$1, 0), 0)*1000/VLOOKUP($B28, pop_mesorreg_interpol!$B:$XFD, MATCH(gdp_capita_mesorreg!J$1, pop_mesorreg_interpol!$B$1:$XFD$1, 0), 0)</f>
        <v>7317.1526967429527</v>
      </c>
      <c r="K28" s="7">
        <f>VLOOKUP($B28, gdp_tot_mes!$B:$XFD, MATCH(gdp_capita_mesorreg!K$1, gdp_tot_mes!$B$1:$XFD$1, 0), 0)*1000/VLOOKUP($B28, pop_mesorreg_interpol!$B:$XFD, MATCH(gdp_capita_mesorreg!K$1, pop_mesorreg_interpol!$B$1:$XFD$1, 0), 0)</f>
        <v>8158.3144077346287</v>
      </c>
      <c r="L28" s="8">
        <f>VLOOKUP($B28, gdp_tot_mes!$B:$XFD, MATCH(gdp_capita_mesorreg!L$1, gdp_tot_mes!$B$1:$XFD$1, 0), 0)*1000/VLOOKUP($B28, pop_mesorreg_interpol!$B:$XFD, MATCH(gdp_capita_mesorreg!L$1, pop_mesorreg_interpol!$B$1:$XFD$1, 0), 0)</f>
        <v>8396.622359774392</v>
      </c>
      <c r="M28" s="7">
        <f>VLOOKUP($B28, gdp_tot_mes!$B:$XFD, MATCH(gdp_capita_mesorreg!M$1, gdp_tot_mes!$B$1:$XFD$1, 0), 0)*1000/VLOOKUP($B28, pop_mesorreg_interpol!$B:$XFD, MATCH(gdp_capita_mesorreg!M$1, pop_mesorreg_interpol!$B$1:$XFD$1, 0), 0)</f>
        <v>8682.8789699082208</v>
      </c>
      <c r="N28" s="7">
        <f>VLOOKUP($B28, gdp_tot_mes!$B:$XFD, MATCH(gdp_capita_mesorreg!N$1, gdp_tot_mes!$B$1:$XFD$1, 0), 0)*1000/VLOOKUP($B28, pop_mesorreg_interpol!$B:$XFD, MATCH(gdp_capita_mesorreg!N$1, pop_mesorreg_interpol!$B$1:$XFD$1, 0), 0)</f>
        <v>9115.9598283128744</v>
      </c>
      <c r="O28" s="7">
        <f>VLOOKUP($B28, gdp_tot_mes!$B:$XFD, MATCH(gdp_capita_mesorreg!O$1, gdp_tot_mes!$B$1:$XFD$1, 0), 0)*1000/VLOOKUP($B28, pop_mesorreg_interpol!$B:$XFD, MATCH(gdp_capita_mesorreg!O$1, pop_mesorreg_interpol!$B$1:$XFD$1, 0), 0)</f>
        <v>9939.2870736206787</v>
      </c>
      <c r="P28" s="7">
        <f>VLOOKUP($B28, gdp_tot_mes!$B:$XFD, MATCH(gdp_capita_mesorreg!P$1, gdp_tot_mes!$B$1:$XFD$1, 0), 0)*1000/VLOOKUP($B28, pop_mesorreg_interpol!$B:$XFD, MATCH(gdp_capita_mesorreg!P$1, pop_mesorreg_interpol!$B$1:$XFD$1, 0), 0)</f>
        <v>9502.9055831601963</v>
      </c>
      <c r="Q28" s="7">
        <f>VLOOKUP($B28, gdp_tot_mes!$B:$XFD, MATCH(gdp_capita_mesorreg!Q$1, gdp_tot_mes!$B$1:$XFD$1, 0), 0)*1000/VLOOKUP($B28, pop_mesorreg_interpol!$B:$XFD, MATCH(gdp_capita_mesorreg!Q$1, pop_mesorreg_interpol!$B$1:$XFD$1, 0), 0)</f>
        <v>9164.4069799315148</v>
      </c>
      <c r="R28" s="7">
        <f>VLOOKUP($B28, gdp_tot_mes!$B:$XFD, MATCH(gdp_capita_mesorreg!R$1, gdp_tot_mes!$B$1:$XFD$1, 0), 0)*1000/VLOOKUP($B28, pop_mesorreg_interpol!$B:$XFD, MATCH(gdp_capita_mesorreg!R$1, pop_mesorreg_interpol!$B$1:$XFD$1, 0), 0)</f>
        <v>9259.9005848843826</v>
      </c>
      <c r="S28" s="7">
        <f>VLOOKUP($B28, gdp_tot_mes!$B:$XFD, MATCH(gdp_capita_mesorreg!S$1, gdp_tot_mes!$B$1:$XFD$1, 0), 0)*1000/VLOOKUP($B28, pop_mesorreg_interpol!$B:$XFD, MATCH(gdp_capita_mesorreg!S$1, pop_mesorreg_interpol!$B$1:$XFD$1, 0), 0)</f>
        <v>10049.177521959577</v>
      </c>
      <c r="T28" s="7">
        <f>VLOOKUP($B28, gdp_tot_mes!$B:$XFD, MATCH(gdp_capita_mesorreg!T$1, gdp_tot_mes!$B$1:$XFD$1, 0), 0)*1000/VLOOKUP($B28, pop_mesorreg_interpol!$B:$XFD, MATCH(gdp_capita_mesorreg!T$1, pop_mesorreg_interpol!$B$1:$XFD$1, 0), 0)</f>
        <v>10730.93572238922</v>
      </c>
      <c r="U28" s="7">
        <f>VLOOKUP($B28, gdp_tot_mes!$B:$XFD, MATCH(gdp_capita_mesorreg!U$1, gdp_tot_mes!$B$1:$XFD$1, 0), 0)*1000/VLOOKUP($B28, pop_mesorreg_interpol!$B:$XFD, MATCH(gdp_capita_mesorreg!U$1, pop_mesorreg_interpol!$B$1:$XFD$1, 0), 0)</f>
        <v>11562.589839209464</v>
      </c>
      <c r="V28" s="7">
        <f>VLOOKUP($B28, gdp_tot_mes!$B:$XFD, MATCH(gdp_capita_mesorreg!V$1, gdp_tot_mes!$B$1:$XFD$1, 0), 0)*1000/VLOOKUP($B28, pop_mesorreg_interpol!$B:$XFD, MATCH(gdp_capita_mesorreg!V$1, pop_mesorreg_interpol!$B$1:$XFD$1, 0), 0)</f>
        <v>13017.952821397801</v>
      </c>
      <c r="W28" s="7">
        <f>VLOOKUP($B28, gdp_tot_mes!$B:$XFD, MATCH(gdp_capita_mesorreg!W$1, gdp_tot_mes!$B$1:$XFD$1, 0), 0)*1000/VLOOKUP($B28, pop_mesorreg_interpol!$B:$XFD, MATCH(gdp_capita_mesorreg!W$1, pop_mesorreg_interpol!$B$1:$XFD$1, 0), 0)</f>
        <v>12453.366791105838</v>
      </c>
      <c r="X28" s="7">
        <f>VLOOKUP($B28, gdp_tot_mes!$B:$XFD, MATCH(gdp_capita_mesorreg!X$1, gdp_tot_mes!$B$1:$XFD$1, 0), 0)*1000/VLOOKUP($B28, pop_mesorreg_interpol!$B:$XFD, MATCH(gdp_capita_mesorreg!X$1, pop_mesorreg_interpol!$B$1:$XFD$1, 0), 0)</f>
        <v>12033.148550253971</v>
      </c>
      <c r="Y28" s="7">
        <f>VLOOKUP($B28, gdp_tot_mes!$B:$XFD, MATCH(gdp_capita_mesorreg!Y$1, gdp_tot_mes!$B$1:$XFD$1, 0), 0)*1000/VLOOKUP($B28, pop_mesorreg_interpol!$B:$XFD, MATCH(gdp_capita_mesorreg!Y$1, pop_mesorreg_interpol!$B$1:$XFD$1, 0), 0)</f>
        <v>11908.410913536612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25">
      <c r="A29" s="1" t="s">
        <v>82</v>
      </c>
      <c r="B29" s="1" t="s">
        <v>85</v>
      </c>
      <c r="C29" s="1" t="s">
        <v>86</v>
      </c>
      <c r="D29" s="7">
        <f>VLOOKUP($B29, gdp_tot_mes!$B:$XFD, MATCH(gdp_capita_mesorreg!D$1, gdp_tot_mes!$B$1:$XFD$1, 0), 0)*1000/VLOOKUP($B29, pop_mesorreg_interpol!$B:$XFD, MATCH(gdp_capita_mesorreg!D$1, pop_mesorreg_interpol!$B$1:$XFD$1, 0), 0)</f>
        <v>814.08974150491258</v>
      </c>
      <c r="E29" s="7">
        <f>VLOOKUP($B29, gdp_tot_mes!$B:$XFD, MATCH(gdp_capita_mesorreg!E$1, gdp_tot_mes!$B$1:$XFD$1, 0), 0)*1000/VLOOKUP($B29, pop_mesorreg_interpol!$B:$XFD, MATCH(gdp_capita_mesorreg!E$1, pop_mesorreg_interpol!$B$1:$XFD$1, 0), 0)</f>
        <v>1548.2715666025367</v>
      </c>
      <c r="F29" s="7">
        <f>VLOOKUP($B29, gdp_tot_mes!$B:$XFD, MATCH(gdp_capita_mesorreg!F$1, gdp_tot_mes!$B$1:$XFD$1, 0), 0)*1000/VLOOKUP($B29, pop_mesorreg_interpol!$B:$XFD, MATCH(gdp_capita_mesorreg!F$1, pop_mesorreg_interpol!$B$1:$XFD$1, 0), 0)</f>
        <v>1818.7516729075132</v>
      </c>
      <c r="G29" s="7">
        <f>VLOOKUP($B29, gdp_tot_mes!$B:$XFD, MATCH(gdp_capita_mesorreg!G$1, gdp_tot_mes!$B$1:$XFD$1, 0), 0)*1000/VLOOKUP($B29, pop_mesorreg_interpol!$B:$XFD, MATCH(gdp_capita_mesorreg!G$1, pop_mesorreg_interpol!$B$1:$XFD$1, 0), 0)</f>
        <v>1646.9873777315154</v>
      </c>
      <c r="H29" s="7">
        <f>VLOOKUP($B29, gdp_tot_mes!$B:$XFD, MATCH(gdp_capita_mesorreg!H$1, gdp_tot_mes!$B$1:$XFD$1, 0), 0)*1000/VLOOKUP($B29, pop_mesorreg_interpol!$B:$XFD, MATCH(gdp_capita_mesorreg!H$1, pop_mesorreg_interpol!$B$1:$XFD$1, 0), 0)</f>
        <v>2978.7293143396132</v>
      </c>
      <c r="I29" s="7">
        <f>VLOOKUP($B29, gdp_tot_mes!$B:$XFD, MATCH(gdp_capita_mesorreg!I$1, gdp_tot_mes!$B$1:$XFD$1, 0), 0)*1000/VLOOKUP($B29, pop_mesorreg_interpol!$B:$XFD, MATCH(gdp_capita_mesorreg!I$1, pop_mesorreg_interpol!$B$1:$XFD$1, 0), 0)</f>
        <v>5158.5485544625026</v>
      </c>
      <c r="J29" s="7">
        <f>VLOOKUP($B29, gdp_tot_mes!$B:$XFD, MATCH(gdp_capita_mesorreg!J$1, gdp_tot_mes!$B$1:$XFD$1, 0), 0)*1000/VLOOKUP($B29, pop_mesorreg_interpol!$B:$XFD, MATCH(gdp_capita_mesorreg!J$1, pop_mesorreg_interpol!$B$1:$XFD$1, 0), 0)</f>
        <v>10176.898730330933</v>
      </c>
      <c r="K29" s="7">
        <f>VLOOKUP($B29, gdp_tot_mes!$B:$XFD, MATCH(gdp_capita_mesorreg!K$1, gdp_tot_mes!$B$1:$XFD$1, 0), 0)*1000/VLOOKUP($B29, pop_mesorreg_interpol!$B:$XFD, MATCH(gdp_capita_mesorreg!K$1, pop_mesorreg_interpol!$B$1:$XFD$1, 0), 0)</f>
        <v>13415.093006622265</v>
      </c>
      <c r="L29" s="8">
        <f>VLOOKUP($B29, gdp_tot_mes!$B:$XFD, MATCH(gdp_capita_mesorreg!L$1, gdp_tot_mes!$B$1:$XFD$1, 0), 0)*1000/VLOOKUP($B29, pop_mesorreg_interpol!$B:$XFD, MATCH(gdp_capita_mesorreg!L$1, pop_mesorreg_interpol!$B$1:$XFD$1, 0), 0)</f>
        <v>12457.053125027945</v>
      </c>
      <c r="M29" s="7">
        <f>VLOOKUP($B29, gdp_tot_mes!$B:$XFD, MATCH(gdp_capita_mesorreg!M$1, gdp_tot_mes!$B$1:$XFD$1, 0), 0)*1000/VLOOKUP($B29, pop_mesorreg_interpol!$B:$XFD, MATCH(gdp_capita_mesorreg!M$1, pop_mesorreg_interpol!$B$1:$XFD$1, 0), 0)</f>
        <v>11516.296223601474</v>
      </c>
      <c r="N29" s="7">
        <f>VLOOKUP($B29, gdp_tot_mes!$B:$XFD, MATCH(gdp_capita_mesorreg!N$1, gdp_tot_mes!$B$1:$XFD$1, 0), 0)*1000/VLOOKUP($B29, pop_mesorreg_interpol!$B:$XFD, MATCH(gdp_capita_mesorreg!N$1, pop_mesorreg_interpol!$B$1:$XFD$1, 0), 0)</f>
        <v>15540.351671395592</v>
      </c>
      <c r="O29" s="7">
        <f>VLOOKUP($B29, gdp_tot_mes!$B:$XFD, MATCH(gdp_capita_mesorreg!O$1, gdp_tot_mes!$B$1:$XFD$1, 0), 0)*1000/VLOOKUP($B29, pop_mesorreg_interpol!$B:$XFD, MATCH(gdp_capita_mesorreg!O$1, pop_mesorreg_interpol!$B$1:$XFD$1, 0), 0)</f>
        <v>17442.540366178968</v>
      </c>
      <c r="P29" s="7">
        <f>VLOOKUP($B29, gdp_tot_mes!$B:$XFD, MATCH(gdp_capita_mesorreg!P$1, gdp_tot_mes!$B$1:$XFD$1, 0), 0)*1000/VLOOKUP($B29, pop_mesorreg_interpol!$B:$XFD, MATCH(gdp_capita_mesorreg!P$1, pop_mesorreg_interpol!$B$1:$XFD$1, 0), 0)</f>
        <v>15427.929366931452</v>
      </c>
      <c r="Q29" s="7">
        <f>VLOOKUP($B29, gdp_tot_mes!$B:$XFD, MATCH(gdp_capita_mesorreg!Q$1, gdp_tot_mes!$B$1:$XFD$1, 0), 0)*1000/VLOOKUP($B29, pop_mesorreg_interpol!$B:$XFD, MATCH(gdp_capita_mesorreg!Q$1, pop_mesorreg_interpol!$B$1:$XFD$1, 0), 0)</f>
        <v>15874.436442189912</v>
      </c>
      <c r="R29" s="7">
        <f>VLOOKUP($B29, gdp_tot_mes!$B:$XFD, MATCH(gdp_capita_mesorreg!R$1, gdp_tot_mes!$B$1:$XFD$1, 0), 0)*1000/VLOOKUP($B29, pop_mesorreg_interpol!$B:$XFD, MATCH(gdp_capita_mesorreg!R$1, pop_mesorreg_interpol!$B$1:$XFD$1, 0), 0)</f>
        <v>16225.285865267446</v>
      </c>
      <c r="S29" s="7">
        <f>VLOOKUP($B29, gdp_tot_mes!$B:$XFD, MATCH(gdp_capita_mesorreg!S$1, gdp_tot_mes!$B$1:$XFD$1, 0), 0)*1000/VLOOKUP($B29, pop_mesorreg_interpol!$B:$XFD, MATCH(gdp_capita_mesorreg!S$1, pop_mesorreg_interpol!$B$1:$XFD$1, 0), 0)</f>
        <v>18410.724141986197</v>
      </c>
      <c r="T29" s="7">
        <f>VLOOKUP($B29, gdp_tot_mes!$B:$XFD, MATCH(gdp_capita_mesorreg!T$1, gdp_tot_mes!$B$1:$XFD$1, 0), 0)*1000/VLOOKUP($B29, pop_mesorreg_interpol!$B:$XFD, MATCH(gdp_capita_mesorreg!T$1, pop_mesorreg_interpol!$B$1:$XFD$1, 0), 0)</f>
        <v>19676.975577095047</v>
      </c>
      <c r="U29" s="7">
        <f>VLOOKUP($B29, gdp_tot_mes!$B:$XFD, MATCH(gdp_capita_mesorreg!U$1, gdp_tot_mes!$B$1:$XFD$1, 0), 0)*1000/VLOOKUP($B29, pop_mesorreg_interpol!$B:$XFD, MATCH(gdp_capita_mesorreg!U$1, pop_mesorreg_interpol!$B$1:$XFD$1, 0), 0)</f>
        <v>21752.628773189241</v>
      </c>
      <c r="V29" s="7">
        <f>VLOOKUP($B29, gdp_tot_mes!$B:$XFD, MATCH(gdp_capita_mesorreg!V$1, gdp_tot_mes!$B$1:$XFD$1, 0), 0)*1000/VLOOKUP($B29, pop_mesorreg_interpol!$B:$XFD, MATCH(gdp_capita_mesorreg!V$1, pop_mesorreg_interpol!$B$1:$XFD$1, 0), 0)</f>
        <v>20988.683367673038</v>
      </c>
      <c r="W29" s="7">
        <f>VLOOKUP($B29, gdp_tot_mes!$B:$XFD, MATCH(gdp_capita_mesorreg!W$1, gdp_tot_mes!$B$1:$XFD$1, 0), 0)*1000/VLOOKUP($B29, pop_mesorreg_interpol!$B:$XFD, MATCH(gdp_capita_mesorreg!W$1, pop_mesorreg_interpol!$B$1:$XFD$1, 0), 0)</f>
        <v>20787.546508559113</v>
      </c>
      <c r="X29" s="7">
        <f>VLOOKUP($B29, gdp_tot_mes!$B:$XFD, MATCH(gdp_capita_mesorreg!X$1, gdp_tot_mes!$B$1:$XFD$1, 0), 0)*1000/VLOOKUP($B29, pop_mesorreg_interpol!$B:$XFD, MATCH(gdp_capita_mesorreg!X$1, pop_mesorreg_interpol!$B$1:$XFD$1, 0), 0)</f>
        <v>15965.131944307655</v>
      </c>
      <c r="Y29" s="7">
        <f>VLOOKUP($B29, gdp_tot_mes!$B:$XFD, MATCH(gdp_capita_mesorreg!Y$1, gdp_tot_mes!$B$1:$XFD$1, 0), 0)*1000/VLOOKUP($B29, pop_mesorreg_interpol!$B:$XFD, MATCH(gdp_capita_mesorreg!Y$1, pop_mesorreg_interpol!$B$1:$XFD$1, 0), 0)</f>
        <v>18010.546302268383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5">
      <c r="A30" s="1" t="s">
        <v>82</v>
      </c>
      <c r="B30" s="1" t="s">
        <v>87</v>
      </c>
      <c r="C30" s="1" t="s">
        <v>88</v>
      </c>
      <c r="D30" s="7">
        <f>VLOOKUP($B30, gdp_tot_mes!$B:$XFD, MATCH(gdp_capita_mesorreg!D$1, gdp_tot_mes!$B$1:$XFD$1, 0), 0)*1000/VLOOKUP($B30, pop_mesorreg_interpol!$B:$XFD, MATCH(gdp_capita_mesorreg!D$1, pop_mesorreg_interpol!$B$1:$XFD$1, 0), 0)</f>
        <v>1024.7665058811663</v>
      </c>
      <c r="E30" s="7">
        <f>VLOOKUP($B30, gdp_tot_mes!$B:$XFD, MATCH(gdp_capita_mesorreg!E$1, gdp_tot_mes!$B$1:$XFD$1, 0), 0)*1000/VLOOKUP($B30, pop_mesorreg_interpol!$B:$XFD, MATCH(gdp_capita_mesorreg!E$1, pop_mesorreg_interpol!$B$1:$XFD$1, 0), 0)</f>
        <v>2070.1623749399341</v>
      </c>
      <c r="F30" s="7">
        <f>VLOOKUP($B30, gdp_tot_mes!$B:$XFD, MATCH(gdp_capita_mesorreg!F$1, gdp_tot_mes!$B$1:$XFD$1, 0), 0)*1000/VLOOKUP($B30, pop_mesorreg_interpol!$B:$XFD, MATCH(gdp_capita_mesorreg!F$1, pop_mesorreg_interpol!$B$1:$XFD$1, 0), 0)</f>
        <v>3367.6014505084677</v>
      </c>
      <c r="G30" s="7">
        <f>VLOOKUP($B30, gdp_tot_mes!$B:$XFD, MATCH(gdp_capita_mesorreg!G$1, gdp_tot_mes!$B$1:$XFD$1, 0), 0)*1000/VLOOKUP($B30, pop_mesorreg_interpol!$B:$XFD, MATCH(gdp_capita_mesorreg!G$1, pop_mesorreg_interpol!$B$1:$XFD$1, 0), 0)</f>
        <v>4275.1649903265579</v>
      </c>
      <c r="H30" s="7">
        <f>VLOOKUP($B30, gdp_tot_mes!$B:$XFD, MATCH(gdp_capita_mesorreg!H$1, gdp_tot_mes!$B$1:$XFD$1, 0), 0)*1000/VLOOKUP($B30, pop_mesorreg_interpol!$B:$XFD, MATCH(gdp_capita_mesorreg!H$1, pop_mesorreg_interpol!$B$1:$XFD$1, 0), 0)</f>
        <v>8360.4069894719178</v>
      </c>
      <c r="I30" s="7">
        <f>VLOOKUP($B30, gdp_tot_mes!$B:$XFD, MATCH(gdp_capita_mesorreg!I$1, gdp_tot_mes!$B$1:$XFD$1, 0), 0)*1000/VLOOKUP($B30, pop_mesorreg_interpol!$B:$XFD, MATCH(gdp_capita_mesorreg!I$1, pop_mesorreg_interpol!$B$1:$XFD$1, 0), 0)</f>
        <v>9150.0220435616811</v>
      </c>
      <c r="J30" s="7">
        <f>VLOOKUP($B30, gdp_tot_mes!$B:$XFD, MATCH(gdp_capita_mesorreg!J$1, gdp_tot_mes!$B$1:$XFD$1, 0), 0)*1000/VLOOKUP($B30, pop_mesorreg_interpol!$B:$XFD, MATCH(gdp_capita_mesorreg!J$1, pop_mesorreg_interpol!$B$1:$XFD$1, 0), 0)</f>
        <v>17123.297753613708</v>
      </c>
      <c r="K30" s="7">
        <f>VLOOKUP($B30, gdp_tot_mes!$B:$XFD, MATCH(gdp_capita_mesorreg!K$1, gdp_tot_mes!$B$1:$XFD$1, 0), 0)*1000/VLOOKUP($B30, pop_mesorreg_interpol!$B:$XFD, MATCH(gdp_capita_mesorreg!K$1, pop_mesorreg_interpol!$B$1:$XFD$1, 0), 0)</f>
        <v>18305.134093907513</v>
      </c>
      <c r="L30" s="8">
        <f>VLOOKUP($B30, gdp_tot_mes!$B:$XFD, MATCH(gdp_capita_mesorreg!L$1, gdp_tot_mes!$B$1:$XFD$1, 0), 0)*1000/VLOOKUP($B30, pop_mesorreg_interpol!$B:$XFD, MATCH(gdp_capita_mesorreg!L$1, pop_mesorreg_interpol!$B$1:$XFD$1, 0), 0)</f>
        <v>17741.492565773398</v>
      </c>
      <c r="M30" s="7">
        <f>VLOOKUP($B30, gdp_tot_mes!$B:$XFD, MATCH(gdp_capita_mesorreg!M$1, gdp_tot_mes!$B$1:$XFD$1, 0), 0)*1000/VLOOKUP($B30, pop_mesorreg_interpol!$B:$XFD, MATCH(gdp_capita_mesorreg!M$1, pop_mesorreg_interpol!$B$1:$XFD$1, 0), 0)</f>
        <v>17238.660921945237</v>
      </c>
      <c r="N30" s="7">
        <f>VLOOKUP($B30, gdp_tot_mes!$B:$XFD, MATCH(gdp_capita_mesorreg!N$1, gdp_tot_mes!$B$1:$XFD$1, 0), 0)*1000/VLOOKUP($B30, pop_mesorreg_interpol!$B:$XFD, MATCH(gdp_capita_mesorreg!N$1, pop_mesorreg_interpol!$B$1:$XFD$1, 0), 0)</f>
        <v>19653.270577954503</v>
      </c>
      <c r="O30" s="7">
        <f>VLOOKUP($B30, gdp_tot_mes!$B:$XFD, MATCH(gdp_capita_mesorreg!O$1, gdp_tot_mes!$B$1:$XFD$1, 0), 0)*1000/VLOOKUP($B30, pop_mesorreg_interpol!$B:$XFD, MATCH(gdp_capita_mesorreg!O$1, pop_mesorreg_interpol!$B$1:$XFD$1, 0), 0)</f>
        <v>20419.405157118003</v>
      </c>
      <c r="P30" s="7">
        <f>VLOOKUP($B30, gdp_tot_mes!$B:$XFD, MATCH(gdp_capita_mesorreg!P$1, gdp_tot_mes!$B$1:$XFD$1, 0), 0)*1000/VLOOKUP($B30, pop_mesorreg_interpol!$B:$XFD, MATCH(gdp_capita_mesorreg!P$1, pop_mesorreg_interpol!$B$1:$XFD$1, 0), 0)</f>
        <v>19887.629704794639</v>
      </c>
      <c r="Q30" s="7">
        <f>VLOOKUP($B30, gdp_tot_mes!$B:$XFD, MATCH(gdp_capita_mesorreg!Q$1, gdp_tot_mes!$B$1:$XFD$1, 0), 0)*1000/VLOOKUP($B30, pop_mesorreg_interpol!$B:$XFD, MATCH(gdp_capita_mesorreg!Q$1, pop_mesorreg_interpol!$B$1:$XFD$1, 0), 0)</f>
        <v>19611.274805377863</v>
      </c>
      <c r="R30" s="7">
        <f>VLOOKUP($B30, gdp_tot_mes!$B:$XFD, MATCH(gdp_capita_mesorreg!R$1, gdp_tot_mes!$B$1:$XFD$1, 0), 0)*1000/VLOOKUP($B30, pop_mesorreg_interpol!$B:$XFD, MATCH(gdp_capita_mesorreg!R$1, pop_mesorreg_interpol!$B$1:$XFD$1, 0), 0)</f>
        <v>19374.684368172286</v>
      </c>
      <c r="S30" s="7">
        <f>VLOOKUP($B30, gdp_tot_mes!$B:$XFD, MATCH(gdp_capita_mesorreg!S$1, gdp_tot_mes!$B$1:$XFD$1, 0), 0)*1000/VLOOKUP($B30, pop_mesorreg_interpol!$B:$XFD, MATCH(gdp_capita_mesorreg!S$1, pop_mesorreg_interpol!$B$1:$XFD$1, 0), 0)</f>
        <v>23797.18141649933</v>
      </c>
      <c r="T30" s="7">
        <f>VLOOKUP($B30, gdp_tot_mes!$B:$XFD, MATCH(gdp_capita_mesorreg!T$1, gdp_tot_mes!$B$1:$XFD$1, 0), 0)*1000/VLOOKUP($B30, pop_mesorreg_interpol!$B:$XFD, MATCH(gdp_capita_mesorreg!T$1, pop_mesorreg_interpol!$B$1:$XFD$1, 0), 0)</f>
        <v>26001.529145067747</v>
      </c>
      <c r="U30" s="7">
        <f>VLOOKUP($B30, gdp_tot_mes!$B:$XFD, MATCH(gdp_capita_mesorreg!U$1, gdp_tot_mes!$B$1:$XFD$1, 0), 0)*1000/VLOOKUP($B30, pop_mesorreg_interpol!$B:$XFD, MATCH(gdp_capita_mesorreg!U$1, pop_mesorreg_interpol!$B$1:$XFD$1, 0), 0)</f>
        <v>25827.279778320906</v>
      </c>
      <c r="V30" s="7">
        <f>VLOOKUP($B30, gdp_tot_mes!$B:$XFD, MATCH(gdp_capita_mesorreg!V$1, gdp_tot_mes!$B$1:$XFD$1, 0), 0)*1000/VLOOKUP($B30, pop_mesorreg_interpol!$B:$XFD, MATCH(gdp_capita_mesorreg!V$1, pop_mesorreg_interpol!$B$1:$XFD$1, 0), 0)</f>
        <v>28168.337462252286</v>
      </c>
      <c r="W30" s="7">
        <f>VLOOKUP($B30, gdp_tot_mes!$B:$XFD, MATCH(gdp_capita_mesorreg!W$1, gdp_tot_mes!$B$1:$XFD$1, 0), 0)*1000/VLOOKUP($B30, pop_mesorreg_interpol!$B:$XFD, MATCH(gdp_capita_mesorreg!W$1, pop_mesorreg_interpol!$B$1:$XFD$1, 0), 0)</f>
        <v>29983.276603877526</v>
      </c>
      <c r="X30" s="7">
        <f>VLOOKUP($B30, gdp_tot_mes!$B:$XFD, MATCH(gdp_capita_mesorreg!X$1, gdp_tot_mes!$B$1:$XFD$1, 0), 0)*1000/VLOOKUP($B30, pop_mesorreg_interpol!$B:$XFD, MATCH(gdp_capita_mesorreg!X$1, pop_mesorreg_interpol!$B$1:$XFD$1, 0), 0)</f>
        <v>26589.164618263301</v>
      </c>
      <c r="Y30" s="7">
        <f>VLOOKUP($B30, gdp_tot_mes!$B:$XFD, MATCH(gdp_capita_mesorreg!Y$1, gdp_tot_mes!$B$1:$XFD$1, 0), 0)*1000/VLOOKUP($B30, pop_mesorreg_interpol!$B:$XFD, MATCH(gdp_capita_mesorreg!Y$1, pop_mesorreg_interpol!$B$1:$XFD$1, 0), 0)</f>
        <v>29716.055787244051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25">
      <c r="A31" s="1" t="s">
        <v>82</v>
      </c>
      <c r="B31" s="1" t="s">
        <v>89</v>
      </c>
      <c r="C31" s="1" t="s">
        <v>90</v>
      </c>
      <c r="D31" s="7">
        <f>VLOOKUP($B31, gdp_tot_mes!$B:$XFD, MATCH(gdp_capita_mesorreg!D$1, gdp_tot_mes!$B$1:$XFD$1, 0), 0)*1000/VLOOKUP($B31, pop_mesorreg_interpol!$B:$XFD, MATCH(gdp_capita_mesorreg!D$1, pop_mesorreg_interpol!$B$1:$XFD$1, 0), 0)</f>
        <v>940.13090594531468</v>
      </c>
      <c r="E31" s="7">
        <f>VLOOKUP($B31, gdp_tot_mes!$B:$XFD, MATCH(gdp_capita_mesorreg!E$1, gdp_tot_mes!$B$1:$XFD$1, 0), 0)*1000/VLOOKUP($B31, pop_mesorreg_interpol!$B:$XFD, MATCH(gdp_capita_mesorreg!E$1, pop_mesorreg_interpol!$B$1:$XFD$1, 0), 0)</f>
        <v>1339.3312805544977</v>
      </c>
      <c r="F31" s="7">
        <f>VLOOKUP($B31, gdp_tot_mes!$B:$XFD, MATCH(gdp_capita_mesorreg!F$1, gdp_tot_mes!$B$1:$XFD$1, 0), 0)*1000/VLOOKUP($B31, pop_mesorreg_interpol!$B:$XFD, MATCH(gdp_capita_mesorreg!F$1, pop_mesorreg_interpol!$B$1:$XFD$1, 0), 0)</f>
        <v>2608.3202758927191</v>
      </c>
      <c r="G31" s="7">
        <f>VLOOKUP($B31, gdp_tot_mes!$B:$XFD, MATCH(gdp_capita_mesorreg!G$1, gdp_tot_mes!$B$1:$XFD$1, 0), 0)*1000/VLOOKUP($B31, pop_mesorreg_interpol!$B:$XFD, MATCH(gdp_capita_mesorreg!G$1, pop_mesorreg_interpol!$B$1:$XFD$1, 0), 0)</f>
        <v>2120.5124946069213</v>
      </c>
      <c r="H31" s="7">
        <f>VLOOKUP($B31, gdp_tot_mes!$B:$XFD, MATCH(gdp_capita_mesorreg!H$1, gdp_tot_mes!$B$1:$XFD$1, 0), 0)*1000/VLOOKUP($B31, pop_mesorreg_interpol!$B:$XFD, MATCH(gdp_capita_mesorreg!H$1, pop_mesorreg_interpol!$B$1:$XFD$1, 0), 0)</f>
        <v>3633.9360091233298</v>
      </c>
      <c r="I31" s="7">
        <f>VLOOKUP($B31, gdp_tot_mes!$B:$XFD, MATCH(gdp_capita_mesorreg!I$1, gdp_tot_mes!$B$1:$XFD$1, 0), 0)*1000/VLOOKUP($B31, pop_mesorreg_interpol!$B:$XFD, MATCH(gdp_capita_mesorreg!I$1, pop_mesorreg_interpol!$B$1:$XFD$1, 0), 0)</f>
        <v>5791.6179222884703</v>
      </c>
      <c r="J31" s="7">
        <f>VLOOKUP($B31, gdp_tot_mes!$B:$XFD, MATCH(gdp_capita_mesorreg!J$1, gdp_tot_mes!$B$1:$XFD$1, 0), 0)*1000/VLOOKUP($B31, pop_mesorreg_interpol!$B:$XFD, MATCH(gdp_capita_mesorreg!J$1, pop_mesorreg_interpol!$B$1:$XFD$1, 0), 0)</f>
        <v>8600.7531855447651</v>
      </c>
      <c r="K31" s="7">
        <f>VLOOKUP($B31, gdp_tot_mes!$B:$XFD, MATCH(gdp_capita_mesorreg!K$1, gdp_tot_mes!$B$1:$XFD$1, 0), 0)*1000/VLOOKUP($B31, pop_mesorreg_interpol!$B:$XFD, MATCH(gdp_capita_mesorreg!K$1, pop_mesorreg_interpol!$B$1:$XFD$1, 0), 0)</f>
        <v>9656.7286986802064</v>
      </c>
      <c r="L31" s="8">
        <f>VLOOKUP($B31, gdp_tot_mes!$B:$XFD, MATCH(gdp_capita_mesorreg!L$1, gdp_tot_mes!$B$1:$XFD$1, 0), 0)*1000/VLOOKUP($B31, pop_mesorreg_interpol!$B:$XFD, MATCH(gdp_capita_mesorreg!L$1, pop_mesorreg_interpol!$B$1:$XFD$1, 0), 0)</f>
        <v>9548.2439234653757</v>
      </c>
      <c r="M31" s="7">
        <f>VLOOKUP($B31, gdp_tot_mes!$B:$XFD, MATCH(gdp_capita_mesorreg!M$1, gdp_tot_mes!$B$1:$XFD$1, 0), 0)*1000/VLOOKUP($B31, pop_mesorreg_interpol!$B:$XFD, MATCH(gdp_capita_mesorreg!M$1, pop_mesorreg_interpol!$B$1:$XFD$1, 0), 0)</f>
        <v>9435.9677570691656</v>
      </c>
      <c r="N31" s="7">
        <f>VLOOKUP($B31, gdp_tot_mes!$B:$XFD, MATCH(gdp_capita_mesorreg!N$1, gdp_tot_mes!$B$1:$XFD$1, 0), 0)*1000/VLOOKUP($B31, pop_mesorreg_interpol!$B:$XFD, MATCH(gdp_capita_mesorreg!N$1, pop_mesorreg_interpol!$B$1:$XFD$1, 0), 0)</f>
        <v>10002.67712887943</v>
      </c>
      <c r="O31" s="7">
        <f>VLOOKUP($B31, gdp_tot_mes!$B:$XFD, MATCH(gdp_capita_mesorreg!O$1, gdp_tot_mes!$B$1:$XFD$1, 0), 0)*1000/VLOOKUP($B31, pop_mesorreg_interpol!$B:$XFD, MATCH(gdp_capita_mesorreg!O$1, pop_mesorreg_interpol!$B$1:$XFD$1, 0), 0)</f>
        <v>10376.459282559752</v>
      </c>
      <c r="P31" s="7">
        <f>VLOOKUP($B31, gdp_tot_mes!$B:$XFD, MATCH(gdp_capita_mesorreg!P$1, gdp_tot_mes!$B$1:$XFD$1, 0), 0)*1000/VLOOKUP($B31, pop_mesorreg_interpol!$B:$XFD, MATCH(gdp_capita_mesorreg!P$1, pop_mesorreg_interpol!$B$1:$XFD$1, 0), 0)</f>
        <v>9673.4389676480096</v>
      </c>
      <c r="Q31" s="7">
        <f>VLOOKUP($B31, gdp_tot_mes!$B:$XFD, MATCH(gdp_capita_mesorreg!Q$1, gdp_tot_mes!$B$1:$XFD$1, 0), 0)*1000/VLOOKUP($B31, pop_mesorreg_interpol!$B:$XFD, MATCH(gdp_capita_mesorreg!Q$1, pop_mesorreg_interpol!$B$1:$XFD$1, 0), 0)</f>
        <v>9351.5052845208284</v>
      </c>
      <c r="R31" s="7">
        <f>VLOOKUP($B31, gdp_tot_mes!$B:$XFD, MATCH(gdp_capita_mesorreg!R$1, gdp_tot_mes!$B$1:$XFD$1, 0), 0)*1000/VLOOKUP($B31, pop_mesorreg_interpol!$B:$XFD, MATCH(gdp_capita_mesorreg!R$1, pop_mesorreg_interpol!$B$1:$XFD$1, 0), 0)</f>
        <v>10211.280345848374</v>
      </c>
      <c r="S31" s="7">
        <f>VLOOKUP($B31, gdp_tot_mes!$B:$XFD, MATCH(gdp_capita_mesorreg!S$1, gdp_tot_mes!$B$1:$XFD$1, 0), 0)*1000/VLOOKUP($B31, pop_mesorreg_interpol!$B:$XFD, MATCH(gdp_capita_mesorreg!S$1, pop_mesorreg_interpol!$B$1:$XFD$1, 0), 0)</f>
        <v>10829.27818369797</v>
      </c>
      <c r="T31" s="7">
        <f>VLOOKUP($B31, gdp_tot_mes!$B:$XFD, MATCH(gdp_capita_mesorreg!T$1, gdp_tot_mes!$B$1:$XFD$1, 0), 0)*1000/VLOOKUP($B31, pop_mesorreg_interpol!$B:$XFD, MATCH(gdp_capita_mesorreg!T$1, pop_mesorreg_interpol!$B$1:$XFD$1, 0), 0)</f>
        <v>10876.918373489558</v>
      </c>
      <c r="U31" s="7">
        <f>VLOOKUP($B31, gdp_tot_mes!$B:$XFD, MATCH(gdp_capita_mesorreg!U$1, gdp_tot_mes!$B$1:$XFD$1, 0), 0)*1000/VLOOKUP($B31, pop_mesorreg_interpol!$B:$XFD, MATCH(gdp_capita_mesorreg!U$1, pop_mesorreg_interpol!$B$1:$XFD$1, 0), 0)</f>
        <v>11016.494427749134</v>
      </c>
      <c r="V31" s="7">
        <f>VLOOKUP($B31, gdp_tot_mes!$B:$XFD, MATCH(gdp_capita_mesorreg!V$1, gdp_tot_mes!$B$1:$XFD$1, 0), 0)*1000/VLOOKUP($B31, pop_mesorreg_interpol!$B:$XFD, MATCH(gdp_capita_mesorreg!V$1, pop_mesorreg_interpol!$B$1:$XFD$1, 0), 0)</f>
        <v>12792.121997383261</v>
      </c>
      <c r="W31" s="7">
        <f>VLOOKUP($B31, gdp_tot_mes!$B:$XFD, MATCH(gdp_capita_mesorreg!W$1, gdp_tot_mes!$B$1:$XFD$1, 0), 0)*1000/VLOOKUP($B31, pop_mesorreg_interpol!$B:$XFD, MATCH(gdp_capita_mesorreg!W$1, pop_mesorreg_interpol!$B$1:$XFD$1, 0), 0)</f>
        <v>13683.425710617727</v>
      </c>
      <c r="X31" s="7">
        <f>VLOOKUP($B31, gdp_tot_mes!$B:$XFD, MATCH(gdp_capita_mesorreg!X$1, gdp_tot_mes!$B$1:$XFD$1, 0), 0)*1000/VLOOKUP($B31, pop_mesorreg_interpol!$B:$XFD, MATCH(gdp_capita_mesorreg!X$1, pop_mesorreg_interpol!$B$1:$XFD$1, 0), 0)</f>
        <v>12241.18987562576</v>
      </c>
      <c r="Y31" s="7">
        <f>VLOOKUP($B31, gdp_tot_mes!$B:$XFD, MATCH(gdp_capita_mesorreg!Y$1, gdp_tot_mes!$B$1:$XFD$1, 0), 0)*1000/VLOOKUP($B31, pop_mesorreg_interpol!$B:$XFD, MATCH(gdp_capita_mesorreg!Y$1, pop_mesorreg_interpol!$B$1:$XFD$1, 0), 0)</f>
        <v>14611.128594500417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25">
      <c r="A32" s="1" t="s">
        <v>91</v>
      </c>
      <c r="B32" s="1" t="s">
        <v>92</v>
      </c>
      <c r="C32" s="1" t="s">
        <v>93</v>
      </c>
      <c r="D32" s="7">
        <f>VLOOKUP($B32, gdp_tot_mes!$B:$XFD, MATCH(gdp_capita_mesorreg!D$1, gdp_tot_mes!$B$1:$XFD$1, 0), 0)*1000/VLOOKUP($B32, pop_mesorreg_interpol!$B:$XFD, MATCH(gdp_capita_mesorreg!D$1, pop_mesorreg_interpol!$B$1:$XFD$1, 0), 0)</f>
        <v>757.15325323894365</v>
      </c>
      <c r="E32" s="7">
        <f>VLOOKUP($B32, gdp_tot_mes!$B:$XFD, MATCH(gdp_capita_mesorreg!E$1, gdp_tot_mes!$B$1:$XFD$1, 0), 0)*1000/VLOOKUP($B32, pop_mesorreg_interpol!$B:$XFD, MATCH(gdp_capita_mesorreg!E$1, pop_mesorreg_interpol!$B$1:$XFD$1, 0), 0)</f>
        <v>797.68200131356616</v>
      </c>
      <c r="F32" s="7">
        <f>VLOOKUP($B32, gdp_tot_mes!$B:$XFD, MATCH(gdp_capita_mesorreg!F$1, gdp_tot_mes!$B$1:$XFD$1, 0), 0)*1000/VLOOKUP($B32, pop_mesorreg_interpol!$B:$XFD, MATCH(gdp_capita_mesorreg!F$1, pop_mesorreg_interpol!$B$1:$XFD$1, 0), 0)</f>
        <v>825.11779733612468</v>
      </c>
      <c r="G32" s="7">
        <f>VLOOKUP($B32, gdp_tot_mes!$B:$XFD, MATCH(gdp_capita_mesorreg!G$1, gdp_tot_mes!$B$1:$XFD$1, 0), 0)*1000/VLOOKUP($B32, pop_mesorreg_interpol!$B:$XFD, MATCH(gdp_capita_mesorreg!G$1, pop_mesorreg_interpol!$B$1:$XFD$1, 0), 0)</f>
        <v>1487.7457620686203</v>
      </c>
      <c r="H32" s="7">
        <f>VLOOKUP($B32, gdp_tot_mes!$B:$XFD, MATCH(gdp_capita_mesorreg!H$1, gdp_tot_mes!$B$1:$XFD$1, 0), 0)*1000/VLOOKUP($B32, pop_mesorreg_interpol!$B:$XFD, MATCH(gdp_capita_mesorreg!H$1, pop_mesorreg_interpol!$B$1:$XFD$1, 0), 0)</f>
        <v>2295.3189077390402</v>
      </c>
      <c r="I32" s="7">
        <f>VLOOKUP($B32, gdp_tot_mes!$B:$XFD, MATCH(gdp_capita_mesorreg!I$1, gdp_tot_mes!$B$1:$XFD$1, 0), 0)*1000/VLOOKUP($B32, pop_mesorreg_interpol!$B:$XFD, MATCH(gdp_capita_mesorreg!I$1, pop_mesorreg_interpol!$B$1:$XFD$1, 0), 0)</f>
        <v>5777.1123776344775</v>
      </c>
      <c r="J32" s="7">
        <f>VLOOKUP($B32, gdp_tot_mes!$B:$XFD, MATCH(gdp_capita_mesorreg!J$1, gdp_tot_mes!$B$1:$XFD$1, 0), 0)*1000/VLOOKUP($B32, pop_mesorreg_interpol!$B:$XFD, MATCH(gdp_capita_mesorreg!J$1, pop_mesorreg_interpol!$B$1:$XFD$1, 0), 0)</f>
        <v>7359.0149017125996</v>
      </c>
      <c r="K32" s="7">
        <f>VLOOKUP($B32, gdp_tot_mes!$B:$XFD, MATCH(gdp_capita_mesorreg!K$1, gdp_tot_mes!$B$1:$XFD$1, 0), 0)*1000/VLOOKUP($B32, pop_mesorreg_interpol!$B:$XFD, MATCH(gdp_capita_mesorreg!K$1, pop_mesorreg_interpol!$B$1:$XFD$1, 0), 0)</f>
        <v>10130.260099636849</v>
      </c>
      <c r="L32" s="8">
        <f>VLOOKUP($B32, gdp_tot_mes!$B:$XFD, MATCH(gdp_capita_mesorreg!L$1, gdp_tot_mes!$B$1:$XFD$1, 0), 0)*1000/VLOOKUP($B32, pop_mesorreg_interpol!$B:$XFD, MATCH(gdp_capita_mesorreg!L$1, pop_mesorreg_interpol!$B$1:$XFD$1, 0), 0)</f>
        <v>8856.0067341438917</v>
      </c>
      <c r="M32" s="7">
        <f>VLOOKUP($B32, gdp_tot_mes!$B:$XFD, MATCH(gdp_capita_mesorreg!M$1, gdp_tot_mes!$B$1:$XFD$1, 0), 0)*1000/VLOOKUP($B32, pop_mesorreg_interpol!$B:$XFD, MATCH(gdp_capita_mesorreg!M$1, pop_mesorreg_interpol!$B$1:$XFD$1, 0), 0)</f>
        <v>7422.0613319626927</v>
      </c>
      <c r="N32" s="7">
        <f>VLOOKUP($B32, gdp_tot_mes!$B:$XFD, MATCH(gdp_capita_mesorreg!N$1, gdp_tot_mes!$B$1:$XFD$1, 0), 0)*1000/VLOOKUP($B32, pop_mesorreg_interpol!$B:$XFD, MATCH(gdp_capita_mesorreg!N$1, pop_mesorreg_interpol!$B$1:$XFD$1, 0), 0)</f>
        <v>7072.1111567432044</v>
      </c>
      <c r="O32" s="7">
        <f>VLOOKUP($B32, gdp_tot_mes!$B:$XFD, MATCH(gdp_capita_mesorreg!O$1, gdp_tot_mes!$B$1:$XFD$1, 0), 0)*1000/VLOOKUP($B32, pop_mesorreg_interpol!$B:$XFD, MATCH(gdp_capita_mesorreg!O$1, pop_mesorreg_interpol!$B$1:$XFD$1, 0), 0)</f>
        <v>8291.1954407589546</v>
      </c>
      <c r="P32" s="18">
        <f>VLOOKUP($B32, gdp_tot_mes!$B:$XFD, MATCH(gdp_capita_mesorreg!P$1, gdp_tot_mes!$B$1:$XFD$1, 0), 0)*1000/VLOOKUP($B32, pop_mesorreg_interpol!$B:$XFD, MATCH(gdp_capita_mesorreg!P$1, pop_mesorreg_interpol!$B$1:$XFD$1, 0), 0)</f>
        <v>8781.3760827309816</v>
      </c>
      <c r="Q32" s="7">
        <f>VLOOKUP($B32, gdp_tot_mes!$B:$XFD, MATCH(gdp_capita_mesorreg!Q$1, gdp_tot_mes!$B$1:$XFD$1, 0), 0)*1000/VLOOKUP($B32, pop_mesorreg_interpol!$B:$XFD, MATCH(gdp_capita_mesorreg!Q$1, pop_mesorreg_interpol!$B$1:$XFD$1, 0), 0)</f>
        <v>10239.604176886682</v>
      </c>
      <c r="R32" s="7">
        <f>VLOOKUP($B32, gdp_tot_mes!$B:$XFD, MATCH(gdp_capita_mesorreg!R$1, gdp_tot_mes!$B$1:$XFD$1, 0), 0)*1000/VLOOKUP($B32, pop_mesorreg_interpol!$B:$XFD, MATCH(gdp_capita_mesorreg!R$1, pop_mesorreg_interpol!$B$1:$XFD$1, 0), 0)</f>
        <v>10658.097859338941</v>
      </c>
      <c r="S32" s="7">
        <f>VLOOKUP($B32, gdp_tot_mes!$B:$XFD, MATCH(gdp_capita_mesorreg!S$1, gdp_tot_mes!$B$1:$XFD$1, 0), 0)*1000/VLOOKUP($B32, pop_mesorreg_interpol!$B:$XFD, MATCH(gdp_capita_mesorreg!S$1, pop_mesorreg_interpol!$B$1:$XFD$1, 0), 0)</f>
        <v>11107.852595695944</v>
      </c>
      <c r="T32" s="7">
        <f>VLOOKUP($B32, gdp_tot_mes!$B:$XFD, MATCH(gdp_capita_mesorreg!T$1, gdp_tot_mes!$B$1:$XFD$1, 0), 0)*1000/VLOOKUP($B32, pop_mesorreg_interpol!$B:$XFD, MATCH(gdp_capita_mesorreg!T$1, pop_mesorreg_interpol!$B$1:$XFD$1, 0), 0)</f>
        <v>11091.854629645299</v>
      </c>
      <c r="U32" s="7">
        <f>VLOOKUP($B32, gdp_tot_mes!$B:$XFD, MATCH(gdp_capita_mesorreg!U$1, gdp_tot_mes!$B$1:$XFD$1, 0), 0)*1000/VLOOKUP($B32, pop_mesorreg_interpol!$B:$XFD, MATCH(gdp_capita_mesorreg!U$1, pop_mesorreg_interpol!$B$1:$XFD$1, 0), 0)</f>
        <v>11242.006635838001</v>
      </c>
      <c r="V32" s="7">
        <f>VLOOKUP($B32, gdp_tot_mes!$B:$XFD, MATCH(gdp_capita_mesorreg!V$1, gdp_tot_mes!$B$1:$XFD$1, 0), 0)*1000/VLOOKUP($B32, pop_mesorreg_interpol!$B:$XFD, MATCH(gdp_capita_mesorreg!V$1, pop_mesorreg_interpol!$B$1:$XFD$1, 0), 0)</f>
        <v>11625.513920249521</v>
      </c>
      <c r="W32" s="7">
        <f>VLOOKUP($B32, gdp_tot_mes!$B:$XFD, MATCH(gdp_capita_mesorreg!W$1, gdp_tot_mes!$B$1:$XFD$1, 0), 0)*1000/VLOOKUP($B32, pop_mesorreg_interpol!$B:$XFD, MATCH(gdp_capita_mesorreg!W$1, pop_mesorreg_interpol!$B$1:$XFD$1, 0), 0)</f>
        <v>11741.224353655305</v>
      </c>
      <c r="X32" s="7">
        <f>VLOOKUP($B32, gdp_tot_mes!$B:$XFD, MATCH(gdp_capita_mesorreg!X$1, gdp_tot_mes!$B$1:$XFD$1, 0), 0)*1000/VLOOKUP($B32, pop_mesorreg_interpol!$B:$XFD, MATCH(gdp_capita_mesorreg!X$1, pop_mesorreg_interpol!$B$1:$XFD$1, 0), 0)</f>
        <v>11692.356290690555</v>
      </c>
      <c r="Y32" s="7">
        <f>VLOOKUP($B32, gdp_tot_mes!$B:$XFD, MATCH(gdp_capita_mesorreg!Y$1, gdp_tot_mes!$B$1:$XFD$1, 0), 0)*1000/VLOOKUP($B32, pop_mesorreg_interpol!$B:$XFD, MATCH(gdp_capita_mesorreg!Y$1, pop_mesorreg_interpol!$B$1:$XFD$1, 0), 0)</f>
        <v>12165.254283783968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25">
      <c r="A33" s="1" t="s">
        <v>91</v>
      </c>
      <c r="B33" s="1" t="s">
        <v>94</v>
      </c>
      <c r="C33" s="1" t="s">
        <v>95</v>
      </c>
      <c r="D33" s="7">
        <f>VLOOKUP($B33, gdp_tot_mes!$B:$XFD, MATCH(gdp_capita_mesorreg!D$1, gdp_tot_mes!$B$1:$XFD$1, 0), 0)*1000/VLOOKUP($B33, pop_mesorreg_interpol!$B:$XFD, MATCH(gdp_capita_mesorreg!D$1, pop_mesorreg_interpol!$B$1:$XFD$1, 0), 0)</f>
        <v>463.98506818606421</v>
      </c>
      <c r="E33" s="7">
        <f>VLOOKUP($B33, gdp_tot_mes!$B:$XFD, MATCH(gdp_capita_mesorreg!E$1, gdp_tot_mes!$B$1:$XFD$1, 0), 0)*1000/VLOOKUP($B33, pop_mesorreg_interpol!$B:$XFD, MATCH(gdp_capita_mesorreg!E$1, pop_mesorreg_interpol!$B$1:$XFD$1, 0), 0)</f>
        <v>1866.9106235733341</v>
      </c>
      <c r="F33" s="7">
        <f>VLOOKUP($B33, gdp_tot_mes!$B:$XFD, MATCH(gdp_capita_mesorreg!F$1, gdp_tot_mes!$B$1:$XFD$1, 0), 0)*1000/VLOOKUP($B33, pop_mesorreg_interpol!$B:$XFD, MATCH(gdp_capita_mesorreg!F$1, pop_mesorreg_interpol!$B$1:$XFD$1, 0), 0)</f>
        <v>731.42497041232934</v>
      </c>
      <c r="G33" s="7">
        <f>VLOOKUP($B33, gdp_tot_mes!$B:$XFD, MATCH(gdp_capita_mesorreg!G$1, gdp_tot_mes!$B$1:$XFD$1, 0), 0)*1000/VLOOKUP($B33, pop_mesorreg_interpol!$B:$XFD, MATCH(gdp_capita_mesorreg!G$1, pop_mesorreg_interpol!$B$1:$XFD$1, 0), 0)</f>
        <v>1339.1225814856916</v>
      </c>
      <c r="H33" s="7">
        <f>VLOOKUP($B33, gdp_tot_mes!$B:$XFD, MATCH(gdp_capita_mesorreg!H$1, gdp_tot_mes!$B$1:$XFD$1, 0), 0)*1000/VLOOKUP($B33, pop_mesorreg_interpol!$B:$XFD, MATCH(gdp_capita_mesorreg!H$1, pop_mesorreg_interpol!$B$1:$XFD$1, 0), 0)</f>
        <v>2680.5826127342152</v>
      </c>
      <c r="I33" s="7">
        <f>VLOOKUP($B33, gdp_tot_mes!$B:$XFD, MATCH(gdp_capita_mesorreg!I$1, gdp_tot_mes!$B$1:$XFD$1, 0), 0)*1000/VLOOKUP($B33, pop_mesorreg_interpol!$B:$XFD, MATCH(gdp_capita_mesorreg!I$1, pop_mesorreg_interpol!$B$1:$XFD$1, 0), 0)</f>
        <v>3532.9915392269436</v>
      </c>
      <c r="J33" s="7">
        <f>VLOOKUP($B33, gdp_tot_mes!$B:$XFD, MATCH(gdp_capita_mesorreg!J$1, gdp_tot_mes!$B$1:$XFD$1, 0), 0)*1000/VLOOKUP($B33, pop_mesorreg_interpol!$B:$XFD, MATCH(gdp_capita_mesorreg!J$1, pop_mesorreg_interpol!$B$1:$XFD$1, 0), 0)</f>
        <v>7067.8487938785711</v>
      </c>
      <c r="K33" s="7">
        <f>VLOOKUP($B33, gdp_tot_mes!$B:$XFD, MATCH(gdp_capita_mesorreg!K$1, gdp_tot_mes!$B$1:$XFD$1, 0), 0)*1000/VLOOKUP($B33, pop_mesorreg_interpol!$B:$XFD, MATCH(gdp_capita_mesorreg!K$1, pop_mesorreg_interpol!$B$1:$XFD$1, 0), 0)</f>
        <v>9716.7176270414457</v>
      </c>
      <c r="L33" s="8">
        <f>VLOOKUP($B33, gdp_tot_mes!$B:$XFD, MATCH(gdp_capita_mesorreg!L$1, gdp_tot_mes!$B$1:$XFD$1, 0), 0)*1000/VLOOKUP($B33, pop_mesorreg_interpol!$B:$XFD, MATCH(gdp_capita_mesorreg!L$1, pop_mesorreg_interpol!$B$1:$XFD$1, 0), 0)</f>
        <v>8339.6053679758297</v>
      </c>
      <c r="M33" s="7">
        <f>VLOOKUP($B33, gdp_tot_mes!$B:$XFD, MATCH(gdp_capita_mesorreg!M$1, gdp_tot_mes!$B$1:$XFD$1, 0), 0)*1000/VLOOKUP($B33, pop_mesorreg_interpol!$B:$XFD, MATCH(gdp_capita_mesorreg!M$1, pop_mesorreg_interpol!$B$1:$XFD$1, 0), 0)</f>
        <v>6867.8127445288765</v>
      </c>
      <c r="N33" s="7">
        <f>VLOOKUP($B33, gdp_tot_mes!$B:$XFD, MATCH(gdp_capita_mesorreg!N$1, gdp_tot_mes!$B$1:$XFD$1, 0), 0)*1000/VLOOKUP($B33, pop_mesorreg_interpol!$B:$XFD, MATCH(gdp_capita_mesorreg!N$1, pop_mesorreg_interpol!$B$1:$XFD$1, 0), 0)</f>
        <v>7860.5988087733967</v>
      </c>
      <c r="O33" s="7">
        <f>VLOOKUP($B33, gdp_tot_mes!$B:$XFD, MATCH(gdp_capita_mesorreg!O$1, gdp_tot_mes!$B$1:$XFD$1, 0), 0)*1000/VLOOKUP($B33, pop_mesorreg_interpol!$B:$XFD, MATCH(gdp_capita_mesorreg!O$1, pop_mesorreg_interpol!$B$1:$XFD$1, 0), 0)</f>
        <v>8946.9518731114858</v>
      </c>
      <c r="P33" s="7">
        <f>VLOOKUP($B33, gdp_tot_mes!$B:$XFD, MATCH(gdp_capita_mesorreg!P$1, gdp_tot_mes!$B$1:$XFD$1, 0), 0)*1000/VLOOKUP($B33, pop_mesorreg_interpol!$B:$XFD, MATCH(gdp_capita_mesorreg!P$1, pop_mesorreg_interpol!$B$1:$XFD$1, 0), 0)</f>
        <v>10055.506754042877</v>
      </c>
      <c r="Q33" s="7">
        <f>VLOOKUP($B33, gdp_tot_mes!$B:$XFD, MATCH(gdp_capita_mesorreg!Q$1, gdp_tot_mes!$B$1:$XFD$1, 0), 0)*1000/VLOOKUP($B33, pop_mesorreg_interpol!$B:$XFD, MATCH(gdp_capita_mesorreg!Q$1, pop_mesorreg_interpol!$B$1:$XFD$1, 0), 0)</f>
        <v>10492.471037699563</v>
      </c>
      <c r="R33" s="7">
        <f>VLOOKUP($B33, gdp_tot_mes!$B:$XFD, MATCH(gdp_capita_mesorreg!R$1, gdp_tot_mes!$B$1:$XFD$1, 0), 0)*1000/VLOOKUP($B33, pop_mesorreg_interpol!$B:$XFD, MATCH(gdp_capita_mesorreg!R$1, pop_mesorreg_interpol!$B$1:$XFD$1, 0), 0)</f>
        <v>11107.607392596006</v>
      </c>
      <c r="S33" s="7">
        <f>VLOOKUP($B33, gdp_tot_mes!$B:$XFD, MATCH(gdp_capita_mesorreg!S$1, gdp_tot_mes!$B$1:$XFD$1, 0), 0)*1000/VLOOKUP($B33, pop_mesorreg_interpol!$B:$XFD, MATCH(gdp_capita_mesorreg!S$1, pop_mesorreg_interpol!$B$1:$XFD$1, 0), 0)</f>
        <v>11509.888955652556</v>
      </c>
      <c r="T33" s="7">
        <f>VLOOKUP($B33, gdp_tot_mes!$B:$XFD, MATCH(gdp_capita_mesorreg!T$1, gdp_tot_mes!$B$1:$XFD$1, 0), 0)*1000/VLOOKUP($B33, pop_mesorreg_interpol!$B:$XFD, MATCH(gdp_capita_mesorreg!T$1, pop_mesorreg_interpol!$B$1:$XFD$1, 0), 0)</f>
        <v>11692.092854333892</v>
      </c>
      <c r="U33" s="7">
        <f>VLOOKUP($B33, gdp_tot_mes!$B:$XFD, MATCH(gdp_capita_mesorreg!U$1, gdp_tot_mes!$B$1:$XFD$1, 0), 0)*1000/VLOOKUP($B33, pop_mesorreg_interpol!$B:$XFD, MATCH(gdp_capita_mesorreg!U$1, pop_mesorreg_interpol!$B$1:$XFD$1, 0), 0)</f>
        <v>12166.717188156741</v>
      </c>
      <c r="V33" s="7">
        <f>VLOOKUP($B33, gdp_tot_mes!$B:$XFD, MATCH(gdp_capita_mesorreg!V$1, gdp_tot_mes!$B$1:$XFD$1, 0), 0)*1000/VLOOKUP($B33, pop_mesorreg_interpol!$B:$XFD, MATCH(gdp_capita_mesorreg!V$1, pop_mesorreg_interpol!$B$1:$XFD$1, 0), 0)</f>
        <v>15123.066868763892</v>
      </c>
      <c r="W33" s="7">
        <f>VLOOKUP($B33, gdp_tot_mes!$B:$XFD, MATCH(gdp_capita_mesorreg!W$1, gdp_tot_mes!$B$1:$XFD$1, 0), 0)*1000/VLOOKUP($B33, pop_mesorreg_interpol!$B:$XFD, MATCH(gdp_capita_mesorreg!W$1, pop_mesorreg_interpol!$B$1:$XFD$1, 0), 0)</f>
        <v>14536.007682556026</v>
      </c>
      <c r="X33" s="7">
        <f>VLOOKUP($B33, gdp_tot_mes!$B:$XFD, MATCH(gdp_capita_mesorreg!X$1, gdp_tot_mes!$B$1:$XFD$1, 0), 0)*1000/VLOOKUP($B33, pop_mesorreg_interpol!$B:$XFD, MATCH(gdp_capita_mesorreg!X$1, pop_mesorreg_interpol!$B$1:$XFD$1, 0), 0)</f>
        <v>13053.063415991417</v>
      </c>
      <c r="Y33" s="7">
        <f>VLOOKUP($B33, gdp_tot_mes!$B:$XFD, MATCH(gdp_capita_mesorreg!Y$1, gdp_tot_mes!$B$1:$XFD$1, 0), 0)*1000/VLOOKUP($B33, pop_mesorreg_interpol!$B:$XFD, MATCH(gdp_capita_mesorreg!Y$1, pop_mesorreg_interpol!$B$1:$XFD$1, 0), 0)</f>
        <v>15501.005586345242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25">
      <c r="A34" s="1" t="s">
        <v>91</v>
      </c>
      <c r="B34" s="1" t="s">
        <v>96</v>
      </c>
      <c r="C34" s="1" t="s">
        <v>97</v>
      </c>
      <c r="D34" s="7">
        <f>VLOOKUP($B34, gdp_tot_mes!$B:$XFD, MATCH(gdp_capita_mesorreg!D$1, gdp_tot_mes!$B$1:$XFD$1, 0), 0)*1000/VLOOKUP($B34, pop_mesorreg_interpol!$B:$XFD, MATCH(gdp_capita_mesorreg!D$1, pop_mesorreg_interpol!$B$1:$XFD$1, 0), 0)</f>
        <v>638.95945651519867</v>
      </c>
      <c r="E34" s="7">
        <f>VLOOKUP($B34, gdp_tot_mes!$B:$XFD, MATCH(gdp_capita_mesorreg!E$1, gdp_tot_mes!$B$1:$XFD$1, 0), 0)*1000/VLOOKUP($B34, pop_mesorreg_interpol!$B:$XFD, MATCH(gdp_capita_mesorreg!E$1, pop_mesorreg_interpol!$B$1:$XFD$1, 0), 0)</f>
        <v>1502.5361543815225</v>
      </c>
      <c r="F34" s="7">
        <f>VLOOKUP($B34, gdp_tot_mes!$B:$XFD, MATCH(gdp_capita_mesorreg!F$1, gdp_tot_mes!$B$1:$XFD$1, 0), 0)*1000/VLOOKUP($B34, pop_mesorreg_interpol!$B:$XFD, MATCH(gdp_capita_mesorreg!F$1, pop_mesorreg_interpol!$B$1:$XFD$1, 0), 0)</f>
        <v>1965.4066059881002</v>
      </c>
      <c r="G34" s="7">
        <f>VLOOKUP($B34, gdp_tot_mes!$B:$XFD, MATCH(gdp_capita_mesorreg!G$1, gdp_tot_mes!$B$1:$XFD$1, 0), 0)*1000/VLOOKUP($B34, pop_mesorreg_interpol!$B:$XFD, MATCH(gdp_capita_mesorreg!G$1, pop_mesorreg_interpol!$B$1:$XFD$1, 0), 0)</f>
        <v>2920.7292558945915</v>
      </c>
      <c r="H34" s="7">
        <f>VLOOKUP($B34, gdp_tot_mes!$B:$XFD, MATCH(gdp_capita_mesorreg!H$1, gdp_tot_mes!$B$1:$XFD$1, 0), 0)*1000/VLOOKUP($B34, pop_mesorreg_interpol!$B:$XFD, MATCH(gdp_capita_mesorreg!H$1, pop_mesorreg_interpol!$B$1:$XFD$1, 0), 0)</f>
        <v>4859.4442060231286</v>
      </c>
      <c r="I34" s="7">
        <f>VLOOKUP($B34, gdp_tot_mes!$B:$XFD, MATCH(gdp_capita_mesorreg!I$1, gdp_tot_mes!$B$1:$XFD$1, 0), 0)*1000/VLOOKUP($B34, pop_mesorreg_interpol!$B:$XFD, MATCH(gdp_capita_mesorreg!I$1, pop_mesorreg_interpol!$B$1:$XFD$1, 0), 0)</f>
        <v>6815.4718101282378</v>
      </c>
      <c r="J34" s="7">
        <f>VLOOKUP($B34, gdp_tot_mes!$B:$XFD, MATCH(gdp_capita_mesorreg!J$1, gdp_tot_mes!$B$1:$XFD$1, 0), 0)*1000/VLOOKUP($B34, pop_mesorreg_interpol!$B:$XFD, MATCH(gdp_capita_mesorreg!J$1, pop_mesorreg_interpol!$B$1:$XFD$1, 0), 0)</f>
        <v>10461.324049708672</v>
      </c>
      <c r="K34" s="7">
        <f>VLOOKUP($B34, gdp_tot_mes!$B:$XFD, MATCH(gdp_capita_mesorreg!K$1, gdp_tot_mes!$B$1:$XFD$1, 0), 0)*1000/VLOOKUP($B34, pop_mesorreg_interpol!$B:$XFD, MATCH(gdp_capita_mesorreg!K$1, pop_mesorreg_interpol!$B$1:$XFD$1, 0), 0)</f>
        <v>11732.405884946722</v>
      </c>
      <c r="L34" s="8">
        <f>VLOOKUP($B34, gdp_tot_mes!$B:$XFD, MATCH(gdp_capita_mesorreg!L$1, gdp_tot_mes!$B$1:$XFD$1, 0), 0)*1000/VLOOKUP($B34, pop_mesorreg_interpol!$B:$XFD, MATCH(gdp_capita_mesorreg!L$1, pop_mesorreg_interpol!$B$1:$XFD$1, 0), 0)</f>
        <v>11955.476311027189</v>
      </c>
      <c r="M34" s="7">
        <f>VLOOKUP($B34, gdp_tot_mes!$B:$XFD, MATCH(gdp_capita_mesorreg!M$1, gdp_tot_mes!$B$1:$XFD$1, 0), 0)*1000/VLOOKUP($B34, pop_mesorreg_interpol!$B:$XFD, MATCH(gdp_capita_mesorreg!M$1, pop_mesorreg_interpol!$B$1:$XFD$1, 0), 0)</f>
        <v>12164.85940853702</v>
      </c>
      <c r="N34" s="7">
        <f>VLOOKUP($B34, gdp_tot_mes!$B:$XFD, MATCH(gdp_capita_mesorreg!N$1, gdp_tot_mes!$B$1:$XFD$1, 0), 0)*1000/VLOOKUP($B34, pop_mesorreg_interpol!$B:$XFD, MATCH(gdp_capita_mesorreg!N$1, pop_mesorreg_interpol!$B$1:$XFD$1, 0), 0)</f>
        <v>12004.869125480005</v>
      </c>
      <c r="O34" s="7">
        <f>VLOOKUP($B34, gdp_tot_mes!$B:$XFD, MATCH(gdp_capita_mesorreg!O$1, gdp_tot_mes!$B$1:$XFD$1, 0), 0)*1000/VLOOKUP($B34, pop_mesorreg_interpol!$B:$XFD, MATCH(gdp_capita_mesorreg!O$1, pop_mesorreg_interpol!$B$1:$XFD$1, 0), 0)</f>
        <v>12485.838203031144</v>
      </c>
      <c r="P34" s="7">
        <f>VLOOKUP($B34, gdp_tot_mes!$B:$XFD, MATCH(gdp_capita_mesorreg!P$1, gdp_tot_mes!$B$1:$XFD$1, 0), 0)*1000/VLOOKUP($B34, pop_mesorreg_interpol!$B:$XFD, MATCH(gdp_capita_mesorreg!P$1, pop_mesorreg_interpol!$B$1:$XFD$1, 0), 0)</f>
        <v>12349.756864409734</v>
      </c>
      <c r="Q34" s="7">
        <f>VLOOKUP($B34, gdp_tot_mes!$B:$XFD, MATCH(gdp_capita_mesorreg!Q$1, gdp_tot_mes!$B$1:$XFD$1, 0), 0)*1000/VLOOKUP($B34, pop_mesorreg_interpol!$B:$XFD, MATCH(gdp_capita_mesorreg!Q$1, pop_mesorreg_interpol!$B$1:$XFD$1, 0), 0)</f>
        <v>13358.30205981719</v>
      </c>
      <c r="R34" s="7">
        <f>VLOOKUP($B34, gdp_tot_mes!$B:$XFD, MATCH(gdp_capita_mesorreg!R$1, gdp_tot_mes!$B$1:$XFD$1, 0), 0)*1000/VLOOKUP($B34, pop_mesorreg_interpol!$B:$XFD, MATCH(gdp_capita_mesorreg!R$1, pop_mesorreg_interpol!$B$1:$XFD$1, 0), 0)</f>
        <v>12635.033884682596</v>
      </c>
      <c r="S34" s="7">
        <f>VLOOKUP($B34, gdp_tot_mes!$B:$XFD, MATCH(gdp_capita_mesorreg!S$1, gdp_tot_mes!$B$1:$XFD$1, 0), 0)*1000/VLOOKUP($B34, pop_mesorreg_interpol!$B:$XFD, MATCH(gdp_capita_mesorreg!S$1, pop_mesorreg_interpol!$B$1:$XFD$1, 0), 0)</f>
        <v>12837.432741694338</v>
      </c>
      <c r="T34" s="7">
        <f>VLOOKUP($B34, gdp_tot_mes!$B:$XFD, MATCH(gdp_capita_mesorreg!T$1, gdp_tot_mes!$B$1:$XFD$1, 0), 0)*1000/VLOOKUP($B34, pop_mesorreg_interpol!$B:$XFD, MATCH(gdp_capita_mesorreg!T$1, pop_mesorreg_interpol!$B$1:$XFD$1, 0), 0)</f>
        <v>12861.29145874747</v>
      </c>
      <c r="U34" s="7">
        <f>VLOOKUP($B34, gdp_tot_mes!$B:$XFD, MATCH(gdp_capita_mesorreg!U$1, gdp_tot_mes!$B$1:$XFD$1, 0), 0)*1000/VLOOKUP($B34, pop_mesorreg_interpol!$B:$XFD, MATCH(gdp_capita_mesorreg!U$1, pop_mesorreg_interpol!$B$1:$XFD$1, 0), 0)</f>
        <v>13861.458371049041</v>
      </c>
      <c r="V34" s="7">
        <f>VLOOKUP($B34, gdp_tot_mes!$B:$XFD, MATCH(gdp_capita_mesorreg!V$1, gdp_tot_mes!$B$1:$XFD$1, 0), 0)*1000/VLOOKUP($B34, pop_mesorreg_interpol!$B:$XFD, MATCH(gdp_capita_mesorreg!V$1, pop_mesorreg_interpol!$B$1:$XFD$1, 0), 0)</f>
        <v>14777.757130878481</v>
      </c>
      <c r="W34" s="7">
        <f>VLOOKUP($B34, gdp_tot_mes!$B:$XFD, MATCH(gdp_capita_mesorreg!W$1, gdp_tot_mes!$B$1:$XFD$1, 0), 0)*1000/VLOOKUP($B34, pop_mesorreg_interpol!$B:$XFD, MATCH(gdp_capita_mesorreg!W$1, pop_mesorreg_interpol!$B$1:$XFD$1, 0), 0)</f>
        <v>15209.872614518717</v>
      </c>
      <c r="X34" s="7">
        <f>VLOOKUP($B34, gdp_tot_mes!$B:$XFD, MATCH(gdp_capita_mesorreg!X$1, gdp_tot_mes!$B$1:$XFD$1, 0), 0)*1000/VLOOKUP($B34, pop_mesorreg_interpol!$B:$XFD, MATCH(gdp_capita_mesorreg!X$1, pop_mesorreg_interpol!$B$1:$XFD$1, 0), 0)</f>
        <v>16111.977735357694</v>
      </c>
      <c r="Y34" s="7">
        <f>VLOOKUP($B34, gdp_tot_mes!$B:$XFD, MATCH(gdp_capita_mesorreg!Y$1, gdp_tot_mes!$B$1:$XFD$1, 0), 0)*1000/VLOOKUP($B34, pop_mesorreg_interpol!$B:$XFD, MATCH(gdp_capita_mesorreg!Y$1, pop_mesorreg_interpol!$B$1:$XFD$1, 0), 0)</f>
        <v>17038.422603224164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25">
      <c r="A35" s="1" t="s">
        <v>91</v>
      </c>
      <c r="B35" s="1" t="s">
        <v>98</v>
      </c>
      <c r="C35" s="1" t="s">
        <v>99</v>
      </c>
      <c r="D35" s="7">
        <f>VLOOKUP($B35, gdp_tot_mes!$B:$XFD, MATCH(gdp_capita_mesorreg!D$1, gdp_tot_mes!$B$1:$XFD$1, 0), 0)*1000/VLOOKUP($B35, pop_mesorreg_interpol!$B:$XFD, MATCH(gdp_capita_mesorreg!D$1, pop_mesorreg_interpol!$B$1:$XFD$1, 0), 0)</f>
        <v>371.12268755184107</v>
      </c>
      <c r="E35" s="7">
        <f>VLOOKUP($B35, gdp_tot_mes!$B:$XFD, MATCH(gdp_capita_mesorreg!E$1, gdp_tot_mes!$B$1:$XFD$1, 0), 0)*1000/VLOOKUP($B35, pop_mesorreg_interpol!$B:$XFD, MATCH(gdp_capita_mesorreg!E$1, pop_mesorreg_interpol!$B$1:$XFD$1, 0), 0)</f>
        <v>971.63111660585332</v>
      </c>
      <c r="F35" s="7">
        <f>VLOOKUP($B35, gdp_tot_mes!$B:$XFD, MATCH(gdp_capita_mesorreg!F$1, gdp_tot_mes!$B$1:$XFD$1, 0), 0)*1000/VLOOKUP($B35, pop_mesorreg_interpol!$B:$XFD, MATCH(gdp_capita_mesorreg!F$1, pop_mesorreg_interpol!$B$1:$XFD$1, 0), 0)</f>
        <v>689.75791077237818</v>
      </c>
      <c r="G35" s="7">
        <f>VLOOKUP($B35, gdp_tot_mes!$B:$XFD, MATCH(gdp_capita_mesorreg!G$1, gdp_tot_mes!$B$1:$XFD$1, 0), 0)*1000/VLOOKUP($B35, pop_mesorreg_interpol!$B:$XFD, MATCH(gdp_capita_mesorreg!G$1, pop_mesorreg_interpol!$B$1:$XFD$1, 0), 0)</f>
        <v>1082.8576799699183</v>
      </c>
      <c r="H35" s="7">
        <f>VLOOKUP($B35, gdp_tot_mes!$B:$XFD, MATCH(gdp_capita_mesorreg!H$1, gdp_tot_mes!$B$1:$XFD$1, 0), 0)*1000/VLOOKUP($B35, pop_mesorreg_interpol!$B:$XFD, MATCH(gdp_capita_mesorreg!H$1, pop_mesorreg_interpol!$B$1:$XFD$1, 0), 0)</f>
        <v>2112.174425002549</v>
      </c>
      <c r="I35" s="7">
        <f>VLOOKUP($B35, gdp_tot_mes!$B:$XFD, MATCH(gdp_capita_mesorreg!I$1, gdp_tot_mes!$B$1:$XFD$1, 0), 0)*1000/VLOOKUP($B35, pop_mesorreg_interpol!$B:$XFD, MATCH(gdp_capita_mesorreg!I$1, pop_mesorreg_interpol!$B$1:$XFD$1, 0), 0)</f>
        <v>3422.5586781065249</v>
      </c>
      <c r="J35" s="7">
        <f>VLOOKUP($B35, gdp_tot_mes!$B:$XFD, MATCH(gdp_capita_mesorreg!J$1, gdp_tot_mes!$B$1:$XFD$1, 0), 0)*1000/VLOOKUP($B35, pop_mesorreg_interpol!$B:$XFD, MATCH(gdp_capita_mesorreg!J$1, pop_mesorreg_interpol!$B$1:$XFD$1, 0), 0)</f>
        <v>5621.9563725719481</v>
      </c>
      <c r="K35" s="7">
        <f>VLOOKUP($B35, gdp_tot_mes!$B:$XFD, MATCH(gdp_capita_mesorreg!K$1, gdp_tot_mes!$B$1:$XFD$1, 0), 0)*1000/VLOOKUP($B35, pop_mesorreg_interpol!$B:$XFD, MATCH(gdp_capita_mesorreg!K$1, pop_mesorreg_interpol!$B$1:$XFD$1, 0), 0)</f>
        <v>4804.3840951124248</v>
      </c>
      <c r="L35" s="8">
        <f>VLOOKUP($B35, gdp_tot_mes!$B:$XFD, MATCH(gdp_capita_mesorreg!L$1, gdp_tot_mes!$B$1:$XFD$1, 0), 0)*1000/VLOOKUP($B35, pop_mesorreg_interpol!$B:$XFD, MATCH(gdp_capita_mesorreg!L$1, pop_mesorreg_interpol!$B$1:$XFD$1, 0), 0)</f>
        <v>4678.1835419353984</v>
      </c>
      <c r="M35" s="7">
        <f>VLOOKUP($B35, gdp_tot_mes!$B:$XFD, MATCH(gdp_capita_mesorreg!M$1, gdp_tot_mes!$B$1:$XFD$1, 0), 0)*1000/VLOOKUP($B35, pop_mesorreg_interpol!$B:$XFD, MATCH(gdp_capita_mesorreg!M$1, pop_mesorreg_interpol!$B$1:$XFD$1, 0), 0)</f>
        <v>4584.1764317879415</v>
      </c>
      <c r="N35" s="7">
        <f>VLOOKUP($B35, gdp_tot_mes!$B:$XFD, MATCH(gdp_capita_mesorreg!N$1, gdp_tot_mes!$B$1:$XFD$1, 0), 0)*1000/VLOOKUP($B35, pop_mesorreg_interpol!$B:$XFD, MATCH(gdp_capita_mesorreg!N$1, pop_mesorreg_interpol!$B$1:$XFD$1, 0), 0)</f>
        <v>5515.5650109195922</v>
      </c>
      <c r="O35" s="7">
        <f>VLOOKUP($B35, gdp_tot_mes!$B:$XFD, MATCH(gdp_capita_mesorreg!O$1, gdp_tot_mes!$B$1:$XFD$1, 0), 0)*1000/VLOOKUP($B35, pop_mesorreg_interpol!$B:$XFD, MATCH(gdp_capita_mesorreg!O$1, pop_mesorreg_interpol!$B$1:$XFD$1, 0), 0)</f>
        <v>5682.3565108934081</v>
      </c>
      <c r="P35" s="7">
        <f>VLOOKUP($B35, gdp_tot_mes!$B:$XFD, MATCH(gdp_capita_mesorreg!P$1, gdp_tot_mes!$B$1:$XFD$1, 0), 0)*1000/VLOOKUP($B35, pop_mesorreg_interpol!$B:$XFD, MATCH(gdp_capita_mesorreg!P$1, pop_mesorreg_interpol!$B$1:$XFD$1, 0), 0)</f>
        <v>5800.1361209788593</v>
      </c>
      <c r="Q35" s="7">
        <f>VLOOKUP($B35, gdp_tot_mes!$B:$XFD, MATCH(gdp_capita_mesorreg!Q$1, gdp_tot_mes!$B$1:$XFD$1, 0), 0)*1000/VLOOKUP($B35, pop_mesorreg_interpol!$B:$XFD, MATCH(gdp_capita_mesorreg!Q$1, pop_mesorreg_interpol!$B$1:$XFD$1, 0), 0)</f>
        <v>6651.5580693382053</v>
      </c>
      <c r="R35" s="7">
        <f>VLOOKUP($B35, gdp_tot_mes!$B:$XFD, MATCH(gdp_capita_mesorreg!R$1, gdp_tot_mes!$B$1:$XFD$1, 0), 0)*1000/VLOOKUP($B35, pop_mesorreg_interpol!$B:$XFD, MATCH(gdp_capita_mesorreg!R$1, pop_mesorreg_interpol!$B$1:$XFD$1, 0), 0)</f>
        <v>6982.9880154556076</v>
      </c>
      <c r="S35" s="7">
        <f>VLOOKUP($B35, gdp_tot_mes!$B:$XFD, MATCH(gdp_capita_mesorreg!S$1, gdp_tot_mes!$B$1:$XFD$1, 0), 0)*1000/VLOOKUP($B35, pop_mesorreg_interpol!$B:$XFD, MATCH(gdp_capita_mesorreg!S$1, pop_mesorreg_interpol!$B$1:$XFD$1, 0), 0)</f>
        <v>7273.2666405328819</v>
      </c>
      <c r="T35" s="7">
        <f>VLOOKUP($B35, gdp_tot_mes!$B:$XFD, MATCH(gdp_capita_mesorreg!T$1, gdp_tot_mes!$B$1:$XFD$1, 0), 0)*1000/VLOOKUP($B35, pop_mesorreg_interpol!$B:$XFD, MATCH(gdp_capita_mesorreg!T$1, pop_mesorreg_interpol!$B$1:$XFD$1, 0), 0)</f>
        <v>7218.463566278806</v>
      </c>
      <c r="U35" s="7">
        <f>VLOOKUP($B35, gdp_tot_mes!$B:$XFD, MATCH(gdp_capita_mesorreg!U$1, gdp_tot_mes!$B$1:$XFD$1, 0), 0)*1000/VLOOKUP($B35, pop_mesorreg_interpol!$B:$XFD, MATCH(gdp_capita_mesorreg!U$1, pop_mesorreg_interpol!$B$1:$XFD$1, 0), 0)</f>
        <v>6931.3434980098391</v>
      </c>
      <c r="V35" s="7">
        <f>VLOOKUP($B35, gdp_tot_mes!$B:$XFD, MATCH(gdp_capita_mesorreg!V$1, gdp_tot_mes!$B$1:$XFD$1, 0), 0)*1000/VLOOKUP($B35, pop_mesorreg_interpol!$B:$XFD, MATCH(gdp_capita_mesorreg!V$1, pop_mesorreg_interpol!$B$1:$XFD$1, 0), 0)</f>
        <v>7329.6210329628375</v>
      </c>
      <c r="W35" s="7">
        <f>VLOOKUP($B35, gdp_tot_mes!$B:$XFD, MATCH(gdp_capita_mesorreg!W$1, gdp_tot_mes!$B$1:$XFD$1, 0), 0)*1000/VLOOKUP($B35, pop_mesorreg_interpol!$B:$XFD, MATCH(gdp_capita_mesorreg!W$1, pop_mesorreg_interpol!$B$1:$XFD$1, 0), 0)</f>
        <v>7561.0946142068997</v>
      </c>
      <c r="X35" s="7">
        <f>VLOOKUP($B35, gdp_tot_mes!$B:$XFD, MATCH(gdp_capita_mesorreg!X$1, gdp_tot_mes!$B$1:$XFD$1, 0), 0)*1000/VLOOKUP($B35, pop_mesorreg_interpol!$B:$XFD, MATCH(gdp_capita_mesorreg!X$1, pop_mesorreg_interpol!$B$1:$XFD$1, 0), 0)</f>
        <v>7754.2623905659175</v>
      </c>
      <c r="Y35" s="7">
        <f>VLOOKUP($B35, gdp_tot_mes!$B:$XFD, MATCH(gdp_capita_mesorreg!Y$1, gdp_tot_mes!$B$1:$XFD$1, 0), 0)*1000/VLOOKUP($B35, pop_mesorreg_interpol!$B:$XFD, MATCH(gdp_capita_mesorreg!Y$1, pop_mesorreg_interpol!$B$1:$XFD$1, 0), 0)</f>
        <v>8006.1681437447942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25">
      <c r="A36" s="1" t="s">
        <v>91</v>
      </c>
      <c r="B36" s="1" t="s">
        <v>100</v>
      </c>
      <c r="C36" s="1" t="s">
        <v>101</v>
      </c>
      <c r="D36" s="7">
        <f>VLOOKUP($B36, gdp_tot_mes!$B:$XFD, MATCH(gdp_capita_mesorreg!D$1, gdp_tot_mes!$B$1:$XFD$1, 0), 0)*1000/VLOOKUP($B36, pop_mesorreg_interpol!$B:$XFD, MATCH(gdp_capita_mesorreg!D$1, pop_mesorreg_interpol!$B$1:$XFD$1, 0), 0)</f>
        <v>786.76374412284747</v>
      </c>
      <c r="E36" s="7">
        <f>VLOOKUP($B36, gdp_tot_mes!$B:$XFD, MATCH(gdp_capita_mesorreg!E$1, gdp_tot_mes!$B$1:$XFD$1, 0), 0)*1000/VLOOKUP($B36, pop_mesorreg_interpol!$B:$XFD, MATCH(gdp_capita_mesorreg!E$1, pop_mesorreg_interpol!$B$1:$XFD$1, 0), 0)</f>
        <v>1484.771659898503</v>
      </c>
      <c r="F36" s="7">
        <f>VLOOKUP($B36, gdp_tot_mes!$B:$XFD, MATCH(gdp_capita_mesorreg!F$1, gdp_tot_mes!$B$1:$XFD$1, 0), 0)*1000/VLOOKUP($B36, pop_mesorreg_interpol!$B:$XFD, MATCH(gdp_capita_mesorreg!F$1, pop_mesorreg_interpol!$B$1:$XFD$1, 0), 0)</f>
        <v>1527.4379018592094</v>
      </c>
      <c r="G36" s="7">
        <f>VLOOKUP($B36, gdp_tot_mes!$B:$XFD, MATCH(gdp_capita_mesorreg!G$1, gdp_tot_mes!$B$1:$XFD$1, 0), 0)*1000/VLOOKUP($B36, pop_mesorreg_interpol!$B:$XFD, MATCH(gdp_capita_mesorreg!G$1, pop_mesorreg_interpol!$B$1:$XFD$1, 0), 0)</f>
        <v>2645.5442857925236</v>
      </c>
      <c r="H36" s="7">
        <f>VLOOKUP($B36, gdp_tot_mes!$B:$XFD, MATCH(gdp_capita_mesorreg!H$1, gdp_tot_mes!$B$1:$XFD$1, 0), 0)*1000/VLOOKUP($B36, pop_mesorreg_interpol!$B:$XFD, MATCH(gdp_capita_mesorreg!H$1, pop_mesorreg_interpol!$B$1:$XFD$1, 0), 0)</f>
        <v>4094.1766221217281</v>
      </c>
      <c r="I36" s="7">
        <f>VLOOKUP($B36, gdp_tot_mes!$B:$XFD, MATCH(gdp_capita_mesorreg!I$1, gdp_tot_mes!$B$1:$XFD$1, 0), 0)*1000/VLOOKUP($B36, pop_mesorreg_interpol!$B:$XFD, MATCH(gdp_capita_mesorreg!I$1, pop_mesorreg_interpol!$B$1:$XFD$1, 0), 0)</f>
        <v>6443.6350196273934</v>
      </c>
      <c r="J36" s="7">
        <f>VLOOKUP($B36, gdp_tot_mes!$B:$XFD, MATCH(gdp_capita_mesorreg!J$1, gdp_tot_mes!$B$1:$XFD$1, 0), 0)*1000/VLOOKUP($B36, pop_mesorreg_interpol!$B:$XFD, MATCH(gdp_capita_mesorreg!J$1, pop_mesorreg_interpol!$B$1:$XFD$1, 0), 0)</f>
        <v>10454.252901304833</v>
      </c>
      <c r="K36" s="7">
        <f>VLOOKUP($B36, gdp_tot_mes!$B:$XFD, MATCH(gdp_capita_mesorreg!K$1, gdp_tot_mes!$B$1:$XFD$1, 0), 0)*1000/VLOOKUP($B36, pop_mesorreg_interpol!$B:$XFD, MATCH(gdp_capita_mesorreg!K$1, pop_mesorreg_interpol!$B$1:$XFD$1, 0), 0)</f>
        <v>12725.409635300048</v>
      </c>
      <c r="L36" s="8">
        <f>VLOOKUP($B36, gdp_tot_mes!$B:$XFD, MATCH(gdp_capita_mesorreg!L$1, gdp_tot_mes!$B$1:$XFD$1, 0), 0)*1000/VLOOKUP($B36, pop_mesorreg_interpol!$B:$XFD, MATCH(gdp_capita_mesorreg!L$1, pop_mesorreg_interpol!$B$1:$XFD$1, 0), 0)</f>
        <v>11925.590419599474</v>
      </c>
      <c r="M36" s="7">
        <f>VLOOKUP($B36, gdp_tot_mes!$B:$XFD, MATCH(gdp_capita_mesorreg!M$1, gdp_tot_mes!$B$1:$XFD$1, 0), 0)*1000/VLOOKUP($B36, pop_mesorreg_interpol!$B:$XFD, MATCH(gdp_capita_mesorreg!M$1, pop_mesorreg_interpol!$B$1:$XFD$1, 0), 0)</f>
        <v>11097.548926325098</v>
      </c>
      <c r="N36" s="7">
        <f>VLOOKUP($B36, gdp_tot_mes!$B:$XFD, MATCH(gdp_capita_mesorreg!N$1, gdp_tot_mes!$B$1:$XFD$1, 0), 0)*1000/VLOOKUP($B36, pop_mesorreg_interpol!$B:$XFD, MATCH(gdp_capita_mesorreg!N$1, pop_mesorreg_interpol!$B$1:$XFD$1, 0), 0)</f>
        <v>15278.642346352553</v>
      </c>
      <c r="O36" s="7">
        <f>VLOOKUP($B36, gdp_tot_mes!$B:$XFD, MATCH(gdp_capita_mesorreg!O$1, gdp_tot_mes!$B$1:$XFD$1, 0), 0)*1000/VLOOKUP($B36, pop_mesorreg_interpol!$B:$XFD, MATCH(gdp_capita_mesorreg!O$1, pop_mesorreg_interpol!$B$1:$XFD$1, 0), 0)</f>
        <v>17088.332025388339</v>
      </c>
      <c r="P36" s="7">
        <f>VLOOKUP($B36, gdp_tot_mes!$B:$XFD, MATCH(gdp_capita_mesorreg!P$1, gdp_tot_mes!$B$1:$XFD$1, 0), 0)*1000/VLOOKUP($B36, pop_mesorreg_interpol!$B:$XFD, MATCH(gdp_capita_mesorreg!P$1, pop_mesorreg_interpol!$B$1:$XFD$1, 0), 0)</f>
        <v>18857.422733094554</v>
      </c>
      <c r="Q36" s="7">
        <f>VLOOKUP($B36, gdp_tot_mes!$B:$XFD, MATCH(gdp_capita_mesorreg!Q$1, gdp_tot_mes!$B$1:$XFD$1, 0), 0)*1000/VLOOKUP($B36, pop_mesorreg_interpol!$B:$XFD, MATCH(gdp_capita_mesorreg!Q$1, pop_mesorreg_interpol!$B$1:$XFD$1, 0), 0)</f>
        <v>22235.14633923944</v>
      </c>
      <c r="R36" s="7">
        <f>VLOOKUP($B36, gdp_tot_mes!$B:$XFD, MATCH(gdp_capita_mesorreg!R$1, gdp_tot_mes!$B$1:$XFD$1, 0), 0)*1000/VLOOKUP($B36, pop_mesorreg_interpol!$B:$XFD, MATCH(gdp_capita_mesorreg!R$1, pop_mesorreg_interpol!$B$1:$XFD$1, 0), 0)</f>
        <v>22600.764169796734</v>
      </c>
      <c r="S36" s="7">
        <f>VLOOKUP($B36, gdp_tot_mes!$B:$XFD, MATCH(gdp_capita_mesorreg!S$1, gdp_tot_mes!$B$1:$XFD$1, 0), 0)*1000/VLOOKUP($B36, pop_mesorreg_interpol!$B:$XFD, MATCH(gdp_capita_mesorreg!S$1, pop_mesorreg_interpol!$B$1:$XFD$1, 0), 0)</f>
        <v>23172.278269599712</v>
      </c>
      <c r="T36" s="7">
        <f>VLOOKUP($B36, gdp_tot_mes!$B:$XFD, MATCH(gdp_capita_mesorreg!T$1, gdp_tot_mes!$B$1:$XFD$1, 0), 0)*1000/VLOOKUP($B36, pop_mesorreg_interpol!$B:$XFD, MATCH(gdp_capita_mesorreg!T$1, pop_mesorreg_interpol!$B$1:$XFD$1, 0), 0)</f>
        <v>20711.442971109533</v>
      </c>
      <c r="U36" s="7">
        <f>VLOOKUP($B36, gdp_tot_mes!$B:$XFD, MATCH(gdp_capita_mesorreg!U$1, gdp_tot_mes!$B$1:$XFD$1, 0), 0)*1000/VLOOKUP($B36, pop_mesorreg_interpol!$B:$XFD, MATCH(gdp_capita_mesorreg!U$1, pop_mesorreg_interpol!$B$1:$XFD$1, 0), 0)</f>
        <v>19785.0099225251</v>
      </c>
      <c r="V36" s="7">
        <f>VLOOKUP($B36, gdp_tot_mes!$B:$XFD, MATCH(gdp_capita_mesorreg!V$1, gdp_tot_mes!$B$1:$XFD$1, 0), 0)*1000/VLOOKUP($B36, pop_mesorreg_interpol!$B:$XFD, MATCH(gdp_capita_mesorreg!V$1, pop_mesorreg_interpol!$B$1:$XFD$1, 0), 0)</f>
        <v>21310.540973498235</v>
      </c>
      <c r="W36" s="7">
        <f>VLOOKUP($B36, gdp_tot_mes!$B:$XFD, MATCH(gdp_capita_mesorreg!W$1, gdp_tot_mes!$B$1:$XFD$1, 0), 0)*1000/VLOOKUP($B36, pop_mesorreg_interpol!$B:$XFD, MATCH(gdp_capita_mesorreg!W$1, pop_mesorreg_interpol!$B$1:$XFD$1, 0), 0)</f>
        <v>22891.499911388863</v>
      </c>
      <c r="X36" s="7">
        <f>VLOOKUP($B36, gdp_tot_mes!$B:$XFD, MATCH(gdp_capita_mesorreg!X$1, gdp_tot_mes!$B$1:$XFD$1, 0), 0)*1000/VLOOKUP($B36, pop_mesorreg_interpol!$B:$XFD, MATCH(gdp_capita_mesorreg!X$1, pop_mesorreg_interpol!$B$1:$XFD$1, 0), 0)</f>
        <v>23629.737913726429</v>
      </c>
      <c r="Y36" s="7">
        <f>VLOOKUP($B36, gdp_tot_mes!$B:$XFD, MATCH(gdp_capita_mesorreg!Y$1, gdp_tot_mes!$B$1:$XFD$1, 0), 0)*1000/VLOOKUP($B36, pop_mesorreg_interpol!$B:$XFD, MATCH(gdp_capita_mesorreg!Y$1, pop_mesorreg_interpol!$B$1:$XFD$1, 0), 0)</f>
        <v>22760.990838592166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25">
      <c r="A37" s="1" t="s">
        <v>102</v>
      </c>
      <c r="B37" s="1" t="s">
        <v>103</v>
      </c>
      <c r="C37" s="1" t="s">
        <v>104</v>
      </c>
      <c r="D37" s="7">
        <f>VLOOKUP($B37, gdp_tot_mes!$B:$XFD, MATCH(gdp_capita_mesorreg!D$1, gdp_tot_mes!$B$1:$XFD$1, 0), 0)*1000/VLOOKUP($B37, pop_mesorreg_interpol!$B:$XFD, MATCH(gdp_capita_mesorreg!D$1, pop_mesorreg_interpol!$B$1:$XFD$1, 0), 0)</f>
        <v>368.96644627113483</v>
      </c>
      <c r="E37" s="7">
        <f>VLOOKUP($B37, gdp_tot_mes!$B:$XFD, MATCH(gdp_capita_mesorreg!E$1, gdp_tot_mes!$B$1:$XFD$1, 0), 0)*1000/VLOOKUP($B37, pop_mesorreg_interpol!$B:$XFD, MATCH(gdp_capita_mesorreg!E$1, pop_mesorreg_interpol!$B$1:$XFD$1, 0), 0)</f>
        <v>1204.0916988986751</v>
      </c>
      <c r="F37" s="7">
        <f>VLOOKUP($B37, gdp_tot_mes!$B:$XFD, MATCH(gdp_capita_mesorreg!F$1, gdp_tot_mes!$B$1:$XFD$1, 0), 0)*1000/VLOOKUP($B37, pop_mesorreg_interpol!$B:$XFD, MATCH(gdp_capita_mesorreg!F$1, pop_mesorreg_interpol!$B$1:$XFD$1, 0), 0)</f>
        <v>1083.3597935900439</v>
      </c>
      <c r="G37" s="7">
        <f>VLOOKUP($B37, gdp_tot_mes!$B:$XFD, MATCH(gdp_capita_mesorreg!G$1, gdp_tot_mes!$B$1:$XFD$1, 0), 0)*1000/VLOOKUP($B37, pop_mesorreg_interpol!$B:$XFD, MATCH(gdp_capita_mesorreg!G$1, pop_mesorreg_interpol!$B$1:$XFD$1, 0), 0)</f>
        <v>1800.3825644666238</v>
      </c>
      <c r="H37" s="7">
        <f>VLOOKUP($B37, gdp_tot_mes!$B:$XFD, MATCH(gdp_capita_mesorreg!H$1, gdp_tot_mes!$B$1:$XFD$1, 0), 0)*1000/VLOOKUP($B37, pop_mesorreg_interpol!$B:$XFD, MATCH(gdp_capita_mesorreg!H$1, pop_mesorreg_interpol!$B$1:$XFD$1, 0), 0)</f>
        <v>2447.8680300312212</v>
      </c>
      <c r="I37" s="7">
        <f>VLOOKUP($B37, gdp_tot_mes!$B:$XFD, MATCH(gdp_capita_mesorreg!I$1, gdp_tot_mes!$B$1:$XFD$1, 0), 0)*1000/VLOOKUP($B37, pop_mesorreg_interpol!$B:$XFD, MATCH(gdp_capita_mesorreg!I$1, pop_mesorreg_interpol!$B$1:$XFD$1, 0), 0)</f>
        <v>2959.0849010685661</v>
      </c>
      <c r="J37" s="7">
        <f>VLOOKUP($B37, gdp_tot_mes!$B:$XFD, MATCH(gdp_capita_mesorreg!J$1, gdp_tot_mes!$B$1:$XFD$1, 0), 0)*1000/VLOOKUP($B37, pop_mesorreg_interpol!$B:$XFD, MATCH(gdp_capita_mesorreg!J$1, pop_mesorreg_interpol!$B$1:$XFD$1, 0), 0)</f>
        <v>4382.3327018837208</v>
      </c>
      <c r="K37" s="7">
        <f>VLOOKUP($B37, gdp_tot_mes!$B:$XFD, MATCH(gdp_capita_mesorreg!K$1, gdp_tot_mes!$B$1:$XFD$1, 0), 0)*1000/VLOOKUP($B37, pop_mesorreg_interpol!$B:$XFD, MATCH(gdp_capita_mesorreg!K$1, pop_mesorreg_interpol!$B$1:$XFD$1, 0), 0)</f>
        <v>6734.8481798841849</v>
      </c>
      <c r="L37" s="8">
        <f>VLOOKUP($B37, gdp_tot_mes!$B:$XFD, MATCH(gdp_capita_mesorreg!L$1, gdp_tot_mes!$B$1:$XFD$1, 0), 0)*1000/VLOOKUP($B37, pop_mesorreg_interpol!$B:$XFD, MATCH(gdp_capita_mesorreg!L$1, pop_mesorreg_interpol!$B$1:$XFD$1, 0), 0)</f>
        <v>6253.8534030779529</v>
      </c>
      <c r="M37" s="7">
        <f>VLOOKUP($B37, gdp_tot_mes!$B:$XFD, MATCH(gdp_capita_mesorreg!M$1, gdp_tot_mes!$B$1:$XFD$1, 0), 0)*1000/VLOOKUP($B37, pop_mesorreg_interpol!$B:$XFD, MATCH(gdp_capita_mesorreg!M$1, pop_mesorreg_interpol!$B$1:$XFD$1, 0), 0)</f>
        <v>5783.6630847066108</v>
      </c>
      <c r="N37" s="7">
        <f>VLOOKUP($B37, gdp_tot_mes!$B:$XFD, MATCH(gdp_capita_mesorreg!N$1, gdp_tot_mes!$B$1:$XFD$1, 0), 0)*1000/VLOOKUP($B37, pop_mesorreg_interpol!$B:$XFD, MATCH(gdp_capita_mesorreg!N$1, pop_mesorreg_interpol!$B$1:$XFD$1, 0), 0)</f>
        <v>6094.986521049932</v>
      </c>
      <c r="O37" s="7">
        <f>VLOOKUP($B37, gdp_tot_mes!$B:$XFD, MATCH(gdp_capita_mesorreg!O$1, gdp_tot_mes!$B$1:$XFD$1, 0), 0)*1000/VLOOKUP($B37, pop_mesorreg_interpol!$B:$XFD, MATCH(gdp_capita_mesorreg!O$1, pop_mesorreg_interpol!$B$1:$XFD$1, 0), 0)</f>
        <v>6419.4546057961752</v>
      </c>
      <c r="P37" s="7">
        <f>VLOOKUP($B37, gdp_tot_mes!$B:$XFD, MATCH(gdp_capita_mesorreg!P$1, gdp_tot_mes!$B$1:$XFD$1, 0), 0)*1000/VLOOKUP($B37, pop_mesorreg_interpol!$B:$XFD, MATCH(gdp_capita_mesorreg!P$1, pop_mesorreg_interpol!$B$1:$XFD$1, 0), 0)</f>
        <v>6510.1043641222868</v>
      </c>
      <c r="Q37" s="7">
        <f>VLOOKUP($B37, gdp_tot_mes!$B:$XFD, MATCH(gdp_capita_mesorreg!Q$1, gdp_tot_mes!$B$1:$XFD$1, 0), 0)*1000/VLOOKUP($B37, pop_mesorreg_interpol!$B:$XFD, MATCH(gdp_capita_mesorreg!Q$1, pop_mesorreg_interpol!$B$1:$XFD$1, 0), 0)</f>
        <v>6610.8384221712595</v>
      </c>
      <c r="R37" s="7">
        <f>VLOOKUP($B37, gdp_tot_mes!$B:$XFD, MATCH(gdp_capita_mesorreg!R$1, gdp_tot_mes!$B$1:$XFD$1, 0), 0)*1000/VLOOKUP($B37, pop_mesorreg_interpol!$B:$XFD, MATCH(gdp_capita_mesorreg!R$1, pop_mesorreg_interpol!$B$1:$XFD$1, 0), 0)</f>
        <v>6760.7525836454397</v>
      </c>
      <c r="S37" s="7">
        <f>VLOOKUP($B37, gdp_tot_mes!$B:$XFD, MATCH(gdp_capita_mesorreg!S$1, gdp_tot_mes!$B$1:$XFD$1, 0), 0)*1000/VLOOKUP($B37, pop_mesorreg_interpol!$B:$XFD, MATCH(gdp_capita_mesorreg!S$1, pop_mesorreg_interpol!$B$1:$XFD$1, 0), 0)</f>
        <v>7366.3340020196802</v>
      </c>
      <c r="T37" s="7">
        <f>VLOOKUP($B37, gdp_tot_mes!$B:$XFD, MATCH(gdp_capita_mesorreg!T$1, gdp_tot_mes!$B$1:$XFD$1, 0), 0)*1000/VLOOKUP($B37, pop_mesorreg_interpol!$B:$XFD, MATCH(gdp_capita_mesorreg!T$1, pop_mesorreg_interpol!$B$1:$XFD$1, 0), 0)</f>
        <v>7921.3624691838186</v>
      </c>
      <c r="U37" s="7">
        <f>VLOOKUP($B37, gdp_tot_mes!$B:$XFD, MATCH(gdp_capita_mesorreg!U$1, gdp_tot_mes!$B$1:$XFD$1, 0), 0)*1000/VLOOKUP($B37, pop_mesorreg_interpol!$B:$XFD, MATCH(gdp_capita_mesorreg!U$1, pop_mesorreg_interpol!$B$1:$XFD$1, 0), 0)</f>
        <v>8108.2345390099881</v>
      </c>
      <c r="V37" s="7">
        <f>VLOOKUP($B37, gdp_tot_mes!$B:$XFD, MATCH(gdp_capita_mesorreg!V$1, gdp_tot_mes!$B$1:$XFD$1, 0), 0)*1000/VLOOKUP($B37, pop_mesorreg_interpol!$B:$XFD, MATCH(gdp_capita_mesorreg!V$1, pop_mesorreg_interpol!$B$1:$XFD$1, 0), 0)</f>
        <v>8417.7831027407556</v>
      </c>
      <c r="W37" s="7">
        <f>VLOOKUP($B37, gdp_tot_mes!$B:$XFD, MATCH(gdp_capita_mesorreg!W$1, gdp_tot_mes!$B$1:$XFD$1, 0), 0)*1000/VLOOKUP($B37, pop_mesorreg_interpol!$B:$XFD, MATCH(gdp_capita_mesorreg!W$1, pop_mesorreg_interpol!$B$1:$XFD$1, 0), 0)</f>
        <v>9090.6393824427414</v>
      </c>
      <c r="X37" s="7">
        <f>VLOOKUP($B37, gdp_tot_mes!$B:$XFD, MATCH(gdp_capita_mesorreg!X$1, gdp_tot_mes!$B$1:$XFD$1, 0), 0)*1000/VLOOKUP($B37, pop_mesorreg_interpol!$B:$XFD, MATCH(gdp_capita_mesorreg!X$1, pop_mesorreg_interpol!$B$1:$XFD$1, 0), 0)</f>
        <v>8620.3143695168164</v>
      </c>
      <c r="Y37" s="7">
        <f>VLOOKUP($B37, gdp_tot_mes!$B:$XFD, MATCH(gdp_capita_mesorreg!Y$1, gdp_tot_mes!$B$1:$XFD$1, 0), 0)*1000/VLOOKUP($B37, pop_mesorreg_interpol!$B:$XFD, MATCH(gdp_capita_mesorreg!Y$1, pop_mesorreg_interpol!$B$1:$XFD$1, 0), 0)</f>
        <v>9024.4289160409171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x14ac:dyDescent="0.25">
      <c r="A38" s="1" t="s">
        <v>102</v>
      </c>
      <c r="B38" s="1" t="s">
        <v>105</v>
      </c>
      <c r="C38" s="1" t="s">
        <v>106</v>
      </c>
      <c r="D38" s="7">
        <f>VLOOKUP($B38, gdp_tot_mes!$B:$XFD, MATCH(gdp_capita_mesorreg!D$1, gdp_tot_mes!$B$1:$XFD$1, 0), 0)*1000/VLOOKUP($B38, pop_mesorreg_interpol!$B:$XFD, MATCH(gdp_capita_mesorreg!D$1, pop_mesorreg_interpol!$B$1:$XFD$1, 0), 0)</f>
        <v>204.78482111853236</v>
      </c>
      <c r="E38" s="7">
        <f>VLOOKUP($B38, gdp_tot_mes!$B:$XFD, MATCH(gdp_capita_mesorreg!E$1, gdp_tot_mes!$B$1:$XFD$1, 0), 0)*1000/VLOOKUP($B38, pop_mesorreg_interpol!$B:$XFD, MATCH(gdp_capita_mesorreg!E$1, pop_mesorreg_interpol!$B$1:$XFD$1, 0), 0)</f>
        <v>931.27858106429323</v>
      </c>
      <c r="F38" s="7">
        <f>VLOOKUP($B38, gdp_tot_mes!$B:$XFD, MATCH(gdp_capita_mesorreg!F$1, gdp_tot_mes!$B$1:$XFD$1, 0), 0)*1000/VLOOKUP($B38, pop_mesorreg_interpol!$B:$XFD, MATCH(gdp_capita_mesorreg!F$1, pop_mesorreg_interpol!$B$1:$XFD$1, 0), 0)</f>
        <v>468.40844426152972</v>
      </c>
      <c r="G38" s="7">
        <f>VLOOKUP($B38, gdp_tot_mes!$B:$XFD, MATCH(gdp_capita_mesorreg!G$1, gdp_tot_mes!$B$1:$XFD$1, 0), 0)*1000/VLOOKUP($B38, pop_mesorreg_interpol!$B:$XFD, MATCH(gdp_capita_mesorreg!G$1, pop_mesorreg_interpol!$B$1:$XFD$1, 0), 0)</f>
        <v>1018.4439749489095</v>
      </c>
      <c r="H38" s="7">
        <f>VLOOKUP($B38, gdp_tot_mes!$B:$XFD, MATCH(gdp_capita_mesorreg!H$1, gdp_tot_mes!$B$1:$XFD$1, 0), 0)*1000/VLOOKUP($B38, pop_mesorreg_interpol!$B:$XFD, MATCH(gdp_capita_mesorreg!H$1, pop_mesorreg_interpol!$B$1:$XFD$1, 0), 0)</f>
        <v>1790.429611939715</v>
      </c>
      <c r="I38" s="7">
        <f>VLOOKUP($B38, gdp_tot_mes!$B:$XFD, MATCH(gdp_capita_mesorreg!I$1, gdp_tot_mes!$B$1:$XFD$1, 0), 0)*1000/VLOOKUP($B38, pop_mesorreg_interpol!$B:$XFD, MATCH(gdp_capita_mesorreg!I$1, pop_mesorreg_interpol!$B$1:$XFD$1, 0), 0)</f>
        <v>2697.7125835887455</v>
      </c>
      <c r="J38" s="7">
        <f>VLOOKUP($B38, gdp_tot_mes!$B:$XFD, MATCH(gdp_capita_mesorreg!J$1, gdp_tot_mes!$B$1:$XFD$1, 0), 0)*1000/VLOOKUP($B38, pop_mesorreg_interpol!$B:$XFD, MATCH(gdp_capita_mesorreg!J$1, pop_mesorreg_interpol!$B$1:$XFD$1, 0), 0)</f>
        <v>4262.5191682571121</v>
      </c>
      <c r="K38" s="7">
        <f>VLOOKUP($B38, gdp_tot_mes!$B:$XFD, MATCH(gdp_capita_mesorreg!K$1, gdp_tot_mes!$B$1:$XFD$1, 0), 0)*1000/VLOOKUP($B38, pop_mesorreg_interpol!$B:$XFD, MATCH(gdp_capita_mesorreg!K$1, pop_mesorreg_interpol!$B$1:$XFD$1, 0), 0)</f>
        <v>3754.1509348999725</v>
      </c>
      <c r="L38" s="8">
        <f>VLOOKUP($B38, gdp_tot_mes!$B:$XFD, MATCH(gdp_capita_mesorreg!L$1, gdp_tot_mes!$B$1:$XFD$1, 0), 0)*1000/VLOOKUP($B38, pop_mesorreg_interpol!$B:$XFD, MATCH(gdp_capita_mesorreg!L$1, pop_mesorreg_interpol!$B$1:$XFD$1, 0), 0)</f>
        <v>3076.8205177734012</v>
      </c>
      <c r="M38" s="7">
        <f>VLOOKUP($B38, gdp_tot_mes!$B:$XFD, MATCH(gdp_capita_mesorreg!M$1, gdp_tot_mes!$B$1:$XFD$1, 0), 0)*1000/VLOOKUP($B38, pop_mesorreg_interpol!$B:$XFD, MATCH(gdp_capita_mesorreg!M$1, pop_mesorreg_interpol!$B$1:$XFD$1, 0), 0)</f>
        <v>2463.3315014758573</v>
      </c>
      <c r="N38" s="7">
        <f>VLOOKUP($B38, gdp_tot_mes!$B:$XFD, MATCH(gdp_capita_mesorreg!N$1, gdp_tot_mes!$B$1:$XFD$1, 0), 0)*1000/VLOOKUP($B38, pop_mesorreg_interpol!$B:$XFD, MATCH(gdp_capita_mesorreg!N$1, pop_mesorreg_interpol!$B$1:$XFD$1, 0), 0)</f>
        <v>4027.0127620145709</v>
      </c>
      <c r="O38" s="7">
        <f>VLOOKUP($B38, gdp_tot_mes!$B:$XFD, MATCH(gdp_capita_mesorreg!O$1, gdp_tot_mes!$B$1:$XFD$1, 0), 0)*1000/VLOOKUP($B38, pop_mesorreg_interpol!$B:$XFD, MATCH(gdp_capita_mesorreg!O$1, pop_mesorreg_interpol!$B$1:$XFD$1, 0), 0)</f>
        <v>4268.3665632806678</v>
      </c>
      <c r="P38" s="7">
        <f>VLOOKUP($B38, gdp_tot_mes!$B:$XFD, MATCH(gdp_capita_mesorreg!P$1, gdp_tot_mes!$B$1:$XFD$1, 0), 0)*1000/VLOOKUP($B38, pop_mesorreg_interpol!$B:$XFD, MATCH(gdp_capita_mesorreg!P$1, pop_mesorreg_interpol!$B$1:$XFD$1, 0), 0)</f>
        <v>4504.5389830179238</v>
      </c>
      <c r="Q38" s="7">
        <f>VLOOKUP($B38, gdp_tot_mes!$B:$XFD, MATCH(gdp_capita_mesorreg!Q$1, gdp_tot_mes!$B$1:$XFD$1, 0), 0)*1000/VLOOKUP($B38, pop_mesorreg_interpol!$B:$XFD, MATCH(gdp_capita_mesorreg!Q$1, pop_mesorreg_interpol!$B$1:$XFD$1, 0), 0)</f>
        <v>4821.2506172176891</v>
      </c>
      <c r="R38" s="7">
        <f>VLOOKUP($B38, gdp_tot_mes!$B:$XFD, MATCH(gdp_capita_mesorreg!R$1, gdp_tot_mes!$B$1:$XFD$1, 0), 0)*1000/VLOOKUP($B38, pop_mesorreg_interpol!$B:$XFD, MATCH(gdp_capita_mesorreg!R$1, pop_mesorreg_interpol!$B$1:$XFD$1, 0), 0)</f>
        <v>5053.7345611665514</v>
      </c>
      <c r="S38" s="7">
        <f>VLOOKUP($B38, gdp_tot_mes!$B:$XFD, MATCH(gdp_capita_mesorreg!S$1, gdp_tot_mes!$B$1:$XFD$1, 0), 0)*1000/VLOOKUP($B38, pop_mesorreg_interpol!$B:$XFD, MATCH(gdp_capita_mesorreg!S$1, pop_mesorreg_interpol!$B$1:$XFD$1, 0), 0)</f>
        <v>5319.8002584485403</v>
      </c>
      <c r="T38" s="7">
        <f>VLOOKUP($B38, gdp_tot_mes!$B:$XFD, MATCH(gdp_capita_mesorreg!T$1, gdp_tot_mes!$B$1:$XFD$1, 0), 0)*1000/VLOOKUP($B38, pop_mesorreg_interpol!$B:$XFD, MATCH(gdp_capita_mesorreg!T$1, pop_mesorreg_interpol!$B$1:$XFD$1, 0), 0)</f>
        <v>5788.969956236675</v>
      </c>
      <c r="U38" s="7">
        <f>VLOOKUP($B38, gdp_tot_mes!$B:$XFD, MATCH(gdp_capita_mesorreg!U$1, gdp_tot_mes!$B$1:$XFD$1, 0), 0)*1000/VLOOKUP($B38, pop_mesorreg_interpol!$B:$XFD, MATCH(gdp_capita_mesorreg!U$1, pop_mesorreg_interpol!$B$1:$XFD$1, 0), 0)</f>
        <v>6144.9756346267259</v>
      </c>
      <c r="V38" s="7">
        <f>VLOOKUP($B38, gdp_tot_mes!$B:$XFD, MATCH(gdp_capita_mesorreg!V$1, gdp_tot_mes!$B$1:$XFD$1, 0), 0)*1000/VLOOKUP($B38, pop_mesorreg_interpol!$B:$XFD, MATCH(gdp_capita_mesorreg!V$1, pop_mesorreg_interpol!$B$1:$XFD$1, 0), 0)</f>
        <v>6803.7195805669107</v>
      </c>
      <c r="W38" s="7">
        <f>VLOOKUP($B38, gdp_tot_mes!$B:$XFD, MATCH(gdp_capita_mesorreg!W$1, gdp_tot_mes!$B$1:$XFD$1, 0), 0)*1000/VLOOKUP($B38, pop_mesorreg_interpol!$B:$XFD, MATCH(gdp_capita_mesorreg!W$1, pop_mesorreg_interpol!$B$1:$XFD$1, 0), 0)</f>
        <v>6989.6825774958152</v>
      </c>
      <c r="X38" s="7">
        <f>VLOOKUP($B38, gdp_tot_mes!$B:$XFD, MATCH(gdp_capita_mesorreg!X$1, gdp_tot_mes!$B$1:$XFD$1, 0), 0)*1000/VLOOKUP($B38, pop_mesorreg_interpol!$B:$XFD, MATCH(gdp_capita_mesorreg!X$1, pop_mesorreg_interpol!$B$1:$XFD$1, 0), 0)</f>
        <v>6063.7072476913145</v>
      </c>
      <c r="Y38" s="7">
        <f>VLOOKUP($B38, gdp_tot_mes!$B:$XFD, MATCH(gdp_capita_mesorreg!Y$1, gdp_tot_mes!$B$1:$XFD$1, 0), 0)*1000/VLOOKUP($B38, pop_mesorreg_interpol!$B:$XFD, MATCH(gdp_capita_mesorreg!Y$1, pop_mesorreg_interpol!$B$1:$XFD$1, 0), 0)</f>
        <v>5986.7096323247806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25">
      <c r="A39" s="1" t="s">
        <v>102</v>
      </c>
      <c r="B39" s="1" t="s">
        <v>107</v>
      </c>
      <c r="C39" s="1" t="s">
        <v>108</v>
      </c>
      <c r="D39" s="7">
        <f>VLOOKUP($B39, gdp_tot_mes!$B:$XFD, MATCH(gdp_capita_mesorreg!D$1, gdp_tot_mes!$B$1:$XFD$1, 0), 0)*1000/VLOOKUP($B39, pop_mesorreg_interpol!$B:$XFD, MATCH(gdp_capita_mesorreg!D$1, pop_mesorreg_interpol!$B$1:$XFD$1, 0), 0)</f>
        <v>552.53827741010605</v>
      </c>
      <c r="E39" s="7">
        <f>VLOOKUP($B39, gdp_tot_mes!$B:$XFD, MATCH(gdp_capita_mesorreg!E$1, gdp_tot_mes!$B$1:$XFD$1, 0), 0)*1000/VLOOKUP($B39, pop_mesorreg_interpol!$B:$XFD, MATCH(gdp_capita_mesorreg!E$1, pop_mesorreg_interpol!$B$1:$XFD$1, 0), 0)</f>
        <v>803.6293279760273</v>
      </c>
      <c r="F39" s="7">
        <f>VLOOKUP($B39, gdp_tot_mes!$B:$XFD, MATCH(gdp_capita_mesorreg!F$1, gdp_tot_mes!$B$1:$XFD$1, 0), 0)*1000/VLOOKUP($B39, pop_mesorreg_interpol!$B:$XFD, MATCH(gdp_capita_mesorreg!F$1, pop_mesorreg_interpol!$B$1:$XFD$1, 0), 0)</f>
        <v>785.11177910560787</v>
      </c>
      <c r="G39" s="7">
        <f>VLOOKUP($B39, gdp_tot_mes!$B:$XFD, MATCH(gdp_capita_mesorreg!G$1, gdp_tot_mes!$B$1:$XFD$1, 0), 0)*1000/VLOOKUP($B39, pop_mesorreg_interpol!$B:$XFD, MATCH(gdp_capita_mesorreg!G$1, pop_mesorreg_interpol!$B$1:$XFD$1, 0), 0)</f>
        <v>1341.6505247339942</v>
      </c>
      <c r="H39" s="7">
        <f>VLOOKUP($B39, gdp_tot_mes!$B:$XFD, MATCH(gdp_capita_mesorreg!H$1, gdp_tot_mes!$B$1:$XFD$1, 0), 0)*1000/VLOOKUP($B39, pop_mesorreg_interpol!$B:$XFD, MATCH(gdp_capita_mesorreg!H$1, pop_mesorreg_interpol!$B$1:$XFD$1, 0), 0)</f>
        <v>1879.7967147972072</v>
      </c>
      <c r="I39" s="7">
        <f>VLOOKUP($B39, gdp_tot_mes!$B:$XFD, MATCH(gdp_capita_mesorreg!I$1, gdp_tot_mes!$B$1:$XFD$1, 0), 0)*1000/VLOOKUP($B39, pop_mesorreg_interpol!$B:$XFD, MATCH(gdp_capita_mesorreg!I$1, pop_mesorreg_interpol!$B$1:$XFD$1, 0), 0)</f>
        <v>2349.0070497109396</v>
      </c>
      <c r="J39" s="7">
        <f>VLOOKUP($B39, gdp_tot_mes!$B:$XFD, MATCH(gdp_capita_mesorreg!J$1, gdp_tot_mes!$B$1:$XFD$1, 0), 0)*1000/VLOOKUP($B39, pop_mesorreg_interpol!$B:$XFD, MATCH(gdp_capita_mesorreg!J$1, pop_mesorreg_interpol!$B$1:$XFD$1, 0), 0)</f>
        <v>3011.2553491679146</v>
      </c>
      <c r="K39" s="7">
        <f>VLOOKUP($B39, gdp_tot_mes!$B:$XFD, MATCH(gdp_capita_mesorreg!K$1, gdp_tot_mes!$B$1:$XFD$1, 0), 0)*1000/VLOOKUP($B39, pop_mesorreg_interpol!$B:$XFD, MATCH(gdp_capita_mesorreg!K$1, pop_mesorreg_interpol!$B$1:$XFD$1, 0), 0)</f>
        <v>2670.4701432645284</v>
      </c>
      <c r="L39" s="8">
        <f>VLOOKUP($B39, gdp_tot_mes!$B:$XFD, MATCH(gdp_capita_mesorreg!L$1, gdp_tot_mes!$B$1:$XFD$1, 0), 0)*1000/VLOOKUP($B39, pop_mesorreg_interpol!$B:$XFD, MATCH(gdp_capita_mesorreg!L$1, pop_mesorreg_interpol!$B$1:$XFD$1, 0), 0)</f>
        <v>2313.0658473035865</v>
      </c>
      <c r="M39" s="7">
        <f>VLOOKUP($B39, gdp_tot_mes!$B:$XFD, MATCH(gdp_capita_mesorreg!M$1, gdp_tot_mes!$B$1:$XFD$1, 0), 0)*1000/VLOOKUP($B39, pop_mesorreg_interpol!$B:$XFD, MATCH(gdp_capita_mesorreg!M$1, pop_mesorreg_interpol!$B$1:$XFD$1, 0), 0)</f>
        <v>1909.1411386281636</v>
      </c>
      <c r="N39" s="7">
        <f>VLOOKUP($B39, gdp_tot_mes!$B:$XFD, MATCH(gdp_capita_mesorreg!N$1, gdp_tot_mes!$B$1:$XFD$1, 0), 0)*1000/VLOOKUP($B39, pop_mesorreg_interpol!$B:$XFD, MATCH(gdp_capita_mesorreg!N$1, pop_mesorreg_interpol!$B$1:$XFD$1, 0), 0)</f>
        <v>2777.8126013564965</v>
      </c>
      <c r="O39" s="7">
        <f>VLOOKUP($B39, gdp_tot_mes!$B:$XFD, MATCH(gdp_capita_mesorreg!O$1, gdp_tot_mes!$B$1:$XFD$1, 0), 0)*1000/VLOOKUP($B39, pop_mesorreg_interpol!$B:$XFD, MATCH(gdp_capita_mesorreg!O$1, pop_mesorreg_interpol!$B$1:$XFD$1, 0), 0)</f>
        <v>2918.4868965141204</v>
      </c>
      <c r="P39" s="7">
        <f>VLOOKUP($B39, gdp_tot_mes!$B:$XFD, MATCH(gdp_capita_mesorreg!P$1, gdp_tot_mes!$B$1:$XFD$1, 0), 0)*1000/VLOOKUP($B39, pop_mesorreg_interpol!$B:$XFD, MATCH(gdp_capita_mesorreg!P$1, pop_mesorreg_interpol!$B$1:$XFD$1, 0), 0)</f>
        <v>3104.1152644811195</v>
      </c>
      <c r="Q39" s="7">
        <f>VLOOKUP($B39, gdp_tot_mes!$B:$XFD, MATCH(gdp_capita_mesorreg!Q$1, gdp_tot_mes!$B$1:$XFD$1, 0), 0)*1000/VLOOKUP($B39, pop_mesorreg_interpol!$B:$XFD, MATCH(gdp_capita_mesorreg!Q$1, pop_mesorreg_interpol!$B$1:$XFD$1, 0), 0)</f>
        <v>3373.570111912712</v>
      </c>
      <c r="R39" s="7">
        <f>VLOOKUP($B39, gdp_tot_mes!$B:$XFD, MATCH(gdp_capita_mesorreg!R$1, gdp_tot_mes!$B$1:$XFD$1, 0), 0)*1000/VLOOKUP($B39, pop_mesorreg_interpol!$B:$XFD, MATCH(gdp_capita_mesorreg!R$1, pop_mesorreg_interpol!$B$1:$XFD$1, 0), 0)</f>
        <v>3234.7827808412903</v>
      </c>
      <c r="S39" s="7">
        <f>VLOOKUP($B39, gdp_tot_mes!$B:$XFD, MATCH(gdp_capita_mesorreg!S$1, gdp_tot_mes!$B$1:$XFD$1, 0), 0)*1000/VLOOKUP($B39, pop_mesorreg_interpol!$B:$XFD, MATCH(gdp_capita_mesorreg!S$1, pop_mesorreg_interpol!$B$1:$XFD$1, 0), 0)</f>
        <v>3546.4123039782617</v>
      </c>
      <c r="T39" s="7">
        <f>VLOOKUP($B39, gdp_tot_mes!$B:$XFD, MATCH(gdp_capita_mesorreg!T$1, gdp_tot_mes!$B$1:$XFD$1, 0), 0)*1000/VLOOKUP($B39, pop_mesorreg_interpol!$B:$XFD, MATCH(gdp_capita_mesorreg!T$1, pop_mesorreg_interpol!$B$1:$XFD$1, 0), 0)</f>
        <v>3816.8971909873367</v>
      </c>
      <c r="U39" s="7">
        <f>VLOOKUP($B39, gdp_tot_mes!$B:$XFD, MATCH(gdp_capita_mesorreg!U$1, gdp_tot_mes!$B$1:$XFD$1, 0), 0)*1000/VLOOKUP($B39, pop_mesorreg_interpol!$B:$XFD, MATCH(gdp_capita_mesorreg!U$1, pop_mesorreg_interpol!$B$1:$XFD$1, 0), 0)</f>
        <v>4041.7234537716267</v>
      </c>
      <c r="V39" s="7">
        <f>VLOOKUP($B39, gdp_tot_mes!$B:$XFD, MATCH(gdp_capita_mesorreg!V$1, gdp_tot_mes!$B$1:$XFD$1, 0), 0)*1000/VLOOKUP($B39, pop_mesorreg_interpol!$B:$XFD, MATCH(gdp_capita_mesorreg!V$1, pop_mesorreg_interpol!$B$1:$XFD$1, 0), 0)</f>
        <v>4390.4544293714262</v>
      </c>
      <c r="W39" s="7">
        <f>VLOOKUP($B39, gdp_tot_mes!$B:$XFD, MATCH(gdp_capita_mesorreg!W$1, gdp_tot_mes!$B$1:$XFD$1, 0), 0)*1000/VLOOKUP($B39, pop_mesorreg_interpol!$B:$XFD, MATCH(gdp_capita_mesorreg!W$1, pop_mesorreg_interpol!$B$1:$XFD$1, 0), 0)</f>
        <v>4772.4322681823878</v>
      </c>
      <c r="X39" s="7">
        <f>VLOOKUP($B39, gdp_tot_mes!$B:$XFD, MATCH(gdp_capita_mesorreg!X$1, gdp_tot_mes!$B$1:$XFD$1, 0), 0)*1000/VLOOKUP($B39, pop_mesorreg_interpol!$B:$XFD, MATCH(gdp_capita_mesorreg!X$1, pop_mesorreg_interpol!$B$1:$XFD$1, 0), 0)</f>
        <v>4476.0875744301366</v>
      </c>
      <c r="Y39" s="7">
        <f>VLOOKUP($B39, gdp_tot_mes!$B:$XFD, MATCH(gdp_capita_mesorreg!Y$1, gdp_tot_mes!$B$1:$XFD$1, 0), 0)*1000/VLOOKUP($B39, pop_mesorreg_interpol!$B:$XFD, MATCH(gdp_capita_mesorreg!Y$1, pop_mesorreg_interpol!$B$1:$XFD$1, 0), 0)</f>
        <v>4753.8732381898499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x14ac:dyDescent="0.25">
      <c r="A40" s="1" t="s">
        <v>102</v>
      </c>
      <c r="B40" s="1" t="s">
        <v>109</v>
      </c>
      <c r="C40" s="1" t="s">
        <v>110</v>
      </c>
      <c r="D40" s="7">
        <f>VLOOKUP($B40, gdp_tot_mes!$B:$XFD, MATCH(gdp_capita_mesorreg!D$1, gdp_tot_mes!$B$1:$XFD$1, 0), 0)*1000/VLOOKUP($B40, pop_mesorreg_interpol!$B:$XFD, MATCH(gdp_capita_mesorreg!D$1, pop_mesorreg_interpol!$B$1:$XFD$1, 0), 0)</f>
        <v>271.37495733870219</v>
      </c>
      <c r="E40" s="7">
        <f>VLOOKUP($B40, gdp_tot_mes!$B:$XFD, MATCH(gdp_capita_mesorreg!E$1, gdp_tot_mes!$B$1:$XFD$1, 0), 0)*1000/VLOOKUP($B40, pop_mesorreg_interpol!$B:$XFD, MATCH(gdp_capita_mesorreg!E$1, pop_mesorreg_interpol!$B$1:$XFD$1, 0), 0)</f>
        <v>900.61838408892652</v>
      </c>
      <c r="F40" s="7">
        <f>VLOOKUP($B40, gdp_tot_mes!$B:$XFD, MATCH(gdp_capita_mesorreg!F$1, gdp_tot_mes!$B$1:$XFD$1, 0), 0)*1000/VLOOKUP($B40, pop_mesorreg_interpol!$B:$XFD, MATCH(gdp_capita_mesorreg!F$1, pop_mesorreg_interpol!$B$1:$XFD$1, 0), 0)</f>
        <v>520.27367518078813</v>
      </c>
      <c r="G40" s="7">
        <f>VLOOKUP($B40, gdp_tot_mes!$B:$XFD, MATCH(gdp_capita_mesorreg!G$1, gdp_tot_mes!$B$1:$XFD$1, 0), 0)*1000/VLOOKUP($B40, pop_mesorreg_interpol!$B:$XFD, MATCH(gdp_capita_mesorreg!G$1, pop_mesorreg_interpol!$B$1:$XFD$1, 0), 0)</f>
        <v>739.21389756692383</v>
      </c>
      <c r="H40" s="7">
        <f>VLOOKUP($B40, gdp_tot_mes!$B:$XFD, MATCH(gdp_capita_mesorreg!H$1, gdp_tot_mes!$B$1:$XFD$1, 0), 0)*1000/VLOOKUP($B40, pop_mesorreg_interpol!$B:$XFD, MATCH(gdp_capita_mesorreg!H$1, pop_mesorreg_interpol!$B$1:$XFD$1, 0), 0)</f>
        <v>1441.6595445347525</v>
      </c>
      <c r="I40" s="7">
        <f>VLOOKUP($B40, gdp_tot_mes!$B:$XFD, MATCH(gdp_capita_mesorreg!I$1, gdp_tot_mes!$B$1:$XFD$1, 0), 0)*1000/VLOOKUP($B40, pop_mesorreg_interpol!$B:$XFD, MATCH(gdp_capita_mesorreg!I$1, pop_mesorreg_interpol!$B$1:$XFD$1, 0), 0)</f>
        <v>2026.3794094350935</v>
      </c>
      <c r="J40" s="7">
        <f>VLOOKUP($B40, gdp_tot_mes!$B:$XFD, MATCH(gdp_capita_mesorreg!J$1, gdp_tot_mes!$B$1:$XFD$1, 0), 0)*1000/VLOOKUP($B40, pop_mesorreg_interpol!$B:$XFD, MATCH(gdp_capita_mesorreg!J$1, pop_mesorreg_interpol!$B$1:$XFD$1, 0), 0)</f>
        <v>2880.0276547262406</v>
      </c>
      <c r="K40" s="7">
        <f>VLOOKUP($B40, gdp_tot_mes!$B:$XFD, MATCH(gdp_capita_mesorreg!K$1, gdp_tot_mes!$B$1:$XFD$1, 0), 0)*1000/VLOOKUP($B40, pop_mesorreg_interpol!$B:$XFD, MATCH(gdp_capita_mesorreg!K$1, pop_mesorreg_interpol!$B$1:$XFD$1, 0), 0)</f>
        <v>3523.6110667329135</v>
      </c>
      <c r="L40" s="8">
        <f>VLOOKUP($B40, gdp_tot_mes!$B:$XFD, MATCH(gdp_capita_mesorreg!L$1, gdp_tot_mes!$B$1:$XFD$1, 0), 0)*1000/VLOOKUP($B40, pop_mesorreg_interpol!$B:$XFD, MATCH(gdp_capita_mesorreg!L$1, pop_mesorreg_interpol!$B$1:$XFD$1, 0), 0)</f>
        <v>2764.6475927911424</v>
      </c>
      <c r="M40" s="7">
        <f>VLOOKUP($B40, gdp_tot_mes!$B:$XFD, MATCH(gdp_capita_mesorreg!M$1, gdp_tot_mes!$B$1:$XFD$1, 0), 0)*1000/VLOOKUP($B40, pop_mesorreg_interpol!$B:$XFD, MATCH(gdp_capita_mesorreg!M$1, pop_mesorreg_interpol!$B$1:$XFD$1, 0), 0)</f>
        <v>1943.5726840979751</v>
      </c>
      <c r="N40" s="7">
        <f>VLOOKUP($B40, gdp_tot_mes!$B:$XFD, MATCH(gdp_capita_mesorreg!N$1, gdp_tot_mes!$B$1:$XFD$1, 0), 0)*1000/VLOOKUP($B40, pop_mesorreg_interpol!$B:$XFD, MATCH(gdp_capita_mesorreg!N$1, pop_mesorreg_interpol!$B$1:$XFD$1, 0), 0)</f>
        <v>2769.3307109052962</v>
      </c>
      <c r="O40" s="7">
        <f>VLOOKUP($B40, gdp_tot_mes!$B:$XFD, MATCH(gdp_capita_mesorreg!O$1, gdp_tot_mes!$B$1:$XFD$1, 0), 0)*1000/VLOOKUP($B40, pop_mesorreg_interpol!$B:$XFD, MATCH(gdp_capita_mesorreg!O$1, pop_mesorreg_interpol!$B$1:$XFD$1, 0), 0)</f>
        <v>2866.0347437269579</v>
      </c>
      <c r="P40" s="7">
        <f>VLOOKUP($B40, gdp_tot_mes!$B:$XFD, MATCH(gdp_capita_mesorreg!P$1, gdp_tot_mes!$B$1:$XFD$1, 0), 0)*1000/VLOOKUP($B40, pop_mesorreg_interpol!$B:$XFD, MATCH(gdp_capita_mesorreg!P$1, pop_mesorreg_interpol!$B$1:$XFD$1, 0), 0)</f>
        <v>2979.9802563854291</v>
      </c>
      <c r="Q40" s="7">
        <f>VLOOKUP($B40, gdp_tot_mes!$B:$XFD, MATCH(gdp_capita_mesorreg!Q$1, gdp_tot_mes!$B$1:$XFD$1, 0), 0)*1000/VLOOKUP($B40, pop_mesorreg_interpol!$B:$XFD, MATCH(gdp_capita_mesorreg!Q$1, pop_mesorreg_interpol!$B$1:$XFD$1, 0), 0)</f>
        <v>3078.8214196307749</v>
      </c>
      <c r="R40" s="7">
        <f>VLOOKUP($B40, gdp_tot_mes!$B:$XFD, MATCH(gdp_capita_mesorreg!R$1, gdp_tot_mes!$B$1:$XFD$1, 0), 0)*1000/VLOOKUP($B40, pop_mesorreg_interpol!$B:$XFD, MATCH(gdp_capita_mesorreg!R$1, pop_mesorreg_interpol!$B$1:$XFD$1, 0), 0)</f>
        <v>3236.603971467332</v>
      </c>
      <c r="S40" s="7">
        <f>VLOOKUP($B40, gdp_tot_mes!$B:$XFD, MATCH(gdp_capita_mesorreg!S$1, gdp_tot_mes!$B$1:$XFD$1, 0), 0)*1000/VLOOKUP($B40, pop_mesorreg_interpol!$B:$XFD, MATCH(gdp_capita_mesorreg!S$1, pop_mesorreg_interpol!$B$1:$XFD$1, 0), 0)</f>
        <v>3427.0434312819425</v>
      </c>
      <c r="T40" s="7">
        <f>VLOOKUP($B40, gdp_tot_mes!$B:$XFD, MATCH(gdp_capita_mesorreg!T$1, gdp_tot_mes!$B$1:$XFD$1, 0), 0)*1000/VLOOKUP($B40, pop_mesorreg_interpol!$B:$XFD, MATCH(gdp_capita_mesorreg!T$1, pop_mesorreg_interpol!$B$1:$XFD$1, 0), 0)</f>
        <v>3526.3468011229338</v>
      </c>
      <c r="U40" s="7">
        <f>VLOOKUP($B40, gdp_tot_mes!$B:$XFD, MATCH(gdp_capita_mesorreg!U$1, gdp_tot_mes!$B$1:$XFD$1, 0), 0)*1000/VLOOKUP($B40, pop_mesorreg_interpol!$B:$XFD, MATCH(gdp_capita_mesorreg!U$1, pop_mesorreg_interpol!$B$1:$XFD$1, 0), 0)</f>
        <v>3881.5383619152558</v>
      </c>
      <c r="V40" s="7">
        <f>VLOOKUP($B40, gdp_tot_mes!$B:$XFD, MATCH(gdp_capita_mesorreg!V$1, gdp_tot_mes!$B$1:$XFD$1, 0), 0)*1000/VLOOKUP($B40, pop_mesorreg_interpol!$B:$XFD, MATCH(gdp_capita_mesorreg!V$1, pop_mesorreg_interpol!$B$1:$XFD$1, 0), 0)</f>
        <v>3875.5761676019679</v>
      </c>
      <c r="W40" s="7">
        <f>VLOOKUP($B40, gdp_tot_mes!$B:$XFD, MATCH(gdp_capita_mesorreg!W$1, gdp_tot_mes!$B$1:$XFD$1, 0), 0)*1000/VLOOKUP($B40, pop_mesorreg_interpol!$B:$XFD, MATCH(gdp_capita_mesorreg!W$1, pop_mesorreg_interpol!$B$1:$XFD$1, 0), 0)</f>
        <v>4253.296109585679</v>
      </c>
      <c r="X40" s="7">
        <f>VLOOKUP($B40, gdp_tot_mes!$B:$XFD, MATCH(gdp_capita_mesorreg!X$1, gdp_tot_mes!$B$1:$XFD$1, 0), 0)*1000/VLOOKUP($B40, pop_mesorreg_interpol!$B:$XFD, MATCH(gdp_capita_mesorreg!X$1, pop_mesorreg_interpol!$B$1:$XFD$1, 0), 0)</f>
        <v>4218.5870886887105</v>
      </c>
      <c r="Y40" s="7">
        <f>VLOOKUP($B40, gdp_tot_mes!$B:$XFD, MATCH(gdp_capita_mesorreg!Y$1, gdp_tot_mes!$B$1:$XFD$1, 0), 0)*1000/VLOOKUP($B40, pop_mesorreg_interpol!$B:$XFD, MATCH(gdp_capita_mesorreg!Y$1, pop_mesorreg_interpol!$B$1:$XFD$1, 0), 0)</f>
        <v>4229.405940846028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25">
      <c r="A41" s="1" t="s">
        <v>102</v>
      </c>
      <c r="B41" s="1" t="s">
        <v>111</v>
      </c>
      <c r="C41" s="1" t="s">
        <v>112</v>
      </c>
      <c r="D41" s="7">
        <f>VLOOKUP($B41, gdp_tot_mes!$B:$XFD, MATCH(gdp_capita_mesorreg!D$1, gdp_tot_mes!$B$1:$XFD$1, 0), 0)*1000/VLOOKUP($B41, pop_mesorreg_interpol!$B:$XFD, MATCH(gdp_capita_mesorreg!D$1, pop_mesorreg_interpol!$B$1:$XFD$1, 0), 0)</f>
        <v>422.93823437102941</v>
      </c>
      <c r="E41" s="7">
        <f>VLOOKUP($B41, gdp_tot_mes!$B:$XFD, MATCH(gdp_capita_mesorreg!E$1, gdp_tot_mes!$B$1:$XFD$1, 0), 0)*1000/VLOOKUP($B41, pop_mesorreg_interpol!$B:$XFD, MATCH(gdp_capita_mesorreg!E$1, pop_mesorreg_interpol!$B$1:$XFD$1, 0), 0)</f>
        <v>698.1701347477042</v>
      </c>
      <c r="F41" s="7">
        <f>VLOOKUP($B41, gdp_tot_mes!$B:$XFD, MATCH(gdp_capita_mesorreg!F$1, gdp_tot_mes!$B$1:$XFD$1, 0), 0)*1000/VLOOKUP($B41, pop_mesorreg_interpol!$B:$XFD, MATCH(gdp_capita_mesorreg!F$1, pop_mesorreg_interpol!$B$1:$XFD$1, 0), 0)</f>
        <v>555.61853028765415</v>
      </c>
      <c r="G41" s="7">
        <f>VLOOKUP($B41, gdp_tot_mes!$B:$XFD, MATCH(gdp_capita_mesorreg!G$1, gdp_tot_mes!$B$1:$XFD$1, 0), 0)*1000/VLOOKUP($B41, pop_mesorreg_interpol!$B:$XFD, MATCH(gdp_capita_mesorreg!G$1, pop_mesorreg_interpol!$B$1:$XFD$1, 0), 0)</f>
        <v>1419.8424637419937</v>
      </c>
      <c r="H41" s="7">
        <f>VLOOKUP($B41, gdp_tot_mes!$B:$XFD, MATCH(gdp_capita_mesorreg!H$1, gdp_tot_mes!$B$1:$XFD$1, 0), 0)*1000/VLOOKUP($B41, pop_mesorreg_interpol!$B:$XFD, MATCH(gdp_capita_mesorreg!H$1, pop_mesorreg_interpol!$B$1:$XFD$1, 0), 0)</f>
        <v>1381.3730703891274</v>
      </c>
      <c r="I41" s="7">
        <f>VLOOKUP($B41, gdp_tot_mes!$B:$XFD, MATCH(gdp_capita_mesorreg!I$1, gdp_tot_mes!$B$1:$XFD$1, 0), 0)*1000/VLOOKUP($B41, pop_mesorreg_interpol!$B:$XFD, MATCH(gdp_capita_mesorreg!I$1, pop_mesorreg_interpol!$B$1:$XFD$1, 0), 0)</f>
        <v>1562.9634067770992</v>
      </c>
      <c r="J41" s="7">
        <f>VLOOKUP($B41, gdp_tot_mes!$B:$XFD, MATCH(gdp_capita_mesorreg!J$1, gdp_tot_mes!$B$1:$XFD$1, 0), 0)*1000/VLOOKUP($B41, pop_mesorreg_interpol!$B:$XFD, MATCH(gdp_capita_mesorreg!J$1, pop_mesorreg_interpol!$B$1:$XFD$1, 0), 0)</f>
        <v>2508.3564857987626</v>
      </c>
      <c r="K41" s="7">
        <f>VLOOKUP($B41, gdp_tot_mes!$B:$XFD, MATCH(gdp_capita_mesorreg!K$1, gdp_tot_mes!$B$1:$XFD$1, 0), 0)*1000/VLOOKUP($B41, pop_mesorreg_interpol!$B:$XFD, MATCH(gdp_capita_mesorreg!K$1, pop_mesorreg_interpol!$B$1:$XFD$1, 0), 0)</f>
        <v>3099.2460867822615</v>
      </c>
      <c r="L41" s="8">
        <f>VLOOKUP($B41, gdp_tot_mes!$B:$XFD, MATCH(gdp_capita_mesorreg!L$1, gdp_tot_mes!$B$1:$XFD$1, 0), 0)*1000/VLOOKUP($B41, pop_mesorreg_interpol!$B:$XFD, MATCH(gdp_capita_mesorreg!L$1, pop_mesorreg_interpol!$B$1:$XFD$1, 0), 0)</f>
        <v>3435.3466918622344</v>
      </c>
      <c r="M41" s="7">
        <f>VLOOKUP($B41, gdp_tot_mes!$B:$XFD, MATCH(gdp_capita_mesorreg!M$1, gdp_tot_mes!$B$1:$XFD$1, 0), 0)*1000/VLOOKUP($B41, pop_mesorreg_interpol!$B:$XFD, MATCH(gdp_capita_mesorreg!M$1, pop_mesorreg_interpol!$B$1:$XFD$1, 0), 0)</f>
        <v>3758.4497929119866</v>
      </c>
      <c r="N41" s="7">
        <f>VLOOKUP($B41, gdp_tot_mes!$B:$XFD, MATCH(gdp_capita_mesorreg!N$1, gdp_tot_mes!$B$1:$XFD$1, 0), 0)*1000/VLOOKUP($B41, pop_mesorreg_interpol!$B:$XFD, MATCH(gdp_capita_mesorreg!N$1, pop_mesorreg_interpol!$B$1:$XFD$1, 0), 0)</f>
        <v>7579.0000773736638</v>
      </c>
      <c r="O41" s="7">
        <f>VLOOKUP($B41, gdp_tot_mes!$B:$XFD, MATCH(gdp_capita_mesorreg!O$1, gdp_tot_mes!$B$1:$XFD$1, 0), 0)*1000/VLOOKUP($B41, pop_mesorreg_interpol!$B:$XFD, MATCH(gdp_capita_mesorreg!O$1, pop_mesorreg_interpol!$B$1:$XFD$1, 0), 0)</f>
        <v>7744.4177253897014</v>
      </c>
      <c r="P41" s="7">
        <f>VLOOKUP($B41, gdp_tot_mes!$B:$XFD, MATCH(gdp_capita_mesorreg!P$1, gdp_tot_mes!$B$1:$XFD$1, 0), 0)*1000/VLOOKUP($B41, pop_mesorreg_interpol!$B:$XFD, MATCH(gdp_capita_mesorreg!P$1, pop_mesorreg_interpol!$B$1:$XFD$1, 0), 0)</f>
        <v>7611.585751436015</v>
      </c>
      <c r="Q41" s="7">
        <f>VLOOKUP($B41, gdp_tot_mes!$B:$XFD, MATCH(gdp_capita_mesorreg!Q$1, gdp_tot_mes!$B$1:$XFD$1, 0), 0)*1000/VLOOKUP($B41, pop_mesorreg_interpol!$B:$XFD, MATCH(gdp_capita_mesorreg!Q$1, pop_mesorreg_interpol!$B$1:$XFD$1, 0), 0)</f>
        <v>7696.5452531448336</v>
      </c>
      <c r="R41" s="7">
        <f>VLOOKUP($B41, gdp_tot_mes!$B:$XFD, MATCH(gdp_capita_mesorreg!R$1, gdp_tot_mes!$B$1:$XFD$1, 0), 0)*1000/VLOOKUP($B41, pop_mesorreg_interpol!$B:$XFD, MATCH(gdp_capita_mesorreg!R$1, pop_mesorreg_interpol!$B$1:$XFD$1, 0), 0)</f>
        <v>8983.1488359006053</v>
      </c>
      <c r="S41" s="7">
        <f>VLOOKUP($B41, gdp_tot_mes!$B:$XFD, MATCH(gdp_capita_mesorreg!S$1, gdp_tot_mes!$B$1:$XFD$1, 0), 0)*1000/VLOOKUP($B41, pop_mesorreg_interpol!$B:$XFD, MATCH(gdp_capita_mesorreg!S$1, pop_mesorreg_interpol!$B$1:$XFD$1, 0), 0)</f>
        <v>8950.2554136263843</v>
      </c>
      <c r="T41" s="7">
        <f>VLOOKUP($B41, gdp_tot_mes!$B:$XFD, MATCH(gdp_capita_mesorreg!T$1, gdp_tot_mes!$B$1:$XFD$1, 0), 0)*1000/VLOOKUP($B41, pop_mesorreg_interpol!$B:$XFD, MATCH(gdp_capita_mesorreg!T$1, pop_mesorreg_interpol!$B$1:$XFD$1, 0), 0)</f>
        <v>10328.339513147148</v>
      </c>
      <c r="U41" s="7">
        <f>VLOOKUP($B41, gdp_tot_mes!$B:$XFD, MATCH(gdp_capita_mesorreg!U$1, gdp_tot_mes!$B$1:$XFD$1, 0), 0)*1000/VLOOKUP($B41, pop_mesorreg_interpol!$B:$XFD, MATCH(gdp_capita_mesorreg!U$1, pop_mesorreg_interpol!$B$1:$XFD$1, 0), 0)</f>
        <v>8409.3291692500843</v>
      </c>
      <c r="V41" s="7">
        <f>VLOOKUP($B41, gdp_tot_mes!$B:$XFD, MATCH(gdp_capita_mesorreg!V$1, gdp_tot_mes!$B$1:$XFD$1, 0), 0)*1000/VLOOKUP($B41, pop_mesorreg_interpol!$B:$XFD, MATCH(gdp_capita_mesorreg!V$1, pop_mesorreg_interpol!$B$1:$XFD$1, 0), 0)</f>
        <v>7546.3353456414034</v>
      </c>
      <c r="W41" s="7">
        <f>VLOOKUP($B41, gdp_tot_mes!$B:$XFD, MATCH(gdp_capita_mesorreg!W$1, gdp_tot_mes!$B$1:$XFD$1, 0), 0)*1000/VLOOKUP($B41, pop_mesorreg_interpol!$B:$XFD, MATCH(gdp_capita_mesorreg!W$1, pop_mesorreg_interpol!$B$1:$XFD$1, 0), 0)</f>
        <v>11043.563556122535</v>
      </c>
      <c r="X41" s="7">
        <f>VLOOKUP($B41, gdp_tot_mes!$B:$XFD, MATCH(gdp_capita_mesorreg!X$1, gdp_tot_mes!$B$1:$XFD$1, 0), 0)*1000/VLOOKUP($B41, pop_mesorreg_interpol!$B:$XFD, MATCH(gdp_capita_mesorreg!X$1, pop_mesorreg_interpol!$B$1:$XFD$1, 0), 0)</f>
        <v>11395.184639146939</v>
      </c>
      <c r="Y41" s="7">
        <f>VLOOKUP($B41, gdp_tot_mes!$B:$XFD, MATCH(gdp_capita_mesorreg!Y$1, gdp_tot_mes!$B$1:$XFD$1, 0), 0)*1000/VLOOKUP($B41, pop_mesorreg_interpol!$B:$XFD, MATCH(gdp_capita_mesorreg!Y$1, pop_mesorreg_interpol!$B$1:$XFD$1, 0), 0)</f>
        <v>10707.761807174611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x14ac:dyDescent="0.25">
      <c r="A42" s="1" t="s">
        <v>113</v>
      </c>
      <c r="B42" s="1" t="s">
        <v>114</v>
      </c>
      <c r="C42" s="1" t="s">
        <v>115</v>
      </c>
      <c r="D42" s="7">
        <f>VLOOKUP($B42, gdp_tot_mes!$B:$XFD, MATCH(gdp_capita_mesorreg!D$1, gdp_tot_mes!$B$1:$XFD$1, 0), 0)*1000/VLOOKUP($B42, pop_mesorreg_interpol!$B:$XFD, MATCH(gdp_capita_mesorreg!D$1, pop_mesorreg_interpol!$B$1:$XFD$1, 0), 0)</f>
        <v>535.52731150955242</v>
      </c>
      <c r="E42" s="7">
        <f>VLOOKUP($B42, gdp_tot_mes!$B:$XFD, MATCH(gdp_capita_mesorreg!E$1, gdp_tot_mes!$B$1:$XFD$1, 0), 0)*1000/VLOOKUP($B42, pop_mesorreg_interpol!$B:$XFD, MATCH(gdp_capita_mesorreg!E$1, pop_mesorreg_interpol!$B$1:$XFD$1, 0), 0)</f>
        <v>902.15509350457171</v>
      </c>
      <c r="F42" s="7">
        <f>VLOOKUP($B42, gdp_tot_mes!$B:$XFD, MATCH(gdp_capita_mesorreg!F$1, gdp_tot_mes!$B$1:$XFD$1, 0), 0)*1000/VLOOKUP($B42, pop_mesorreg_interpol!$B:$XFD, MATCH(gdp_capita_mesorreg!F$1, pop_mesorreg_interpol!$B$1:$XFD$1, 0), 0)</f>
        <v>1019.5381925520508</v>
      </c>
      <c r="G42" s="7">
        <f>VLOOKUP($B42, gdp_tot_mes!$B:$XFD, MATCH(gdp_capita_mesorreg!G$1, gdp_tot_mes!$B$1:$XFD$1, 0), 0)*1000/VLOOKUP($B42, pop_mesorreg_interpol!$B:$XFD, MATCH(gdp_capita_mesorreg!G$1, pop_mesorreg_interpol!$B$1:$XFD$1, 0), 0)</f>
        <v>1901.951858268121</v>
      </c>
      <c r="H42" s="7">
        <f>VLOOKUP($B42, gdp_tot_mes!$B:$XFD, MATCH(gdp_capita_mesorreg!H$1, gdp_tot_mes!$B$1:$XFD$1, 0), 0)*1000/VLOOKUP($B42, pop_mesorreg_interpol!$B:$XFD, MATCH(gdp_capita_mesorreg!H$1, pop_mesorreg_interpol!$B$1:$XFD$1, 0), 0)</f>
        <v>3429.2878855967133</v>
      </c>
      <c r="I42" s="7">
        <f>VLOOKUP($B42, gdp_tot_mes!$B:$XFD, MATCH(gdp_capita_mesorreg!I$1, gdp_tot_mes!$B$1:$XFD$1, 0), 0)*1000/VLOOKUP($B42, pop_mesorreg_interpol!$B:$XFD, MATCH(gdp_capita_mesorreg!I$1, pop_mesorreg_interpol!$B$1:$XFD$1, 0), 0)</f>
        <v>4636.0774601063949</v>
      </c>
      <c r="J42" s="7">
        <f>VLOOKUP($B42, gdp_tot_mes!$B:$XFD, MATCH(gdp_capita_mesorreg!J$1, gdp_tot_mes!$B$1:$XFD$1, 0), 0)*1000/VLOOKUP($B42, pop_mesorreg_interpol!$B:$XFD, MATCH(gdp_capita_mesorreg!J$1, pop_mesorreg_interpol!$B$1:$XFD$1, 0), 0)</f>
        <v>8527.1822739739218</v>
      </c>
      <c r="K42" s="7">
        <f>VLOOKUP($B42, gdp_tot_mes!$B:$XFD, MATCH(gdp_capita_mesorreg!K$1, gdp_tot_mes!$B$1:$XFD$1, 0), 0)*1000/VLOOKUP($B42, pop_mesorreg_interpol!$B:$XFD, MATCH(gdp_capita_mesorreg!K$1, pop_mesorreg_interpol!$B$1:$XFD$1, 0), 0)</f>
        <v>7895.2213153971879</v>
      </c>
      <c r="L42" s="8">
        <f>VLOOKUP($B42, gdp_tot_mes!$B:$XFD, MATCH(gdp_capita_mesorreg!L$1, gdp_tot_mes!$B$1:$XFD$1, 0), 0)*1000/VLOOKUP($B42, pop_mesorreg_interpol!$B:$XFD, MATCH(gdp_capita_mesorreg!L$1, pop_mesorreg_interpol!$B$1:$XFD$1, 0), 0)</f>
        <v>7728.1429498287334</v>
      </c>
      <c r="M42" s="7">
        <f>VLOOKUP($B42, gdp_tot_mes!$B:$XFD, MATCH(gdp_capita_mesorreg!M$1, gdp_tot_mes!$B$1:$XFD$1, 0), 0)*1000/VLOOKUP($B42, pop_mesorreg_interpol!$B:$XFD, MATCH(gdp_capita_mesorreg!M$1, pop_mesorreg_interpol!$B$1:$XFD$1, 0), 0)</f>
        <v>7543.1504301513232</v>
      </c>
      <c r="N42" s="7">
        <f>VLOOKUP($B42, gdp_tot_mes!$B:$XFD, MATCH(gdp_capita_mesorreg!N$1, gdp_tot_mes!$B$1:$XFD$1, 0), 0)*1000/VLOOKUP($B42, pop_mesorreg_interpol!$B:$XFD, MATCH(gdp_capita_mesorreg!N$1, pop_mesorreg_interpol!$B$1:$XFD$1, 0), 0)</f>
        <v>11094.195950078867</v>
      </c>
      <c r="O42" s="7">
        <f>VLOOKUP($B42, gdp_tot_mes!$B:$XFD, MATCH(gdp_capita_mesorreg!O$1, gdp_tot_mes!$B$1:$XFD$1, 0), 0)*1000/VLOOKUP($B42, pop_mesorreg_interpol!$B:$XFD, MATCH(gdp_capita_mesorreg!O$1, pop_mesorreg_interpol!$B$1:$XFD$1, 0), 0)</f>
        <v>11023.54440563155</v>
      </c>
      <c r="P42" s="7">
        <f>VLOOKUP($B42, gdp_tot_mes!$B:$XFD, MATCH(gdp_capita_mesorreg!P$1, gdp_tot_mes!$B$1:$XFD$1, 0), 0)*1000/VLOOKUP($B42, pop_mesorreg_interpol!$B:$XFD, MATCH(gdp_capita_mesorreg!P$1, pop_mesorreg_interpol!$B$1:$XFD$1, 0), 0)</f>
        <v>10477.937568589809</v>
      </c>
      <c r="Q42" s="7">
        <f>VLOOKUP($B42, gdp_tot_mes!$B:$XFD, MATCH(gdp_capita_mesorreg!Q$1, gdp_tot_mes!$B$1:$XFD$1, 0), 0)*1000/VLOOKUP($B42, pop_mesorreg_interpol!$B:$XFD, MATCH(gdp_capita_mesorreg!Q$1, pop_mesorreg_interpol!$B$1:$XFD$1, 0), 0)</f>
        <v>12848.520032278464</v>
      </c>
      <c r="R42" s="7">
        <f>VLOOKUP($B42, gdp_tot_mes!$B:$XFD, MATCH(gdp_capita_mesorreg!R$1, gdp_tot_mes!$B$1:$XFD$1, 0), 0)*1000/VLOOKUP($B42, pop_mesorreg_interpol!$B:$XFD, MATCH(gdp_capita_mesorreg!R$1, pop_mesorreg_interpol!$B$1:$XFD$1, 0), 0)</f>
        <v>13959.531020991049</v>
      </c>
      <c r="S42" s="7">
        <f>VLOOKUP($B42, gdp_tot_mes!$B:$XFD, MATCH(gdp_capita_mesorreg!S$1, gdp_tot_mes!$B$1:$XFD$1, 0), 0)*1000/VLOOKUP($B42, pop_mesorreg_interpol!$B:$XFD, MATCH(gdp_capita_mesorreg!S$1, pop_mesorreg_interpol!$B$1:$XFD$1, 0), 0)</f>
        <v>14268.816575978808</v>
      </c>
      <c r="T42" s="7">
        <f>VLOOKUP($B42, gdp_tot_mes!$B:$XFD, MATCH(gdp_capita_mesorreg!T$1, gdp_tot_mes!$B$1:$XFD$1, 0), 0)*1000/VLOOKUP($B42, pop_mesorreg_interpol!$B:$XFD, MATCH(gdp_capita_mesorreg!T$1, pop_mesorreg_interpol!$B$1:$XFD$1, 0), 0)</f>
        <v>14382.546388847495</v>
      </c>
      <c r="U42" s="7">
        <f>VLOOKUP($B42, gdp_tot_mes!$B:$XFD, MATCH(gdp_capita_mesorreg!U$1, gdp_tot_mes!$B$1:$XFD$1, 0), 0)*1000/VLOOKUP($B42, pop_mesorreg_interpol!$B:$XFD, MATCH(gdp_capita_mesorreg!U$1, pop_mesorreg_interpol!$B$1:$XFD$1, 0), 0)</f>
        <v>12476.595311390882</v>
      </c>
      <c r="V42" s="7">
        <f>VLOOKUP($B42, gdp_tot_mes!$B:$XFD, MATCH(gdp_capita_mesorreg!V$1, gdp_tot_mes!$B$1:$XFD$1, 0), 0)*1000/VLOOKUP($B42, pop_mesorreg_interpol!$B:$XFD, MATCH(gdp_capita_mesorreg!V$1, pop_mesorreg_interpol!$B$1:$XFD$1, 0), 0)</f>
        <v>13799.335818758218</v>
      </c>
      <c r="W42" s="7">
        <f>VLOOKUP($B42, gdp_tot_mes!$B:$XFD, MATCH(gdp_capita_mesorreg!W$1, gdp_tot_mes!$B$1:$XFD$1, 0), 0)*1000/VLOOKUP($B42, pop_mesorreg_interpol!$B:$XFD, MATCH(gdp_capita_mesorreg!W$1, pop_mesorreg_interpol!$B$1:$XFD$1, 0), 0)</f>
        <v>16404.612039288804</v>
      </c>
      <c r="X42" s="7">
        <f>VLOOKUP($B42, gdp_tot_mes!$B:$XFD, MATCH(gdp_capita_mesorreg!X$1, gdp_tot_mes!$B$1:$XFD$1, 0), 0)*1000/VLOOKUP($B42, pop_mesorreg_interpol!$B:$XFD, MATCH(gdp_capita_mesorreg!X$1, pop_mesorreg_interpol!$B$1:$XFD$1, 0), 0)</f>
        <v>15865.359931800123</v>
      </c>
      <c r="Y42" s="7">
        <f>VLOOKUP($B42, gdp_tot_mes!$B:$XFD, MATCH(gdp_capita_mesorreg!Y$1, gdp_tot_mes!$B$1:$XFD$1, 0), 0)*1000/VLOOKUP($B42, pop_mesorreg_interpol!$B:$XFD, MATCH(gdp_capita_mesorreg!Y$1, pop_mesorreg_interpol!$B$1:$XFD$1, 0), 0)</f>
        <v>16377.111582946256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x14ac:dyDescent="0.25">
      <c r="A43" s="1" t="s">
        <v>113</v>
      </c>
      <c r="B43" s="1" t="s">
        <v>116</v>
      </c>
      <c r="C43" s="1" t="s">
        <v>117</v>
      </c>
      <c r="D43" s="7">
        <f>VLOOKUP($B43, gdp_tot_mes!$B:$XFD, MATCH(gdp_capita_mesorreg!D$1, gdp_tot_mes!$B$1:$XFD$1, 0), 0)*1000/VLOOKUP($B43, pop_mesorreg_interpol!$B:$XFD, MATCH(gdp_capita_mesorreg!D$1, pop_mesorreg_interpol!$B$1:$XFD$1, 0), 0)</f>
        <v>357.84772304325628</v>
      </c>
      <c r="E43" s="7">
        <f>VLOOKUP($B43, gdp_tot_mes!$B:$XFD, MATCH(gdp_capita_mesorreg!E$1, gdp_tot_mes!$B$1:$XFD$1, 0), 0)*1000/VLOOKUP($B43, pop_mesorreg_interpol!$B:$XFD, MATCH(gdp_capita_mesorreg!E$1, pop_mesorreg_interpol!$B$1:$XFD$1, 0), 0)</f>
        <v>873.06577878806809</v>
      </c>
      <c r="F43" s="7">
        <f>VLOOKUP($B43, gdp_tot_mes!$B:$XFD, MATCH(gdp_capita_mesorreg!F$1, gdp_tot_mes!$B$1:$XFD$1, 0), 0)*1000/VLOOKUP($B43, pop_mesorreg_interpol!$B:$XFD, MATCH(gdp_capita_mesorreg!F$1, pop_mesorreg_interpol!$B$1:$XFD$1, 0), 0)</f>
        <v>1004.089903578952</v>
      </c>
      <c r="G43" s="7">
        <f>VLOOKUP($B43, gdp_tot_mes!$B:$XFD, MATCH(gdp_capita_mesorreg!G$1, gdp_tot_mes!$B$1:$XFD$1, 0), 0)*1000/VLOOKUP($B43, pop_mesorreg_interpol!$B:$XFD, MATCH(gdp_capita_mesorreg!G$1, pop_mesorreg_interpol!$B$1:$XFD$1, 0), 0)</f>
        <v>1670.2204030076953</v>
      </c>
      <c r="H43" s="7">
        <f>VLOOKUP($B43, gdp_tot_mes!$B:$XFD, MATCH(gdp_capita_mesorreg!H$1, gdp_tot_mes!$B$1:$XFD$1, 0), 0)*1000/VLOOKUP($B43, pop_mesorreg_interpol!$B:$XFD, MATCH(gdp_capita_mesorreg!H$1, pop_mesorreg_interpol!$B$1:$XFD$1, 0), 0)</f>
        <v>2050.2810581579583</v>
      </c>
      <c r="I43" s="7">
        <f>VLOOKUP($B43, gdp_tot_mes!$B:$XFD, MATCH(gdp_capita_mesorreg!I$1, gdp_tot_mes!$B$1:$XFD$1, 0), 0)*1000/VLOOKUP($B43, pop_mesorreg_interpol!$B:$XFD, MATCH(gdp_capita_mesorreg!I$1, pop_mesorreg_interpol!$B$1:$XFD$1, 0), 0)</f>
        <v>3362.0716786533953</v>
      </c>
      <c r="J43" s="7">
        <f>VLOOKUP($B43, gdp_tot_mes!$B:$XFD, MATCH(gdp_capita_mesorreg!J$1, gdp_tot_mes!$B$1:$XFD$1, 0), 0)*1000/VLOOKUP($B43, pop_mesorreg_interpol!$B:$XFD, MATCH(gdp_capita_mesorreg!J$1, pop_mesorreg_interpol!$B$1:$XFD$1, 0), 0)</f>
        <v>5264.4488749674565</v>
      </c>
      <c r="K43" s="7">
        <f>VLOOKUP($B43, gdp_tot_mes!$B:$XFD, MATCH(gdp_capita_mesorreg!K$1, gdp_tot_mes!$B$1:$XFD$1, 0), 0)*1000/VLOOKUP($B43, pop_mesorreg_interpol!$B:$XFD, MATCH(gdp_capita_mesorreg!K$1, pop_mesorreg_interpol!$B$1:$XFD$1, 0), 0)</f>
        <v>5807.8141753958953</v>
      </c>
      <c r="L43" s="8">
        <f>VLOOKUP($B43, gdp_tot_mes!$B:$XFD, MATCH(gdp_capita_mesorreg!L$1, gdp_tot_mes!$B$1:$XFD$1, 0), 0)*1000/VLOOKUP($B43, pop_mesorreg_interpol!$B:$XFD, MATCH(gdp_capita_mesorreg!L$1, pop_mesorreg_interpol!$B$1:$XFD$1, 0), 0)</f>
        <v>5381.8140007282809</v>
      </c>
      <c r="M43" s="7">
        <f>VLOOKUP($B43, gdp_tot_mes!$B:$XFD, MATCH(gdp_capita_mesorreg!M$1, gdp_tot_mes!$B$1:$XFD$1, 0), 0)*1000/VLOOKUP($B43, pop_mesorreg_interpol!$B:$XFD, MATCH(gdp_capita_mesorreg!M$1, pop_mesorreg_interpol!$B$1:$XFD$1, 0), 0)</f>
        <v>4936.6366637829633</v>
      </c>
      <c r="N43" s="7">
        <f>VLOOKUP($B43, gdp_tot_mes!$B:$XFD, MATCH(gdp_capita_mesorreg!N$1, gdp_tot_mes!$B$1:$XFD$1, 0), 0)*1000/VLOOKUP($B43, pop_mesorreg_interpol!$B:$XFD, MATCH(gdp_capita_mesorreg!N$1, pop_mesorreg_interpol!$B$1:$XFD$1, 0), 0)</f>
        <v>6034.1462398602116</v>
      </c>
      <c r="O43" s="7">
        <f>VLOOKUP($B43, gdp_tot_mes!$B:$XFD, MATCH(gdp_capita_mesorreg!O$1, gdp_tot_mes!$B$1:$XFD$1, 0), 0)*1000/VLOOKUP($B43, pop_mesorreg_interpol!$B:$XFD, MATCH(gdp_capita_mesorreg!O$1, pop_mesorreg_interpol!$B$1:$XFD$1, 0), 0)</f>
        <v>6114.2284997734796</v>
      </c>
      <c r="P43" s="7">
        <f>VLOOKUP($B43, gdp_tot_mes!$B:$XFD, MATCH(gdp_capita_mesorreg!P$1, gdp_tot_mes!$B$1:$XFD$1, 0), 0)*1000/VLOOKUP($B43, pop_mesorreg_interpol!$B:$XFD, MATCH(gdp_capita_mesorreg!P$1, pop_mesorreg_interpol!$B$1:$XFD$1, 0), 0)</f>
        <v>6104.8101005880644</v>
      </c>
      <c r="Q43" s="7">
        <f>VLOOKUP($B43, gdp_tot_mes!$B:$XFD, MATCH(gdp_capita_mesorreg!Q$1, gdp_tot_mes!$B$1:$XFD$1, 0), 0)*1000/VLOOKUP($B43, pop_mesorreg_interpol!$B:$XFD, MATCH(gdp_capita_mesorreg!Q$1, pop_mesorreg_interpol!$B$1:$XFD$1, 0), 0)</f>
        <v>6455.8235831098991</v>
      </c>
      <c r="R43" s="7">
        <f>VLOOKUP($B43, gdp_tot_mes!$B:$XFD, MATCH(gdp_capita_mesorreg!R$1, gdp_tot_mes!$B$1:$XFD$1, 0), 0)*1000/VLOOKUP($B43, pop_mesorreg_interpol!$B:$XFD, MATCH(gdp_capita_mesorreg!R$1, pop_mesorreg_interpol!$B$1:$XFD$1, 0), 0)</f>
        <v>6537.163120409713</v>
      </c>
      <c r="S43" s="7">
        <f>VLOOKUP($B43, gdp_tot_mes!$B:$XFD, MATCH(gdp_capita_mesorreg!S$1, gdp_tot_mes!$B$1:$XFD$1, 0), 0)*1000/VLOOKUP($B43, pop_mesorreg_interpol!$B:$XFD, MATCH(gdp_capita_mesorreg!S$1, pop_mesorreg_interpol!$B$1:$XFD$1, 0), 0)</f>
        <v>6849.5591545118214</v>
      </c>
      <c r="T43" s="7">
        <f>VLOOKUP($B43, gdp_tot_mes!$B:$XFD, MATCH(gdp_capita_mesorreg!T$1, gdp_tot_mes!$B$1:$XFD$1, 0), 0)*1000/VLOOKUP($B43, pop_mesorreg_interpol!$B:$XFD, MATCH(gdp_capita_mesorreg!T$1, pop_mesorreg_interpol!$B$1:$XFD$1, 0), 0)</f>
        <v>7131.7794929461334</v>
      </c>
      <c r="U43" s="7">
        <f>VLOOKUP($B43, gdp_tot_mes!$B:$XFD, MATCH(gdp_capita_mesorreg!U$1, gdp_tot_mes!$B$1:$XFD$1, 0), 0)*1000/VLOOKUP($B43, pop_mesorreg_interpol!$B:$XFD, MATCH(gdp_capita_mesorreg!U$1, pop_mesorreg_interpol!$B$1:$XFD$1, 0), 0)</f>
        <v>7102.6123628118248</v>
      </c>
      <c r="V43" s="7">
        <f>VLOOKUP($B43, gdp_tot_mes!$B:$XFD, MATCH(gdp_capita_mesorreg!V$1, gdp_tot_mes!$B$1:$XFD$1, 0), 0)*1000/VLOOKUP($B43, pop_mesorreg_interpol!$B:$XFD, MATCH(gdp_capita_mesorreg!V$1, pop_mesorreg_interpol!$B$1:$XFD$1, 0), 0)</f>
        <v>7716.0054361375351</v>
      </c>
      <c r="W43" s="7">
        <f>VLOOKUP($B43, gdp_tot_mes!$B:$XFD, MATCH(gdp_capita_mesorreg!W$1, gdp_tot_mes!$B$1:$XFD$1, 0), 0)*1000/VLOOKUP($B43, pop_mesorreg_interpol!$B:$XFD, MATCH(gdp_capita_mesorreg!W$1, pop_mesorreg_interpol!$B$1:$XFD$1, 0), 0)</f>
        <v>8234.3165718914333</v>
      </c>
      <c r="X43" s="7">
        <f>VLOOKUP($B43, gdp_tot_mes!$B:$XFD, MATCH(gdp_capita_mesorreg!X$1, gdp_tot_mes!$B$1:$XFD$1, 0), 0)*1000/VLOOKUP($B43, pop_mesorreg_interpol!$B:$XFD, MATCH(gdp_capita_mesorreg!X$1, pop_mesorreg_interpol!$B$1:$XFD$1, 0), 0)</f>
        <v>7923.4406928091912</v>
      </c>
      <c r="Y43" s="7">
        <f>VLOOKUP($B43, gdp_tot_mes!$B:$XFD, MATCH(gdp_capita_mesorreg!Y$1, gdp_tot_mes!$B$1:$XFD$1, 0), 0)*1000/VLOOKUP($B43, pop_mesorreg_interpol!$B:$XFD, MATCH(gdp_capita_mesorreg!Y$1, pop_mesorreg_interpol!$B$1:$XFD$1, 0), 0)</f>
        <v>8431.6305171406348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x14ac:dyDescent="0.25">
      <c r="A44" s="1" t="s">
        <v>113</v>
      </c>
      <c r="B44" s="1" t="s">
        <v>118</v>
      </c>
      <c r="C44" s="1" t="s">
        <v>119</v>
      </c>
      <c r="D44" s="7">
        <f>VLOOKUP($B44, gdp_tot_mes!$B:$XFD, MATCH(gdp_capita_mesorreg!D$1, gdp_tot_mes!$B$1:$XFD$1, 0), 0)*1000/VLOOKUP($B44, pop_mesorreg_interpol!$B:$XFD, MATCH(gdp_capita_mesorreg!D$1, pop_mesorreg_interpol!$B$1:$XFD$1, 0), 0)</f>
        <v>355.96486732089289</v>
      </c>
      <c r="E44" s="7">
        <f>VLOOKUP($B44, gdp_tot_mes!$B:$XFD, MATCH(gdp_capita_mesorreg!E$1, gdp_tot_mes!$B$1:$XFD$1, 0), 0)*1000/VLOOKUP($B44, pop_mesorreg_interpol!$B:$XFD, MATCH(gdp_capita_mesorreg!E$1, pop_mesorreg_interpol!$B$1:$XFD$1, 0), 0)</f>
        <v>830.50428480699782</v>
      </c>
      <c r="F44" s="7">
        <f>VLOOKUP($B44, gdp_tot_mes!$B:$XFD, MATCH(gdp_capita_mesorreg!F$1, gdp_tot_mes!$B$1:$XFD$1, 0), 0)*1000/VLOOKUP($B44, pop_mesorreg_interpol!$B:$XFD, MATCH(gdp_capita_mesorreg!F$1, pop_mesorreg_interpol!$B$1:$XFD$1, 0), 0)</f>
        <v>953.92049718690544</v>
      </c>
      <c r="G44" s="7">
        <f>VLOOKUP($B44, gdp_tot_mes!$B:$XFD, MATCH(gdp_capita_mesorreg!G$1, gdp_tot_mes!$B$1:$XFD$1, 0), 0)*1000/VLOOKUP($B44, pop_mesorreg_interpol!$B:$XFD, MATCH(gdp_capita_mesorreg!G$1, pop_mesorreg_interpol!$B$1:$XFD$1, 0), 0)</f>
        <v>1293.5028568964244</v>
      </c>
      <c r="H44" s="7">
        <f>VLOOKUP($B44, gdp_tot_mes!$B:$XFD, MATCH(gdp_capita_mesorreg!H$1, gdp_tot_mes!$B$1:$XFD$1, 0), 0)*1000/VLOOKUP($B44, pop_mesorreg_interpol!$B:$XFD, MATCH(gdp_capita_mesorreg!H$1, pop_mesorreg_interpol!$B$1:$XFD$1, 0), 0)</f>
        <v>1458.566962212632</v>
      </c>
      <c r="I44" s="7">
        <f>VLOOKUP($B44, gdp_tot_mes!$B:$XFD, MATCH(gdp_capita_mesorreg!I$1, gdp_tot_mes!$B$1:$XFD$1, 0), 0)*1000/VLOOKUP($B44, pop_mesorreg_interpol!$B:$XFD, MATCH(gdp_capita_mesorreg!I$1, pop_mesorreg_interpol!$B$1:$XFD$1, 0), 0)</f>
        <v>2194.9745150643935</v>
      </c>
      <c r="J44" s="7">
        <f>VLOOKUP($B44, gdp_tot_mes!$B:$XFD, MATCH(gdp_capita_mesorreg!J$1, gdp_tot_mes!$B$1:$XFD$1, 0), 0)*1000/VLOOKUP($B44, pop_mesorreg_interpol!$B:$XFD, MATCH(gdp_capita_mesorreg!J$1, pop_mesorreg_interpol!$B$1:$XFD$1, 0), 0)</f>
        <v>4618.9919812474664</v>
      </c>
      <c r="K44" s="7">
        <f>VLOOKUP($B44, gdp_tot_mes!$B:$XFD, MATCH(gdp_capita_mesorreg!K$1, gdp_tot_mes!$B$1:$XFD$1, 0), 0)*1000/VLOOKUP($B44, pop_mesorreg_interpol!$B:$XFD, MATCH(gdp_capita_mesorreg!K$1, pop_mesorreg_interpol!$B$1:$XFD$1, 0), 0)</f>
        <v>4085.2880542869775</v>
      </c>
      <c r="L44" s="8">
        <f>VLOOKUP($B44, gdp_tot_mes!$B:$XFD, MATCH(gdp_capita_mesorreg!L$1, gdp_tot_mes!$B$1:$XFD$1, 0), 0)*1000/VLOOKUP($B44, pop_mesorreg_interpol!$B:$XFD, MATCH(gdp_capita_mesorreg!L$1, pop_mesorreg_interpol!$B$1:$XFD$1, 0), 0)</f>
        <v>3664.2404689880991</v>
      </c>
      <c r="M44" s="7">
        <f>VLOOKUP($B44, gdp_tot_mes!$B:$XFD, MATCH(gdp_capita_mesorreg!M$1, gdp_tot_mes!$B$1:$XFD$1, 0), 0)*1000/VLOOKUP($B44, pop_mesorreg_interpol!$B:$XFD, MATCH(gdp_capita_mesorreg!M$1, pop_mesorreg_interpol!$B$1:$XFD$1, 0), 0)</f>
        <v>3187.9522782406284</v>
      </c>
      <c r="N44" s="7">
        <f>VLOOKUP($B44, gdp_tot_mes!$B:$XFD, MATCH(gdp_capita_mesorreg!N$1, gdp_tot_mes!$B$1:$XFD$1, 0), 0)*1000/VLOOKUP($B44, pop_mesorreg_interpol!$B:$XFD, MATCH(gdp_capita_mesorreg!N$1, pop_mesorreg_interpol!$B$1:$XFD$1, 0), 0)</f>
        <v>3877.3400989050592</v>
      </c>
      <c r="O44" s="7">
        <f>VLOOKUP($B44, gdp_tot_mes!$B:$XFD, MATCH(gdp_capita_mesorreg!O$1, gdp_tot_mes!$B$1:$XFD$1, 0), 0)*1000/VLOOKUP($B44, pop_mesorreg_interpol!$B:$XFD, MATCH(gdp_capita_mesorreg!O$1, pop_mesorreg_interpol!$B$1:$XFD$1, 0), 0)</f>
        <v>4280.4838881943087</v>
      </c>
      <c r="P44" s="7">
        <f>VLOOKUP($B44, gdp_tot_mes!$B:$XFD, MATCH(gdp_capita_mesorreg!P$1, gdp_tot_mes!$B$1:$XFD$1, 0), 0)*1000/VLOOKUP($B44, pop_mesorreg_interpol!$B:$XFD, MATCH(gdp_capita_mesorreg!P$1, pop_mesorreg_interpol!$B$1:$XFD$1, 0), 0)</f>
        <v>4225.2814553510125</v>
      </c>
      <c r="Q44" s="7">
        <f>VLOOKUP($B44, gdp_tot_mes!$B:$XFD, MATCH(gdp_capita_mesorreg!Q$1, gdp_tot_mes!$B$1:$XFD$1, 0), 0)*1000/VLOOKUP($B44, pop_mesorreg_interpol!$B:$XFD, MATCH(gdp_capita_mesorreg!Q$1, pop_mesorreg_interpol!$B$1:$XFD$1, 0), 0)</f>
        <v>4379.9341624700464</v>
      </c>
      <c r="R44" s="7">
        <f>VLOOKUP($B44, gdp_tot_mes!$B:$XFD, MATCH(gdp_capita_mesorreg!R$1, gdp_tot_mes!$B$1:$XFD$1, 0), 0)*1000/VLOOKUP($B44, pop_mesorreg_interpol!$B:$XFD, MATCH(gdp_capita_mesorreg!R$1, pop_mesorreg_interpol!$B$1:$XFD$1, 0), 0)</f>
        <v>4518.6958607637707</v>
      </c>
      <c r="S44" s="7">
        <f>VLOOKUP($B44, gdp_tot_mes!$B:$XFD, MATCH(gdp_capita_mesorreg!S$1, gdp_tot_mes!$B$1:$XFD$1, 0), 0)*1000/VLOOKUP($B44, pop_mesorreg_interpol!$B:$XFD, MATCH(gdp_capita_mesorreg!S$1, pop_mesorreg_interpol!$B$1:$XFD$1, 0), 0)</f>
        <v>4513.6971634730089</v>
      </c>
      <c r="T44" s="7">
        <f>VLOOKUP($B44, gdp_tot_mes!$B:$XFD, MATCH(gdp_capita_mesorreg!T$1, gdp_tot_mes!$B$1:$XFD$1, 0), 0)*1000/VLOOKUP($B44, pop_mesorreg_interpol!$B:$XFD, MATCH(gdp_capita_mesorreg!T$1, pop_mesorreg_interpol!$B$1:$XFD$1, 0), 0)</f>
        <v>4741.2932728661526</v>
      </c>
      <c r="U44" s="7">
        <f>VLOOKUP($B44, gdp_tot_mes!$B:$XFD, MATCH(gdp_capita_mesorreg!U$1, gdp_tot_mes!$B$1:$XFD$1, 0), 0)*1000/VLOOKUP($B44, pop_mesorreg_interpol!$B:$XFD, MATCH(gdp_capita_mesorreg!U$1, pop_mesorreg_interpol!$B$1:$XFD$1, 0), 0)</f>
        <v>4720.9781217832842</v>
      </c>
      <c r="V44" s="7">
        <f>VLOOKUP($B44, gdp_tot_mes!$B:$XFD, MATCH(gdp_capita_mesorreg!V$1, gdp_tot_mes!$B$1:$XFD$1, 0), 0)*1000/VLOOKUP($B44, pop_mesorreg_interpol!$B:$XFD, MATCH(gdp_capita_mesorreg!V$1, pop_mesorreg_interpol!$B$1:$XFD$1, 0), 0)</f>
        <v>5103.5252478720195</v>
      </c>
      <c r="W44" s="7">
        <f>VLOOKUP($B44, gdp_tot_mes!$B:$XFD, MATCH(gdp_capita_mesorreg!W$1, gdp_tot_mes!$B$1:$XFD$1, 0), 0)*1000/VLOOKUP($B44, pop_mesorreg_interpol!$B:$XFD, MATCH(gdp_capita_mesorreg!W$1, pop_mesorreg_interpol!$B$1:$XFD$1, 0), 0)</f>
        <v>5584.4829494199375</v>
      </c>
      <c r="X44" s="7">
        <f>VLOOKUP($B44, gdp_tot_mes!$B:$XFD, MATCH(gdp_capita_mesorreg!X$1, gdp_tot_mes!$B$1:$XFD$1, 0), 0)*1000/VLOOKUP($B44, pop_mesorreg_interpol!$B:$XFD, MATCH(gdp_capita_mesorreg!X$1, pop_mesorreg_interpol!$B$1:$XFD$1, 0), 0)</f>
        <v>5510.2396913349166</v>
      </c>
      <c r="Y44" s="7">
        <f>VLOOKUP($B44, gdp_tot_mes!$B:$XFD, MATCH(gdp_capita_mesorreg!Y$1, gdp_tot_mes!$B$1:$XFD$1, 0), 0)*1000/VLOOKUP($B44, pop_mesorreg_interpol!$B:$XFD, MATCH(gdp_capita_mesorreg!Y$1, pop_mesorreg_interpol!$B$1:$XFD$1, 0), 0)</f>
        <v>5912.9859396379525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x14ac:dyDescent="0.25">
      <c r="A45" s="1" t="s">
        <v>113</v>
      </c>
      <c r="B45" s="1" t="s">
        <v>120</v>
      </c>
      <c r="C45" s="1" t="s">
        <v>121</v>
      </c>
      <c r="D45" s="7">
        <f>VLOOKUP($B45, gdp_tot_mes!$B:$XFD, MATCH(gdp_capita_mesorreg!D$1, gdp_tot_mes!$B$1:$XFD$1, 0), 0)*1000/VLOOKUP($B45, pop_mesorreg_interpol!$B:$XFD, MATCH(gdp_capita_mesorreg!D$1, pop_mesorreg_interpol!$B$1:$XFD$1, 0), 0)</f>
        <v>352.87368514567549</v>
      </c>
      <c r="E45" s="7">
        <f>VLOOKUP($B45, gdp_tot_mes!$B:$XFD, MATCH(gdp_capita_mesorreg!E$1, gdp_tot_mes!$B$1:$XFD$1, 0), 0)*1000/VLOOKUP($B45, pop_mesorreg_interpol!$B:$XFD, MATCH(gdp_capita_mesorreg!E$1, pop_mesorreg_interpol!$B$1:$XFD$1, 0), 0)</f>
        <v>777.83389807534002</v>
      </c>
      <c r="F45" s="7">
        <f>VLOOKUP($B45, gdp_tot_mes!$B:$XFD, MATCH(gdp_capita_mesorreg!F$1, gdp_tot_mes!$B$1:$XFD$1, 0), 0)*1000/VLOOKUP($B45, pop_mesorreg_interpol!$B:$XFD, MATCH(gdp_capita_mesorreg!F$1, pop_mesorreg_interpol!$B$1:$XFD$1, 0), 0)</f>
        <v>915.38439304748476</v>
      </c>
      <c r="G45" s="7">
        <f>VLOOKUP($B45, gdp_tot_mes!$B:$XFD, MATCH(gdp_capita_mesorreg!G$1, gdp_tot_mes!$B$1:$XFD$1, 0), 0)*1000/VLOOKUP($B45, pop_mesorreg_interpol!$B:$XFD, MATCH(gdp_capita_mesorreg!G$1, pop_mesorreg_interpol!$B$1:$XFD$1, 0), 0)</f>
        <v>1172.351803803145</v>
      </c>
      <c r="H45" s="7">
        <f>VLOOKUP($B45, gdp_tot_mes!$B:$XFD, MATCH(gdp_capita_mesorreg!H$1, gdp_tot_mes!$B$1:$XFD$1, 0), 0)*1000/VLOOKUP($B45, pop_mesorreg_interpol!$B:$XFD, MATCH(gdp_capita_mesorreg!H$1, pop_mesorreg_interpol!$B$1:$XFD$1, 0), 0)</f>
        <v>1974.4016501641588</v>
      </c>
      <c r="I45" s="7">
        <f>VLOOKUP($B45, gdp_tot_mes!$B:$XFD, MATCH(gdp_capita_mesorreg!I$1, gdp_tot_mes!$B$1:$XFD$1, 0), 0)*1000/VLOOKUP($B45, pop_mesorreg_interpol!$B:$XFD, MATCH(gdp_capita_mesorreg!I$1, pop_mesorreg_interpol!$B$1:$XFD$1, 0), 0)</f>
        <v>3809.1615452152837</v>
      </c>
      <c r="J45" s="7">
        <f>VLOOKUP($B45, gdp_tot_mes!$B:$XFD, MATCH(gdp_capita_mesorreg!J$1, gdp_tot_mes!$B$1:$XFD$1, 0), 0)*1000/VLOOKUP($B45, pop_mesorreg_interpol!$B:$XFD, MATCH(gdp_capita_mesorreg!J$1, pop_mesorreg_interpol!$B$1:$XFD$1, 0), 0)</f>
        <v>5303.838887733441</v>
      </c>
      <c r="K45" s="7">
        <f>VLOOKUP($B45, gdp_tot_mes!$B:$XFD, MATCH(gdp_capita_mesorreg!K$1, gdp_tot_mes!$B$1:$XFD$1, 0), 0)*1000/VLOOKUP($B45, pop_mesorreg_interpol!$B:$XFD, MATCH(gdp_capita_mesorreg!K$1, pop_mesorreg_interpol!$B$1:$XFD$1, 0), 0)</f>
        <v>4950.4652715460888</v>
      </c>
      <c r="L45" s="8">
        <f>VLOOKUP($B45, gdp_tot_mes!$B:$XFD, MATCH(gdp_capita_mesorreg!L$1, gdp_tot_mes!$B$1:$XFD$1, 0), 0)*1000/VLOOKUP($B45, pop_mesorreg_interpol!$B:$XFD, MATCH(gdp_capita_mesorreg!L$1, pop_mesorreg_interpol!$B$1:$XFD$1, 0), 0)</f>
        <v>5186.6841681221722</v>
      </c>
      <c r="M45" s="7">
        <f>VLOOKUP($B45, gdp_tot_mes!$B:$XFD, MATCH(gdp_capita_mesorreg!M$1, gdp_tot_mes!$B$1:$XFD$1, 0), 0)*1000/VLOOKUP($B45, pop_mesorreg_interpol!$B:$XFD, MATCH(gdp_capita_mesorreg!M$1, pop_mesorreg_interpol!$B$1:$XFD$1, 0), 0)</f>
        <v>5473.8970503824903</v>
      </c>
      <c r="N45" s="7">
        <f>VLOOKUP($B45, gdp_tot_mes!$B:$XFD, MATCH(gdp_capita_mesorreg!N$1, gdp_tot_mes!$B$1:$XFD$1, 0), 0)*1000/VLOOKUP($B45, pop_mesorreg_interpol!$B:$XFD, MATCH(gdp_capita_mesorreg!N$1, pop_mesorreg_interpol!$B$1:$XFD$1, 0), 0)</f>
        <v>5222.6011441036935</v>
      </c>
      <c r="O45" s="7">
        <f>VLOOKUP($B45, gdp_tot_mes!$B:$XFD, MATCH(gdp_capita_mesorreg!O$1, gdp_tot_mes!$B$1:$XFD$1, 0), 0)*1000/VLOOKUP($B45, pop_mesorreg_interpol!$B:$XFD, MATCH(gdp_capita_mesorreg!O$1, pop_mesorreg_interpol!$B$1:$XFD$1, 0), 0)</f>
        <v>5461.4680140101664</v>
      </c>
      <c r="P45" s="7">
        <f>VLOOKUP($B45, gdp_tot_mes!$B:$XFD, MATCH(gdp_capita_mesorreg!P$1, gdp_tot_mes!$B$1:$XFD$1, 0), 0)*1000/VLOOKUP($B45, pop_mesorreg_interpol!$B:$XFD, MATCH(gdp_capita_mesorreg!P$1, pop_mesorreg_interpol!$B$1:$XFD$1, 0), 0)</f>
        <v>5591.5739032739693</v>
      </c>
      <c r="Q45" s="7">
        <f>VLOOKUP($B45, gdp_tot_mes!$B:$XFD, MATCH(gdp_capita_mesorreg!Q$1, gdp_tot_mes!$B$1:$XFD$1, 0), 0)*1000/VLOOKUP($B45, pop_mesorreg_interpol!$B:$XFD, MATCH(gdp_capita_mesorreg!Q$1, pop_mesorreg_interpol!$B$1:$XFD$1, 0), 0)</f>
        <v>5976.261667294928</v>
      </c>
      <c r="R45" s="7">
        <f>VLOOKUP($B45, gdp_tot_mes!$B:$XFD, MATCH(gdp_capita_mesorreg!R$1, gdp_tot_mes!$B$1:$XFD$1, 0), 0)*1000/VLOOKUP($B45, pop_mesorreg_interpol!$B:$XFD, MATCH(gdp_capita_mesorreg!R$1, pop_mesorreg_interpol!$B$1:$XFD$1, 0), 0)</f>
        <v>5901.4341810905635</v>
      </c>
      <c r="S45" s="7">
        <f>VLOOKUP($B45, gdp_tot_mes!$B:$XFD, MATCH(gdp_capita_mesorreg!S$1, gdp_tot_mes!$B$1:$XFD$1, 0), 0)*1000/VLOOKUP($B45, pop_mesorreg_interpol!$B:$XFD, MATCH(gdp_capita_mesorreg!S$1, pop_mesorreg_interpol!$B$1:$XFD$1, 0), 0)</f>
        <v>6042.5412209153947</v>
      </c>
      <c r="T45" s="7">
        <f>VLOOKUP($B45, gdp_tot_mes!$B:$XFD, MATCH(gdp_capita_mesorreg!T$1, gdp_tot_mes!$B$1:$XFD$1, 0), 0)*1000/VLOOKUP($B45, pop_mesorreg_interpol!$B:$XFD, MATCH(gdp_capita_mesorreg!T$1, pop_mesorreg_interpol!$B$1:$XFD$1, 0), 0)</f>
        <v>6345.303635121013</v>
      </c>
      <c r="U45" s="7">
        <f>VLOOKUP($B45, gdp_tot_mes!$B:$XFD, MATCH(gdp_capita_mesorreg!U$1, gdp_tot_mes!$B$1:$XFD$1, 0), 0)*1000/VLOOKUP($B45, pop_mesorreg_interpol!$B:$XFD, MATCH(gdp_capita_mesorreg!U$1, pop_mesorreg_interpol!$B$1:$XFD$1, 0), 0)</f>
        <v>6539.6340609770523</v>
      </c>
      <c r="V45" s="7">
        <f>VLOOKUP($B45, gdp_tot_mes!$B:$XFD, MATCH(gdp_capita_mesorreg!V$1, gdp_tot_mes!$B$1:$XFD$1, 0), 0)*1000/VLOOKUP($B45, pop_mesorreg_interpol!$B:$XFD, MATCH(gdp_capita_mesorreg!V$1, pop_mesorreg_interpol!$B$1:$XFD$1, 0), 0)</f>
        <v>6916.6690376538545</v>
      </c>
      <c r="W45" s="7">
        <f>VLOOKUP($B45, gdp_tot_mes!$B:$XFD, MATCH(gdp_capita_mesorreg!W$1, gdp_tot_mes!$B$1:$XFD$1, 0), 0)*1000/VLOOKUP($B45, pop_mesorreg_interpol!$B:$XFD, MATCH(gdp_capita_mesorreg!W$1, pop_mesorreg_interpol!$B$1:$XFD$1, 0), 0)</f>
        <v>7514.7289094688076</v>
      </c>
      <c r="X45" s="7">
        <f>VLOOKUP($B45, gdp_tot_mes!$B:$XFD, MATCH(gdp_capita_mesorreg!X$1, gdp_tot_mes!$B$1:$XFD$1, 0), 0)*1000/VLOOKUP($B45, pop_mesorreg_interpol!$B:$XFD, MATCH(gdp_capita_mesorreg!X$1, pop_mesorreg_interpol!$B$1:$XFD$1, 0), 0)</f>
        <v>7561.1628011545035</v>
      </c>
      <c r="Y45" s="7">
        <f>VLOOKUP($B45, gdp_tot_mes!$B:$XFD, MATCH(gdp_capita_mesorreg!Y$1, gdp_tot_mes!$B$1:$XFD$1, 0), 0)*1000/VLOOKUP($B45, pop_mesorreg_interpol!$B:$XFD, MATCH(gdp_capita_mesorreg!Y$1, pop_mesorreg_interpol!$B$1:$XFD$1, 0), 0)</f>
        <v>7815.93242314089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x14ac:dyDescent="0.25">
      <c r="A46" s="1" t="s">
        <v>113</v>
      </c>
      <c r="B46" s="1" t="s">
        <v>122</v>
      </c>
      <c r="C46" s="1" t="s">
        <v>123</v>
      </c>
      <c r="D46" s="7">
        <f>VLOOKUP($B46, gdp_tot_mes!$B:$XFD, MATCH(gdp_capita_mesorreg!D$1, gdp_tot_mes!$B$1:$XFD$1, 0), 0)*1000/VLOOKUP($B46, pop_mesorreg_interpol!$B:$XFD, MATCH(gdp_capita_mesorreg!D$1, pop_mesorreg_interpol!$B$1:$XFD$1, 0), 0)</f>
        <v>593.43143647146292</v>
      </c>
      <c r="E46" s="7">
        <f>VLOOKUP($B46, gdp_tot_mes!$B:$XFD, MATCH(gdp_capita_mesorreg!E$1, gdp_tot_mes!$B$1:$XFD$1, 0), 0)*1000/VLOOKUP($B46, pop_mesorreg_interpol!$B:$XFD, MATCH(gdp_capita_mesorreg!E$1, pop_mesorreg_interpol!$B$1:$XFD$1, 0), 0)</f>
        <v>1603.2729742304928</v>
      </c>
      <c r="F46" s="7">
        <f>VLOOKUP($B46, gdp_tot_mes!$B:$XFD, MATCH(gdp_capita_mesorreg!F$1, gdp_tot_mes!$B$1:$XFD$1, 0), 0)*1000/VLOOKUP($B46, pop_mesorreg_interpol!$B:$XFD, MATCH(gdp_capita_mesorreg!F$1, pop_mesorreg_interpol!$B$1:$XFD$1, 0), 0)</f>
        <v>3218.9163121425127</v>
      </c>
      <c r="G46" s="7">
        <f>VLOOKUP($B46, gdp_tot_mes!$B:$XFD, MATCH(gdp_capita_mesorreg!G$1, gdp_tot_mes!$B$1:$XFD$1, 0), 0)*1000/VLOOKUP($B46, pop_mesorreg_interpol!$B:$XFD, MATCH(gdp_capita_mesorreg!G$1, pop_mesorreg_interpol!$B$1:$XFD$1, 0), 0)</f>
        <v>4509.8476832507986</v>
      </c>
      <c r="H46" s="7">
        <f>VLOOKUP($B46, gdp_tot_mes!$B:$XFD, MATCH(gdp_capita_mesorreg!H$1, gdp_tot_mes!$B$1:$XFD$1, 0), 0)*1000/VLOOKUP($B46, pop_mesorreg_interpol!$B:$XFD, MATCH(gdp_capita_mesorreg!H$1, pop_mesorreg_interpol!$B$1:$XFD$1, 0), 0)</f>
        <v>5501.0802526351608</v>
      </c>
      <c r="I46" s="7">
        <f>VLOOKUP($B46, gdp_tot_mes!$B:$XFD, MATCH(gdp_capita_mesorreg!I$1, gdp_tot_mes!$B$1:$XFD$1, 0), 0)*1000/VLOOKUP($B46, pop_mesorreg_interpol!$B:$XFD, MATCH(gdp_capita_mesorreg!I$1, pop_mesorreg_interpol!$B$1:$XFD$1, 0), 0)</f>
        <v>9080.1155573450978</v>
      </c>
      <c r="J46" s="7">
        <f>VLOOKUP($B46, gdp_tot_mes!$B:$XFD, MATCH(gdp_capita_mesorreg!J$1, gdp_tot_mes!$B$1:$XFD$1, 0), 0)*1000/VLOOKUP($B46, pop_mesorreg_interpol!$B:$XFD, MATCH(gdp_capita_mesorreg!J$1, pop_mesorreg_interpol!$B$1:$XFD$1, 0), 0)</f>
        <v>13834.919550081024</v>
      </c>
      <c r="K46" s="7">
        <f>VLOOKUP($B46, gdp_tot_mes!$B:$XFD, MATCH(gdp_capita_mesorreg!K$1, gdp_tot_mes!$B$1:$XFD$1, 0), 0)*1000/VLOOKUP($B46, pop_mesorreg_interpol!$B:$XFD, MATCH(gdp_capita_mesorreg!K$1, pop_mesorreg_interpol!$B$1:$XFD$1, 0), 0)</f>
        <v>15433.656858969523</v>
      </c>
      <c r="L46" s="8">
        <f>VLOOKUP($B46, gdp_tot_mes!$B:$XFD, MATCH(gdp_capita_mesorreg!L$1, gdp_tot_mes!$B$1:$XFD$1, 0), 0)*1000/VLOOKUP($B46, pop_mesorreg_interpol!$B:$XFD, MATCH(gdp_capita_mesorreg!L$1, pop_mesorreg_interpol!$B$1:$XFD$1, 0), 0)</f>
        <v>14944.667592047155</v>
      </c>
      <c r="M46" s="7">
        <f>VLOOKUP($B46, gdp_tot_mes!$B:$XFD, MATCH(gdp_capita_mesorreg!M$1, gdp_tot_mes!$B$1:$XFD$1, 0), 0)*1000/VLOOKUP($B46, pop_mesorreg_interpol!$B:$XFD, MATCH(gdp_capita_mesorreg!M$1, pop_mesorreg_interpol!$B$1:$XFD$1, 0), 0)</f>
        <v>14450.452889388211</v>
      </c>
      <c r="N46" s="7">
        <f>VLOOKUP($B46, gdp_tot_mes!$B:$XFD, MATCH(gdp_capita_mesorreg!N$1, gdp_tot_mes!$B$1:$XFD$1, 0), 0)*1000/VLOOKUP($B46, pop_mesorreg_interpol!$B:$XFD, MATCH(gdp_capita_mesorreg!N$1, pop_mesorreg_interpol!$B$1:$XFD$1, 0), 0)</f>
        <v>18301.998154023222</v>
      </c>
      <c r="O46" s="7">
        <f>VLOOKUP($B46, gdp_tot_mes!$B:$XFD, MATCH(gdp_capita_mesorreg!O$1, gdp_tot_mes!$B$1:$XFD$1, 0), 0)*1000/VLOOKUP($B46, pop_mesorreg_interpol!$B:$XFD, MATCH(gdp_capita_mesorreg!O$1, pop_mesorreg_interpol!$B$1:$XFD$1, 0), 0)</f>
        <v>18654.111467861883</v>
      </c>
      <c r="P46" s="7">
        <f>VLOOKUP($B46, gdp_tot_mes!$B:$XFD, MATCH(gdp_capita_mesorreg!P$1, gdp_tot_mes!$B$1:$XFD$1, 0), 0)*1000/VLOOKUP($B46, pop_mesorreg_interpol!$B:$XFD, MATCH(gdp_capita_mesorreg!P$1, pop_mesorreg_interpol!$B$1:$XFD$1, 0), 0)</f>
        <v>18607.098683544729</v>
      </c>
      <c r="Q46" s="7">
        <f>VLOOKUP($B46, gdp_tot_mes!$B:$XFD, MATCH(gdp_capita_mesorreg!Q$1, gdp_tot_mes!$B$1:$XFD$1, 0), 0)*1000/VLOOKUP($B46, pop_mesorreg_interpol!$B:$XFD, MATCH(gdp_capita_mesorreg!Q$1, pop_mesorreg_interpol!$B$1:$XFD$1, 0), 0)</f>
        <v>19197.111931003015</v>
      </c>
      <c r="R46" s="7">
        <f>VLOOKUP($B46, gdp_tot_mes!$B:$XFD, MATCH(gdp_capita_mesorreg!R$1, gdp_tot_mes!$B$1:$XFD$1, 0), 0)*1000/VLOOKUP($B46, pop_mesorreg_interpol!$B:$XFD, MATCH(gdp_capita_mesorreg!R$1, pop_mesorreg_interpol!$B$1:$XFD$1, 0), 0)</f>
        <v>20543.185782889002</v>
      </c>
      <c r="S46" s="7">
        <f>VLOOKUP($B46, gdp_tot_mes!$B:$XFD, MATCH(gdp_capita_mesorreg!S$1, gdp_tot_mes!$B$1:$XFD$1, 0), 0)*1000/VLOOKUP($B46, pop_mesorreg_interpol!$B:$XFD, MATCH(gdp_capita_mesorreg!S$1, pop_mesorreg_interpol!$B$1:$XFD$1, 0), 0)</f>
        <v>21538.20120110449</v>
      </c>
      <c r="T46" s="7">
        <f>VLOOKUP($B46, gdp_tot_mes!$B:$XFD, MATCH(gdp_capita_mesorreg!T$1, gdp_tot_mes!$B$1:$XFD$1, 0), 0)*1000/VLOOKUP($B46, pop_mesorreg_interpol!$B:$XFD, MATCH(gdp_capita_mesorreg!T$1, pop_mesorreg_interpol!$B$1:$XFD$1, 0), 0)</f>
        <v>20813.592438799689</v>
      </c>
      <c r="U46" s="7">
        <f>VLOOKUP($B46, gdp_tot_mes!$B:$XFD, MATCH(gdp_capita_mesorreg!U$1, gdp_tot_mes!$B$1:$XFD$1, 0), 0)*1000/VLOOKUP($B46, pop_mesorreg_interpol!$B:$XFD, MATCH(gdp_capita_mesorreg!U$1, pop_mesorreg_interpol!$B$1:$XFD$1, 0), 0)</f>
        <v>20705.340617611073</v>
      </c>
      <c r="V46" s="7">
        <f>VLOOKUP($B46, gdp_tot_mes!$B:$XFD, MATCH(gdp_capita_mesorreg!V$1, gdp_tot_mes!$B$1:$XFD$1, 0), 0)*1000/VLOOKUP($B46, pop_mesorreg_interpol!$B:$XFD, MATCH(gdp_capita_mesorreg!V$1, pop_mesorreg_interpol!$B$1:$XFD$1, 0), 0)</f>
        <v>22409.144954174732</v>
      </c>
      <c r="W46" s="7">
        <f>VLOOKUP($B46, gdp_tot_mes!$B:$XFD, MATCH(gdp_capita_mesorreg!W$1, gdp_tot_mes!$B$1:$XFD$1, 0), 0)*1000/VLOOKUP($B46, pop_mesorreg_interpol!$B:$XFD, MATCH(gdp_capita_mesorreg!W$1, pop_mesorreg_interpol!$B$1:$XFD$1, 0), 0)</f>
        <v>23622.192237842188</v>
      </c>
      <c r="X46" s="7">
        <f>VLOOKUP($B46, gdp_tot_mes!$B:$XFD, MATCH(gdp_capita_mesorreg!X$1, gdp_tot_mes!$B$1:$XFD$1, 0), 0)*1000/VLOOKUP($B46, pop_mesorreg_interpol!$B:$XFD, MATCH(gdp_capita_mesorreg!X$1, pop_mesorreg_interpol!$B$1:$XFD$1, 0), 0)</f>
        <v>23296.130091167888</v>
      </c>
      <c r="Y46" s="7">
        <f>VLOOKUP($B46, gdp_tot_mes!$B:$XFD, MATCH(gdp_capita_mesorreg!Y$1, gdp_tot_mes!$B$1:$XFD$1, 0), 0)*1000/VLOOKUP($B46, pop_mesorreg_interpol!$B:$XFD, MATCH(gdp_capita_mesorreg!Y$1, pop_mesorreg_interpol!$B$1:$XFD$1, 0), 0)</f>
        <v>24571.315237432631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x14ac:dyDescent="0.25">
      <c r="A47" s="1" t="s">
        <v>113</v>
      </c>
      <c r="B47" s="1" t="s">
        <v>124</v>
      </c>
      <c r="C47" s="1" t="s">
        <v>125</v>
      </c>
      <c r="D47" s="7">
        <f>VLOOKUP($B47, gdp_tot_mes!$B:$XFD, MATCH(gdp_capita_mesorreg!D$1, gdp_tot_mes!$B$1:$XFD$1, 0), 0)*1000/VLOOKUP($B47, pop_mesorreg_interpol!$B:$XFD, MATCH(gdp_capita_mesorreg!D$1, pop_mesorreg_interpol!$B$1:$XFD$1, 0), 0)</f>
        <v>436.20628289210157</v>
      </c>
      <c r="E47" s="7">
        <f>VLOOKUP($B47, gdp_tot_mes!$B:$XFD, MATCH(gdp_capita_mesorreg!E$1, gdp_tot_mes!$B$1:$XFD$1, 0), 0)*1000/VLOOKUP($B47, pop_mesorreg_interpol!$B:$XFD, MATCH(gdp_capita_mesorreg!E$1, pop_mesorreg_interpol!$B$1:$XFD$1, 0), 0)</f>
        <v>1141.6656604590441</v>
      </c>
      <c r="F47" s="7">
        <f>VLOOKUP($B47, gdp_tot_mes!$B:$XFD, MATCH(gdp_capita_mesorreg!F$1, gdp_tot_mes!$B$1:$XFD$1, 0), 0)*1000/VLOOKUP($B47, pop_mesorreg_interpol!$B:$XFD, MATCH(gdp_capita_mesorreg!F$1, pop_mesorreg_interpol!$B$1:$XFD$1, 0), 0)</f>
        <v>1878.7863633553959</v>
      </c>
      <c r="G47" s="7">
        <f>VLOOKUP($B47, gdp_tot_mes!$B:$XFD, MATCH(gdp_capita_mesorreg!G$1, gdp_tot_mes!$B$1:$XFD$1, 0), 0)*1000/VLOOKUP($B47, pop_mesorreg_interpol!$B:$XFD, MATCH(gdp_capita_mesorreg!G$1, pop_mesorreg_interpol!$B$1:$XFD$1, 0), 0)</f>
        <v>2830.2499344980292</v>
      </c>
      <c r="H47" s="7">
        <f>VLOOKUP($B47, gdp_tot_mes!$B:$XFD, MATCH(gdp_capita_mesorreg!H$1, gdp_tot_mes!$B$1:$XFD$1, 0), 0)*1000/VLOOKUP($B47, pop_mesorreg_interpol!$B:$XFD, MATCH(gdp_capita_mesorreg!H$1, pop_mesorreg_interpol!$B$1:$XFD$1, 0), 0)</f>
        <v>3511.6516962925034</v>
      </c>
      <c r="I47" s="7">
        <f>VLOOKUP($B47, gdp_tot_mes!$B:$XFD, MATCH(gdp_capita_mesorreg!I$1, gdp_tot_mes!$B$1:$XFD$1, 0), 0)*1000/VLOOKUP($B47, pop_mesorreg_interpol!$B:$XFD, MATCH(gdp_capita_mesorreg!I$1, pop_mesorreg_interpol!$B$1:$XFD$1, 0), 0)</f>
        <v>5349.5596258918158</v>
      </c>
      <c r="J47" s="7">
        <f>VLOOKUP($B47, gdp_tot_mes!$B:$XFD, MATCH(gdp_capita_mesorreg!J$1, gdp_tot_mes!$B$1:$XFD$1, 0), 0)*1000/VLOOKUP($B47, pop_mesorreg_interpol!$B:$XFD, MATCH(gdp_capita_mesorreg!J$1, pop_mesorreg_interpol!$B$1:$XFD$1, 0), 0)</f>
        <v>8681.3596697410139</v>
      </c>
      <c r="K47" s="7">
        <f>VLOOKUP($B47, gdp_tot_mes!$B:$XFD, MATCH(gdp_capita_mesorreg!K$1, gdp_tot_mes!$B$1:$XFD$1, 0), 0)*1000/VLOOKUP($B47, pop_mesorreg_interpol!$B:$XFD, MATCH(gdp_capita_mesorreg!K$1, pop_mesorreg_interpol!$B$1:$XFD$1, 0), 0)</f>
        <v>9253.6052428493877</v>
      </c>
      <c r="L47" s="8">
        <f>VLOOKUP($B47, gdp_tot_mes!$B:$XFD, MATCH(gdp_capita_mesorreg!L$1, gdp_tot_mes!$B$1:$XFD$1, 0), 0)*1000/VLOOKUP($B47, pop_mesorreg_interpol!$B:$XFD, MATCH(gdp_capita_mesorreg!L$1, pop_mesorreg_interpol!$B$1:$XFD$1, 0), 0)</f>
        <v>8299.3751628401169</v>
      </c>
      <c r="M47" s="7">
        <f>VLOOKUP($B47, gdp_tot_mes!$B:$XFD, MATCH(gdp_capita_mesorreg!M$1, gdp_tot_mes!$B$1:$XFD$1, 0), 0)*1000/VLOOKUP($B47, pop_mesorreg_interpol!$B:$XFD, MATCH(gdp_capita_mesorreg!M$1, pop_mesorreg_interpol!$B$1:$XFD$1, 0), 0)</f>
        <v>7267.4533748429749</v>
      </c>
      <c r="N47" s="7">
        <f>VLOOKUP($B47, gdp_tot_mes!$B:$XFD, MATCH(gdp_capita_mesorreg!N$1, gdp_tot_mes!$B$1:$XFD$1, 0), 0)*1000/VLOOKUP($B47, pop_mesorreg_interpol!$B:$XFD, MATCH(gdp_capita_mesorreg!N$1, pop_mesorreg_interpol!$B$1:$XFD$1, 0), 0)</f>
        <v>9533.4254923546487</v>
      </c>
      <c r="O47" s="7">
        <f>VLOOKUP($B47, gdp_tot_mes!$B:$XFD, MATCH(gdp_capita_mesorreg!O$1, gdp_tot_mes!$B$1:$XFD$1, 0), 0)*1000/VLOOKUP($B47, pop_mesorreg_interpol!$B:$XFD, MATCH(gdp_capita_mesorreg!O$1, pop_mesorreg_interpol!$B$1:$XFD$1, 0), 0)</f>
        <v>9702.0075187164384</v>
      </c>
      <c r="P47" s="7">
        <f>VLOOKUP($B47, gdp_tot_mes!$B:$XFD, MATCH(gdp_capita_mesorreg!P$1, gdp_tot_mes!$B$1:$XFD$1, 0), 0)*1000/VLOOKUP($B47, pop_mesorreg_interpol!$B:$XFD, MATCH(gdp_capita_mesorreg!P$1, pop_mesorreg_interpol!$B$1:$XFD$1, 0), 0)</f>
        <v>9619.0476882845487</v>
      </c>
      <c r="Q47" s="7">
        <f>VLOOKUP($B47, gdp_tot_mes!$B:$XFD, MATCH(gdp_capita_mesorreg!Q$1, gdp_tot_mes!$B$1:$XFD$1, 0), 0)*1000/VLOOKUP($B47, pop_mesorreg_interpol!$B:$XFD, MATCH(gdp_capita_mesorreg!Q$1, pop_mesorreg_interpol!$B$1:$XFD$1, 0), 0)</f>
        <v>10351.845115451371</v>
      </c>
      <c r="R47" s="7">
        <f>VLOOKUP($B47, gdp_tot_mes!$B:$XFD, MATCH(gdp_capita_mesorreg!R$1, gdp_tot_mes!$B$1:$XFD$1, 0), 0)*1000/VLOOKUP($B47, pop_mesorreg_interpol!$B:$XFD, MATCH(gdp_capita_mesorreg!R$1, pop_mesorreg_interpol!$B$1:$XFD$1, 0), 0)</f>
        <v>11084.613685220764</v>
      </c>
      <c r="S47" s="7">
        <f>VLOOKUP($B47, gdp_tot_mes!$B:$XFD, MATCH(gdp_capita_mesorreg!S$1, gdp_tot_mes!$B$1:$XFD$1, 0), 0)*1000/VLOOKUP($B47, pop_mesorreg_interpol!$B:$XFD, MATCH(gdp_capita_mesorreg!S$1, pop_mesorreg_interpol!$B$1:$XFD$1, 0), 0)</f>
        <v>11979.89265639455</v>
      </c>
      <c r="T47" s="7">
        <f>VLOOKUP($B47, gdp_tot_mes!$B:$XFD, MATCH(gdp_capita_mesorreg!T$1, gdp_tot_mes!$B$1:$XFD$1, 0), 0)*1000/VLOOKUP($B47, pop_mesorreg_interpol!$B:$XFD, MATCH(gdp_capita_mesorreg!T$1, pop_mesorreg_interpol!$B$1:$XFD$1, 0), 0)</f>
        <v>12352.334968477258</v>
      </c>
      <c r="U47" s="7">
        <f>VLOOKUP($B47, gdp_tot_mes!$B:$XFD, MATCH(gdp_capita_mesorreg!U$1, gdp_tot_mes!$B$1:$XFD$1, 0), 0)*1000/VLOOKUP($B47, pop_mesorreg_interpol!$B:$XFD, MATCH(gdp_capita_mesorreg!U$1, pop_mesorreg_interpol!$B$1:$XFD$1, 0), 0)</f>
        <v>12942.36654399741</v>
      </c>
      <c r="V47" s="7">
        <f>VLOOKUP($B47, gdp_tot_mes!$B:$XFD, MATCH(gdp_capita_mesorreg!V$1, gdp_tot_mes!$B$1:$XFD$1, 0), 0)*1000/VLOOKUP($B47, pop_mesorreg_interpol!$B:$XFD, MATCH(gdp_capita_mesorreg!V$1, pop_mesorreg_interpol!$B$1:$XFD$1, 0), 0)</f>
        <v>13204.593936375641</v>
      </c>
      <c r="W47" s="7">
        <f>VLOOKUP($B47, gdp_tot_mes!$B:$XFD, MATCH(gdp_capita_mesorreg!W$1, gdp_tot_mes!$B$1:$XFD$1, 0), 0)*1000/VLOOKUP($B47, pop_mesorreg_interpol!$B:$XFD, MATCH(gdp_capita_mesorreg!W$1, pop_mesorreg_interpol!$B$1:$XFD$1, 0), 0)</f>
        <v>13780.767227021586</v>
      </c>
      <c r="X47" s="7">
        <f>VLOOKUP($B47, gdp_tot_mes!$B:$XFD, MATCH(gdp_capita_mesorreg!X$1, gdp_tot_mes!$B$1:$XFD$1, 0), 0)*1000/VLOOKUP($B47, pop_mesorreg_interpol!$B:$XFD, MATCH(gdp_capita_mesorreg!X$1, pop_mesorreg_interpol!$B$1:$XFD$1, 0), 0)</f>
        <v>12916.945444665103</v>
      </c>
      <c r="Y47" s="7">
        <f>VLOOKUP($B47, gdp_tot_mes!$B:$XFD, MATCH(gdp_capita_mesorreg!Y$1, gdp_tot_mes!$B$1:$XFD$1, 0), 0)*1000/VLOOKUP($B47, pop_mesorreg_interpol!$B:$XFD, MATCH(gdp_capita_mesorreg!Y$1, pop_mesorreg_interpol!$B$1:$XFD$1, 0), 0)</f>
        <v>14022.954341041697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x14ac:dyDescent="0.25">
      <c r="A48" s="1" t="s">
        <v>113</v>
      </c>
      <c r="B48" s="1" t="s">
        <v>126</v>
      </c>
      <c r="C48" s="1" t="s">
        <v>127</v>
      </c>
      <c r="D48" s="7">
        <f>VLOOKUP($B48, gdp_tot_mes!$B:$XFD, MATCH(gdp_capita_mesorreg!D$1, gdp_tot_mes!$B$1:$XFD$1, 0), 0)*1000/VLOOKUP($B48, pop_mesorreg_interpol!$B:$XFD, MATCH(gdp_capita_mesorreg!D$1, pop_mesorreg_interpol!$B$1:$XFD$1, 0), 0)</f>
        <v>575.09545127484637</v>
      </c>
      <c r="E48" s="7">
        <f>VLOOKUP($B48, gdp_tot_mes!$B:$XFD, MATCH(gdp_capita_mesorreg!E$1, gdp_tot_mes!$B$1:$XFD$1, 0), 0)*1000/VLOOKUP($B48, pop_mesorreg_interpol!$B:$XFD, MATCH(gdp_capita_mesorreg!E$1, pop_mesorreg_interpol!$B$1:$XFD$1, 0), 0)</f>
        <v>2614.2705563780919</v>
      </c>
      <c r="F48" s="7">
        <f>VLOOKUP($B48, gdp_tot_mes!$B:$XFD, MATCH(gdp_capita_mesorreg!F$1, gdp_tot_mes!$B$1:$XFD$1, 0), 0)*1000/VLOOKUP($B48, pop_mesorreg_interpol!$B:$XFD, MATCH(gdp_capita_mesorreg!F$1, pop_mesorreg_interpol!$B$1:$XFD$1, 0), 0)</f>
        <v>3606.8085047301915</v>
      </c>
      <c r="G48" s="7">
        <f>VLOOKUP($B48, gdp_tot_mes!$B:$XFD, MATCH(gdp_capita_mesorreg!G$1, gdp_tot_mes!$B$1:$XFD$1, 0), 0)*1000/VLOOKUP($B48, pop_mesorreg_interpol!$B:$XFD, MATCH(gdp_capita_mesorreg!G$1, pop_mesorreg_interpol!$B$1:$XFD$1, 0), 0)</f>
        <v>5851.5303510485492</v>
      </c>
      <c r="H48" s="7">
        <f>VLOOKUP($B48, gdp_tot_mes!$B:$XFD, MATCH(gdp_capita_mesorreg!H$1, gdp_tot_mes!$B$1:$XFD$1, 0), 0)*1000/VLOOKUP($B48, pop_mesorreg_interpol!$B:$XFD, MATCH(gdp_capita_mesorreg!H$1, pop_mesorreg_interpol!$B$1:$XFD$1, 0), 0)</f>
        <v>9782.2429873399888</v>
      </c>
      <c r="I48" s="7">
        <f>VLOOKUP($B48, gdp_tot_mes!$B:$XFD, MATCH(gdp_capita_mesorreg!I$1, gdp_tot_mes!$B$1:$XFD$1, 0), 0)*1000/VLOOKUP($B48, pop_mesorreg_interpol!$B:$XFD, MATCH(gdp_capita_mesorreg!I$1, pop_mesorreg_interpol!$B$1:$XFD$1, 0), 0)</f>
        <v>14965.911879766219</v>
      </c>
      <c r="J48" s="7">
        <f>VLOOKUP($B48, gdp_tot_mes!$B:$XFD, MATCH(gdp_capita_mesorreg!J$1, gdp_tot_mes!$B$1:$XFD$1, 0), 0)*1000/VLOOKUP($B48, pop_mesorreg_interpol!$B:$XFD, MATCH(gdp_capita_mesorreg!J$1, pop_mesorreg_interpol!$B$1:$XFD$1, 0), 0)</f>
        <v>19124.844311426066</v>
      </c>
      <c r="K48" s="7">
        <f>VLOOKUP($B48, gdp_tot_mes!$B:$XFD, MATCH(gdp_capita_mesorreg!K$1, gdp_tot_mes!$B$1:$XFD$1, 0), 0)*1000/VLOOKUP($B48, pop_mesorreg_interpol!$B:$XFD, MATCH(gdp_capita_mesorreg!K$1, pop_mesorreg_interpol!$B$1:$XFD$1, 0), 0)</f>
        <v>18582.643094421182</v>
      </c>
      <c r="L48" s="8">
        <f>VLOOKUP($B48, gdp_tot_mes!$B:$XFD, MATCH(gdp_capita_mesorreg!L$1, gdp_tot_mes!$B$1:$XFD$1, 0), 0)*1000/VLOOKUP($B48, pop_mesorreg_interpol!$B:$XFD, MATCH(gdp_capita_mesorreg!L$1, pop_mesorreg_interpol!$B$1:$XFD$1, 0), 0)</f>
        <v>18766.936638890566</v>
      </c>
      <c r="M48" s="7">
        <f>VLOOKUP($B48, gdp_tot_mes!$B:$XFD, MATCH(gdp_capita_mesorreg!M$1, gdp_tot_mes!$B$1:$XFD$1, 0), 0)*1000/VLOOKUP($B48, pop_mesorreg_interpol!$B:$XFD, MATCH(gdp_capita_mesorreg!M$1, pop_mesorreg_interpol!$B$1:$XFD$1, 0), 0)</f>
        <v>18944.146915680136</v>
      </c>
      <c r="N48" s="7">
        <f>VLOOKUP($B48, gdp_tot_mes!$B:$XFD, MATCH(gdp_capita_mesorreg!N$1, gdp_tot_mes!$B$1:$XFD$1, 0), 0)*1000/VLOOKUP($B48, pop_mesorreg_interpol!$B:$XFD, MATCH(gdp_capita_mesorreg!N$1, pop_mesorreg_interpol!$B$1:$XFD$1, 0), 0)</f>
        <v>16020.066378289577</v>
      </c>
      <c r="O48" s="7">
        <f>VLOOKUP($B48, gdp_tot_mes!$B:$XFD, MATCH(gdp_capita_mesorreg!O$1, gdp_tot_mes!$B$1:$XFD$1, 0), 0)*1000/VLOOKUP($B48, pop_mesorreg_interpol!$B:$XFD, MATCH(gdp_capita_mesorreg!O$1, pop_mesorreg_interpol!$B$1:$XFD$1, 0), 0)</f>
        <v>16544.119236998875</v>
      </c>
      <c r="P48" s="7">
        <f>VLOOKUP($B48, gdp_tot_mes!$B:$XFD, MATCH(gdp_capita_mesorreg!P$1, gdp_tot_mes!$B$1:$XFD$1, 0), 0)*1000/VLOOKUP($B48, pop_mesorreg_interpol!$B:$XFD, MATCH(gdp_capita_mesorreg!P$1, pop_mesorreg_interpol!$B$1:$XFD$1, 0), 0)</f>
        <v>16986.417917244253</v>
      </c>
      <c r="Q48" s="7">
        <f>VLOOKUP($B48, gdp_tot_mes!$B:$XFD, MATCH(gdp_capita_mesorreg!Q$1, gdp_tot_mes!$B$1:$XFD$1, 0), 0)*1000/VLOOKUP($B48, pop_mesorreg_interpol!$B:$XFD, MATCH(gdp_capita_mesorreg!Q$1, pop_mesorreg_interpol!$B$1:$XFD$1, 0), 0)</f>
        <v>17248.631056634007</v>
      </c>
      <c r="R48" s="7">
        <f>VLOOKUP($B48, gdp_tot_mes!$B:$XFD, MATCH(gdp_capita_mesorreg!R$1, gdp_tot_mes!$B$1:$XFD$1, 0), 0)*1000/VLOOKUP($B48, pop_mesorreg_interpol!$B:$XFD, MATCH(gdp_capita_mesorreg!R$1, pop_mesorreg_interpol!$B$1:$XFD$1, 0), 0)</f>
        <v>17128.577817705573</v>
      </c>
      <c r="S48" s="7">
        <f>VLOOKUP($B48, gdp_tot_mes!$B:$XFD, MATCH(gdp_capita_mesorreg!S$1, gdp_tot_mes!$B$1:$XFD$1, 0), 0)*1000/VLOOKUP($B48, pop_mesorreg_interpol!$B:$XFD, MATCH(gdp_capita_mesorreg!S$1, pop_mesorreg_interpol!$B$1:$XFD$1, 0), 0)</f>
        <v>18920.277995858396</v>
      </c>
      <c r="T48" s="7">
        <f>VLOOKUP($B48, gdp_tot_mes!$B:$XFD, MATCH(gdp_capita_mesorreg!T$1, gdp_tot_mes!$B$1:$XFD$1, 0), 0)*1000/VLOOKUP($B48, pop_mesorreg_interpol!$B:$XFD, MATCH(gdp_capita_mesorreg!T$1, pop_mesorreg_interpol!$B$1:$XFD$1, 0), 0)</f>
        <v>19106.703377628255</v>
      </c>
      <c r="U48" s="7">
        <f>VLOOKUP($B48, gdp_tot_mes!$B:$XFD, MATCH(gdp_capita_mesorreg!U$1, gdp_tot_mes!$B$1:$XFD$1, 0), 0)*1000/VLOOKUP($B48, pop_mesorreg_interpol!$B:$XFD, MATCH(gdp_capita_mesorreg!U$1, pop_mesorreg_interpol!$B$1:$XFD$1, 0), 0)</f>
        <v>19638.980072151662</v>
      </c>
      <c r="V48" s="7">
        <f>VLOOKUP($B48, gdp_tot_mes!$B:$XFD, MATCH(gdp_capita_mesorreg!V$1, gdp_tot_mes!$B$1:$XFD$1, 0), 0)*1000/VLOOKUP($B48, pop_mesorreg_interpol!$B:$XFD, MATCH(gdp_capita_mesorreg!V$1, pop_mesorreg_interpol!$B$1:$XFD$1, 0), 0)</f>
        <v>21139.849425838191</v>
      </c>
      <c r="W48" s="7">
        <f>VLOOKUP($B48, gdp_tot_mes!$B:$XFD, MATCH(gdp_capita_mesorreg!W$1, gdp_tot_mes!$B$1:$XFD$1, 0), 0)*1000/VLOOKUP($B48, pop_mesorreg_interpol!$B:$XFD, MATCH(gdp_capita_mesorreg!W$1, pop_mesorreg_interpol!$B$1:$XFD$1, 0), 0)</f>
        <v>23181.150352640158</v>
      </c>
      <c r="X48" s="7">
        <f>VLOOKUP($B48, gdp_tot_mes!$B:$XFD, MATCH(gdp_capita_mesorreg!X$1, gdp_tot_mes!$B$1:$XFD$1, 0), 0)*1000/VLOOKUP($B48, pop_mesorreg_interpol!$B:$XFD, MATCH(gdp_capita_mesorreg!X$1, pop_mesorreg_interpol!$B$1:$XFD$1, 0), 0)</f>
        <v>21442.285886816408</v>
      </c>
      <c r="Y48" s="7">
        <f>VLOOKUP($B48, gdp_tot_mes!$B:$XFD, MATCH(gdp_capita_mesorreg!Y$1, gdp_tot_mes!$B$1:$XFD$1, 0), 0)*1000/VLOOKUP($B48, pop_mesorreg_interpol!$B:$XFD, MATCH(gdp_capita_mesorreg!Y$1, pop_mesorreg_interpol!$B$1:$XFD$1, 0), 0)</f>
        <v>25369.519193754713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x14ac:dyDescent="0.25">
      <c r="A49" s="1" t="s">
        <v>113</v>
      </c>
      <c r="B49" s="1" t="s">
        <v>128</v>
      </c>
      <c r="C49" s="1" t="s">
        <v>129</v>
      </c>
      <c r="D49" s="7">
        <f>VLOOKUP($B49, gdp_tot_mes!$B:$XFD, MATCH(gdp_capita_mesorreg!D$1, gdp_tot_mes!$B$1:$XFD$1, 0), 0)*1000/VLOOKUP($B49, pop_mesorreg_interpol!$B:$XFD, MATCH(gdp_capita_mesorreg!D$1, pop_mesorreg_interpol!$B$1:$XFD$1, 0), 0)</f>
        <v>498.55018647492403</v>
      </c>
      <c r="E49" s="7">
        <f>VLOOKUP($B49, gdp_tot_mes!$B:$XFD, MATCH(gdp_capita_mesorreg!E$1, gdp_tot_mes!$B$1:$XFD$1, 0), 0)*1000/VLOOKUP($B49, pop_mesorreg_interpol!$B:$XFD, MATCH(gdp_capita_mesorreg!E$1, pop_mesorreg_interpol!$B$1:$XFD$1, 0), 0)</f>
        <v>801.72005890489709</v>
      </c>
      <c r="F49" s="7">
        <f>VLOOKUP($B49, gdp_tot_mes!$B:$XFD, MATCH(gdp_capita_mesorreg!F$1, gdp_tot_mes!$B$1:$XFD$1, 0), 0)*1000/VLOOKUP($B49, pop_mesorreg_interpol!$B:$XFD, MATCH(gdp_capita_mesorreg!F$1, pop_mesorreg_interpol!$B$1:$XFD$1, 0), 0)</f>
        <v>1591.8665219167381</v>
      </c>
      <c r="G49" s="7">
        <f>VLOOKUP($B49, gdp_tot_mes!$B:$XFD, MATCH(gdp_capita_mesorreg!G$1, gdp_tot_mes!$B$1:$XFD$1, 0), 0)*1000/VLOOKUP($B49, pop_mesorreg_interpol!$B:$XFD, MATCH(gdp_capita_mesorreg!G$1, pop_mesorreg_interpol!$B$1:$XFD$1, 0), 0)</f>
        <v>1913.737667936784</v>
      </c>
      <c r="H49" s="7">
        <f>VLOOKUP($B49, gdp_tot_mes!$B:$XFD, MATCH(gdp_capita_mesorreg!H$1, gdp_tot_mes!$B$1:$XFD$1, 0), 0)*1000/VLOOKUP($B49, pop_mesorreg_interpol!$B:$XFD, MATCH(gdp_capita_mesorreg!H$1, pop_mesorreg_interpol!$B$1:$XFD$1, 0), 0)</f>
        <v>3502.3736374419764</v>
      </c>
      <c r="I49" s="7">
        <f>VLOOKUP($B49, gdp_tot_mes!$B:$XFD, MATCH(gdp_capita_mesorreg!I$1, gdp_tot_mes!$B$1:$XFD$1, 0), 0)*1000/VLOOKUP($B49, pop_mesorreg_interpol!$B:$XFD, MATCH(gdp_capita_mesorreg!I$1, pop_mesorreg_interpol!$B$1:$XFD$1, 0), 0)</f>
        <v>5078.4659179573091</v>
      </c>
      <c r="J49" s="7">
        <f>VLOOKUP($B49, gdp_tot_mes!$B:$XFD, MATCH(gdp_capita_mesorreg!J$1, gdp_tot_mes!$B$1:$XFD$1, 0), 0)*1000/VLOOKUP($B49, pop_mesorreg_interpol!$B:$XFD, MATCH(gdp_capita_mesorreg!J$1, pop_mesorreg_interpol!$B$1:$XFD$1, 0), 0)</f>
        <v>13174.824351024032</v>
      </c>
      <c r="K49" s="7">
        <f>VLOOKUP($B49, gdp_tot_mes!$B:$XFD, MATCH(gdp_capita_mesorreg!K$1, gdp_tot_mes!$B$1:$XFD$1, 0), 0)*1000/VLOOKUP($B49, pop_mesorreg_interpol!$B:$XFD, MATCH(gdp_capita_mesorreg!K$1, pop_mesorreg_interpol!$B$1:$XFD$1, 0), 0)</f>
        <v>13283.857457582897</v>
      </c>
      <c r="L49" s="8">
        <f>VLOOKUP($B49, gdp_tot_mes!$B:$XFD, MATCH(gdp_capita_mesorreg!L$1, gdp_tot_mes!$B$1:$XFD$1, 0), 0)*1000/VLOOKUP($B49, pop_mesorreg_interpol!$B:$XFD, MATCH(gdp_capita_mesorreg!L$1, pop_mesorreg_interpol!$B$1:$XFD$1, 0), 0)</f>
        <v>11244.186301660702</v>
      </c>
      <c r="M49" s="7">
        <f>VLOOKUP($B49, gdp_tot_mes!$B:$XFD, MATCH(gdp_capita_mesorreg!M$1, gdp_tot_mes!$B$1:$XFD$1, 0), 0)*1000/VLOOKUP($B49, pop_mesorreg_interpol!$B:$XFD, MATCH(gdp_capita_mesorreg!M$1, pop_mesorreg_interpol!$B$1:$XFD$1, 0), 0)</f>
        <v>8888.521284919434</v>
      </c>
      <c r="N49" s="7">
        <f>VLOOKUP($B49, gdp_tot_mes!$B:$XFD, MATCH(gdp_capita_mesorreg!N$1, gdp_tot_mes!$B$1:$XFD$1, 0), 0)*1000/VLOOKUP($B49, pop_mesorreg_interpol!$B:$XFD, MATCH(gdp_capita_mesorreg!N$1, pop_mesorreg_interpol!$B$1:$XFD$1, 0), 0)</f>
        <v>9436.912420800496</v>
      </c>
      <c r="O49" s="7">
        <f>VLOOKUP($B49, gdp_tot_mes!$B:$XFD, MATCH(gdp_capita_mesorreg!O$1, gdp_tot_mes!$B$1:$XFD$1, 0), 0)*1000/VLOOKUP($B49, pop_mesorreg_interpol!$B:$XFD, MATCH(gdp_capita_mesorreg!O$1, pop_mesorreg_interpol!$B$1:$XFD$1, 0), 0)</f>
        <v>9863.4497897626516</v>
      </c>
      <c r="P49" s="7">
        <f>VLOOKUP($B49, gdp_tot_mes!$B:$XFD, MATCH(gdp_capita_mesorreg!P$1, gdp_tot_mes!$B$1:$XFD$1, 0), 0)*1000/VLOOKUP($B49, pop_mesorreg_interpol!$B:$XFD, MATCH(gdp_capita_mesorreg!P$1, pop_mesorreg_interpol!$B$1:$XFD$1, 0), 0)</f>
        <v>10092.000207891835</v>
      </c>
      <c r="Q49" s="7">
        <f>VLOOKUP($B49, gdp_tot_mes!$B:$XFD, MATCH(gdp_capita_mesorreg!Q$1, gdp_tot_mes!$B$1:$XFD$1, 0), 0)*1000/VLOOKUP($B49, pop_mesorreg_interpol!$B:$XFD, MATCH(gdp_capita_mesorreg!Q$1, pop_mesorreg_interpol!$B$1:$XFD$1, 0), 0)</f>
        <v>10587.906509006398</v>
      </c>
      <c r="R49" s="7">
        <f>VLOOKUP($B49, gdp_tot_mes!$B:$XFD, MATCH(gdp_capita_mesorreg!R$1, gdp_tot_mes!$B$1:$XFD$1, 0), 0)*1000/VLOOKUP($B49, pop_mesorreg_interpol!$B:$XFD, MATCH(gdp_capita_mesorreg!R$1, pop_mesorreg_interpol!$B$1:$XFD$1, 0), 0)</f>
        <v>10872.630922356384</v>
      </c>
      <c r="S49" s="7">
        <f>VLOOKUP($B49, gdp_tot_mes!$B:$XFD, MATCH(gdp_capita_mesorreg!S$1, gdp_tot_mes!$B$1:$XFD$1, 0), 0)*1000/VLOOKUP($B49, pop_mesorreg_interpol!$B:$XFD, MATCH(gdp_capita_mesorreg!S$1, pop_mesorreg_interpol!$B$1:$XFD$1, 0), 0)</f>
        <v>12422.447264319017</v>
      </c>
      <c r="T49" s="7">
        <f>VLOOKUP($B49, gdp_tot_mes!$B:$XFD, MATCH(gdp_capita_mesorreg!T$1, gdp_tot_mes!$B$1:$XFD$1, 0), 0)*1000/VLOOKUP($B49, pop_mesorreg_interpol!$B:$XFD, MATCH(gdp_capita_mesorreg!T$1, pop_mesorreg_interpol!$B$1:$XFD$1, 0), 0)</f>
        <v>11996.708414535231</v>
      </c>
      <c r="U49" s="7">
        <f>VLOOKUP($B49, gdp_tot_mes!$B:$XFD, MATCH(gdp_capita_mesorreg!U$1, gdp_tot_mes!$B$1:$XFD$1, 0), 0)*1000/VLOOKUP($B49, pop_mesorreg_interpol!$B:$XFD, MATCH(gdp_capita_mesorreg!U$1, pop_mesorreg_interpol!$B$1:$XFD$1, 0), 0)</f>
        <v>12174.19697902406</v>
      </c>
      <c r="V49" s="7">
        <f>VLOOKUP($B49, gdp_tot_mes!$B:$XFD, MATCH(gdp_capita_mesorreg!V$1, gdp_tot_mes!$B$1:$XFD$1, 0), 0)*1000/VLOOKUP($B49, pop_mesorreg_interpol!$B:$XFD, MATCH(gdp_capita_mesorreg!V$1, pop_mesorreg_interpol!$B$1:$XFD$1, 0), 0)</f>
        <v>12864.899368419581</v>
      </c>
      <c r="W49" s="7">
        <f>VLOOKUP($B49, gdp_tot_mes!$B:$XFD, MATCH(gdp_capita_mesorreg!W$1, gdp_tot_mes!$B$1:$XFD$1, 0), 0)*1000/VLOOKUP($B49, pop_mesorreg_interpol!$B:$XFD, MATCH(gdp_capita_mesorreg!W$1, pop_mesorreg_interpol!$B$1:$XFD$1, 0), 0)</f>
        <v>12914.906605788328</v>
      </c>
      <c r="X49" s="7">
        <f>VLOOKUP($B49, gdp_tot_mes!$B:$XFD, MATCH(gdp_capita_mesorreg!X$1, gdp_tot_mes!$B$1:$XFD$1, 0), 0)*1000/VLOOKUP($B49, pop_mesorreg_interpol!$B:$XFD, MATCH(gdp_capita_mesorreg!X$1, pop_mesorreg_interpol!$B$1:$XFD$1, 0), 0)</f>
        <v>11629.314952204539</v>
      </c>
      <c r="Y49" s="7">
        <f>VLOOKUP($B49, gdp_tot_mes!$B:$XFD, MATCH(gdp_capita_mesorreg!Y$1, gdp_tot_mes!$B$1:$XFD$1, 0), 0)*1000/VLOOKUP($B49, pop_mesorreg_interpol!$B:$XFD, MATCH(gdp_capita_mesorreg!Y$1, pop_mesorreg_interpol!$B$1:$XFD$1, 0), 0)</f>
        <v>12943.037174744126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x14ac:dyDescent="0.25">
      <c r="A50" s="1" t="s">
        <v>113</v>
      </c>
      <c r="B50" s="1" t="s">
        <v>130</v>
      </c>
      <c r="C50" s="1" t="s">
        <v>131</v>
      </c>
      <c r="D50" s="7">
        <f>VLOOKUP($B50, gdp_tot_mes!$B:$XFD, MATCH(gdp_capita_mesorreg!D$1, gdp_tot_mes!$B$1:$XFD$1, 0), 0)*1000/VLOOKUP($B50, pop_mesorreg_interpol!$B:$XFD, MATCH(gdp_capita_mesorreg!D$1, pop_mesorreg_interpol!$B$1:$XFD$1, 0), 0)</f>
        <v>625.9358814683344</v>
      </c>
      <c r="E50" s="7">
        <f>VLOOKUP($B50, gdp_tot_mes!$B:$XFD, MATCH(gdp_capita_mesorreg!E$1, gdp_tot_mes!$B$1:$XFD$1, 0), 0)*1000/VLOOKUP($B50, pop_mesorreg_interpol!$B:$XFD, MATCH(gdp_capita_mesorreg!E$1, pop_mesorreg_interpol!$B$1:$XFD$1, 0), 0)</f>
        <v>1331.8764771592826</v>
      </c>
      <c r="F50" s="7">
        <f>VLOOKUP($B50, gdp_tot_mes!$B:$XFD, MATCH(gdp_capita_mesorreg!F$1, gdp_tot_mes!$B$1:$XFD$1, 0), 0)*1000/VLOOKUP($B50, pop_mesorreg_interpol!$B:$XFD, MATCH(gdp_capita_mesorreg!F$1, pop_mesorreg_interpol!$B$1:$XFD$1, 0), 0)</f>
        <v>2040.3802291405534</v>
      </c>
      <c r="G50" s="7">
        <f>VLOOKUP($B50, gdp_tot_mes!$B:$XFD, MATCH(gdp_capita_mesorreg!G$1, gdp_tot_mes!$B$1:$XFD$1, 0), 0)*1000/VLOOKUP($B50, pop_mesorreg_interpol!$B:$XFD, MATCH(gdp_capita_mesorreg!G$1, pop_mesorreg_interpol!$B$1:$XFD$1, 0), 0)</f>
        <v>2864.8555239763577</v>
      </c>
      <c r="H50" s="7">
        <f>VLOOKUP($B50, gdp_tot_mes!$B:$XFD, MATCH(gdp_capita_mesorreg!H$1, gdp_tot_mes!$B$1:$XFD$1, 0), 0)*1000/VLOOKUP($B50, pop_mesorreg_interpol!$B:$XFD, MATCH(gdp_capita_mesorreg!H$1, pop_mesorreg_interpol!$B$1:$XFD$1, 0), 0)</f>
        <v>4021.4528622783637</v>
      </c>
      <c r="I50" s="7">
        <f>VLOOKUP($B50, gdp_tot_mes!$B:$XFD, MATCH(gdp_capita_mesorreg!I$1, gdp_tot_mes!$B$1:$XFD$1, 0), 0)*1000/VLOOKUP($B50, pop_mesorreg_interpol!$B:$XFD, MATCH(gdp_capita_mesorreg!I$1, pop_mesorreg_interpol!$B$1:$XFD$1, 0), 0)</f>
        <v>6842.579773331202</v>
      </c>
      <c r="J50" s="7">
        <f>VLOOKUP($B50, gdp_tot_mes!$B:$XFD, MATCH(gdp_capita_mesorreg!J$1, gdp_tot_mes!$B$1:$XFD$1, 0), 0)*1000/VLOOKUP($B50, pop_mesorreg_interpol!$B:$XFD, MATCH(gdp_capita_mesorreg!J$1, pop_mesorreg_interpol!$B$1:$XFD$1, 0), 0)</f>
        <v>9878.1784322241438</v>
      </c>
      <c r="K50" s="7">
        <f>VLOOKUP($B50, gdp_tot_mes!$B:$XFD, MATCH(gdp_capita_mesorreg!K$1, gdp_tot_mes!$B$1:$XFD$1, 0), 0)*1000/VLOOKUP($B50, pop_mesorreg_interpol!$B:$XFD, MATCH(gdp_capita_mesorreg!K$1, pop_mesorreg_interpol!$B$1:$XFD$1, 0), 0)</f>
        <v>12214.888951199679</v>
      </c>
      <c r="L50" s="8">
        <f>VLOOKUP($B50, gdp_tot_mes!$B:$XFD, MATCH(gdp_capita_mesorreg!L$1, gdp_tot_mes!$B$1:$XFD$1, 0), 0)*1000/VLOOKUP($B50, pop_mesorreg_interpol!$B:$XFD, MATCH(gdp_capita_mesorreg!L$1, pop_mesorreg_interpol!$B$1:$XFD$1, 0), 0)</f>
        <v>10598.85050479237</v>
      </c>
      <c r="M50" s="7">
        <f>VLOOKUP($B50, gdp_tot_mes!$B:$XFD, MATCH(gdp_capita_mesorreg!M$1, gdp_tot_mes!$B$1:$XFD$1, 0), 0)*1000/VLOOKUP($B50, pop_mesorreg_interpol!$B:$XFD, MATCH(gdp_capita_mesorreg!M$1, pop_mesorreg_interpol!$B$1:$XFD$1, 0), 0)</f>
        <v>8945.1268734378755</v>
      </c>
      <c r="N50" s="7">
        <f>VLOOKUP($B50, gdp_tot_mes!$B:$XFD, MATCH(gdp_capita_mesorreg!N$1, gdp_tot_mes!$B$1:$XFD$1, 0), 0)*1000/VLOOKUP($B50, pop_mesorreg_interpol!$B:$XFD, MATCH(gdp_capita_mesorreg!N$1, pop_mesorreg_interpol!$B$1:$XFD$1, 0), 0)</f>
        <v>10184.02657112556</v>
      </c>
      <c r="O50" s="7">
        <f>VLOOKUP($B50, gdp_tot_mes!$B:$XFD, MATCH(gdp_capita_mesorreg!O$1, gdp_tot_mes!$B$1:$XFD$1, 0), 0)*1000/VLOOKUP($B50, pop_mesorreg_interpol!$B:$XFD, MATCH(gdp_capita_mesorreg!O$1, pop_mesorreg_interpol!$B$1:$XFD$1, 0), 0)</f>
        <v>10406.29989288417</v>
      </c>
      <c r="P50" s="7">
        <f>VLOOKUP($B50, gdp_tot_mes!$B:$XFD, MATCH(gdp_capita_mesorreg!P$1, gdp_tot_mes!$B$1:$XFD$1, 0), 0)*1000/VLOOKUP($B50, pop_mesorreg_interpol!$B:$XFD, MATCH(gdp_capita_mesorreg!P$1, pop_mesorreg_interpol!$B$1:$XFD$1, 0), 0)</f>
        <v>10489.336231214673</v>
      </c>
      <c r="Q50" s="7">
        <f>VLOOKUP($B50, gdp_tot_mes!$B:$XFD, MATCH(gdp_capita_mesorreg!Q$1, gdp_tot_mes!$B$1:$XFD$1, 0), 0)*1000/VLOOKUP($B50, pop_mesorreg_interpol!$B:$XFD, MATCH(gdp_capita_mesorreg!Q$1, pop_mesorreg_interpol!$B$1:$XFD$1, 0), 0)</f>
        <v>10999.959545329473</v>
      </c>
      <c r="R50" s="7">
        <f>VLOOKUP($B50, gdp_tot_mes!$B:$XFD, MATCH(gdp_capita_mesorreg!R$1, gdp_tot_mes!$B$1:$XFD$1, 0), 0)*1000/VLOOKUP($B50, pop_mesorreg_interpol!$B:$XFD, MATCH(gdp_capita_mesorreg!R$1, pop_mesorreg_interpol!$B$1:$XFD$1, 0), 0)</f>
        <v>11252.546074968346</v>
      </c>
      <c r="S50" s="7">
        <f>VLOOKUP($B50, gdp_tot_mes!$B:$XFD, MATCH(gdp_capita_mesorreg!S$1, gdp_tot_mes!$B$1:$XFD$1, 0), 0)*1000/VLOOKUP($B50, pop_mesorreg_interpol!$B:$XFD, MATCH(gdp_capita_mesorreg!S$1, pop_mesorreg_interpol!$B$1:$XFD$1, 0), 0)</f>
        <v>12576.420484411547</v>
      </c>
      <c r="T50" s="7">
        <f>VLOOKUP($B50, gdp_tot_mes!$B:$XFD, MATCH(gdp_capita_mesorreg!T$1, gdp_tot_mes!$B$1:$XFD$1, 0), 0)*1000/VLOOKUP($B50, pop_mesorreg_interpol!$B:$XFD, MATCH(gdp_capita_mesorreg!T$1, pop_mesorreg_interpol!$B$1:$XFD$1, 0), 0)</f>
        <v>12596.638727546791</v>
      </c>
      <c r="U50" s="7">
        <f>VLOOKUP($B50, gdp_tot_mes!$B:$XFD, MATCH(gdp_capita_mesorreg!U$1, gdp_tot_mes!$B$1:$XFD$1, 0), 0)*1000/VLOOKUP($B50, pop_mesorreg_interpol!$B:$XFD, MATCH(gdp_capita_mesorreg!U$1, pop_mesorreg_interpol!$B$1:$XFD$1, 0), 0)</f>
        <v>12534.598647692948</v>
      </c>
      <c r="V50" s="7">
        <f>VLOOKUP($B50, gdp_tot_mes!$B:$XFD, MATCH(gdp_capita_mesorreg!V$1, gdp_tot_mes!$B$1:$XFD$1, 0), 0)*1000/VLOOKUP($B50, pop_mesorreg_interpol!$B:$XFD, MATCH(gdp_capita_mesorreg!V$1, pop_mesorreg_interpol!$B$1:$XFD$1, 0), 0)</f>
        <v>12856.529667598687</v>
      </c>
      <c r="W50" s="7">
        <f>VLOOKUP($B50, gdp_tot_mes!$B:$XFD, MATCH(gdp_capita_mesorreg!W$1, gdp_tot_mes!$B$1:$XFD$1, 0), 0)*1000/VLOOKUP($B50, pop_mesorreg_interpol!$B:$XFD, MATCH(gdp_capita_mesorreg!W$1, pop_mesorreg_interpol!$B$1:$XFD$1, 0), 0)</f>
        <v>13540.673034996793</v>
      </c>
      <c r="X50" s="7">
        <f>VLOOKUP($B50, gdp_tot_mes!$B:$XFD, MATCH(gdp_capita_mesorreg!X$1, gdp_tot_mes!$B$1:$XFD$1, 0), 0)*1000/VLOOKUP($B50, pop_mesorreg_interpol!$B:$XFD, MATCH(gdp_capita_mesorreg!X$1, pop_mesorreg_interpol!$B$1:$XFD$1, 0), 0)</f>
        <v>12515.829121632023</v>
      </c>
      <c r="Y50" s="7">
        <f>VLOOKUP($B50, gdp_tot_mes!$B:$XFD, MATCH(gdp_capita_mesorreg!Y$1, gdp_tot_mes!$B$1:$XFD$1, 0), 0)*1000/VLOOKUP($B50, pop_mesorreg_interpol!$B:$XFD, MATCH(gdp_capita_mesorreg!Y$1, pop_mesorreg_interpol!$B$1:$XFD$1, 0), 0)</f>
        <v>13808.232329874456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x14ac:dyDescent="0.25">
      <c r="A51" s="1" t="s">
        <v>113</v>
      </c>
      <c r="B51" s="1" t="s">
        <v>132</v>
      </c>
      <c r="C51" s="1" t="s">
        <v>133</v>
      </c>
      <c r="D51" s="7">
        <f>VLOOKUP($B51, gdp_tot_mes!$B:$XFD, MATCH(gdp_capita_mesorreg!D$1, gdp_tot_mes!$B$1:$XFD$1, 0), 0)*1000/VLOOKUP($B51, pop_mesorreg_interpol!$B:$XFD, MATCH(gdp_capita_mesorreg!D$1, pop_mesorreg_interpol!$B$1:$XFD$1, 0), 0)</f>
        <v>801.39431771933369</v>
      </c>
      <c r="E51" s="7">
        <f>VLOOKUP($B51, gdp_tot_mes!$B:$XFD, MATCH(gdp_capita_mesorreg!E$1, gdp_tot_mes!$B$1:$XFD$1, 0), 0)*1000/VLOOKUP($B51, pop_mesorreg_interpol!$B:$XFD, MATCH(gdp_capita_mesorreg!E$1, pop_mesorreg_interpol!$B$1:$XFD$1, 0), 0)</f>
        <v>1571.5674129349861</v>
      </c>
      <c r="F51" s="7">
        <f>VLOOKUP($B51, gdp_tot_mes!$B:$XFD, MATCH(gdp_capita_mesorreg!F$1, gdp_tot_mes!$B$1:$XFD$1, 0), 0)*1000/VLOOKUP($B51, pop_mesorreg_interpol!$B:$XFD, MATCH(gdp_capita_mesorreg!F$1, pop_mesorreg_interpol!$B$1:$XFD$1, 0), 0)</f>
        <v>2921.7077757881702</v>
      </c>
      <c r="G51" s="7">
        <f>VLOOKUP($B51, gdp_tot_mes!$B:$XFD, MATCH(gdp_capita_mesorreg!G$1, gdp_tot_mes!$B$1:$XFD$1, 0), 0)*1000/VLOOKUP($B51, pop_mesorreg_interpol!$B:$XFD, MATCH(gdp_capita_mesorreg!G$1, pop_mesorreg_interpol!$B$1:$XFD$1, 0), 0)</f>
        <v>3603.5210494395164</v>
      </c>
      <c r="H51" s="7">
        <f>VLOOKUP($B51, gdp_tot_mes!$B:$XFD, MATCH(gdp_capita_mesorreg!H$1, gdp_tot_mes!$B$1:$XFD$1, 0), 0)*1000/VLOOKUP($B51, pop_mesorreg_interpol!$B:$XFD, MATCH(gdp_capita_mesorreg!H$1, pop_mesorreg_interpol!$B$1:$XFD$1, 0), 0)</f>
        <v>4748.4930619044217</v>
      </c>
      <c r="I51" s="7">
        <f>VLOOKUP($B51, gdp_tot_mes!$B:$XFD, MATCH(gdp_capita_mesorreg!I$1, gdp_tot_mes!$B$1:$XFD$1, 0), 0)*1000/VLOOKUP($B51, pop_mesorreg_interpol!$B:$XFD, MATCH(gdp_capita_mesorreg!I$1, pop_mesorreg_interpol!$B$1:$XFD$1, 0), 0)</f>
        <v>7748.5993916473808</v>
      </c>
      <c r="J51" s="7">
        <f>VLOOKUP($B51, gdp_tot_mes!$B:$XFD, MATCH(gdp_capita_mesorreg!J$1, gdp_tot_mes!$B$1:$XFD$1, 0), 0)*1000/VLOOKUP($B51, pop_mesorreg_interpol!$B:$XFD, MATCH(gdp_capita_mesorreg!J$1, pop_mesorreg_interpol!$B$1:$XFD$1, 0), 0)</f>
        <v>10741.082528000095</v>
      </c>
      <c r="K51" s="7">
        <f>VLOOKUP($B51, gdp_tot_mes!$B:$XFD, MATCH(gdp_capita_mesorreg!K$1, gdp_tot_mes!$B$1:$XFD$1, 0), 0)*1000/VLOOKUP($B51, pop_mesorreg_interpol!$B:$XFD, MATCH(gdp_capita_mesorreg!K$1, pop_mesorreg_interpol!$B$1:$XFD$1, 0), 0)</f>
        <v>15935.862755975093</v>
      </c>
      <c r="L51" s="8">
        <f>VLOOKUP($B51, gdp_tot_mes!$B:$XFD, MATCH(gdp_capita_mesorreg!L$1, gdp_tot_mes!$B$1:$XFD$1, 0), 0)*1000/VLOOKUP($B51, pop_mesorreg_interpol!$B:$XFD, MATCH(gdp_capita_mesorreg!L$1, pop_mesorreg_interpol!$B$1:$XFD$1, 0), 0)</f>
        <v>13607.176464806174</v>
      </c>
      <c r="M51" s="7">
        <f>VLOOKUP($B51, gdp_tot_mes!$B:$XFD, MATCH(gdp_capita_mesorreg!M$1, gdp_tot_mes!$B$1:$XFD$1, 0), 0)*1000/VLOOKUP($B51, pop_mesorreg_interpol!$B:$XFD, MATCH(gdp_capita_mesorreg!M$1, pop_mesorreg_interpol!$B$1:$XFD$1, 0), 0)</f>
        <v>11203.950003025077</v>
      </c>
      <c r="N51" s="7">
        <f>VLOOKUP($B51, gdp_tot_mes!$B:$XFD, MATCH(gdp_capita_mesorreg!N$1, gdp_tot_mes!$B$1:$XFD$1, 0), 0)*1000/VLOOKUP($B51, pop_mesorreg_interpol!$B:$XFD, MATCH(gdp_capita_mesorreg!N$1, pop_mesorreg_interpol!$B$1:$XFD$1, 0), 0)</f>
        <v>13450.488113399051</v>
      </c>
      <c r="O51" s="7">
        <f>VLOOKUP($B51, gdp_tot_mes!$B:$XFD, MATCH(gdp_capita_mesorreg!O$1, gdp_tot_mes!$B$1:$XFD$1, 0), 0)*1000/VLOOKUP($B51, pop_mesorreg_interpol!$B:$XFD, MATCH(gdp_capita_mesorreg!O$1, pop_mesorreg_interpol!$B$1:$XFD$1, 0), 0)</f>
        <v>13338.578732332651</v>
      </c>
      <c r="P51" s="7">
        <f>VLOOKUP($B51, gdp_tot_mes!$B:$XFD, MATCH(gdp_capita_mesorreg!P$1, gdp_tot_mes!$B$1:$XFD$1, 0), 0)*1000/VLOOKUP($B51, pop_mesorreg_interpol!$B:$XFD, MATCH(gdp_capita_mesorreg!P$1, pop_mesorreg_interpol!$B$1:$XFD$1, 0), 0)</f>
        <v>13221.281287376294</v>
      </c>
      <c r="Q51" s="7">
        <f>VLOOKUP($B51, gdp_tot_mes!$B:$XFD, MATCH(gdp_capita_mesorreg!Q$1, gdp_tot_mes!$B$1:$XFD$1, 0), 0)*1000/VLOOKUP($B51, pop_mesorreg_interpol!$B:$XFD, MATCH(gdp_capita_mesorreg!Q$1, pop_mesorreg_interpol!$B$1:$XFD$1, 0), 0)</f>
        <v>13580.920900388555</v>
      </c>
      <c r="R51" s="7">
        <f>VLOOKUP($B51, gdp_tot_mes!$B:$XFD, MATCH(gdp_capita_mesorreg!R$1, gdp_tot_mes!$B$1:$XFD$1, 0), 0)*1000/VLOOKUP($B51, pop_mesorreg_interpol!$B:$XFD, MATCH(gdp_capita_mesorreg!R$1, pop_mesorreg_interpol!$B$1:$XFD$1, 0), 0)</f>
        <v>13120.3386195239</v>
      </c>
      <c r="S51" s="7">
        <f>VLOOKUP($B51, gdp_tot_mes!$B:$XFD, MATCH(gdp_capita_mesorreg!S$1, gdp_tot_mes!$B$1:$XFD$1, 0), 0)*1000/VLOOKUP($B51, pop_mesorreg_interpol!$B:$XFD, MATCH(gdp_capita_mesorreg!S$1, pop_mesorreg_interpol!$B$1:$XFD$1, 0), 0)</f>
        <v>14780.014181705561</v>
      </c>
      <c r="T51" s="7">
        <f>VLOOKUP($B51, gdp_tot_mes!$B:$XFD, MATCH(gdp_capita_mesorreg!T$1, gdp_tot_mes!$B$1:$XFD$1, 0), 0)*1000/VLOOKUP($B51, pop_mesorreg_interpol!$B:$XFD, MATCH(gdp_capita_mesorreg!T$1, pop_mesorreg_interpol!$B$1:$XFD$1, 0), 0)</f>
        <v>14702.929806636486</v>
      </c>
      <c r="U51" s="7">
        <f>VLOOKUP($B51, gdp_tot_mes!$B:$XFD, MATCH(gdp_capita_mesorreg!U$1, gdp_tot_mes!$B$1:$XFD$1, 0), 0)*1000/VLOOKUP($B51, pop_mesorreg_interpol!$B:$XFD, MATCH(gdp_capita_mesorreg!U$1, pop_mesorreg_interpol!$B$1:$XFD$1, 0), 0)</f>
        <v>15130.544534178338</v>
      </c>
      <c r="V51" s="7">
        <f>VLOOKUP($B51, gdp_tot_mes!$B:$XFD, MATCH(gdp_capita_mesorreg!V$1, gdp_tot_mes!$B$1:$XFD$1, 0), 0)*1000/VLOOKUP($B51, pop_mesorreg_interpol!$B:$XFD, MATCH(gdp_capita_mesorreg!V$1, pop_mesorreg_interpol!$B$1:$XFD$1, 0), 0)</f>
        <v>15274.52071236884</v>
      </c>
      <c r="W51" s="7">
        <f>VLOOKUP($B51, gdp_tot_mes!$B:$XFD, MATCH(gdp_capita_mesorreg!W$1, gdp_tot_mes!$B$1:$XFD$1, 0), 0)*1000/VLOOKUP($B51, pop_mesorreg_interpol!$B:$XFD, MATCH(gdp_capita_mesorreg!W$1, pop_mesorreg_interpol!$B$1:$XFD$1, 0), 0)</f>
        <v>15995.851112715156</v>
      </c>
      <c r="X51" s="7">
        <f>VLOOKUP($B51, gdp_tot_mes!$B:$XFD, MATCH(gdp_capita_mesorreg!X$1, gdp_tot_mes!$B$1:$XFD$1, 0), 0)*1000/VLOOKUP($B51, pop_mesorreg_interpol!$B:$XFD, MATCH(gdp_capita_mesorreg!X$1, pop_mesorreg_interpol!$B$1:$XFD$1, 0), 0)</f>
        <v>15105.20088171243</v>
      </c>
      <c r="Y51" s="7">
        <f>VLOOKUP($B51, gdp_tot_mes!$B:$XFD, MATCH(gdp_capita_mesorreg!Y$1, gdp_tot_mes!$B$1:$XFD$1, 0), 0)*1000/VLOOKUP($B51, pop_mesorreg_interpol!$B:$XFD, MATCH(gdp_capita_mesorreg!Y$1, pop_mesorreg_interpol!$B$1:$XFD$1, 0), 0)</f>
        <v>16966.615851400638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x14ac:dyDescent="0.25">
      <c r="A52" s="1" t="s">
        <v>113</v>
      </c>
      <c r="B52" s="1" t="s">
        <v>134</v>
      </c>
      <c r="C52" s="1" t="s">
        <v>135</v>
      </c>
      <c r="D52" s="7">
        <f>VLOOKUP($B52, gdp_tot_mes!$B:$XFD, MATCH(gdp_capita_mesorreg!D$1, gdp_tot_mes!$B$1:$XFD$1, 0), 0)*1000/VLOOKUP($B52, pop_mesorreg_interpol!$B:$XFD, MATCH(gdp_capita_mesorreg!D$1, pop_mesorreg_interpol!$B$1:$XFD$1, 0), 0)</f>
        <v>689.83388774215121</v>
      </c>
      <c r="E52" s="7">
        <f>VLOOKUP($B52, gdp_tot_mes!$B:$XFD, MATCH(gdp_capita_mesorreg!E$1, gdp_tot_mes!$B$1:$XFD$1, 0), 0)*1000/VLOOKUP($B52, pop_mesorreg_interpol!$B:$XFD, MATCH(gdp_capita_mesorreg!E$1, pop_mesorreg_interpol!$B$1:$XFD$1, 0), 0)</f>
        <v>1828.2036227274202</v>
      </c>
      <c r="F52" s="7">
        <f>VLOOKUP($B52, gdp_tot_mes!$B:$XFD, MATCH(gdp_capita_mesorreg!F$1, gdp_tot_mes!$B$1:$XFD$1, 0), 0)*1000/VLOOKUP($B52, pop_mesorreg_interpol!$B:$XFD, MATCH(gdp_capita_mesorreg!F$1, pop_mesorreg_interpol!$B$1:$XFD$1, 0), 0)</f>
        <v>2261.3413370639855</v>
      </c>
      <c r="G52" s="7">
        <f>VLOOKUP($B52, gdp_tot_mes!$B:$XFD, MATCH(gdp_capita_mesorreg!G$1, gdp_tot_mes!$B$1:$XFD$1, 0), 0)*1000/VLOOKUP($B52, pop_mesorreg_interpol!$B:$XFD, MATCH(gdp_capita_mesorreg!G$1, pop_mesorreg_interpol!$B$1:$XFD$1, 0), 0)</f>
        <v>3070.2978542823103</v>
      </c>
      <c r="H52" s="7">
        <f>VLOOKUP($B52, gdp_tot_mes!$B:$XFD, MATCH(gdp_capita_mesorreg!H$1, gdp_tot_mes!$B$1:$XFD$1, 0), 0)*1000/VLOOKUP($B52, pop_mesorreg_interpol!$B:$XFD, MATCH(gdp_capita_mesorreg!H$1, pop_mesorreg_interpol!$B$1:$XFD$1, 0), 0)</f>
        <v>4632.4021047437218</v>
      </c>
      <c r="I52" s="7">
        <f>VLOOKUP($B52, gdp_tot_mes!$B:$XFD, MATCH(gdp_capita_mesorreg!I$1, gdp_tot_mes!$B$1:$XFD$1, 0), 0)*1000/VLOOKUP($B52, pop_mesorreg_interpol!$B:$XFD, MATCH(gdp_capita_mesorreg!I$1, pop_mesorreg_interpol!$B$1:$XFD$1, 0), 0)</f>
        <v>6757.7236552810627</v>
      </c>
      <c r="J52" s="7">
        <f>VLOOKUP($B52, gdp_tot_mes!$B:$XFD, MATCH(gdp_capita_mesorreg!J$1, gdp_tot_mes!$B$1:$XFD$1, 0), 0)*1000/VLOOKUP($B52, pop_mesorreg_interpol!$B:$XFD, MATCH(gdp_capita_mesorreg!J$1, pop_mesorreg_interpol!$B$1:$XFD$1, 0), 0)</f>
        <v>9932.8889957337378</v>
      </c>
      <c r="K52" s="7">
        <f>VLOOKUP($B52, gdp_tot_mes!$B:$XFD, MATCH(gdp_capita_mesorreg!K$1, gdp_tot_mes!$B$1:$XFD$1, 0), 0)*1000/VLOOKUP($B52, pop_mesorreg_interpol!$B:$XFD, MATCH(gdp_capita_mesorreg!K$1, pop_mesorreg_interpol!$B$1:$XFD$1, 0), 0)</f>
        <v>8644.931474116871</v>
      </c>
      <c r="L52" s="8">
        <f>VLOOKUP($B52, gdp_tot_mes!$B:$XFD, MATCH(gdp_capita_mesorreg!L$1, gdp_tot_mes!$B$1:$XFD$1, 0), 0)*1000/VLOOKUP($B52, pop_mesorreg_interpol!$B:$XFD, MATCH(gdp_capita_mesorreg!L$1, pop_mesorreg_interpol!$B$1:$XFD$1, 0), 0)</f>
        <v>8246.0930373793744</v>
      </c>
      <c r="M52" s="7">
        <f>VLOOKUP($B52, gdp_tot_mes!$B:$XFD, MATCH(gdp_capita_mesorreg!M$1, gdp_tot_mes!$B$1:$XFD$1, 0), 0)*1000/VLOOKUP($B52, pop_mesorreg_interpol!$B:$XFD, MATCH(gdp_capita_mesorreg!M$1, pop_mesorreg_interpol!$B$1:$XFD$1, 0), 0)</f>
        <v>7818.8338667077351</v>
      </c>
      <c r="N52" s="7">
        <f>VLOOKUP($B52, gdp_tot_mes!$B:$XFD, MATCH(gdp_capita_mesorreg!N$1, gdp_tot_mes!$B$1:$XFD$1, 0), 0)*1000/VLOOKUP($B52, pop_mesorreg_interpol!$B:$XFD, MATCH(gdp_capita_mesorreg!N$1, pop_mesorreg_interpol!$B$1:$XFD$1, 0), 0)</f>
        <v>9428.9183192025357</v>
      </c>
      <c r="O52" s="7">
        <f>VLOOKUP($B52, gdp_tot_mes!$B:$XFD, MATCH(gdp_capita_mesorreg!O$1, gdp_tot_mes!$B$1:$XFD$1, 0), 0)*1000/VLOOKUP($B52, pop_mesorreg_interpol!$B:$XFD, MATCH(gdp_capita_mesorreg!O$1, pop_mesorreg_interpol!$B$1:$XFD$1, 0), 0)</f>
        <v>9539.4481636189048</v>
      </c>
      <c r="P52" s="7">
        <f>VLOOKUP($B52, gdp_tot_mes!$B:$XFD, MATCH(gdp_capita_mesorreg!P$1, gdp_tot_mes!$B$1:$XFD$1, 0), 0)*1000/VLOOKUP($B52, pop_mesorreg_interpol!$B:$XFD, MATCH(gdp_capita_mesorreg!P$1, pop_mesorreg_interpol!$B$1:$XFD$1, 0), 0)</f>
        <v>9651.6848724820466</v>
      </c>
      <c r="Q52" s="7">
        <f>VLOOKUP($B52, gdp_tot_mes!$B:$XFD, MATCH(gdp_capita_mesorreg!Q$1, gdp_tot_mes!$B$1:$XFD$1, 0), 0)*1000/VLOOKUP($B52, pop_mesorreg_interpol!$B:$XFD, MATCH(gdp_capita_mesorreg!Q$1, pop_mesorreg_interpol!$B$1:$XFD$1, 0), 0)</f>
        <v>10176.225483532127</v>
      </c>
      <c r="R52" s="7">
        <f>VLOOKUP($B52, gdp_tot_mes!$B:$XFD, MATCH(gdp_capita_mesorreg!R$1, gdp_tot_mes!$B$1:$XFD$1, 0), 0)*1000/VLOOKUP($B52, pop_mesorreg_interpol!$B:$XFD, MATCH(gdp_capita_mesorreg!R$1, pop_mesorreg_interpol!$B$1:$XFD$1, 0), 0)</f>
        <v>10394.876110964009</v>
      </c>
      <c r="S52" s="7">
        <f>VLOOKUP($B52, gdp_tot_mes!$B:$XFD, MATCH(gdp_capita_mesorreg!S$1, gdp_tot_mes!$B$1:$XFD$1, 0), 0)*1000/VLOOKUP($B52, pop_mesorreg_interpol!$B:$XFD, MATCH(gdp_capita_mesorreg!S$1, pop_mesorreg_interpol!$B$1:$XFD$1, 0), 0)</f>
        <v>11405.61946722187</v>
      </c>
      <c r="T52" s="7">
        <f>VLOOKUP($B52, gdp_tot_mes!$B:$XFD, MATCH(gdp_capita_mesorreg!T$1, gdp_tot_mes!$B$1:$XFD$1, 0), 0)*1000/VLOOKUP($B52, pop_mesorreg_interpol!$B:$XFD, MATCH(gdp_capita_mesorreg!T$1, pop_mesorreg_interpol!$B$1:$XFD$1, 0), 0)</f>
        <v>11110.530257782917</v>
      </c>
      <c r="U52" s="7">
        <f>VLOOKUP($B52, gdp_tot_mes!$B:$XFD, MATCH(gdp_capita_mesorreg!U$1, gdp_tot_mes!$B$1:$XFD$1, 0), 0)*1000/VLOOKUP($B52, pop_mesorreg_interpol!$B:$XFD, MATCH(gdp_capita_mesorreg!U$1, pop_mesorreg_interpol!$B$1:$XFD$1, 0), 0)</f>
        <v>10862.533488761508</v>
      </c>
      <c r="V52" s="7">
        <f>VLOOKUP($B52, gdp_tot_mes!$B:$XFD, MATCH(gdp_capita_mesorreg!V$1, gdp_tot_mes!$B$1:$XFD$1, 0), 0)*1000/VLOOKUP($B52, pop_mesorreg_interpol!$B:$XFD, MATCH(gdp_capita_mesorreg!V$1, pop_mesorreg_interpol!$B$1:$XFD$1, 0), 0)</f>
        <v>11478.499406549156</v>
      </c>
      <c r="W52" s="7">
        <f>VLOOKUP($B52, gdp_tot_mes!$B:$XFD, MATCH(gdp_capita_mesorreg!W$1, gdp_tot_mes!$B$1:$XFD$1, 0), 0)*1000/VLOOKUP($B52, pop_mesorreg_interpol!$B:$XFD, MATCH(gdp_capita_mesorreg!W$1, pop_mesorreg_interpol!$B$1:$XFD$1, 0), 0)</f>
        <v>11997.11982510001</v>
      </c>
      <c r="X52" s="7">
        <f>VLOOKUP($B52, gdp_tot_mes!$B:$XFD, MATCH(gdp_capita_mesorreg!X$1, gdp_tot_mes!$B$1:$XFD$1, 0), 0)*1000/VLOOKUP($B52, pop_mesorreg_interpol!$B:$XFD, MATCH(gdp_capita_mesorreg!X$1, pop_mesorreg_interpol!$B$1:$XFD$1, 0), 0)</f>
        <v>11516.690491893391</v>
      </c>
      <c r="Y52" s="7">
        <f>VLOOKUP($B52, gdp_tot_mes!$B:$XFD, MATCH(gdp_capita_mesorreg!Y$1, gdp_tot_mes!$B$1:$XFD$1, 0), 0)*1000/VLOOKUP($B52, pop_mesorreg_interpol!$B:$XFD, MATCH(gdp_capita_mesorreg!Y$1, pop_mesorreg_interpol!$B$1:$XFD$1, 0), 0)</f>
        <v>12255.989856661992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x14ac:dyDescent="0.25">
      <c r="A53" s="1" t="s">
        <v>113</v>
      </c>
      <c r="B53" s="1" t="s">
        <v>136</v>
      </c>
      <c r="C53" s="1" t="s">
        <v>137</v>
      </c>
      <c r="D53" s="7">
        <f>VLOOKUP($B53, gdp_tot_mes!$B:$XFD, MATCH(gdp_capita_mesorreg!D$1, gdp_tot_mes!$B$1:$XFD$1, 0), 0)*1000/VLOOKUP($B53, pop_mesorreg_interpol!$B:$XFD, MATCH(gdp_capita_mesorreg!D$1, pop_mesorreg_interpol!$B$1:$XFD$1, 0), 0)</f>
        <v>988.65624084665558</v>
      </c>
      <c r="E53" s="7">
        <f>VLOOKUP($B53, gdp_tot_mes!$B:$XFD, MATCH(gdp_capita_mesorreg!E$1, gdp_tot_mes!$B$1:$XFD$1, 0), 0)*1000/VLOOKUP($B53, pop_mesorreg_interpol!$B:$XFD, MATCH(gdp_capita_mesorreg!E$1, pop_mesorreg_interpol!$B$1:$XFD$1, 0), 0)</f>
        <v>1678.0163734255445</v>
      </c>
      <c r="F53" s="7">
        <f>VLOOKUP($B53, gdp_tot_mes!$B:$XFD, MATCH(gdp_capita_mesorreg!F$1, gdp_tot_mes!$B$1:$XFD$1, 0), 0)*1000/VLOOKUP($B53, pop_mesorreg_interpol!$B:$XFD, MATCH(gdp_capita_mesorreg!F$1, pop_mesorreg_interpol!$B$1:$XFD$1, 0), 0)</f>
        <v>2697.2419242372648</v>
      </c>
      <c r="G53" s="7">
        <f>VLOOKUP($B53, gdp_tot_mes!$B:$XFD, MATCH(gdp_capita_mesorreg!G$1, gdp_tot_mes!$B$1:$XFD$1, 0), 0)*1000/VLOOKUP($B53, pop_mesorreg_interpol!$B:$XFD, MATCH(gdp_capita_mesorreg!G$1, pop_mesorreg_interpol!$B$1:$XFD$1, 0), 0)</f>
        <v>3122.3470030136996</v>
      </c>
      <c r="H53" s="7">
        <f>VLOOKUP($B53, gdp_tot_mes!$B:$XFD, MATCH(gdp_capita_mesorreg!H$1, gdp_tot_mes!$B$1:$XFD$1, 0), 0)*1000/VLOOKUP($B53, pop_mesorreg_interpol!$B:$XFD, MATCH(gdp_capita_mesorreg!H$1, pop_mesorreg_interpol!$B$1:$XFD$1, 0), 0)</f>
        <v>3940.006344189193</v>
      </c>
      <c r="I53" s="7">
        <f>VLOOKUP($B53, gdp_tot_mes!$B:$XFD, MATCH(gdp_capita_mesorreg!I$1, gdp_tot_mes!$B$1:$XFD$1, 0), 0)*1000/VLOOKUP($B53, pop_mesorreg_interpol!$B:$XFD, MATCH(gdp_capita_mesorreg!I$1, pop_mesorreg_interpol!$B$1:$XFD$1, 0), 0)</f>
        <v>5983.5309116513472</v>
      </c>
      <c r="J53" s="7">
        <f>VLOOKUP($B53, gdp_tot_mes!$B:$XFD, MATCH(gdp_capita_mesorreg!J$1, gdp_tot_mes!$B$1:$XFD$1, 0), 0)*1000/VLOOKUP($B53, pop_mesorreg_interpol!$B:$XFD, MATCH(gdp_capita_mesorreg!J$1, pop_mesorreg_interpol!$B$1:$XFD$1, 0), 0)</f>
        <v>8885.7770282512047</v>
      </c>
      <c r="K53" s="7">
        <f>VLOOKUP($B53, gdp_tot_mes!$B:$XFD, MATCH(gdp_capita_mesorreg!K$1, gdp_tot_mes!$B$1:$XFD$1, 0), 0)*1000/VLOOKUP($B53, pop_mesorreg_interpol!$B:$XFD, MATCH(gdp_capita_mesorreg!K$1, pop_mesorreg_interpol!$B$1:$XFD$1, 0), 0)</f>
        <v>9791.6846949750634</v>
      </c>
      <c r="L53" s="8">
        <f>VLOOKUP($B53, gdp_tot_mes!$B:$XFD, MATCH(gdp_capita_mesorreg!L$1, gdp_tot_mes!$B$1:$XFD$1, 0), 0)*1000/VLOOKUP($B53, pop_mesorreg_interpol!$B:$XFD, MATCH(gdp_capita_mesorreg!L$1, pop_mesorreg_interpol!$B$1:$XFD$1, 0), 0)</f>
        <v>9335.8464796571952</v>
      </c>
      <c r="M53" s="7">
        <f>VLOOKUP($B53, gdp_tot_mes!$B:$XFD, MATCH(gdp_capita_mesorreg!M$1, gdp_tot_mes!$B$1:$XFD$1, 0), 0)*1000/VLOOKUP($B53, pop_mesorreg_interpol!$B:$XFD, MATCH(gdp_capita_mesorreg!M$1, pop_mesorreg_interpol!$B$1:$XFD$1, 0), 0)</f>
        <v>8844.2309356928163</v>
      </c>
      <c r="N53" s="7">
        <f>VLOOKUP($B53, gdp_tot_mes!$B:$XFD, MATCH(gdp_capita_mesorreg!N$1, gdp_tot_mes!$B$1:$XFD$1, 0), 0)*1000/VLOOKUP($B53, pop_mesorreg_interpol!$B:$XFD, MATCH(gdp_capita_mesorreg!N$1, pop_mesorreg_interpol!$B$1:$XFD$1, 0), 0)</f>
        <v>9539.3115220156797</v>
      </c>
      <c r="O53" s="7">
        <f>VLOOKUP($B53, gdp_tot_mes!$B:$XFD, MATCH(gdp_capita_mesorreg!O$1, gdp_tot_mes!$B$1:$XFD$1, 0), 0)*1000/VLOOKUP($B53, pop_mesorreg_interpol!$B:$XFD, MATCH(gdp_capita_mesorreg!O$1, pop_mesorreg_interpol!$B$1:$XFD$1, 0), 0)</f>
        <v>9560.860195838668</v>
      </c>
      <c r="P53" s="7">
        <f>VLOOKUP($B53, gdp_tot_mes!$B:$XFD, MATCH(gdp_capita_mesorreg!P$1, gdp_tot_mes!$B$1:$XFD$1, 0), 0)*1000/VLOOKUP($B53, pop_mesorreg_interpol!$B:$XFD, MATCH(gdp_capita_mesorreg!P$1, pop_mesorreg_interpol!$B$1:$XFD$1, 0), 0)</f>
        <v>9462.7288955453914</v>
      </c>
      <c r="Q53" s="7">
        <f>VLOOKUP($B53, gdp_tot_mes!$B:$XFD, MATCH(gdp_capita_mesorreg!Q$1, gdp_tot_mes!$B$1:$XFD$1, 0), 0)*1000/VLOOKUP($B53, pop_mesorreg_interpol!$B:$XFD, MATCH(gdp_capita_mesorreg!Q$1, pop_mesorreg_interpol!$B$1:$XFD$1, 0), 0)</f>
        <v>9875.4010897066892</v>
      </c>
      <c r="R53" s="7">
        <f>VLOOKUP($B53, gdp_tot_mes!$B:$XFD, MATCH(gdp_capita_mesorreg!R$1, gdp_tot_mes!$B$1:$XFD$1, 0), 0)*1000/VLOOKUP($B53, pop_mesorreg_interpol!$B:$XFD, MATCH(gdp_capita_mesorreg!R$1, pop_mesorreg_interpol!$B$1:$XFD$1, 0), 0)</f>
        <v>9670.8915151032397</v>
      </c>
      <c r="S53" s="7">
        <f>VLOOKUP($B53, gdp_tot_mes!$B:$XFD, MATCH(gdp_capita_mesorreg!S$1, gdp_tot_mes!$B$1:$XFD$1, 0), 0)*1000/VLOOKUP($B53, pop_mesorreg_interpol!$B:$XFD, MATCH(gdp_capita_mesorreg!S$1, pop_mesorreg_interpol!$B$1:$XFD$1, 0), 0)</f>
        <v>10432.676371478903</v>
      </c>
      <c r="T53" s="7">
        <f>VLOOKUP($B53, gdp_tot_mes!$B:$XFD, MATCH(gdp_capita_mesorreg!T$1, gdp_tot_mes!$B$1:$XFD$1, 0), 0)*1000/VLOOKUP($B53, pop_mesorreg_interpol!$B:$XFD, MATCH(gdp_capita_mesorreg!T$1, pop_mesorreg_interpol!$B$1:$XFD$1, 0), 0)</f>
        <v>10546.254800358889</v>
      </c>
      <c r="U53" s="7">
        <f>VLOOKUP($B53, gdp_tot_mes!$B:$XFD, MATCH(gdp_capita_mesorreg!U$1, gdp_tot_mes!$B$1:$XFD$1, 0), 0)*1000/VLOOKUP($B53, pop_mesorreg_interpol!$B:$XFD, MATCH(gdp_capita_mesorreg!U$1, pop_mesorreg_interpol!$B$1:$XFD$1, 0), 0)</f>
        <v>10651.05383241798</v>
      </c>
      <c r="V53" s="7">
        <f>VLOOKUP($B53, gdp_tot_mes!$B:$XFD, MATCH(gdp_capita_mesorreg!V$1, gdp_tot_mes!$B$1:$XFD$1, 0), 0)*1000/VLOOKUP($B53, pop_mesorreg_interpol!$B:$XFD, MATCH(gdp_capita_mesorreg!V$1, pop_mesorreg_interpol!$B$1:$XFD$1, 0), 0)</f>
        <v>11029.368470318099</v>
      </c>
      <c r="W53" s="7">
        <f>VLOOKUP($B53, gdp_tot_mes!$B:$XFD, MATCH(gdp_capita_mesorreg!W$1, gdp_tot_mes!$B$1:$XFD$1, 0), 0)*1000/VLOOKUP($B53, pop_mesorreg_interpol!$B:$XFD, MATCH(gdp_capita_mesorreg!W$1, pop_mesorreg_interpol!$B$1:$XFD$1, 0), 0)</f>
        <v>11630.158220746087</v>
      </c>
      <c r="X53" s="7">
        <f>VLOOKUP($B53, gdp_tot_mes!$B:$XFD, MATCH(gdp_capita_mesorreg!X$1, gdp_tot_mes!$B$1:$XFD$1, 0), 0)*1000/VLOOKUP($B53, pop_mesorreg_interpol!$B:$XFD, MATCH(gdp_capita_mesorreg!X$1, pop_mesorreg_interpol!$B$1:$XFD$1, 0), 0)</f>
        <v>11193.925434571147</v>
      </c>
      <c r="Y53" s="7">
        <f>VLOOKUP($B53, gdp_tot_mes!$B:$XFD, MATCH(gdp_capita_mesorreg!Y$1, gdp_tot_mes!$B$1:$XFD$1, 0), 0)*1000/VLOOKUP($B53, pop_mesorreg_interpol!$B:$XFD, MATCH(gdp_capita_mesorreg!Y$1, pop_mesorreg_interpol!$B$1:$XFD$1, 0), 0)</f>
        <v>11792.352124852878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x14ac:dyDescent="0.25">
      <c r="A54" s="1" t="s">
        <v>138</v>
      </c>
      <c r="B54" s="1" t="s">
        <v>139</v>
      </c>
      <c r="C54" s="1" t="s">
        <v>140</v>
      </c>
      <c r="D54" s="7">
        <f>VLOOKUP($B54, gdp_tot_mes!$B:$XFD, MATCH(gdp_capita_mesorreg!D$1, gdp_tot_mes!$B$1:$XFD$1, 0), 0)*1000/VLOOKUP($B54, pop_mesorreg_interpol!$B:$XFD, MATCH(gdp_capita_mesorreg!D$1, pop_mesorreg_interpol!$B$1:$XFD$1, 0), 0)</f>
        <v>1033.3635340184724</v>
      </c>
      <c r="E54" s="7">
        <f>VLOOKUP($B54, gdp_tot_mes!$B:$XFD, MATCH(gdp_capita_mesorreg!E$1, gdp_tot_mes!$B$1:$XFD$1, 0), 0)*1000/VLOOKUP($B54, pop_mesorreg_interpol!$B:$XFD, MATCH(gdp_capita_mesorreg!E$1, pop_mesorreg_interpol!$B$1:$XFD$1, 0), 0)</f>
        <v>2606.3807969513787</v>
      </c>
      <c r="F54" s="7">
        <f>VLOOKUP($B54, gdp_tot_mes!$B:$XFD, MATCH(gdp_capita_mesorreg!F$1, gdp_tot_mes!$B$1:$XFD$1, 0), 0)*1000/VLOOKUP($B54, pop_mesorreg_interpol!$B:$XFD, MATCH(gdp_capita_mesorreg!F$1, pop_mesorreg_interpol!$B$1:$XFD$1, 0), 0)</f>
        <v>3672.8170194727827</v>
      </c>
      <c r="G54" s="7">
        <f>VLOOKUP($B54, gdp_tot_mes!$B:$XFD, MATCH(gdp_capita_mesorreg!G$1, gdp_tot_mes!$B$1:$XFD$1, 0), 0)*1000/VLOOKUP($B54, pop_mesorreg_interpol!$B:$XFD, MATCH(gdp_capita_mesorreg!G$1, pop_mesorreg_interpol!$B$1:$XFD$1, 0), 0)</f>
        <v>3836.1763290797608</v>
      </c>
      <c r="H54" s="7">
        <f>VLOOKUP($B54, gdp_tot_mes!$B:$XFD, MATCH(gdp_capita_mesorreg!H$1, gdp_tot_mes!$B$1:$XFD$1, 0), 0)*1000/VLOOKUP($B54, pop_mesorreg_interpol!$B:$XFD, MATCH(gdp_capita_mesorreg!H$1, pop_mesorreg_interpol!$B$1:$XFD$1, 0), 0)</f>
        <v>10100.479479646496</v>
      </c>
      <c r="I54" s="7">
        <f>VLOOKUP($B54, gdp_tot_mes!$B:$XFD, MATCH(gdp_capita_mesorreg!I$1, gdp_tot_mes!$B$1:$XFD$1, 0), 0)*1000/VLOOKUP($B54, pop_mesorreg_interpol!$B:$XFD, MATCH(gdp_capita_mesorreg!I$1, pop_mesorreg_interpol!$B$1:$XFD$1, 0), 0)</f>
        <v>9682.2480590489849</v>
      </c>
      <c r="J54" s="7">
        <f>VLOOKUP($B54, gdp_tot_mes!$B:$XFD, MATCH(gdp_capita_mesorreg!J$1, gdp_tot_mes!$B$1:$XFD$1, 0), 0)*1000/VLOOKUP($B54, pop_mesorreg_interpol!$B:$XFD, MATCH(gdp_capita_mesorreg!J$1, pop_mesorreg_interpol!$B$1:$XFD$1, 0), 0)</f>
        <v>13241.156806569084</v>
      </c>
      <c r="K54" s="7">
        <f>VLOOKUP($B54, gdp_tot_mes!$B:$XFD, MATCH(gdp_capita_mesorreg!K$1, gdp_tot_mes!$B$1:$XFD$1, 0), 0)*1000/VLOOKUP($B54, pop_mesorreg_interpol!$B:$XFD, MATCH(gdp_capita_mesorreg!K$1, pop_mesorreg_interpol!$B$1:$XFD$1, 0), 0)</f>
        <v>8975.2939330115805</v>
      </c>
      <c r="L54" s="8">
        <f>VLOOKUP($B54, gdp_tot_mes!$B:$XFD, MATCH(gdp_capita_mesorreg!L$1, gdp_tot_mes!$B$1:$XFD$1, 0), 0)*1000/VLOOKUP($B54, pop_mesorreg_interpol!$B:$XFD, MATCH(gdp_capita_mesorreg!L$1, pop_mesorreg_interpol!$B$1:$XFD$1, 0), 0)</f>
        <v>8910.2886173870884</v>
      </c>
      <c r="M54" s="7">
        <f>VLOOKUP($B54, gdp_tot_mes!$B:$XFD, MATCH(gdp_capita_mesorreg!M$1, gdp_tot_mes!$B$1:$XFD$1, 0), 0)*1000/VLOOKUP($B54, pop_mesorreg_interpol!$B:$XFD, MATCH(gdp_capita_mesorreg!M$1, pop_mesorreg_interpol!$B$1:$XFD$1, 0), 0)</f>
        <v>8838.140162894897</v>
      </c>
      <c r="N54" s="7">
        <f>VLOOKUP($B54, gdp_tot_mes!$B:$XFD, MATCH(gdp_capita_mesorreg!N$1, gdp_tot_mes!$B$1:$XFD$1, 0), 0)*1000/VLOOKUP($B54, pop_mesorreg_interpol!$B:$XFD, MATCH(gdp_capita_mesorreg!N$1, pop_mesorreg_interpol!$B$1:$XFD$1, 0), 0)</f>
        <v>8562.1010824079804</v>
      </c>
      <c r="O54" s="7">
        <f>VLOOKUP($B54, gdp_tot_mes!$B:$XFD, MATCH(gdp_capita_mesorreg!O$1, gdp_tot_mes!$B$1:$XFD$1, 0), 0)*1000/VLOOKUP($B54, pop_mesorreg_interpol!$B:$XFD, MATCH(gdp_capita_mesorreg!O$1, pop_mesorreg_interpol!$B$1:$XFD$1, 0), 0)</f>
        <v>9847.0150951331634</v>
      </c>
      <c r="P54" s="7">
        <f>VLOOKUP($B54, gdp_tot_mes!$B:$XFD, MATCH(gdp_capita_mesorreg!P$1, gdp_tot_mes!$B$1:$XFD$1, 0), 0)*1000/VLOOKUP($B54, pop_mesorreg_interpol!$B:$XFD, MATCH(gdp_capita_mesorreg!P$1, pop_mesorreg_interpol!$B$1:$XFD$1, 0), 0)</f>
        <v>11169.513495102941</v>
      </c>
      <c r="Q54" s="7">
        <f>VLOOKUP($B54, gdp_tot_mes!$B:$XFD, MATCH(gdp_capita_mesorreg!Q$1, gdp_tot_mes!$B$1:$XFD$1, 0), 0)*1000/VLOOKUP($B54, pop_mesorreg_interpol!$B:$XFD, MATCH(gdp_capita_mesorreg!Q$1, pop_mesorreg_interpol!$B$1:$XFD$1, 0), 0)</f>
        <v>11727.387629963778</v>
      </c>
      <c r="R54" s="7">
        <f>VLOOKUP($B54, gdp_tot_mes!$B:$XFD, MATCH(gdp_capita_mesorreg!R$1, gdp_tot_mes!$B$1:$XFD$1, 0), 0)*1000/VLOOKUP($B54, pop_mesorreg_interpol!$B:$XFD, MATCH(gdp_capita_mesorreg!R$1, pop_mesorreg_interpol!$B$1:$XFD$1, 0), 0)</f>
        <v>13271.90592179084</v>
      </c>
      <c r="S54" s="7">
        <f>VLOOKUP($B54, gdp_tot_mes!$B:$XFD, MATCH(gdp_capita_mesorreg!S$1, gdp_tot_mes!$B$1:$XFD$1, 0), 0)*1000/VLOOKUP($B54, pop_mesorreg_interpol!$B:$XFD, MATCH(gdp_capita_mesorreg!S$1, pop_mesorreg_interpol!$B$1:$XFD$1, 0), 0)</f>
        <v>13786.92597546978</v>
      </c>
      <c r="T54" s="7">
        <f>VLOOKUP($B54, gdp_tot_mes!$B:$XFD, MATCH(gdp_capita_mesorreg!T$1, gdp_tot_mes!$B$1:$XFD$1, 0), 0)*1000/VLOOKUP($B54, pop_mesorreg_interpol!$B:$XFD, MATCH(gdp_capita_mesorreg!T$1, pop_mesorreg_interpol!$B$1:$XFD$1, 0), 0)</f>
        <v>14619.107280056289</v>
      </c>
      <c r="U54" s="7">
        <f>VLOOKUP($B54, gdp_tot_mes!$B:$XFD, MATCH(gdp_capita_mesorreg!U$1, gdp_tot_mes!$B$1:$XFD$1, 0), 0)*1000/VLOOKUP($B54, pop_mesorreg_interpol!$B:$XFD, MATCH(gdp_capita_mesorreg!U$1, pop_mesorreg_interpol!$B$1:$XFD$1, 0), 0)</f>
        <v>16816.034840506742</v>
      </c>
      <c r="V54" s="7">
        <f>VLOOKUP($B54, gdp_tot_mes!$B:$XFD, MATCH(gdp_capita_mesorreg!V$1, gdp_tot_mes!$B$1:$XFD$1, 0), 0)*1000/VLOOKUP($B54, pop_mesorreg_interpol!$B:$XFD, MATCH(gdp_capita_mesorreg!V$1, pop_mesorreg_interpol!$B$1:$XFD$1, 0), 0)</f>
        <v>17135.908090891982</v>
      </c>
      <c r="W54" s="7">
        <f>VLOOKUP($B54, gdp_tot_mes!$B:$XFD, MATCH(gdp_capita_mesorreg!W$1, gdp_tot_mes!$B$1:$XFD$1, 0), 0)*1000/VLOOKUP($B54, pop_mesorreg_interpol!$B:$XFD, MATCH(gdp_capita_mesorreg!W$1, pop_mesorreg_interpol!$B$1:$XFD$1, 0), 0)</f>
        <v>20077.501149734384</v>
      </c>
      <c r="X54" s="7">
        <f>VLOOKUP($B54, gdp_tot_mes!$B:$XFD, MATCH(gdp_capita_mesorreg!X$1, gdp_tot_mes!$B$1:$XFD$1, 0), 0)*1000/VLOOKUP($B54, pop_mesorreg_interpol!$B:$XFD, MATCH(gdp_capita_mesorreg!X$1, pop_mesorreg_interpol!$B$1:$XFD$1, 0), 0)</f>
        <v>18309.590046704838</v>
      </c>
      <c r="Y54" s="7">
        <f>VLOOKUP($B54, gdp_tot_mes!$B:$XFD, MATCH(gdp_capita_mesorreg!Y$1, gdp_tot_mes!$B$1:$XFD$1, 0), 0)*1000/VLOOKUP($B54, pop_mesorreg_interpol!$B:$XFD, MATCH(gdp_capita_mesorreg!Y$1, pop_mesorreg_interpol!$B$1:$XFD$1, 0), 0)</f>
        <v>19446.218505606332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25">
      <c r="A55" s="1" t="s">
        <v>138</v>
      </c>
      <c r="B55" s="1" t="s">
        <v>141</v>
      </c>
      <c r="C55" s="1" t="s">
        <v>142</v>
      </c>
      <c r="D55" s="7">
        <f>VLOOKUP($B55, gdp_tot_mes!$B:$XFD, MATCH(gdp_capita_mesorreg!D$1, gdp_tot_mes!$B$1:$XFD$1, 0), 0)*1000/VLOOKUP($B55, pop_mesorreg_interpol!$B:$XFD, MATCH(gdp_capita_mesorreg!D$1, pop_mesorreg_interpol!$B$1:$XFD$1, 0), 0)</f>
        <v>889.4777827761668</v>
      </c>
      <c r="E55" s="7">
        <f>VLOOKUP($B55, gdp_tot_mes!$B:$XFD, MATCH(gdp_capita_mesorreg!E$1, gdp_tot_mes!$B$1:$XFD$1, 0), 0)*1000/VLOOKUP($B55, pop_mesorreg_interpol!$B:$XFD, MATCH(gdp_capita_mesorreg!E$1, pop_mesorreg_interpol!$B$1:$XFD$1, 0), 0)</f>
        <v>3118.078091237559</v>
      </c>
      <c r="F55" s="7">
        <f>VLOOKUP($B55, gdp_tot_mes!$B:$XFD, MATCH(gdp_capita_mesorreg!F$1, gdp_tot_mes!$B$1:$XFD$1, 0), 0)*1000/VLOOKUP($B55, pop_mesorreg_interpol!$B:$XFD, MATCH(gdp_capita_mesorreg!F$1, pop_mesorreg_interpol!$B$1:$XFD$1, 0), 0)</f>
        <v>4418.6059729187982</v>
      </c>
      <c r="G55" s="7">
        <f>VLOOKUP($B55, gdp_tot_mes!$B:$XFD, MATCH(gdp_capita_mesorreg!G$1, gdp_tot_mes!$B$1:$XFD$1, 0), 0)*1000/VLOOKUP($B55, pop_mesorreg_interpol!$B:$XFD, MATCH(gdp_capita_mesorreg!G$1, pop_mesorreg_interpol!$B$1:$XFD$1, 0), 0)</f>
        <v>6274.3653949002573</v>
      </c>
      <c r="H55" s="7">
        <f>VLOOKUP($B55, gdp_tot_mes!$B:$XFD, MATCH(gdp_capita_mesorreg!H$1, gdp_tot_mes!$B$1:$XFD$1, 0), 0)*1000/VLOOKUP($B55, pop_mesorreg_interpol!$B:$XFD, MATCH(gdp_capita_mesorreg!H$1, pop_mesorreg_interpol!$B$1:$XFD$1, 0), 0)</f>
        <v>7053.0381072548407</v>
      </c>
      <c r="I55" s="7">
        <f>VLOOKUP($B55, gdp_tot_mes!$B:$XFD, MATCH(gdp_capita_mesorreg!I$1, gdp_tot_mes!$B$1:$XFD$1, 0), 0)*1000/VLOOKUP($B55, pop_mesorreg_interpol!$B:$XFD, MATCH(gdp_capita_mesorreg!I$1, pop_mesorreg_interpol!$B$1:$XFD$1, 0), 0)</f>
        <v>9408.8258142725299</v>
      </c>
      <c r="J55" s="7">
        <f>VLOOKUP($B55, gdp_tot_mes!$B:$XFD, MATCH(gdp_capita_mesorreg!J$1, gdp_tot_mes!$B$1:$XFD$1, 0), 0)*1000/VLOOKUP($B55, pop_mesorreg_interpol!$B:$XFD, MATCH(gdp_capita_mesorreg!J$1, pop_mesorreg_interpol!$B$1:$XFD$1, 0), 0)</f>
        <v>14754.095343763884</v>
      </c>
      <c r="K55" s="7">
        <f>VLOOKUP($B55, gdp_tot_mes!$B:$XFD, MATCH(gdp_capita_mesorreg!K$1, gdp_tot_mes!$B$1:$XFD$1, 0), 0)*1000/VLOOKUP($B55, pop_mesorreg_interpol!$B:$XFD, MATCH(gdp_capita_mesorreg!K$1, pop_mesorreg_interpol!$B$1:$XFD$1, 0), 0)</f>
        <v>14464.485902011049</v>
      </c>
      <c r="L55" s="8">
        <f>VLOOKUP($B55, gdp_tot_mes!$B:$XFD, MATCH(gdp_capita_mesorreg!L$1, gdp_tot_mes!$B$1:$XFD$1, 0), 0)*1000/VLOOKUP($B55, pop_mesorreg_interpol!$B:$XFD, MATCH(gdp_capita_mesorreg!L$1, pop_mesorreg_interpol!$B$1:$XFD$1, 0), 0)</f>
        <v>14324.399039534561</v>
      </c>
      <c r="M55" s="7">
        <f>VLOOKUP($B55, gdp_tot_mes!$B:$XFD, MATCH(gdp_capita_mesorreg!M$1, gdp_tot_mes!$B$1:$XFD$1, 0), 0)*1000/VLOOKUP($B55, pop_mesorreg_interpol!$B:$XFD, MATCH(gdp_capita_mesorreg!M$1, pop_mesorreg_interpol!$B$1:$XFD$1, 0), 0)</f>
        <v>14207.688074553789</v>
      </c>
      <c r="N55" s="7">
        <f>VLOOKUP($B55, gdp_tot_mes!$B:$XFD, MATCH(gdp_capita_mesorreg!N$1, gdp_tot_mes!$B$1:$XFD$1, 0), 0)*1000/VLOOKUP($B55, pop_mesorreg_interpol!$B:$XFD, MATCH(gdp_capita_mesorreg!N$1, pop_mesorreg_interpol!$B$1:$XFD$1, 0), 0)</f>
        <v>13038.580228919442</v>
      </c>
      <c r="O55" s="7">
        <f>VLOOKUP($B55, gdp_tot_mes!$B:$XFD, MATCH(gdp_capita_mesorreg!O$1, gdp_tot_mes!$B$1:$XFD$1, 0), 0)*1000/VLOOKUP($B55, pop_mesorreg_interpol!$B:$XFD, MATCH(gdp_capita_mesorreg!O$1, pop_mesorreg_interpol!$B$1:$XFD$1, 0), 0)</f>
        <v>13187.961799330898</v>
      </c>
      <c r="P55" s="7">
        <f>VLOOKUP($B55, gdp_tot_mes!$B:$XFD, MATCH(gdp_capita_mesorreg!P$1, gdp_tot_mes!$B$1:$XFD$1, 0), 0)*1000/VLOOKUP($B55, pop_mesorreg_interpol!$B:$XFD, MATCH(gdp_capita_mesorreg!P$1, pop_mesorreg_interpol!$B$1:$XFD$1, 0), 0)</f>
        <v>13336.984140856812</v>
      </c>
      <c r="Q55" s="7">
        <f>VLOOKUP($B55, gdp_tot_mes!$B:$XFD, MATCH(gdp_capita_mesorreg!Q$1, gdp_tot_mes!$B$1:$XFD$1, 0), 0)*1000/VLOOKUP($B55, pop_mesorreg_interpol!$B:$XFD, MATCH(gdp_capita_mesorreg!Q$1, pop_mesorreg_interpol!$B$1:$XFD$1, 0), 0)</f>
        <v>13903.476745583768</v>
      </c>
      <c r="R55" s="7">
        <f>VLOOKUP($B55, gdp_tot_mes!$B:$XFD, MATCH(gdp_capita_mesorreg!R$1, gdp_tot_mes!$B$1:$XFD$1, 0), 0)*1000/VLOOKUP($B55, pop_mesorreg_interpol!$B:$XFD, MATCH(gdp_capita_mesorreg!R$1, pop_mesorreg_interpol!$B$1:$XFD$1, 0), 0)</f>
        <v>14184.548681375645</v>
      </c>
      <c r="S55" s="7">
        <f>VLOOKUP($B55, gdp_tot_mes!$B:$XFD, MATCH(gdp_capita_mesorreg!S$1, gdp_tot_mes!$B$1:$XFD$1, 0), 0)*1000/VLOOKUP($B55, pop_mesorreg_interpol!$B:$XFD, MATCH(gdp_capita_mesorreg!S$1, pop_mesorreg_interpol!$B$1:$XFD$1, 0), 0)</f>
        <v>14749.989833257265</v>
      </c>
      <c r="T55" s="7">
        <f>VLOOKUP($B55, gdp_tot_mes!$B:$XFD, MATCH(gdp_capita_mesorreg!T$1, gdp_tot_mes!$B$1:$XFD$1, 0), 0)*1000/VLOOKUP($B55, pop_mesorreg_interpol!$B:$XFD, MATCH(gdp_capita_mesorreg!T$1, pop_mesorreg_interpol!$B$1:$XFD$1, 0), 0)</f>
        <v>14299.555552388976</v>
      </c>
      <c r="U55" s="7">
        <f>VLOOKUP($B55, gdp_tot_mes!$B:$XFD, MATCH(gdp_capita_mesorreg!U$1, gdp_tot_mes!$B$1:$XFD$1, 0), 0)*1000/VLOOKUP($B55, pop_mesorreg_interpol!$B:$XFD, MATCH(gdp_capita_mesorreg!U$1, pop_mesorreg_interpol!$B$1:$XFD$1, 0), 0)</f>
        <v>14509.241772955538</v>
      </c>
      <c r="V55" s="7">
        <f>VLOOKUP($B55, gdp_tot_mes!$B:$XFD, MATCH(gdp_capita_mesorreg!V$1, gdp_tot_mes!$B$1:$XFD$1, 0), 0)*1000/VLOOKUP($B55, pop_mesorreg_interpol!$B:$XFD, MATCH(gdp_capita_mesorreg!V$1, pop_mesorreg_interpol!$B$1:$XFD$1, 0), 0)</f>
        <v>15719.772731386272</v>
      </c>
      <c r="W55" s="7">
        <f>VLOOKUP($B55, gdp_tot_mes!$B:$XFD, MATCH(gdp_capita_mesorreg!W$1, gdp_tot_mes!$B$1:$XFD$1, 0), 0)*1000/VLOOKUP($B55, pop_mesorreg_interpol!$B:$XFD, MATCH(gdp_capita_mesorreg!W$1, pop_mesorreg_interpol!$B$1:$XFD$1, 0), 0)</f>
        <v>16451.514834292422</v>
      </c>
      <c r="X55" s="7">
        <f>VLOOKUP($B55, gdp_tot_mes!$B:$XFD, MATCH(gdp_capita_mesorreg!X$1, gdp_tot_mes!$B$1:$XFD$1, 0), 0)*1000/VLOOKUP($B55, pop_mesorreg_interpol!$B:$XFD, MATCH(gdp_capita_mesorreg!X$1, pop_mesorreg_interpol!$B$1:$XFD$1, 0), 0)</f>
        <v>16584.138895031494</v>
      </c>
      <c r="Y55" s="7">
        <f>VLOOKUP($B55, gdp_tot_mes!$B:$XFD, MATCH(gdp_capita_mesorreg!Y$1, gdp_tot_mes!$B$1:$XFD$1, 0), 0)*1000/VLOOKUP($B55, pop_mesorreg_interpol!$B:$XFD, MATCH(gdp_capita_mesorreg!Y$1, pop_mesorreg_interpol!$B$1:$XFD$1, 0), 0)</f>
        <v>17486.476288691003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x14ac:dyDescent="0.25">
      <c r="A56" s="1" t="s">
        <v>138</v>
      </c>
      <c r="B56" s="1" t="s">
        <v>143</v>
      </c>
      <c r="C56" s="1" t="s">
        <v>144</v>
      </c>
      <c r="D56" s="7">
        <f>VLOOKUP($B56, gdp_tot_mes!$B:$XFD, MATCH(gdp_capita_mesorreg!D$1, gdp_tot_mes!$B$1:$XFD$1, 0), 0)*1000/VLOOKUP($B56, pop_mesorreg_interpol!$B:$XFD, MATCH(gdp_capita_mesorreg!D$1, pop_mesorreg_interpol!$B$1:$XFD$1, 0), 0)</f>
        <v>892.01544385088857</v>
      </c>
      <c r="E56" s="7">
        <f>VLOOKUP($B56, gdp_tot_mes!$B:$XFD, MATCH(gdp_capita_mesorreg!E$1, gdp_tot_mes!$B$1:$XFD$1, 0), 0)*1000/VLOOKUP($B56, pop_mesorreg_interpol!$B:$XFD, MATCH(gdp_capita_mesorreg!E$1, pop_mesorreg_interpol!$B$1:$XFD$1, 0), 0)</f>
        <v>1698.7832001816369</v>
      </c>
      <c r="F56" s="7">
        <f>VLOOKUP($B56, gdp_tot_mes!$B:$XFD, MATCH(gdp_capita_mesorreg!F$1, gdp_tot_mes!$B$1:$XFD$1, 0), 0)*1000/VLOOKUP($B56, pop_mesorreg_interpol!$B:$XFD, MATCH(gdp_capita_mesorreg!F$1, pop_mesorreg_interpol!$B$1:$XFD$1, 0), 0)</f>
        <v>2181.2698925855607</v>
      </c>
      <c r="G56" s="7">
        <f>VLOOKUP($B56, gdp_tot_mes!$B:$XFD, MATCH(gdp_capita_mesorreg!G$1, gdp_tot_mes!$B$1:$XFD$1, 0), 0)*1000/VLOOKUP($B56, pop_mesorreg_interpol!$B:$XFD, MATCH(gdp_capita_mesorreg!G$1, pop_mesorreg_interpol!$B$1:$XFD$1, 0), 0)</f>
        <v>1958.5756335851129</v>
      </c>
      <c r="H56" s="7">
        <f>VLOOKUP($B56, gdp_tot_mes!$B:$XFD, MATCH(gdp_capita_mesorreg!H$1, gdp_tot_mes!$B$1:$XFD$1, 0), 0)*1000/VLOOKUP($B56, pop_mesorreg_interpol!$B:$XFD, MATCH(gdp_capita_mesorreg!H$1, pop_mesorreg_interpol!$B$1:$XFD$1, 0), 0)</f>
        <v>4346.4891472172512</v>
      </c>
      <c r="I56" s="7">
        <f>VLOOKUP($B56, gdp_tot_mes!$B:$XFD, MATCH(gdp_capita_mesorreg!I$1, gdp_tot_mes!$B$1:$XFD$1, 0), 0)*1000/VLOOKUP($B56, pop_mesorreg_interpol!$B:$XFD, MATCH(gdp_capita_mesorreg!I$1, pop_mesorreg_interpol!$B$1:$XFD$1, 0), 0)</f>
        <v>7038.3025877021946</v>
      </c>
      <c r="J56" s="7">
        <f>VLOOKUP($B56, gdp_tot_mes!$B:$XFD, MATCH(gdp_capita_mesorreg!J$1, gdp_tot_mes!$B$1:$XFD$1, 0), 0)*1000/VLOOKUP($B56, pop_mesorreg_interpol!$B:$XFD, MATCH(gdp_capita_mesorreg!J$1, pop_mesorreg_interpol!$B$1:$XFD$1, 0), 0)</f>
        <v>10602.862688110583</v>
      </c>
      <c r="K56" s="7">
        <f>VLOOKUP($B56, gdp_tot_mes!$B:$XFD, MATCH(gdp_capita_mesorreg!K$1, gdp_tot_mes!$B$1:$XFD$1, 0), 0)*1000/VLOOKUP($B56, pop_mesorreg_interpol!$B:$XFD, MATCH(gdp_capita_mesorreg!K$1, pop_mesorreg_interpol!$B$1:$XFD$1, 0), 0)</f>
        <v>9228.8973825458488</v>
      </c>
      <c r="L56" s="8">
        <f>VLOOKUP($B56, gdp_tot_mes!$B:$XFD, MATCH(gdp_capita_mesorreg!L$1, gdp_tot_mes!$B$1:$XFD$1, 0), 0)*1000/VLOOKUP($B56, pop_mesorreg_interpol!$B:$XFD, MATCH(gdp_capita_mesorreg!L$1, pop_mesorreg_interpol!$B$1:$XFD$1, 0), 0)</f>
        <v>11455.858857770125</v>
      </c>
      <c r="M56" s="7">
        <f>VLOOKUP($B56, gdp_tot_mes!$B:$XFD, MATCH(gdp_capita_mesorreg!M$1, gdp_tot_mes!$B$1:$XFD$1, 0), 0)*1000/VLOOKUP($B56, pop_mesorreg_interpol!$B:$XFD, MATCH(gdp_capita_mesorreg!M$1, pop_mesorreg_interpol!$B$1:$XFD$1, 0), 0)</f>
        <v>13618.999993399304</v>
      </c>
      <c r="N56" s="7">
        <f>VLOOKUP($B56, gdp_tot_mes!$B:$XFD, MATCH(gdp_capita_mesorreg!N$1, gdp_tot_mes!$B$1:$XFD$1, 0), 0)*1000/VLOOKUP($B56, pop_mesorreg_interpol!$B:$XFD, MATCH(gdp_capita_mesorreg!N$1, pop_mesorreg_interpol!$B$1:$XFD$1, 0), 0)</f>
        <v>14215.543799549132</v>
      </c>
      <c r="O56" s="7">
        <f>VLOOKUP($B56, gdp_tot_mes!$B:$XFD, MATCH(gdp_capita_mesorreg!O$1, gdp_tot_mes!$B$1:$XFD$1, 0), 0)*1000/VLOOKUP($B56, pop_mesorreg_interpol!$B:$XFD, MATCH(gdp_capita_mesorreg!O$1, pop_mesorreg_interpol!$B$1:$XFD$1, 0), 0)</f>
        <v>14486.208731507435</v>
      </c>
      <c r="P56" s="7">
        <f>VLOOKUP($B56, gdp_tot_mes!$B:$XFD, MATCH(gdp_capita_mesorreg!P$1, gdp_tot_mes!$B$1:$XFD$1, 0), 0)*1000/VLOOKUP($B56, pop_mesorreg_interpol!$B:$XFD, MATCH(gdp_capita_mesorreg!P$1, pop_mesorreg_interpol!$B$1:$XFD$1, 0), 0)</f>
        <v>15772.705001756636</v>
      </c>
      <c r="Q56" s="7">
        <f>VLOOKUP($B56, gdp_tot_mes!$B:$XFD, MATCH(gdp_capita_mesorreg!Q$1, gdp_tot_mes!$B$1:$XFD$1, 0), 0)*1000/VLOOKUP($B56, pop_mesorreg_interpol!$B:$XFD, MATCH(gdp_capita_mesorreg!Q$1, pop_mesorreg_interpol!$B$1:$XFD$1, 0), 0)</f>
        <v>15534.123760527948</v>
      </c>
      <c r="R56" s="7">
        <f>VLOOKUP($B56, gdp_tot_mes!$B:$XFD, MATCH(gdp_capita_mesorreg!R$1, gdp_tot_mes!$B$1:$XFD$1, 0), 0)*1000/VLOOKUP($B56, pop_mesorreg_interpol!$B:$XFD, MATCH(gdp_capita_mesorreg!R$1, pop_mesorreg_interpol!$B$1:$XFD$1, 0), 0)</f>
        <v>17713.424117639708</v>
      </c>
      <c r="S56" s="7">
        <f>VLOOKUP($B56, gdp_tot_mes!$B:$XFD, MATCH(gdp_capita_mesorreg!S$1, gdp_tot_mes!$B$1:$XFD$1, 0), 0)*1000/VLOOKUP($B56, pop_mesorreg_interpol!$B:$XFD, MATCH(gdp_capita_mesorreg!S$1, pop_mesorreg_interpol!$B$1:$XFD$1, 0), 0)</f>
        <v>19187.605574777896</v>
      </c>
      <c r="T56" s="7">
        <f>VLOOKUP($B56, gdp_tot_mes!$B:$XFD, MATCH(gdp_capita_mesorreg!T$1, gdp_tot_mes!$B$1:$XFD$1, 0), 0)*1000/VLOOKUP($B56, pop_mesorreg_interpol!$B:$XFD, MATCH(gdp_capita_mesorreg!T$1, pop_mesorreg_interpol!$B$1:$XFD$1, 0), 0)</f>
        <v>17424.525900865425</v>
      </c>
      <c r="U56" s="7">
        <f>VLOOKUP($B56, gdp_tot_mes!$B:$XFD, MATCH(gdp_capita_mesorreg!U$1, gdp_tot_mes!$B$1:$XFD$1, 0), 0)*1000/VLOOKUP($B56, pop_mesorreg_interpol!$B:$XFD, MATCH(gdp_capita_mesorreg!U$1, pop_mesorreg_interpol!$B$1:$XFD$1, 0), 0)</f>
        <v>17533.089172726068</v>
      </c>
      <c r="V56" s="7">
        <f>VLOOKUP($B56, gdp_tot_mes!$B:$XFD, MATCH(gdp_capita_mesorreg!V$1, gdp_tot_mes!$B$1:$XFD$1, 0), 0)*1000/VLOOKUP($B56, pop_mesorreg_interpol!$B:$XFD, MATCH(gdp_capita_mesorreg!V$1, pop_mesorreg_interpol!$B$1:$XFD$1, 0), 0)</f>
        <v>18454.499466766087</v>
      </c>
      <c r="W56" s="7">
        <f>VLOOKUP($B56, gdp_tot_mes!$B:$XFD, MATCH(gdp_capita_mesorreg!W$1, gdp_tot_mes!$B$1:$XFD$1, 0), 0)*1000/VLOOKUP($B56, pop_mesorreg_interpol!$B:$XFD, MATCH(gdp_capita_mesorreg!W$1, pop_mesorreg_interpol!$B$1:$XFD$1, 0), 0)</f>
        <v>18965.680132095913</v>
      </c>
      <c r="X56" s="7">
        <f>VLOOKUP($B56, gdp_tot_mes!$B:$XFD, MATCH(gdp_capita_mesorreg!X$1, gdp_tot_mes!$B$1:$XFD$1, 0), 0)*1000/VLOOKUP($B56, pop_mesorreg_interpol!$B:$XFD, MATCH(gdp_capita_mesorreg!X$1, pop_mesorreg_interpol!$B$1:$XFD$1, 0), 0)</f>
        <v>19879.175349355679</v>
      </c>
      <c r="Y56" s="7">
        <f>VLOOKUP($B56, gdp_tot_mes!$B:$XFD, MATCH(gdp_capita_mesorreg!Y$1, gdp_tot_mes!$B$1:$XFD$1, 0), 0)*1000/VLOOKUP($B56, pop_mesorreg_interpol!$B:$XFD, MATCH(gdp_capita_mesorreg!Y$1, pop_mesorreg_interpol!$B$1:$XFD$1, 0), 0)</f>
        <v>22372.066485052204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25">
      <c r="A57" s="1" t="s">
        <v>138</v>
      </c>
      <c r="B57" s="1" t="s">
        <v>145</v>
      </c>
      <c r="C57" s="1" t="s">
        <v>146</v>
      </c>
      <c r="D57" s="7">
        <f>VLOOKUP($B57, gdp_tot_mes!$B:$XFD, MATCH(gdp_capita_mesorreg!D$1, gdp_tot_mes!$B$1:$XFD$1, 0), 0)*1000/VLOOKUP($B57, pop_mesorreg_interpol!$B:$XFD, MATCH(gdp_capita_mesorreg!D$1, pop_mesorreg_interpol!$B$1:$XFD$1, 0), 0)</f>
        <v>651.30352161058852</v>
      </c>
      <c r="E57" s="7">
        <f>VLOOKUP($B57, gdp_tot_mes!$B:$XFD, MATCH(gdp_capita_mesorreg!E$1, gdp_tot_mes!$B$1:$XFD$1, 0), 0)*1000/VLOOKUP($B57, pop_mesorreg_interpol!$B:$XFD, MATCH(gdp_capita_mesorreg!E$1, pop_mesorreg_interpol!$B$1:$XFD$1, 0), 0)</f>
        <v>3159.5862503101303</v>
      </c>
      <c r="F57" s="7">
        <f>VLOOKUP($B57, gdp_tot_mes!$B:$XFD, MATCH(gdp_capita_mesorreg!F$1, gdp_tot_mes!$B$1:$XFD$1, 0), 0)*1000/VLOOKUP($B57, pop_mesorreg_interpol!$B:$XFD, MATCH(gdp_capita_mesorreg!F$1, pop_mesorreg_interpol!$B$1:$XFD$1, 0), 0)</f>
        <v>2266.3349589843847</v>
      </c>
      <c r="G57" s="7">
        <f>VLOOKUP($B57, gdp_tot_mes!$B:$XFD, MATCH(gdp_capita_mesorreg!G$1, gdp_tot_mes!$B$1:$XFD$1, 0), 0)*1000/VLOOKUP($B57, pop_mesorreg_interpol!$B:$XFD, MATCH(gdp_capita_mesorreg!G$1, pop_mesorreg_interpol!$B$1:$XFD$1, 0), 0)</f>
        <v>3379.3237009206869</v>
      </c>
      <c r="H57" s="7">
        <f>VLOOKUP($B57, gdp_tot_mes!$B:$XFD, MATCH(gdp_capita_mesorreg!H$1, gdp_tot_mes!$B$1:$XFD$1, 0), 0)*1000/VLOOKUP($B57, pop_mesorreg_interpol!$B:$XFD, MATCH(gdp_capita_mesorreg!H$1, pop_mesorreg_interpol!$B$1:$XFD$1, 0), 0)</f>
        <v>3885.6402671797514</v>
      </c>
      <c r="I57" s="7">
        <f>VLOOKUP($B57, gdp_tot_mes!$B:$XFD, MATCH(gdp_capita_mesorreg!I$1, gdp_tot_mes!$B$1:$XFD$1, 0), 0)*1000/VLOOKUP($B57, pop_mesorreg_interpol!$B:$XFD, MATCH(gdp_capita_mesorreg!I$1, pop_mesorreg_interpol!$B$1:$XFD$1, 0), 0)</f>
        <v>6861.009453556343</v>
      </c>
      <c r="J57" s="7">
        <f>VLOOKUP($B57, gdp_tot_mes!$B:$XFD, MATCH(gdp_capita_mesorreg!J$1, gdp_tot_mes!$B$1:$XFD$1, 0), 0)*1000/VLOOKUP($B57, pop_mesorreg_interpol!$B:$XFD, MATCH(gdp_capita_mesorreg!J$1, pop_mesorreg_interpol!$B$1:$XFD$1, 0), 0)</f>
        <v>14713.954693093452</v>
      </c>
      <c r="K57" s="7">
        <f>VLOOKUP($B57, gdp_tot_mes!$B:$XFD, MATCH(gdp_capita_mesorreg!K$1, gdp_tot_mes!$B$1:$XFD$1, 0), 0)*1000/VLOOKUP($B57, pop_mesorreg_interpol!$B:$XFD, MATCH(gdp_capita_mesorreg!K$1, pop_mesorreg_interpol!$B$1:$XFD$1, 0), 0)</f>
        <v>14159.786217648401</v>
      </c>
      <c r="L57" s="8">
        <f>VLOOKUP($B57, gdp_tot_mes!$B:$XFD, MATCH(gdp_capita_mesorreg!L$1, gdp_tot_mes!$B$1:$XFD$1, 0), 0)*1000/VLOOKUP($B57, pop_mesorreg_interpol!$B:$XFD, MATCH(gdp_capita_mesorreg!L$1, pop_mesorreg_interpol!$B$1:$XFD$1, 0), 0)</f>
        <v>12110.190018730216</v>
      </c>
      <c r="M57" s="7">
        <f>VLOOKUP($B57, gdp_tot_mes!$B:$XFD, MATCH(gdp_capita_mesorreg!M$1, gdp_tot_mes!$B$1:$XFD$1, 0), 0)*1000/VLOOKUP($B57, pop_mesorreg_interpol!$B:$XFD, MATCH(gdp_capita_mesorreg!M$1, pop_mesorreg_interpol!$B$1:$XFD$1, 0), 0)</f>
        <v>9951.8044823572855</v>
      </c>
      <c r="N57" s="7">
        <f>VLOOKUP($B57, gdp_tot_mes!$B:$XFD, MATCH(gdp_capita_mesorreg!N$1, gdp_tot_mes!$B$1:$XFD$1, 0), 0)*1000/VLOOKUP($B57, pop_mesorreg_interpol!$B:$XFD, MATCH(gdp_capita_mesorreg!N$1, pop_mesorreg_interpol!$B$1:$XFD$1, 0), 0)</f>
        <v>11212.099497429825</v>
      </c>
      <c r="O57" s="7">
        <f>VLOOKUP($B57, gdp_tot_mes!$B:$XFD, MATCH(gdp_capita_mesorreg!O$1, gdp_tot_mes!$B$1:$XFD$1, 0), 0)*1000/VLOOKUP($B57, pop_mesorreg_interpol!$B:$XFD, MATCH(gdp_capita_mesorreg!O$1, pop_mesorreg_interpol!$B$1:$XFD$1, 0), 0)</f>
        <v>11050.6257428516</v>
      </c>
      <c r="P57" s="7">
        <f>VLOOKUP($B57, gdp_tot_mes!$B:$XFD, MATCH(gdp_capita_mesorreg!P$1, gdp_tot_mes!$B$1:$XFD$1, 0), 0)*1000/VLOOKUP($B57, pop_mesorreg_interpol!$B:$XFD, MATCH(gdp_capita_mesorreg!P$1, pop_mesorreg_interpol!$B$1:$XFD$1, 0), 0)</f>
        <v>12031.763640475247</v>
      </c>
      <c r="Q57" s="7">
        <f>VLOOKUP($B57, gdp_tot_mes!$B:$XFD, MATCH(gdp_capita_mesorreg!Q$1, gdp_tot_mes!$B$1:$XFD$1, 0), 0)*1000/VLOOKUP($B57, pop_mesorreg_interpol!$B:$XFD, MATCH(gdp_capita_mesorreg!Q$1, pop_mesorreg_interpol!$B$1:$XFD$1, 0), 0)</f>
        <v>12678.30241920033</v>
      </c>
      <c r="R57" s="7">
        <f>VLOOKUP($B57, gdp_tot_mes!$B:$XFD, MATCH(gdp_capita_mesorreg!R$1, gdp_tot_mes!$B$1:$XFD$1, 0), 0)*1000/VLOOKUP($B57, pop_mesorreg_interpol!$B:$XFD, MATCH(gdp_capita_mesorreg!R$1, pop_mesorreg_interpol!$B$1:$XFD$1, 0), 0)</f>
        <v>14885.143841056222</v>
      </c>
      <c r="S57" s="7">
        <f>VLOOKUP($B57, gdp_tot_mes!$B:$XFD, MATCH(gdp_capita_mesorreg!S$1, gdp_tot_mes!$B$1:$XFD$1, 0), 0)*1000/VLOOKUP($B57, pop_mesorreg_interpol!$B:$XFD, MATCH(gdp_capita_mesorreg!S$1, pop_mesorreg_interpol!$B$1:$XFD$1, 0), 0)</f>
        <v>13559.962002062055</v>
      </c>
      <c r="T57" s="7">
        <f>VLOOKUP($B57, gdp_tot_mes!$B:$XFD, MATCH(gdp_capita_mesorreg!T$1, gdp_tot_mes!$B$1:$XFD$1, 0), 0)*1000/VLOOKUP($B57, pop_mesorreg_interpol!$B:$XFD, MATCH(gdp_capita_mesorreg!T$1, pop_mesorreg_interpol!$B$1:$XFD$1, 0), 0)</f>
        <v>12149.32366838706</v>
      </c>
      <c r="U57" s="7">
        <f>VLOOKUP($B57, gdp_tot_mes!$B:$XFD, MATCH(gdp_capita_mesorreg!U$1, gdp_tot_mes!$B$1:$XFD$1, 0), 0)*1000/VLOOKUP($B57, pop_mesorreg_interpol!$B:$XFD, MATCH(gdp_capita_mesorreg!U$1, pop_mesorreg_interpol!$B$1:$XFD$1, 0), 0)</f>
        <v>12115.543679607337</v>
      </c>
      <c r="V57" s="7">
        <f>VLOOKUP($B57, gdp_tot_mes!$B:$XFD, MATCH(gdp_capita_mesorreg!V$1, gdp_tot_mes!$B$1:$XFD$1, 0), 0)*1000/VLOOKUP($B57, pop_mesorreg_interpol!$B:$XFD, MATCH(gdp_capita_mesorreg!V$1, pop_mesorreg_interpol!$B$1:$XFD$1, 0), 0)</f>
        <v>14035.493659680455</v>
      </c>
      <c r="W57" s="7">
        <f>VLOOKUP($B57, gdp_tot_mes!$B:$XFD, MATCH(gdp_capita_mesorreg!W$1, gdp_tot_mes!$B$1:$XFD$1, 0), 0)*1000/VLOOKUP($B57, pop_mesorreg_interpol!$B:$XFD, MATCH(gdp_capita_mesorreg!W$1, pop_mesorreg_interpol!$B$1:$XFD$1, 0), 0)</f>
        <v>14596.480965376963</v>
      </c>
      <c r="X57" s="7">
        <f>VLOOKUP($B57, gdp_tot_mes!$B:$XFD, MATCH(gdp_capita_mesorreg!X$1, gdp_tot_mes!$B$1:$XFD$1, 0), 0)*1000/VLOOKUP($B57, pop_mesorreg_interpol!$B:$XFD, MATCH(gdp_capita_mesorreg!X$1, pop_mesorreg_interpol!$B$1:$XFD$1, 0), 0)</f>
        <v>14364.475539099974</v>
      </c>
      <c r="Y57" s="7">
        <f>VLOOKUP($B57, gdp_tot_mes!$B:$XFD, MATCH(gdp_capita_mesorreg!Y$1, gdp_tot_mes!$B$1:$XFD$1, 0), 0)*1000/VLOOKUP($B57, pop_mesorreg_interpol!$B:$XFD, MATCH(gdp_capita_mesorreg!Y$1, pop_mesorreg_interpol!$B$1:$XFD$1, 0), 0)</f>
        <v>15501.746716540179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x14ac:dyDescent="0.25">
      <c r="A58" s="1" t="s">
        <v>147</v>
      </c>
      <c r="B58" s="1" t="s">
        <v>148</v>
      </c>
      <c r="C58" s="1" t="s">
        <v>149</v>
      </c>
      <c r="D58" s="7">
        <f>VLOOKUP($B58, gdp_tot_mes!$B:$XFD, MATCH(gdp_capita_mesorreg!D$1, gdp_tot_mes!$B$1:$XFD$1, 0), 0)*1000/VLOOKUP($B58, pop_mesorreg_interpol!$B:$XFD, MATCH(gdp_capita_mesorreg!D$1, pop_mesorreg_interpol!$B$1:$XFD$1, 0), 0)</f>
        <v>634.62334013751956</v>
      </c>
      <c r="E58" s="7">
        <f>VLOOKUP($B58, gdp_tot_mes!$B:$XFD, MATCH(gdp_capita_mesorreg!E$1, gdp_tot_mes!$B$1:$XFD$1, 0), 0)*1000/VLOOKUP($B58, pop_mesorreg_interpol!$B:$XFD, MATCH(gdp_capita_mesorreg!E$1, pop_mesorreg_interpol!$B$1:$XFD$1, 0), 0)</f>
        <v>1648.5686726341594</v>
      </c>
      <c r="F58" s="7">
        <f>VLOOKUP($B58, gdp_tot_mes!$B:$XFD, MATCH(gdp_capita_mesorreg!F$1, gdp_tot_mes!$B$1:$XFD$1, 0), 0)*1000/VLOOKUP($B58, pop_mesorreg_interpol!$B:$XFD, MATCH(gdp_capita_mesorreg!F$1, pop_mesorreg_interpol!$B$1:$XFD$1, 0), 0)</f>
        <v>1464.8192301063482</v>
      </c>
      <c r="G58" s="7">
        <f>VLOOKUP($B58, gdp_tot_mes!$B:$XFD, MATCH(gdp_capita_mesorreg!G$1, gdp_tot_mes!$B$1:$XFD$1, 0), 0)*1000/VLOOKUP($B58, pop_mesorreg_interpol!$B:$XFD, MATCH(gdp_capita_mesorreg!G$1, pop_mesorreg_interpol!$B$1:$XFD$1, 0), 0)</f>
        <v>413.05090333578335</v>
      </c>
      <c r="H58" s="7">
        <f>VLOOKUP($B58, gdp_tot_mes!$B:$XFD, MATCH(gdp_capita_mesorreg!H$1, gdp_tot_mes!$B$1:$XFD$1, 0), 0)*1000/VLOOKUP($B58, pop_mesorreg_interpol!$B:$XFD, MATCH(gdp_capita_mesorreg!H$1, pop_mesorreg_interpol!$B$1:$XFD$1, 0), 0)</f>
        <v>1207.6185675909685</v>
      </c>
      <c r="I58" s="7">
        <f>VLOOKUP($B58, gdp_tot_mes!$B:$XFD, MATCH(gdp_capita_mesorreg!I$1, gdp_tot_mes!$B$1:$XFD$1, 0), 0)*1000/VLOOKUP($B58, pop_mesorreg_interpol!$B:$XFD, MATCH(gdp_capita_mesorreg!I$1, pop_mesorreg_interpol!$B$1:$XFD$1, 0), 0)</f>
        <v>2622.0208401497025</v>
      </c>
      <c r="J58" s="7">
        <f>VLOOKUP($B58, gdp_tot_mes!$B:$XFD, MATCH(gdp_capita_mesorreg!J$1, gdp_tot_mes!$B$1:$XFD$1, 0), 0)*1000/VLOOKUP($B58, pop_mesorreg_interpol!$B:$XFD, MATCH(gdp_capita_mesorreg!J$1, pop_mesorreg_interpol!$B$1:$XFD$1, 0), 0)</f>
        <v>11107.971079557099</v>
      </c>
      <c r="K58" s="7">
        <f>VLOOKUP($B58, gdp_tot_mes!$B:$XFD, MATCH(gdp_capita_mesorreg!K$1, gdp_tot_mes!$B$1:$XFD$1, 0), 0)*1000/VLOOKUP($B58, pop_mesorreg_interpol!$B:$XFD, MATCH(gdp_capita_mesorreg!K$1, pop_mesorreg_interpol!$B$1:$XFD$1, 0), 0)</f>
        <v>10118.254724965394</v>
      </c>
      <c r="L58" s="8">
        <f>VLOOKUP($B58, gdp_tot_mes!$B:$XFD, MATCH(gdp_capita_mesorreg!L$1, gdp_tot_mes!$B$1:$XFD$1, 0), 0)*1000/VLOOKUP($B58, pop_mesorreg_interpol!$B:$XFD, MATCH(gdp_capita_mesorreg!L$1, pop_mesorreg_interpol!$B$1:$XFD$1, 0), 0)</f>
        <v>8223.5426529842771</v>
      </c>
      <c r="M58" s="7">
        <f>VLOOKUP($B58, gdp_tot_mes!$B:$XFD, MATCH(gdp_capita_mesorreg!M$1, gdp_tot_mes!$B$1:$XFD$1, 0), 0)*1000/VLOOKUP($B58, pop_mesorreg_interpol!$B:$XFD, MATCH(gdp_capita_mesorreg!M$1, pop_mesorreg_interpol!$B$1:$XFD$1, 0), 0)</f>
        <v>7079.3702210208121</v>
      </c>
      <c r="N58" s="7">
        <f>VLOOKUP($B58, gdp_tot_mes!$B:$XFD, MATCH(gdp_capita_mesorreg!N$1, gdp_tot_mes!$B$1:$XFD$1, 0), 0)*1000/VLOOKUP($B58, pop_mesorreg_interpol!$B:$XFD, MATCH(gdp_capita_mesorreg!N$1, pop_mesorreg_interpol!$B$1:$XFD$1, 0), 0)</f>
        <v>12797.907224219869</v>
      </c>
      <c r="O58" s="7">
        <f>VLOOKUP($B58, gdp_tot_mes!$B:$XFD, MATCH(gdp_capita_mesorreg!O$1, gdp_tot_mes!$B$1:$XFD$1, 0), 0)*1000/VLOOKUP($B58, pop_mesorreg_interpol!$B:$XFD, MATCH(gdp_capita_mesorreg!O$1, pop_mesorreg_interpol!$B$1:$XFD$1, 0), 0)</f>
        <v>14784.671777526211</v>
      </c>
      <c r="P58" s="7">
        <f>VLOOKUP($B58, gdp_tot_mes!$B:$XFD, MATCH(gdp_capita_mesorreg!P$1, gdp_tot_mes!$B$1:$XFD$1, 0), 0)*1000/VLOOKUP($B58, pop_mesorreg_interpol!$B:$XFD, MATCH(gdp_capita_mesorreg!P$1, pop_mesorreg_interpol!$B$1:$XFD$1, 0), 0)</f>
        <v>14582.658609734677</v>
      </c>
      <c r="Q58" s="7">
        <f>VLOOKUP($B58, gdp_tot_mes!$B:$XFD, MATCH(gdp_capita_mesorreg!Q$1, gdp_tot_mes!$B$1:$XFD$1, 0), 0)*1000/VLOOKUP($B58, pop_mesorreg_interpol!$B:$XFD, MATCH(gdp_capita_mesorreg!Q$1, pop_mesorreg_interpol!$B$1:$XFD$1, 0), 0)</f>
        <v>17423.964332958709</v>
      </c>
      <c r="R58" s="7">
        <f>VLOOKUP($B58, gdp_tot_mes!$B:$XFD, MATCH(gdp_capita_mesorreg!R$1, gdp_tot_mes!$B$1:$XFD$1, 0), 0)*1000/VLOOKUP($B58, pop_mesorreg_interpol!$B:$XFD, MATCH(gdp_capita_mesorreg!R$1, pop_mesorreg_interpol!$B$1:$XFD$1, 0), 0)</f>
        <v>20216.300203195726</v>
      </c>
      <c r="S58" s="7">
        <f>VLOOKUP($B58, gdp_tot_mes!$B:$XFD, MATCH(gdp_capita_mesorreg!S$1, gdp_tot_mes!$B$1:$XFD$1, 0), 0)*1000/VLOOKUP($B58, pop_mesorreg_interpol!$B:$XFD, MATCH(gdp_capita_mesorreg!S$1, pop_mesorreg_interpol!$B$1:$XFD$1, 0), 0)</f>
        <v>25583.16237125095</v>
      </c>
      <c r="T58" s="7">
        <f>VLOOKUP($B58, gdp_tot_mes!$B:$XFD, MATCH(gdp_capita_mesorreg!T$1, gdp_tot_mes!$B$1:$XFD$1, 0), 0)*1000/VLOOKUP($B58, pop_mesorreg_interpol!$B:$XFD, MATCH(gdp_capita_mesorreg!T$1, pop_mesorreg_interpol!$B$1:$XFD$1, 0), 0)</f>
        <v>21476.878163590725</v>
      </c>
      <c r="U58" s="7">
        <f>VLOOKUP($B58, gdp_tot_mes!$B:$XFD, MATCH(gdp_capita_mesorreg!U$1, gdp_tot_mes!$B$1:$XFD$1, 0), 0)*1000/VLOOKUP($B58, pop_mesorreg_interpol!$B:$XFD, MATCH(gdp_capita_mesorreg!U$1, pop_mesorreg_interpol!$B$1:$XFD$1, 0), 0)</f>
        <v>17344.072053322248</v>
      </c>
      <c r="V58" s="7">
        <f>VLOOKUP($B58, gdp_tot_mes!$B:$XFD, MATCH(gdp_capita_mesorreg!V$1, gdp_tot_mes!$B$1:$XFD$1, 0), 0)*1000/VLOOKUP($B58, pop_mesorreg_interpol!$B:$XFD, MATCH(gdp_capita_mesorreg!V$1, pop_mesorreg_interpol!$B$1:$XFD$1, 0), 0)</f>
        <v>21082.073881883727</v>
      </c>
      <c r="W58" s="7">
        <f>VLOOKUP($B58, gdp_tot_mes!$B:$XFD, MATCH(gdp_capita_mesorreg!W$1, gdp_tot_mes!$B$1:$XFD$1, 0), 0)*1000/VLOOKUP($B58, pop_mesorreg_interpol!$B:$XFD, MATCH(gdp_capita_mesorreg!W$1, pop_mesorreg_interpol!$B$1:$XFD$1, 0), 0)</f>
        <v>25942.081581194849</v>
      </c>
      <c r="X58" s="7">
        <f>VLOOKUP($B58, gdp_tot_mes!$B:$XFD, MATCH(gdp_capita_mesorreg!X$1, gdp_tot_mes!$B$1:$XFD$1, 0), 0)*1000/VLOOKUP($B58, pop_mesorreg_interpol!$B:$XFD, MATCH(gdp_capita_mesorreg!X$1, pop_mesorreg_interpol!$B$1:$XFD$1, 0), 0)</f>
        <v>25290.181294820632</v>
      </c>
      <c r="Y58" s="7">
        <f>VLOOKUP($B58, gdp_tot_mes!$B:$XFD, MATCH(gdp_capita_mesorreg!Y$1, gdp_tot_mes!$B$1:$XFD$1, 0), 0)*1000/VLOOKUP($B58, pop_mesorreg_interpol!$B:$XFD, MATCH(gdp_capita_mesorreg!Y$1, pop_mesorreg_interpol!$B$1:$XFD$1, 0), 0)</f>
        <v>21757.99387643185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x14ac:dyDescent="0.25">
      <c r="A59" s="1" t="s">
        <v>147</v>
      </c>
      <c r="B59" s="1" t="s">
        <v>150</v>
      </c>
      <c r="C59" s="1" t="s">
        <v>151</v>
      </c>
      <c r="D59" s="7">
        <f>VLOOKUP($B59, gdp_tot_mes!$B:$XFD, MATCH(gdp_capita_mesorreg!D$1, gdp_tot_mes!$B$1:$XFD$1, 0), 0)*1000/VLOOKUP($B59, pop_mesorreg_interpol!$B:$XFD, MATCH(gdp_capita_mesorreg!D$1, pop_mesorreg_interpol!$B$1:$XFD$1, 0), 0)</f>
        <v>474.45694044594347</v>
      </c>
      <c r="E59" s="7">
        <f>VLOOKUP($B59, gdp_tot_mes!$B:$XFD, MATCH(gdp_capita_mesorreg!E$1, gdp_tot_mes!$B$1:$XFD$1, 0), 0)*1000/VLOOKUP($B59, pop_mesorreg_interpol!$B:$XFD, MATCH(gdp_capita_mesorreg!E$1, pop_mesorreg_interpol!$B$1:$XFD$1, 0), 0)</f>
        <v>1570.1278246855716</v>
      </c>
      <c r="F59" s="7">
        <f>VLOOKUP($B59, gdp_tot_mes!$B:$XFD, MATCH(gdp_capita_mesorreg!F$1, gdp_tot_mes!$B$1:$XFD$1, 0), 0)*1000/VLOOKUP($B59, pop_mesorreg_interpol!$B:$XFD, MATCH(gdp_capita_mesorreg!F$1, pop_mesorreg_interpol!$B$1:$XFD$1, 0), 0)</f>
        <v>1199.2607398800089</v>
      </c>
      <c r="G59" s="7">
        <f>VLOOKUP($B59, gdp_tot_mes!$B:$XFD, MATCH(gdp_capita_mesorreg!G$1, gdp_tot_mes!$B$1:$XFD$1, 0), 0)*1000/VLOOKUP($B59, pop_mesorreg_interpol!$B:$XFD, MATCH(gdp_capita_mesorreg!G$1, pop_mesorreg_interpol!$B$1:$XFD$1, 0), 0)</f>
        <v>880.44340811490542</v>
      </c>
      <c r="H59" s="7">
        <f>VLOOKUP($B59, gdp_tot_mes!$B:$XFD, MATCH(gdp_capita_mesorreg!H$1, gdp_tot_mes!$B$1:$XFD$1, 0), 0)*1000/VLOOKUP($B59, pop_mesorreg_interpol!$B:$XFD, MATCH(gdp_capita_mesorreg!H$1, pop_mesorreg_interpol!$B$1:$XFD$1, 0), 0)</f>
        <v>1245.1520920465102</v>
      </c>
      <c r="I59" s="7">
        <f>VLOOKUP($B59, gdp_tot_mes!$B:$XFD, MATCH(gdp_capita_mesorreg!I$1, gdp_tot_mes!$B$1:$XFD$1, 0), 0)*1000/VLOOKUP($B59, pop_mesorreg_interpol!$B:$XFD, MATCH(gdp_capita_mesorreg!I$1, pop_mesorreg_interpol!$B$1:$XFD$1, 0), 0)</f>
        <v>4607.2259638700607</v>
      </c>
      <c r="J59" s="7">
        <f>VLOOKUP($B59, gdp_tot_mes!$B:$XFD, MATCH(gdp_capita_mesorreg!J$1, gdp_tot_mes!$B$1:$XFD$1, 0), 0)*1000/VLOOKUP($B59, pop_mesorreg_interpol!$B:$XFD, MATCH(gdp_capita_mesorreg!J$1, pop_mesorreg_interpol!$B$1:$XFD$1, 0), 0)</f>
        <v>7298.816637835972</v>
      </c>
      <c r="K59" s="7">
        <f>VLOOKUP($B59, gdp_tot_mes!$B:$XFD, MATCH(gdp_capita_mesorreg!K$1, gdp_tot_mes!$B$1:$XFD$1, 0), 0)*1000/VLOOKUP($B59, pop_mesorreg_interpol!$B:$XFD, MATCH(gdp_capita_mesorreg!K$1, pop_mesorreg_interpol!$B$1:$XFD$1, 0), 0)</f>
        <v>7506.7011841682333</v>
      </c>
      <c r="L59" s="8">
        <f>VLOOKUP($B59, gdp_tot_mes!$B:$XFD, MATCH(gdp_capita_mesorreg!L$1, gdp_tot_mes!$B$1:$XFD$1, 0), 0)*1000/VLOOKUP($B59, pop_mesorreg_interpol!$B:$XFD, MATCH(gdp_capita_mesorreg!L$1, pop_mesorreg_interpol!$B$1:$XFD$1, 0), 0)</f>
        <v>7051.5508768626178</v>
      </c>
      <c r="M59" s="7">
        <f>VLOOKUP($B59, gdp_tot_mes!$B:$XFD, MATCH(gdp_capita_mesorreg!M$1, gdp_tot_mes!$B$1:$XFD$1, 0), 0)*1000/VLOOKUP($B59, pop_mesorreg_interpol!$B:$XFD, MATCH(gdp_capita_mesorreg!M$1, pop_mesorreg_interpol!$B$1:$XFD$1, 0), 0)</f>
        <v>6700.9486146014269</v>
      </c>
      <c r="N59" s="7">
        <f>VLOOKUP($B59, gdp_tot_mes!$B:$XFD, MATCH(gdp_capita_mesorreg!N$1, gdp_tot_mes!$B$1:$XFD$1, 0), 0)*1000/VLOOKUP($B59, pop_mesorreg_interpol!$B:$XFD, MATCH(gdp_capita_mesorreg!N$1, pop_mesorreg_interpol!$B$1:$XFD$1, 0), 0)</f>
        <v>9450.3031385195118</v>
      </c>
      <c r="O59" s="7">
        <f>VLOOKUP($B59, gdp_tot_mes!$B:$XFD, MATCH(gdp_capita_mesorreg!O$1, gdp_tot_mes!$B$1:$XFD$1, 0), 0)*1000/VLOOKUP($B59, pop_mesorreg_interpol!$B:$XFD, MATCH(gdp_capita_mesorreg!O$1, pop_mesorreg_interpol!$B$1:$XFD$1, 0), 0)</f>
        <v>10673.802291339491</v>
      </c>
      <c r="P59" s="7">
        <f>VLOOKUP($B59, gdp_tot_mes!$B:$XFD, MATCH(gdp_capita_mesorreg!P$1, gdp_tot_mes!$B$1:$XFD$1, 0), 0)*1000/VLOOKUP($B59, pop_mesorreg_interpol!$B:$XFD, MATCH(gdp_capita_mesorreg!P$1, pop_mesorreg_interpol!$B$1:$XFD$1, 0), 0)</f>
        <v>10789.372789298925</v>
      </c>
      <c r="Q59" s="7">
        <f>VLOOKUP($B59, gdp_tot_mes!$B:$XFD, MATCH(gdp_capita_mesorreg!Q$1, gdp_tot_mes!$B$1:$XFD$1, 0), 0)*1000/VLOOKUP($B59, pop_mesorreg_interpol!$B:$XFD, MATCH(gdp_capita_mesorreg!Q$1, pop_mesorreg_interpol!$B$1:$XFD$1, 0), 0)</f>
        <v>12598.556150447565</v>
      </c>
      <c r="R59" s="7">
        <f>VLOOKUP($B59, gdp_tot_mes!$B:$XFD, MATCH(gdp_capita_mesorreg!R$1, gdp_tot_mes!$B$1:$XFD$1, 0), 0)*1000/VLOOKUP($B59, pop_mesorreg_interpol!$B:$XFD, MATCH(gdp_capita_mesorreg!R$1, pop_mesorreg_interpol!$B$1:$XFD$1, 0), 0)</f>
        <v>13717.890710987913</v>
      </c>
      <c r="S59" s="7">
        <f>VLOOKUP($B59, gdp_tot_mes!$B:$XFD, MATCH(gdp_capita_mesorreg!S$1, gdp_tot_mes!$B$1:$XFD$1, 0), 0)*1000/VLOOKUP($B59, pop_mesorreg_interpol!$B:$XFD, MATCH(gdp_capita_mesorreg!S$1, pop_mesorreg_interpol!$B$1:$XFD$1, 0), 0)</f>
        <v>17088.117707033263</v>
      </c>
      <c r="T59" s="7">
        <f>VLOOKUP($B59, gdp_tot_mes!$B:$XFD, MATCH(gdp_capita_mesorreg!T$1, gdp_tot_mes!$B$1:$XFD$1, 0), 0)*1000/VLOOKUP($B59, pop_mesorreg_interpol!$B:$XFD, MATCH(gdp_capita_mesorreg!T$1, pop_mesorreg_interpol!$B$1:$XFD$1, 0), 0)</f>
        <v>16156.065262361933</v>
      </c>
      <c r="U59" s="7">
        <f>VLOOKUP($B59, gdp_tot_mes!$B:$XFD, MATCH(gdp_capita_mesorreg!U$1, gdp_tot_mes!$B$1:$XFD$1, 0), 0)*1000/VLOOKUP($B59, pop_mesorreg_interpol!$B:$XFD, MATCH(gdp_capita_mesorreg!U$1, pop_mesorreg_interpol!$B$1:$XFD$1, 0), 0)</f>
        <v>13518.012406070473</v>
      </c>
      <c r="V59" s="7">
        <f>VLOOKUP($B59, gdp_tot_mes!$B:$XFD, MATCH(gdp_capita_mesorreg!V$1, gdp_tot_mes!$B$1:$XFD$1, 0), 0)*1000/VLOOKUP($B59, pop_mesorreg_interpol!$B:$XFD, MATCH(gdp_capita_mesorreg!V$1, pop_mesorreg_interpol!$B$1:$XFD$1, 0), 0)</f>
        <v>15306.6916762242</v>
      </c>
      <c r="W59" s="7">
        <f>VLOOKUP($B59, gdp_tot_mes!$B:$XFD, MATCH(gdp_capita_mesorreg!W$1, gdp_tot_mes!$B$1:$XFD$1, 0), 0)*1000/VLOOKUP($B59, pop_mesorreg_interpol!$B:$XFD, MATCH(gdp_capita_mesorreg!W$1, pop_mesorreg_interpol!$B$1:$XFD$1, 0), 0)</f>
        <v>18107.374945218478</v>
      </c>
      <c r="X59" s="7">
        <f>VLOOKUP($B59, gdp_tot_mes!$B:$XFD, MATCH(gdp_capita_mesorreg!X$1, gdp_tot_mes!$B$1:$XFD$1, 0), 0)*1000/VLOOKUP($B59, pop_mesorreg_interpol!$B:$XFD, MATCH(gdp_capita_mesorreg!X$1, pop_mesorreg_interpol!$B$1:$XFD$1, 0), 0)</f>
        <v>17107.629371541698</v>
      </c>
      <c r="Y59" s="7">
        <f>VLOOKUP($B59, gdp_tot_mes!$B:$XFD, MATCH(gdp_capita_mesorreg!Y$1, gdp_tot_mes!$B$1:$XFD$1, 0), 0)*1000/VLOOKUP($B59, pop_mesorreg_interpol!$B:$XFD, MATCH(gdp_capita_mesorreg!Y$1, pop_mesorreg_interpol!$B$1:$XFD$1, 0), 0)</f>
        <v>15674.964525227431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x14ac:dyDescent="0.25">
      <c r="A60" s="1" t="s">
        <v>147</v>
      </c>
      <c r="B60" s="1" t="s">
        <v>152</v>
      </c>
      <c r="C60" s="1" t="s">
        <v>153</v>
      </c>
      <c r="D60" s="7">
        <f>VLOOKUP($B60, gdp_tot_mes!$B:$XFD, MATCH(gdp_capita_mesorreg!D$1, gdp_tot_mes!$B$1:$XFD$1, 0), 0)*1000/VLOOKUP($B60, pop_mesorreg_interpol!$B:$XFD, MATCH(gdp_capita_mesorreg!D$1, pop_mesorreg_interpol!$B$1:$XFD$1, 0), 0)</f>
        <v>151.53865896757878</v>
      </c>
      <c r="E60" s="7">
        <f>VLOOKUP($B60, gdp_tot_mes!$B:$XFD, MATCH(gdp_capita_mesorreg!E$1, gdp_tot_mes!$B$1:$XFD$1, 0), 0)*1000/VLOOKUP($B60, pop_mesorreg_interpol!$B:$XFD, MATCH(gdp_capita_mesorreg!E$1, pop_mesorreg_interpol!$B$1:$XFD$1, 0), 0)</f>
        <v>1368.6647022144562</v>
      </c>
      <c r="F60" s="7">
        <f>VLOOKUP($B60, gdp_tot_mes!$B:$XFD, MATCH(gdp_capita_mesorreg!F$1, gdp_tot_mes!$B$1:$XFD$1, 0), 0)*1000/VLOOKUP($B60, pop_mesorreg_interpol!$B:$XFD, MATCH(gdp_capita_mesorreg!F$1, pop_mesorreg_interpol!$B$1:$XFD$1, 0), 0)</f>
        <v>1030.2402001959913</v>
      </c>
      <c r="G60" s="7">
        <f>VLOOKUP($B60, gdp_tot_mes!$B:$XFD, MATCH(gdp_capita_mesorreg!G$1, gdp_tot_mes!$B$1:$XFD$1, 0), 0)*1000/VLOOKUP($B60, pop_mesorreg_interpol!$B:$XFD, MATCH(gdp_capita_mesorreg!G$1, pop_mesorreg_interpol!$B$1:$XFD$1, 0), 0)</f>
        <v>960.23233421383782</v>
      </c>
      <c r="H60" s="7">
        <f>VLOOKUP($B60, gdp_tot_mes!$B:$XFD, MATCH(gdp_capita_mesorreg!H$1, gdp_tot_mes!$B$1:$XFD$1, 0), 0)*1000/VLOOKUP($B60, pop_mesorreg_interpol!$B:$XFD, MATCH(gdp_capita_mesorreg!H$1, pop_mesorreg_interpol!$B$1:$XFD$1, 0), 0)</f>
        <v>2205.376165271608</v>
      </c>
      <c r="I60" s="7">
        <f>VLOOKUP($B60, gdp_tot_mes!$B:$XFD, MATCH(gdp_capita_mesorreg!I$1, gdp_tot_mes!$B$1:$XFD$1, 0), 0)*1000/VLOOKUP($B60, pop_mesorreg_interpol!$B:$XFD, MATCH(gdp_capita_mesorreg!I$1, pop_mesorreg_interpol!$B$1:$XFD$1, 0), 0)</f>
        <v>3025.2477620286591</v>
      </c>
      <c r="J60" s="7">
        <f>VLOOKUP($B60, gdp_tot_mes!$B:$XFD, MATCH(gdp_capita_mesorreg!J$1, gdp_tot_mes!$B$1:$XFD$1, 0), 0)*1000/VLOOKUP($B60, pop_mesorreg_interpol!$B:$XFD, MATCH(gdp_capita_mesorreg!J$1, pop_mesorreg_interpol!$B$1:$XFD$1, 0), 0)</f>
        <v>7685.1319686934521</v>
      </c>
      <c r="K60" s="7">
        <f>VLOOKUP($B60, gdp_tot_mes!$B:$XFD, MATCH(gdp_capita_mesorreg!K$1, gdp_tot_mes!$B$1:$XFD$1, 0), 0)*1000/VLOOKUP($B60, pop_mesorreg_interpol!$B:$XFD, MATCH(gdp_capita_mesorreg!K$1, pop_mesorreg_interpol!$B$1:$XFD$1, 0), 0)</f>
        <v>7782.9228842731482</v>
      </c>
      <c r="L60" s="8">
        <f>VLOOKUP($B60, gdp_tot_mes!$B:$XFD, MATCH(gdp_capita_mesorreg!L$1, gdp_tot_mes!$B$1:$XFD$1, 0), 0)*1000/VLOOKUP($B60, pop_mesorreg_interpol!$B:$XFD, MATCH(gdp_capita_mesorreg!L$1, pop_mesorreg_interpol!$B$1:$XFD$1, 0), 0)</f>
        <v>7729.0160616192343</v>
      </c>
      <c r="M60" s="7">
        <f>VLOOKUP($B60, gdp_tot_mes!$B:$XFD, MATCH(gdp_capita_mesorreg!M$1, gdp_tot_mes!$B$1:$XFD$1, 0), 0)*1000/VLOOKUP($B60, pop_mesorreg_interpol!$B:$XFD, MATCH(gdp_capita_mesorreg!M$1, pop_mesorreg_interpol!$B$1:$XFD$1, 0), 0)</f>
        <v>7678.3539693485445</v>
      </c>
      <c r="N60" s="7">
        <f>VLOOKUP($B60, gdp_tot_mes!$B:$XFD, MATCH(gdp_capita_mesorreg!N$1, gdp_tot_mes!$B$1:$XFD$1, 0), 0)*1000/VLOOKUP($B60, pop_mesorreg_interpol!$B:$XFD, MATCH(gdp_capita_mesorreg!N$1, pop_mesorreg_interpol!$B$1:$XFD$1, 0), 0)</f>
        <v>9812.8817458771264</v>
      </c>
      <c r="O60" s="7">
        <f>VLOOKUP($B60, gdp_tot_mes!$B:$XFD, MATCH(gdp_capita_mesorreg!O$1, gdp_tot_mes!$B$1:$XFD$1, 0), 0)*1000/VLOOKUP($B60, pop_mesorreg_interpol!$B:$XFD, MATCH(gdp_capita_mesorreg!O$1, pop_mesorreg_interpol!$B$1:$XFD$1, 0), 0)</f>
        <v>10394.658751506344</v>
      </c>
      <c r="P60" s="7">
        <f>VLOOKUP($B60, gdp_tot_mes!$B:$XFD, MATCH(gdp_capita_mesorreg!P$1, gdp_tot_mes!$B$1:$XFD$1, 0), 0)*1000/VLOOKUP($B60, pop_mesorreg_interpol!$B:$XFD, MATCH(gdp_capita_mesorreg!P$1, pop_mesorreg_interpol!$B$1:$XFD$1, 0), 0)</f>
        <v>10743.309710261557</v>
      </c>
      <c r="Q60" s="7">
        <f>VLOOKUP($B60, gdp_tot_mes!$B:$XFD, MATCH(gdp_capita_mesorreg!Q$1, gdp_tot_mes!$B$1:$XFD$1, 0), 0)*1000/VLOOKUP($B60, pop_mesorreg_interpol!$B:$XFD, MATCH(gdp_capita_mesorreg!Q$1, pop_mesorreg_interpol!$B$1:$XFD$1, 0), 0)</f>
        <v>12284.478915214168</v>
      </c>
      <c r="R60" s="7">
        <f>VLOOKUP($B60, gdp_tot_mes!$B:$XFD, MATCH(gdp_capita_mesorreg!R$1, gdp_tot_mes!$B$1:$XFD$1, 0), 0)*1000/VLOOKUP($B60, pop_mesorreg_interpol!$B:$XFD, MATCH(gdp_capita_mesorreg!R$1, pop_mesorreg_interpol!$B$1:$XFD$1, 0), 0)</f>
        <v>12637.053591873724</v>
      </c>
      <c r="S60" s="7">
        <f>VLOOKUP($B60, gdp_tot_mes!$B:$XFD, MATCH(gdp_capita_mesorreg!S$1, gdp_tot_mes!$B$1:$XFD$1, 0), 0)*1000/VLOOKUP($B60, pop_mesorreg_interpol!$B:$XFD, MATCH(gdp_capita_mesorreg!S$1, pop_mesorreg_interpol!$B$1:$XFD$1, 0), 0)</f>
        <v>13516.308459482292</v>
      </c>
      <c r="T60" s="7">
        <f>VLOOKUP($B60, gdp_tot_mes!$B:$XFD, MATCH(gdp_capita_mesorreg!T$1, gdp_tot_mes!$B$1:$XFD$1, 0), 0)*1000/VLOOKUP($B60, pop_mesorreg_interpol!$B:$XFD, MATCH(gdp_capita_mesorreg!T$1, pop_mesorreg_interpol!$B$1:$XFD$1, 0), 0)</f>
        <v>13461.831285761453</v>
      </c>
      <c r="U60" s="7">
        <f>VLOOKUP($B60, gdp_tot_mes!$B:$XFD, MATCH(gdp_capita_mesorreg!U$1, gdp_tot_mes!$B$1:$XFD$1, 0), 0)*1000/VLOOKUP($B60, pop_mesorreg_interpol!$B:$XFD, MATCH(gdp_capita_mesorreg!U$1, pop_mesorreg_interpol!$B$1:$XFD$1, 0), 0)</f>
        <v>13133.03378749357</v>
      </c>
      <c r="V60" s="7">
        <f>VLOOKUP($B60, gdp_tot_mes!$B:$XFD, MATCH(gdp_capita_mesorreg!V$1, gdp_tot_mes!$B$1:$XFD$1, 0), 0)*1000/VLOOKUP($B60, pop_mesorreg_interpol!$B:$XFD, MATCH(gdp_capita_mesorreg!V$1, pop_mesorreg_interpol!$B$1:$XFD$1, 0), 0)</f>
        <v>13915.24029141846</v>
      </c>
      <c r="W60" s="7">
        <f>VLOOKUP($B60, gdp_tot_mes!$B:$XFD, MATCH(gdp_capita_mesorreg!W$1, gdp_tot_mes!$B$1:$XFD$1, 0), 0)*1000/VLOOKUP($B60, pop_mesorreg_interpol!$B:$XFD, MATCH(gdp_capita_mesorreg!W$1, pop_mesorreg_interpol!$B$1:$XFD$1, 0), 0)</f>
        <v>14445.660638520023</v>
      </c>
      <c r="X60" s="7">
        <f>VLOOKUP($B60, gdp_tot_mes!$B:$XFD, MATCH(gdp_capita_mesorreg!X$1, gdp_tot_mes!$B$1:$XFD$1, 0), 0)*1000/VLOOKUP($B60, pop_mesorreg_interpol!$B:$XFD, MATCH(gdp_capita_mesorreg!X$1, pop_mesorreg_interpol!$B$1:$XFD$1, 0), 0)</f>
        <v>14521.483742476534</v>
      </c>
      <c r="Y60" s="7">
        <f>VLOOKUP($B60, gdp_tot_mes!$B:$XFD, MATCH(gdp_capita_mesorreg!Y$1, gdp_tot_mes!$B$1:$XFD$1, 0), 0)*1000/VLOOKUP($B60, pop_mesorreg_interpol!$B:$XFD, MATCH(gdp_capita_mesorreg!Y$1, pop_mesorreg_interpol!$B$1:$XFD$1, 0), 0)</f>
        <v>15073.096926455475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25">
      <c r="A61" s="1" t="s">
        <v>147</v>
      </c>
      <c r="B61" s="1" t="s">
        <v>154</v>
      </c>
      <c r="C61" s="1" t="s">
        <v>155</v>
      </c>
      <c r="D61" s="7">
        <f>VLOOKUP($B61, gdp_tot_mes!$B:$XFD, MATCH(gdp_capita_mesorreg!D$1, gdp_tot_mes!$B$1:$XFD$1, 0), 0)*1000/VLOOKUP($B61, pop_mesorreg_interpol!$B:$XFD, MATCH(gdp_capita_mesorreg!D$1, pop_mesorreg_interpol!$B$1:$XFD$1, 0), 0)</f>
        <v>548.48828413243427</v>
      </c>
      <c r="E61" s="7">
        <f>VLOOKUP($B61, gdp_tot_mes!$B:$XFD, MATCH(gdp_capita_mesorreg!E$1, gdp_tot_mes!$B$1:$XFD$1, 0), 0)*1000/VLOOKUP($B61, pop_mesorreg_interpol!$B:$XFD, MATCH(gdp_capita_mesorreg!E$1, pop_mesorreg_interpol!$B$1:$XFD$1, 0), 0)</f>
        <v>1608.8147861048062</v>
      </c>
      <c r="F61" s="7">
        <f>VLOOKUP($B61, gdp_tot_mes!$B:$XFD, MATCH(gdp_capita_mesorreg!F$1, gdp_tot_mes!$B$1:$XFD$1, 0), 0)*1000/VLOOKUP($B61, pop_mesorreg_interpol!$B:$XFD, MATCH(gdp_capita_mesorreg!F$1, pop_mesorreg_interpol!$B$1:$XFD$1, 0), 0)</f>
        <v>2122.8746782903054</v>
      </c>
      <c r="G61" s="7">
        <f>VLOOKUP($B61, gdp_tot_mes!$B:$XFD, MATCH(gdp_capita_mesorreg!G$1, gdp_tot_mes!$B$1:$XFD$1, 0), 0)*1000/VLOOKUP($B61, pop_mesorreg_interpol!$B:$XFD, MATCH(gdp_capita_mesorreg!G$1, pop_mesorreg_interpol!$B$1:$XFD$1, 0), 0)</f>
        <v>1932.3223371938225</v>
      </c>
      <c r="H61" s="7">
        <f>VLOOKUP($B61, gdp_tot_mes!$B:$XFD, MATCH(gdp_capita_mesorreg!H$1, gdp_tot_mes!$B$1:$XFD$1, 0), 0)*1000/VLOOKUP($B61, pop_mesorreg_interpol!$B:$XFD, MATCH(gdp_capita_mesorreg!H$1, pop_mesorreg_interpol!$B$1:$XFD$1, 0), 0)</f>
        <v>3788.9844449246784</v>
      </c>
      <c r="I61" s="7">
        <f>VLOOKUP($B61, gdp_tot_mes!$B:$XFD, MATCH(gdp_capita_mesorreg!I$1, gdp_tot_mes!$B$1:$XFD$1, 0), 0)*1000/VLOOKUP($B61, pop_mesorreg_interpol!$B:$XFD, MATCH(gdp_capita_mesorreg!I$1, pop_mesorreg_interpol!$B$1:$XFD$1, 0), 0)</f>
        <v>8013.8458372274063</v>
      </c>
      <c r="J61" s="7">
        <f>VLOOKUP($B61, gdp_tot_mes!$B:$XFD, MATCH(gdp_capita_mesorreg!J$1, gdp_tot_mes!$B$1:$XFD$1, 0), 0)*1000/VLOOKUP($B61, pop_mesorreg_interpol!$B:$XFD, MATCH(gdp_capita_mesorreg!J$1, pop_mesorreg_interpol!$B$1:$XFD$1, 0), 0)</f>
        <v>10190.124510327887</v>
      </c>
      <c r="K61" s="7">
        <f>VLOOKUP($B61, gdp_tot_mes!$B:$XFD, MATCH(gdp_capita_mesorreg!K$1, gdp_tot_mes!$B$1:$XFD$1, 0), 0)*1000/VLOOKUP($B61, pop_mesorreg_interpol!$B:$XFD, MATCH(gdp_capita_mesorreg!K$1, pop_mesorreg_interpol!$B$1:$XFD$1, 0), 0)</f>
        <v>13358.88849983034</v>
      </c>
      <c r="L61" s="8">
        <f>VLOOKUP($B61, gdp_tot_mes!$B:$XFD, MATCH(gdp_capita_mesorreg!L$1, gdp_tot_mes!$B$1:$XFD$1, 0), 0)*1000/VLOOKUP($B61, pop_mesorreg_interpol!$B:$XFD, MATCH(gdp_capita_mesorreg!L$1, pop_mesorreg_interpol!$B$1:$XFD$1, 0), 0)</f>
        <v>12767.334176316843</v>
      </c>
      <c r="M61" s="7">
        <f>VLOOKUP($B61, gdp_tot_mes!$B:$XFD, MATCH(gdp_capita_mesorreg!M$1, gdp_tot_mes!$B$1:$XFD$1, 0), 0)*1000/VLOOKUP($B61, pop_mesorreg_interpol!$B:$XFD, MATCH(gdp_capita_mesorreg!M$1, pop_mesorreg_interpol!$B$1:$XFD$1, 0), 0)</f>
        <v>12272.277597691012</v>
      </c>
      <c r="N61" s="7">
        <f>VLOOKUP($B61, gdp_tot_mes!$B:$XFD, MATCH(gdp_capita_mesorreg!N$1, gdp_tot_mes!$B$1:$XFD$1, 0), 0)*1000/VLOOKUP($B61, pop_mesorreg_interpol!$B:$XFD, MATCH(gdp_capita_mesorreg!N$1, pop_mesorreg_interpol!$B$1:$XFD$1, 0), 0)</f>
        <v>12493.821673442437</v>
      </c>
      <c r="O61" s="7">
        <f>VLOOKUP($B61, gdp_tot_mes!$B:$XFD, MATCH(gdp_capita_mesorreg!O$1, gdp_tot_mes!$B$1:$XFD$1, 0), 0)*1000/VLOOKUP($B61, pop_mesorreg_interpol!$B:$XFD, MATCH(gdp_capita_mesorreg!O$1, pop_mesorreg_interpol!$B$1:$XFD$1, 0), 0)</f>
        <v>12559.133587219032</v>
      </c>
      <c r="P61" s="7">
        <f>VLOOKUP($B61, gdp_tot_mes!$B:$XFD, MATCH(gdp_capita_mesorreg!P$1, gdp_tot_mes!$B$1:$XFD$1, 0), 0)*1000/VLOOKUP($B61, pop_mesorreg_interpol!$B:$XFD, MATCH(gdp_capita_mesorreg!P$1, pop_mesorreg_interpol!$B$1:$XFD$1, 0), 0)</f>
        <v>12244.010955033538</v>
      </c>
      <c r="Q61" s="7">
        <f>VLOOKUP($B61, gdp_tot_mes!$B:$XFD, MATCH(gdp_capita_mesorreg!Q$1, gdp_tot_mes!$B$1:$XFD$1, 0), 0)*1000/VLOOKUP($B61, pop_mesorreg_interpol!$B:$XFD, MATCH(gdp_capita_mesorreg!Q$1, pop_mesorreg_interpol!$B$1:$XFD$1, 0), 0)</f>
        <v>12550.679755372592</v>
      </c>
      <c r="R61" s="7">
        <f>VLOOKUP($B61, gdp_tot_mes!$B:$XFD, MATCH(gdp_capita_mesorreg!R$1, gdp_tot_mes!$B$1:$XFD$1, 0), 0)*1000/VLOOKUP($B61, pop_mesorreg_interpol!$B:$XFD, MATCH(gdp_capita_mesorreg!R$1, pop_mesorreg_interpol!$B$1:$XFD$1, 0), 0)</f>
        <v>13543.163677251878</v>
      </c>
      <c r="S61" s="7">
        <f>VLOOKUP($B61, gdp_tot_mes!$B:$XFD, MATCH(gdp_capita_mesorreg!S$1, gdp_tot_mes!$B$1:$XFD$1, 0), 0)*1000/VLOOKUP($B61, pop_mesorreg_interpol!$B:$XFD, MATCH(gdp_capita_mesorreg!S$1, pop_mesorreg_interpol!$B$1:$XFD$1, 0), 0)</f>
        <v>15654.394083986168</v>
      </c>
      <c r="T61" s="7">
        <f>VLOOKUP($B61, gdp_tot_mes!$B:$XFD, MATCH(gdp_capita_mesorreg!T$1, gdp_tot_mes!$B$1:$XFD$1, 0), 0)*1000/VLOOKUP($B61, pop_mesorreg_interpol!$B:$XFD, MATCH(gdp_capita_mesorreg!T$1, pop_mesorreg_interpol!$B$1:$XFD$1, 0), 0)</f>
        <v>15589.226784221433</v>
      </c>
      <c r="U61" s="7">
        <f>VLOOKUP($B61, gdp_tot_mes!$B:$XFD, MATCH(gdp_capita_mesorreg!U$1, gdp_tot_mes!$B$1:$XFD$1, 0), 0)*1000/VLOOKUP($B61, pop_mesorreg_interpol!$B:$XFD, MATCH(gdp_capita_mesorreg!U$1, pop_mesorreg_interpol!$B$1:$XFD$1, 0), 0)</f>
        <v>14627.53821625166</v>
      </c>
      <c r="V61" s="7">
        <f>VLOOKUP($B61, gdp_tot_mes!$B:$XFD, MATCH(gdp_capita_mesorreg!V$1, gdp_tot_mes!$B$1:$XFD$1, 0), 0)*1000/VLOOKUP($B61, pop_mesorreg_interpol!$B:$XFD, MATCH(gdp_capita_mesorreg!V$1, pop_mesorreg_interpol!$B$1:$XFD$1, 0), 0)</f>
        <v>15306.986226963849</v>
      </c>
      <c r="W61" s="7">
        <f>VLOOKUP($B61, gdp_tot_mes!$B:$XFD, MATCH(gdp_capita_mesorreg!W$1, gdp_tot_mes!$B$1:$XFD$1, 0), 0)*1000/VLOOKUP($B61, pop_mesorreg_interpol!$B:$XFD, MATCH(gdp_capita_mesorreg!W$1, pop_mesorreg_interpol!$B$1:$XFD$1, 0), 0)</f>
        <v>15799.646656706136</v>
      </c>
      <c r="X61" s="7">
        <f>VLOOKUP($B61, gdp_tot_mes!$B:$XFD, MATCH(gdp_capita_mesorreg!X$1, gdp_tot_mes!$B$1:$XFD$1, 0), 0)*1000/VLOOKUP($B61, pop_mesorreg_interpol!$B:$XFD, MATCH(gdp_capita_mesorreg!X$1, pop_mesorreg_interpol!$B$1:$XFD$1, 0), 0)</f>
        <v>15975.871692153842</v>
      </c>
      <c r="Y61" s="7">
        <f>VLOOKUP($B61, gdp_tot_mes!$B:$XFD, MATCH(gdp_capita_mesorreg!Y$1, gdp_tot_mes!$B$1:$XFD$1, 0), 0)*1000/VLOOKUP($B61, pop_mesorreg_interpol!$B:$XFD, MATCH(gdp_capita_mesorreg!Y$1, pop_mesorreg_interpol!$B$1:$XFD$1, 0), 0)</f>
        <v>16271.655435853567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x14ac:dyDescent="0.25">
      <c r="A62" s="1" t="s">
        <v>147</v>
      </c>
      <c r="B62" s="1" t="s">
        <v>156</v>
      </c>
      <c r="C62" s="1" t="s">
        <v>157</v>
      </c>
      <c r="D62" s="7" t="e">
        <f>NA()</f>
        <v>#N/A</v>
      </c>
      <c r="E62" s="7">
        <f>VLOOKUP($B62, gdp_tot_mes!$B:$XFD, MATCH(gdp_capita_mesorreg!E$1, gdp_tot_mes!$B$1:$XFD$1, 0), 0)*1000/VLOOKUP($B62, pop_mesorreg_interpol!$B:$XFD, MATCH(gdp_capita_mesorreg!E$1, pop_mesorreg_interpol!$B$1:$XFD$1, 0), 0)</f>
        <v>949.04774803539863</v>
      </c>
      <c r="F62" s="7">
        <f>VLOOKUP($B62, gdp_tot_mes!$B:$XFD, MATCH(gdp_capita_mesorreg!F$1, gdp_tot_mes!$B$1:$XFD$1, 0), 0)*1000/VLOOKUP($B62, pop_mesorreg_interpol!$B:$XFD, MATCH(gdp_capita_mesorreg!F$1, pop_mesorreg_interpol!$B$1:$XFD$1, 0), 0)</f>
        <v>1630.7554812215035</v>
      </c>
      <c r="G62" s="7">
        <f>VLOOKUP($B62, gdp_tot_mes!$B:$XFD, MATCH(gdp_capita_mesorreg!G$1, gdp_tot_mes!$B$1:$XFD$1, 0), 0)*1000/VLOOKUP($B62, pop_mesorreg_interpol!$B:$XFD, MATCH(gdp_capita_mesorreg!G$1, pop_mesorreg_interpol!$B$1:$XFD$1, 0), 0)</f>
        <v>1634.6348898768913</v>
      </c>
      <c r="H62" s="7">
        <f>VLOOKUP($B62, gdp_tot_mes!$B:$XFD, MATCH(gdp_capita_mesorreg!H$1, gdp_tot_mes!$B$1:$XFD$1, 0), 0)*1000/VLOOKUP($B62, pop_mesorreg_interpol!$B:$XFD, MATCH(gdp_capita_mesorreg!H$1, pop_mesorreg_interpol!$B$1:$XFD$1, 0), 0)</f>
        <v>2777.1257936787397</v>
      </c>
      <c r="I62" s="7">
        <f>VLOOKUP($B62, gdp_tot_mes!$B:$XFD, MATCH(gdp_capita_mesorreg!I$1, gdp_tot_mes!$B$1:$XFD$1, 0), 0)*1000/VLOOKUP($B62, pop_mesorreg_interpol!$B:$XFD, MATCH(gdp_capita_mesorreg!I$1, pop_mesorreg_interpol!$B$1:$XFD$1, 0), 0)</f>
        <v>5147.9997707597831</v>
      </c>
      <c r="J62" s="7">
        <f>VLOOKUP($B62, gdp_tot_mes!$B:$XFD, MATCH(gdp_capita_mesorreg!J$1, gdp_tot_mes!$B$1:$XFD$1, 0), 0)*1000/VLOOKUP($B62, pop_mesorreg_interpol!$B:$XFD, MATCH(gdp_capita_mesorreg!J$1, pop_mesorreg_interpol!$B$1:$XFD$1, 0), 0)</f>
        <v>8089.0005801604821</v>
      </c>
      <c r="K62" s="7">
        <f>VLOOKUP($B62, gdp_tot_mes!$B:$XFD, MATCH(gdp_capita_mesorreg!K$1, gdp_tot_mes!$B$1:$XFD$1, 0), 0)*1000/VLOOKUP($B62, pop_mesorreg_interpol!$B:$XFD, MATCH(gdp_capita_mesorreg!K$1, pop_mesorreg_interpol!$B$1:$XFD$1, 0), 0)</f>
        <v>10749.51159190088</v>
      </c>
      <c r="L62" s="8">
        <f>VLOOKUP($B62, gdp_tot_mes!$B:$XFD, MATCH(gdp_capita_mesorreg!L$1, gdp_tot_mes!$B$1:$XFD$1, 0), 0)*1000/VLOOKUP($B62, pop_mesorreg_interpol!$B:$XFD, MATCH(gdp_capita_mesorreg!L$1, pop_mesorreg_interpol!$B$1:$XFD$1, 0), 0)</f>
        <v>10661.580968669965</v>
      </c>
      <c r="M62" s="7">
        <f>VLOOKUP($B62, gdp_tot_mes!$B:$XFD, MATCH(gdp_capita_mesorreg!M$1, gdp_tot_mes!$B$1:$XFD$1, 0), 0)*1000/VLOOKUP($B62, pop_mesorreg_interpol!$B:$XFD, MATCH(gdp_capita_mesorreg!M$1, pop_mesorreg_interpol!$B$1:$XFD$1, 0), 0)</f>
        <v>10579.054607498529</v>
      </c>
      <c r="N62" s="7">
        <f>VLOOKUP($B62, gdp_tot_mes!$B:$XFD, MATCH(gdp_capita_mesorreg!N$1, gdp_tot_mes!$B$1:$XFD$1, 0), 0)*1000/VLOOKUP($B62, pop_mesorreg_interpol!$B:$XFD, MATCH(gdp_capita_mesorreg!N$1, pop_mesorreg_interpol!$B$1:$XFD$1, 0), 0)</f>
        <v>15589.209497764949</v>
      </c>
      <c r="O62" s="7">
        <f>VLOOKUP($B62, gdp_tot_mes!$B:$XFD, MATCH(gdp_capita_mesorreg!O$1, gdp_tot_mes!$B$1:$XFD$1, 0), 0)*1000/VLOOKUP($B62, pop_mesorreg_interpol!$B:$XFD, MATCH(gdp_capita_mesorreg!O$1, pop_mesorreg_interpol!$B$1:$XFD$1, 0), 0)</f>
        <v>16897.429782665567</v>
      </c>
      <c r="P62" s="7">
        <f>VLOOKUP($B62, gdp_tot_mes!$B:$XFD, MATCH(gdp_capita_mesorreg!P$1, gdp_tot_mes!$B$1:$XFD$1, 0), 0)*1000/VLOOKUP($B62, pop_mesorreg_interpol!$B:$XFD, MATCH(gdp_capita_mesorreg!P$1, pop_mesorreg_interpol!$B$1:$XFD$1, 0), 0)</f>
        <v>17106.713842974928</v>
      </c>
      <c r="Q62" s="7">
        <f>VLOOKUP($B62, gdp_tot_mes!$B:$XFD, MATCH(gdp_capita_mesorreg!Q$1, gdp_tot_mes!$B$1:$XFD$1, 0), 0)*1000/VLOOKUP($B62, pop_mesorreg_interpol!$B:$XFD, MATCH(gdp_capita_mesorreg!Q$1, pop_mesorreg_interpol!$B$1:$XFD$1, 0), 0)</f>
        <v>21811.072701725345</v>
      </c>
      <c r="R62" s="7">
        <f>VLOOKUP($B62, gdp_tot_mes!$B:$XFD, MATCH(gdp_capita_mesorreg!R$1, gdp_tot_mes!$B$1:$XFD$1, 0), 0)*1000/VLOOKUP($B62, pop_mesorreg_interpol!$B:$XFD, MATCH(gdp_capita_mesorreg!R$1, pop_mesorreg_interpol!$B$1:$XFD$1, 0), 0)</f>
        <v>27954.181514067062</v>
      </c>
      <c r="S62" s="7">
        <f>VLOOKUP($B62, gdp_tot_mes!$B:$XFD, MATCH(gdp_capita_mesorreg!S$1, gdp_tot_mes!$B$1:$XFD$1, 0), 0)*1000/VLOOKUP($B62, pop_mesorreg_interpol!$B:$XFD, MATCH(gdp_capita_mesorreg!S$1, pop_mesorreg_interpol!$B$1:$XFD$1, 0), 0)</f>
        <v>33825.333865455163</v>
      </c>
      <c r="T62" s="7">
        <f>VLOOKUP($B62, gdp_tot_mes!$B:$XFD, MATCH(gdp_capita_mesorreg!T$1, gdp_tot_mes!$B$1:$XFD$1, 0), 0)*1000/VLOOKUP($B62, pop_mesorreg_interpol!$B:$XFD, MATCH(gdp_capita_mesorreg!T$1, pop_mesorreg_interpol!$B$1:$XFD$1, 0), 0)</f>
        <v>32215.091715988605</v>
      </c>
      <c r="U62" s="7">
        <f>VLOOKUP($B62, gdp_tot_mes!$B:$XFD, MATCH(gdp_capita_mesorreg!U$1, gdp_tot_mes!$B$1:$XFD$1, 0), 0)*1000/VLOOKUP($B62, pop_mesorreg_interpol!$B:$XFD, MATCH(gdp_capita_mesorreg!U$1, pop_mesorreg_interpol!$B$1:$XFD$1, 0), 0)</f>
        <v>24773.498240248002</v>
      </c>
      <c r="V62" s="7">
        <f>VLOOKUP($B62, gdp_tot_mes!$B:$XFD, MATCH(gdp_capita_mesorreg!V$1, gdp_tot_mes!$B$1:$XFD$1, 0), 0)*1000/VLOOKUP($B62, pop_mesorreg_interpol!$B:$XFD, MATCH(gdp_capita_mesorreg!V$1, pop_mesorreg_interpol!$B$1:$XFD$1, 0), 0)</f>
        <v>29220.308349078838</v>
      </c>
      <c r="W62" s="7">
        <f>VLOOKUP($B62, gdp_tot_mes!$B:$XFD, MATCH(gdp_capita_mesorreg!W$1, gdp_tot_mes!$B$1:$XFD$1, 0), 0)*1000/VLOOKUP($B62, pop_mesorreg_interpol!$B:$XFD, MATCH(gdp_capita_mesorreg!W$1, pop_mesorreg_interpol!$B$1:$XFD$1, 0), 0)</f>
        <v>31760.28027601877</v>
      </c>
      <c r="X62" s="7">
        <f>VLOOKUP($B62, gdp_tot_mes!$B:$XFD, MATCH(gdp_capita_mesorreg!X$1, gdp_tot_mes!$B$1:$XFD$1, 0), 0)*1000/VLOOKUP($B62, pop_mesorreg_interpol!$B:$XFD, MATCH(gdp_capita_mesorreg!X$1, pop_mesorreg_interpol!$B$1:$XFD$1, 0), 0)</f>
        <v>30132.904973511144</v>
      </c>
      <c r="Y62" s="7">
        <f>VLOOKUP($B62, gdp_tot_mes!$B:$XFD, MATCH(gdp_capita_mesorreg!Y$1, gdp_tot_mes!$B$1:$XFD$1, 0), 0)*1000/VLOOKUP($B62, pop_mesorreg_interpol!$B:$XFD, MATCH(gdp_capita_mesorreg!Y$1, pop_mesorreg_interpol!$B$1:$XFD$1, 0), 0)</f>
        <v>28751.558406911718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x14ac:dyDescent="0.25">
      <c r="A63" s="1" t="s">
        <v>158</v>
      </c>
      <c r="B63" s="1" t="s">
        <v>159</v>
      </c>
      <c r="C63" s="1" t="s">
        <v>160</v>
      </c>
      <c r="D63" s="7">
        <f>VLOOKUP($B63, gdp_tot_mes!$B:$XFD, MATCH(gdp_capita_mesorreg!D$1, gdp_tot_mes!$B$1:$XFD$1, 0), 0)*1000/VLOOKUP($B63, pop_mesorreg_interpol!$B:$XFD, MATCH(gdp_capita_mesorreg!D$1, pop_mesorreg_interpol!$B$1:$XFD$1, 0), 0)</f>
        <v>367.54757038181009</v>
      </c>
      <c r="E63" s="7">
        <f>VLOOKUP($B63, gdp_tot_mes!$B:$XFD, MATCH(gdp_capita_mesorreg!E$1, gdp_tot_mes!$B$1:$XFD$1, 0), 0)*1000/VLOOKUP($B63, pop_mesorreg_interpol!$B:$XFD, MATCH(gdp_capita_mesorreg!E$1, pop_mesorreg_interpol!$B$1:$XFD$1, 0), 0)</f>
        <v>972.06143774586815</v>
      </c>
      <c r="F63" s="7">
        <f>VLOOKUP($B63, gdp_tot_mes!$B:$XFD, MATCH(gdp_capita_mesorreg!F$1, gdp_tot_mes!$B$1:$XFD$1, 0), 0)*1000/VLOOKUP($B63, pop_mesorreg_interpol!$B:$XFD, MATCH(gdp_capita_mesorreg!F$1, pop_mesorreg_interpol!$B$1:$XFD$1, 0), 0)</f>
        <v>986.21176452721068</v>
      </c>
      <c r="G63" s="7">
        <f>VLOOKUP($B63, gdp_tot_mes!$B:$XFD, MATCH(gdp_capita_mesorreg!G$1, gdp_tot_mes!$B$1:$XFD$1, 0), 0)*1000/VLOOKUP($B63, pop_mesorreg_interpol!$B:$XFD, MATCH(gdp_capita_mesorreg!G$1, pop_mesorreg_interpol!$B$1:$XFD$1, 0), 0)</f>
        <v>1654.0196480361042</v>
      </c>
      <c r="H63" s="7">
        <f>VLOOKUP($B63, gdp_tot_mes!$B:$XFD, MATCH(gdp_capita_mesorreg!H$1, gdp_tot_mes!$B$1:$XFD$1, 0), 0)*1000/VLOOKUP($B63, pop_mesorreg_interpol!$B:$XFD, MATCH(gdp_capita_mesorreg!H$1, pop_mesorreg_interpol!$B$1:$XFD$1, 0), 0)</f>
        <v>2417.9173650633998</v>
      </c>
      <c r="I63" s="7">
        <f>VLOOKUP($B63, gdp_tot_mes!$B:$XFD, MATCH(gdp_capita_mesorreg!I$1, gdp_tot_mes!$B$1:$XFD$1, 0), 0)*1000/VLOOKUP($B63, pop_mesorreg_interpol!$B:$XFD, MATCH(gdp_capita_mesorreg!I$1, pop_mesorreg_interpol!$B$1:$XFD$1, 0), 0)</f>
        <v>2757.7027070244285</v>
      </c>
      <c r="J63" s="7">
        <f>VLOOKUP($B63, gdp_tot_mes!$B:$XFD, MATCH(gdp_capita_mesorreg!J$1, gdp_tot_mes!$B$1:$XFD$1, 0), 0)*1000/VLOOKUP($B63, pop_mesorreg_interpol!$B:$XFD, MATCH(gdp_capita_mesorreg!J$1, pop_mesorreg_interpol!$B$1:$XFD$1, 0), 0)</f>
        <v>8876.1339679037974</v>
      </c>
      <c r="K63" s="7">
        <f>VLOOKUP($B63, gdp_tot_mes!$B:$XFD, MATCH(gdp_capita_mesorreg!K$1, gdp_tot_mes!$B$1:$XFD$1, 0), 0)*1000/VLOOKUP($B63, pop_mesorreg_interpol!$B:$XFD, MATCH(gdp_capita_mesorreg!K$1, pop_mesorreg_interpol!$B$1:$XFD$1, 0), 0)</f>
        <v>14370.301578310353</v>
      </c>
      <c r="L63" s="8">
        <f>VLOOKUP($B63, gdp_tot_mes!$B:$XFD, MATCH(gdp_capita_mesorreg!L$1, gdp_tot_mes!$B$1:$XFD$1, 0), 0)*1000/VLOOKUP($B63, pop_mesorreg_interpol!$B:$XFD, MATCH(gdp_capita_mesorreg!L$1, pop_mesorreg_interpol!$B$1:$XFD$1, 0), 0)</f>
        <v>9920.4316710446128</v>
      </c>
      <c r="M63" s="7">
        <f>VLOOKUP($B63, gdp_tot_mes!$B:$XFD, MATCH(gdp_capita_mesorreg!M$1, gdp_tot_mes!$B$1:$XFD$1, 0), 0)*1000/VLOOKUP($B63, pop_mesorreg_interpol!$B:$XFD, MATCH(gdp_capita_mesorreg!M$1, pop_mesorreg_interpol!$B$1:$XFD$1, 0), 0)</f>
        <v>5281.2084053223243</v>
      </c>
      <c r="N63" s="7">
        <f>VLOOKUP($B63, gdp_tot_mes!$B:$XFD, MATCH(gdp_capita_mesorreg!N$1, gdp_tot_mes!$B$1:$XFD$1, 0), 0)*1000/VLOOKUP($B63, pop_mesorreg_interpol!$B:$XFD, MATCH(gdp_capita_mesorreg!N$1, pop_mesorreg_interpol!$B$1:$XFD$1, 0), 0)</f>
        <v>5688.5479753045392</v>
      </c>
      <c r="O63" s="7">
        <f>VLOOKUP($B63, gdp_tot_mes!$B:$XFD, MATCH(gdp_capita_mesorreg!O$1, gdp_tot_mes!$B$1:$XFD$1, 0), 0)*1000/VLOOKUP($B63, pop_mesorreg_interpol!$B:$XFD, MATCH(gdp_capita_mesorreg!O$1, pop_mesorreg_interpol!$B$1:$XFD$1, 0), 0)</f>
        <v>5804.2928084115592</v>
      </c>
      <c r="P63" s="7">
        <f>VLOOKUP($B63, gdp_tot_mes!$B:$XFD, MATCH(gdp_capita_mesorreg!P$1, gdp_tot_mes!$B$1:$XFD$1, 0), 0)*1000/VLOOKUP($B63, pop_mesorreg_interpol!$B:$XFD, MATCH(gdp_capita_mesorreg!P$1, pop_mesorreg_interpol!$B$1:$XFD$1, 0), 0)</f>
        <v>6394.0588613530099</v>
      </c>
      <c r="Q63" s="7">
        <f>VLOOKUP($B63, gdp_tot_mes!$B:$XFD, MATCH(gdp_capita_mesorreg!Q$1, gdp_tot_mes!$B$1:$XFD$1, 0), 0)*1000/VLOOKUP($B63, pop_mesorreg_interpol!$B:$XFD, MATCH(gdp_capita_mesorreg!Q$1, pop_mesorreg_interpol!$B$1:$XFD$1, 0), 0)</f>
        <v>6968.8210200685926</v>
      </c>
      <c r="R63" s="7">
        <f>VLOOKUP($B63, gdp_tot_mes!$B:$XFD, MATCH(gdp_capita_mesorreg!R$1, gdp_tot_mes!$B$1:$XFD$1, 0), 0)*1000/VLOOKUP($B63, pop_mesorreg_interpol!$B:$XFD, MATCH(gdp_capita_mesorreg!R$1, pop_mesorreg_interpol!$B$1:$XFD$1, 0), 0)</f>
        <v>7058.4427725930582</v>
      </c>
      <c r="S63" s="7">
        <f>VLOOKUP($B63, gdp_tot_mes!$B:$XFD, MATCH(gdp_capita_mesorreg!S$1, gdp_tot_mes!$B$1:$XFD$1, 0), 0)*1000/VLOOKUP($B63, pop_mesorreg_interpol!$B:$XFD, MATCH(gdp_capita_mesorreg!S$1, pop_mesorreg_interpol!$B$1:$XFD$1, 0), 0)</f>
        <v>7464.174662908863</v>
      </c>
      <c r="T63" s="7">
        <f>VLOOKUP($B63, gdp_tot_mes!$B:$XFD, MATCH(gdp_capita_mesorreg!T$1, gdp_tot_mes!$B$1:$XFD$1, 0), 0)*1000/VLOOKUP($B63, pop_mesorreg_interpol!$B:$XFD, MATCH(gdp_capita_mesorreg!T$1, pop_mesorreg_interpol!$B$1:$XFD$1, 0), 0)</f>
        <v>7092.3620798301072</v>
      </c>
      <c r="U63" s="7">
        <f>VLOOKUP($B63, gdp_tot_mes!$B:$XFD, MATCH(gdp_capita_mesorreg!U$1, gdp_tot_mes!$B$1:$XFD$1, 0), 0)*1000/VLOOKUP($B63, pop_mesorreg_interpol!$B:$XFD, MATCH(gdp_capita_mesorreg!U$1, pop_mesorreg_interpol!$B$1:$XFD$1, 0), 0)</f>
        <v>6622.7040375290717</v>
      </c>
      <c r="V63" s="7">
        <f>VLOOKUP($B63, gdp_tot_mes!$B:$XFD, MATCH(gdp_capita_mesorreg!V$1, gdp_tot_mes!$B$1:$XFD$1, 0), 0)*1000/VLOOKUP($B63, pop_mesorreg_interpol!$B:$XFD, MATCH(gdp_capita_mesorreg!V$1, pop_mesorreg_interpol!$B$1:$XFD$1, 0), 0)</f>
        <v>6762.8082629373512</v>
      </c>
      <c r="W63" s="7">
        <f>VLOOKUP($B63, gdp_tot_mes!$B:$XFD, MATCH(gdp_capita_mesorreg!W$1, gdp_tot_mes!$B$1:$XFD$1, 0), 0)*1000/VLOOKUP($B63, pop_mesorreg_interpol!$B:$XFD, MATCH(gdp_capita_mesorreg!W$1, pop_mesorreg_interpol!$B$1:$XFD$1, 0), 0)</f>
        <v>7537.7577143043609</v>
      </c>
      <c r="X63" s="7">
        <f>VLOOKUP($B63, gdp_tot_mes!$B:$XFD, MATCH(gdp_capita_mesorreg!X$1, gdp_tot_mes!$B$1:$XFD$1, 0), 0)*1000/VLOOKUP($B63, pop_mesorreg_interpol!$B:$XFD, MATCH(gdp_capita_mesorreg!X$1, pop_mesorreg_interpol!$B$1:$XFD$1, 0), 0)</f>
        <v>6598.6445099365656</v>
      </c>
      <c r="Y63" s="7">
        <f>VLOOKUP($B63, gdp_tot_mes!$B:$XFD, MATCH(gdp_capita_mesorreg!Y$1, gdp_tot_mes!$B$1:$XFD$1, 0), 0)*1000/VLOOKUP($B63, pop_mesorreg_interpol!$B:$XFD, MATCH(gdp_capita_mesorreg!Y$1, pop_mesorreg_interpol!$B$1:$XFD$1, 0), 0)</f>
        <v>7646.6877118321854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x14ac:dyDescent="0.25">
      <c r="A64" s="1" t="s">
        <v>158</v>
      </c>
      <c r="B64" s="1" t="s">
        <v>161</v>
      </c>
      <c r="C64" s="1" t="s">
        <v>162</v>
      </c>
      <c r="D64" s="7">
        <f>VLOOKUP($B64, gdp_tot_mes!$B:$XFD, MATCH(gdp_capita_mesorreg!D$1, gdp_tot_mes!$B$1:$XFD$1, 0), 0)*1000/VLOOKUP($B64, pop_mesorreg_interpol!$B:$XFD, MATCH(gdp_capita_mesorreg!D$1, pop_mesorreg_interpol!$B$1:$XFD$1, 0), 0)</f>
        <v>537.80770567588513</v>
      </c>
      <c r="E64" s="7">
        <f>VLOOKUP($B64, gdp_tot_mes!$B:$XFD, MATCH(gdp_capita_mesorreg!E$1, gdp_tot_mes!$B$1:$XFD$1, 0), 0)*1000/VLOOKUP($B64, pop_mesorreg_interpol!$B:$XFD, MATCH(gdp_capita_mesorreg!E$1, pop_mesorreg_interpol!$B$1:$XFD$1, 0), 0)</f>
        <v>912.16747254823781</v>
      </c>
      <c r="F64" s="7">
        <f>VLOOKUP($B64, gdp_tot_mes!$B:$XFD, MATCH(gdp_capita_mesorreg!F$1, gdp_tot_mes!$B$1:$XFD$1, 0), 0)*1000/VLOOKUP($B64, pop_mesorreg_interpol!$B:$XFD, MATCH(gdp_capita_mesorreg!F$1, pop_mesorreg_interpol!$B$1:$XFD$1, 0), 0)</f>
        <v>538.36624044172834</v>
      </c>
      <c r="G64" s="7">
        <f>VLOOKUP($B64, gdp_tot_mes!$B:$XFD, MATCH(gdp_capita_mesorreg!G$1, gdp_tot_mes!$B$1:$XFD$1, 0), 0)*1000/VLOOKUP($B64, pop_mesorreg_interpol!$B:$XFD, MATCH(gdp_capita_mesorreg!G$1, pop_mesorreg_interpol!$B$1:$XFD$1, 0), 0)</f>
        <v>792.34356869342344</v>
      </c>
      <c r="H64" s="7">
        <f>VLOOKUP($B64, gdp_tot_mes!$B:$XFD, MATCH(gdp_capita_mesorreg!H$1, gdp_tot_mes!$B$1:$XFD$1, 0), 0)*1000/VLOOKUP($B64, pop_mesorreg_interpol!$B:$XFD, MATCH(gdp_capita_mesorreg!H$1, pop_mesorreg_interpol!$B$1:$XFD$1, 0), 0)</f>
        <v>2053.8893653156688</v>
      </c>
      <c r="I64" s="7">
        <f>VLOOKUP($B64, gdp_tot_mes!$B:$XFD, MATCH(gdp_capita_mesorreg!I$1, gdp_tot_mes!$B$1:$XFD$1, 0), 0)*1000/VLOOKUP($B64, pop_mesorreg_interpol!$B:$XFD, MATCH(gdp_capita_mesorreg!I$1, pop_mesorreg_interpol!$B$1:$XFD$1, 0), 0)</f>
        <v>2812.7470583155023</v>
      </c>
      <c r="J64" s="7">
        <f>VLOOKUP($B64, gdp_tot_mes!$B:$XFD, MATCH(gdp_capita_mesorreg!J$1, gdp_tot_mes!$B$1:$XFD$1, 0), 0)*1000/VLOOKUP($B64, pop_mesorreg_interpol!$B:$XFD, MATCH(gdp_capita_mesorreg!J$1, pop_mesorreg_interpol!$B$1:$XFD$1, 0), 0)</f>
        <v>4977.1916135514657</v>
      </c>
      <c r="K64" s="7">
        <f>VLOOKUP($B64, gdp_tot_mes!$B:$XFD, MATCH(gdp_capita_mesorreg!K$1, gdp_tot_mes!$B$1:$XFD$1, 0), 0)*1000/VLOOKUP($B64, pop_mesorreg_interpol!$B:$XFD, MATCH(gdp_capita_mesorreg!K$1, pop_mesorreg_interpol!$B$1:$XFD$1, 0), 0)</f>
        <v>4778.4515950105551</v>
      </c>
      <c r="L64" s="8">
        <f>VLOOKUP($B64, gdp_tot_mes!$B:$XFD, MATCH(gdp_capita_mesorreg!L$1, gdp_tot_mes!$B$1:$XFD$1, 0), 0)*1000/VLOOKUP($B64, pop_mesorreg_interpol!$B:$XFD, MATCH(gdp_capita_mesorreg!L$1, pop_mesorreg_interpol!$B$1:$XFD$1, 0), 0)</f>
        <v>3897.1855912829801</v>
      </c>
      <c r="M64" s="7">
        <f>VLOOKUP($B64, gdp_tot_mes!$B:$XFD, MATCH(gdp_capita_mesorreg!M$1, gdp_tot_mes!$B$1:$XFD$1, 0), 0)*1000/VLOOKUP($B64, pop_mesorreg_interpol!$B:$XFD, MATCH(gdp_capita_mesorreg!M$1, pop_mesorreg_interpol!$B$1:$XFD$1, 0), 0)</f>
        <v>2962.8148030737302</v>
      </c>
      <c r="N64" s="7">
        <f>VLOOKUP($B64, gdp_tot_mes!$B:$XFD, MATCH(gdp_capita_mesorreg!N$1, gdp_tot_mes!$B$1:$XFD$1, 0), 0)*1000/VLOOKUP($B64, pop_mesorreg_interpol!$B:$XFD, MATCH(gdp_capita_mesorreg!N$1, pop_mesorreg_interpol!$B$1:$XFD$1, 0), 0)</f>
        <v>2932.9274127600584</v>
      </c>
      <c r="O64" s="7">
        <f>VLOOKUP($B64, gdp_tot_mes!$B:$XFD, MATCH(gdp_capita_mesorreg!O$1, gdp_tot_mes!$B$1:$XFD$1, 0), 0)*1000/VLOOKUP($B64, pop_mesorreg_interpol!$B:$XFD, MATCH(gdp_capita_mesorreg!O$1, pop_mesorreg_interpol!$B$1:$XFD$1, 0), 0)</f>
        <v>2872.333169584906</v>
      </c>
      <c r="P64" s="7">
        <f>VLOOKUP($B64, gdp_tot_mes!$B:$XFD, MATCH(gdp_capita_mesorreg!P$1, gdp_tot_mes!$B$1:$XFD$1, 0), 0)*1000/VLOOKUP($B64, pop_mesorreg_interpol!$B:$XFD, MATCH(gdp_capita_mesorreg!P$1, pop_mesorreg_interpol!$B$1:$XFD$1, 0), 0)</f>
        <v>3277.702952624838</v>
      </c>
      <c r="Q64" s="7">
        <f>VLOOKUP($B64, gdp_tot_mes!$B:$XFD, MATCH(gdp_capita_mesorreg!Q$1, gdp_tot_mes!$B$1:$XFD$1, 0), 0)*1000/VLOOKUP($B64, pop_mesorreg_interpol!$B:$XFD, MATCH(gdp_capita_mesorreg!Q$1, pop_mesorreg_interpol!$B$1:$XFD$1, 0), 0)</f>
        <v>3369.541372622225</v>
      </c>
      <c r="R64" s="7">
        <f>VLOOKUP($B64, gdp_tot_mes!$B:$XFD, MATCH(gdp_capita_mesorreg!R$1, gdp_tot_mes!$B$1:$XFD$1, 0), 0)*1000/VLOOKUP($B64, pop_mesorreg_interpol!$B:$XFD, MATCH(gdp_capita_mesorreg!R$1, pop_mesorreg_interpol!$B$1:$XFD$1, 0), 0)</f>
        <v>3090.237031072616</v>
      </c>
      <c r="S64" s="7">
        <f>VLOOKUP($B64, gdp_tot_mes!$B:$XFD, MATCH(gdp_capita_mesorreg!S$1, gdp_tot_mes!$B$1:$XFD$1, 0), 0)*1000/VLOOKUP($B64, pop_mesorreg_interpol!$B:$XFD, MATCH(gdp_capita_mesorreg!S$1, pop_mesorreg_interpol!$B$1:$XFD$1, 0), 0)</f>
        <v>3050.651374324374</v>
      </c>
      <c r="T64" s="7">
        <f>VLOOKUP($B64, gdp_tot_mes!$B:$XFD, MATCH(gdp_capita_mesorreg!T$1, gdp_tot_mes!$B$1:$XFD$1, 0), 0)*1000/VLOOKUP($B64, pop_mesorreg_interpol!$B:$XFD, MATCH(gdp_capita_mesorreg!T$1, pop_mesorreg_interpol!$B$1:$XFD$1, 0), 0)</f>
        <v>3009.8776285948088</v>
      </c>
      <c r="U64" s="7">
        <f>VLOOKUP($B64, gdp_tot_mes!$B:$XFD, MATCH(gdp_capita_mesorreg!U$1, gdp_tot_mes!$B$1:$XFD$1, 0), 0)*1000/VLOOKUP($B64, pop_mesorreg_interpol!$B:$XFD, MATCH(gdp_capita_mesorreg!U$1, pop_mesorreg_interpol!$B$1:$XFD$1, 0), 0)</f>
        <v>2972.9646287281334</v>
      </c>
      <c r="V64" s="7">
        <f>VLOOKUP($B64, gdp_tot_mes!$B:$XFD, MATCH(gdp_capita_mesorreg!V$1, gdp_tot_mes!$B$1:$XFD$1, 0), 0)*1000/VLOOKUP($B64, pop_mesorreg_interpol!$B:$XFD, MATCH(gdp_capita_mesorreg!V$1, pop_mesorreg_interpol!$B$1:$XFD$1, 0), 0)</f>
        <v>3211.1308908617566</v>
      </c>
      <c r="W64" s="7">
        <f>VLOOKUP($B64, gdp_tot_mes!$B:$XFD, MATCH(gdp_capita_mesorreg!W$1, gdp_tot_mes!$B$1:$XFD$1, 0), 0)*1000/VLOOKUP($B64, pop_mesorreg_interpol!$B:$XFD, MATCH(gdp_capita_mesorreg!W$1, pop_mesorreg_interpol!$B$1:$XFD$1, 0), 0)</f>
        <v>3117.4822755549148</v>
      </c>
      <c r="X64" s="7">
        <f>VLOOKUP($B64, gdp_tot_mes!$B:$XFD, MATCH(gdp_capita_mesorreg!X$1, gdp_tot_mes!$B$1:$XFD$1, 0), 0)*1000/VLOOKUP($B64, pop_mesorreg_interpol!$B:$XFD, MATCH(gdp_capita_mesorreg!X$1, pop_mesorreg_interpol!$B$1:$XFD$1, 0), 0)</f>
        <v>3153.585533623203</v>
      </c>
      <c r="Y64" s="7">
        <f>VLOOKUP($B64, gdp_tot_mes!$B:$XFD, MATCH(gdp_capita_mesorreg!Y$1, gdp_tot_mes!$B$1:$XFD$1, 0), 0)*1000/VLOOKUP($B64, pop_mesorreg_interpol!$B:$XFD, MATCH(gdp_capita_mesorreg!Y$1, pop_mesorreg_interpol!$B$1:$XFD$1, 0), 0)</f>
        <v>3269.8004004024551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x14ac:dyDescent="0.25">
      <c r="A65" s="1" t="s">
        <v>158</v>
      </c>
      <c r="B65" s="1" t="s">
        <v>163</v>
      </c>
      <c r="C65" s="1" t="s">
        <v>164</v>
      </c>
      <c r="D65" s="7">
        <f>VLOOKUP($B65, gdp_tot_mes!$B:$XFD, MATCH(gdp_capita_mesorreg!D$1, gdp_tot_mes!$B$1:$XFD$1, 0), 0)*1000/VLOOKUP($B65, pop_mesorreg_interpol!$B:$XFD, MATCH(gdp_capita_mesorreg!D$1, pop_mesorreg_interpol!$B$1:$XFD$1, 0), 0)</f>
        <v>1233.7194937743843</v>
      </c>
      <c r="E65" s="7">
        <f>VLOOKUP($B65, gdp_tot_mes!$B:$XFD, MATCH(gdp_capita_mesorreg!E$1, gdp_tot_mes!$B$1:$XFD$1, 0), 0)*1000/VLOOKUP($B65, pop_mesorreg_interpol!$B:$XFD, MATCH(gdp_capita_mesorreg!E$1, pop_mesorreg_interpol!$B$1:$XFD$1, 0), 0)</f>
        <v>3844.1105470317998</v>
      </c>
      <c r="F65" s="7">
        <f>VLOOKUP($B65, gdp_tot_mes!$B:$XFD, MATCH(gdp_capita_mesorreg!F$1, gdp_tot_mes!$B$1:$XFD$1, 0), 0)*1000/VLOOKUP($B65, pop_mesorreg_interpol!$B:$XFD, MATCH(gdp_capita_mesorreg!F$1, pop_mesorreg_interpol!$B$1:$XFD$1, 0), 0)</f>
        <v>3589.4946973825886</v>
      </c>
      <c r="G65" s="7">
        <f>VLOOKUP($B65, gdp_tot_mes!$B:$XFD, MATCH(gdp_capita_mesorreg!G$1, gdp_tot_mes!$B$1:$XFD$1, 0), 0)*1000/VLOOKUP($B65, pop_mesorreg_interpol!$B:$XFD, MATCH(gdp_capita_mesorreg!G$1, pop_mesorreg_interpol!$B$1:$XFD$1, 0), 0)</f>
        <v>5022.5659438799448</v>
      </c>
      <c r="H65" s="7">
        <f>VLOOKUP($B65, gdp_tot_mes!$B:$XFD, MATCH(gdp_capita_mesorreg!H$1, gdp_tot_mes!$B$1:$XFD$1, 0), 0)*1000/VLOOKUP($B65, pop_mesorreg_interpol!$B:$XFD, MATCH(gdp_capita_mesorreg!H$1, pop_mesorreg_interpol!$B$1:$XFD$1, 0), 0)</f>
        <v>6162.7455550468703</v>
      </c>
      <c r="I65" s="7">
        <f>VLOOKUP($B65, gdp_tot_mes!$B:$XFD, MATCH(gdp_capita_mesorreg!I$1, gdp_tot_mes!$B$1:$XFD$1, 0), 0)*1000/VLOOKUP($B65, pop_mesorreg_interpol!$B:$XFD, MATCH(gdp_capita_mesorreg!I$1, pop_mesorreg_interpol!$B$1:$XFD$1, 0), 0)</f>
        <v>7487.945215554314</v>
      </c>
      <c r="J65" s="7">
        <f>VLOOKUP($B65, gdp_tot_mes!$B:$XFD, MATCH(gdp_capita_mesorreg!J$1, gdp_tot_mes!$B$1:$XFD$1, 0), 0)*1000/VLOOKUP($B65, pop_mesorreg_interpol!$B:$XFD, MATCH(gdp_capita_mesorreg!J$1, pop_mesorreg_interpol!$B$1:$XFD$1, 0), 0)</f>
        <v>10938.458431774821</v>
      </c>
      <c r="K65" s="7">
        <f>VLOOKUP($B65, gdp_tot_mes!$B:$XFD, MATCH(gdp_capita_mesorreg!K$1, gdp_tot_mes!$B$1:$XFD$1, 0), 0)*1000/VLOOKUP($B65, pop_mesorreg_interpol!$B:$XFD, MATCH(gdp_capita_mesorreg!K$1, pop_mesorreg_interpol!$B$1:$XFD$1, 0), 0)</f>
        <v>10993.867916846249</v>
      </c>
      <c r="L65" s="8">
        <f>VLOOKUP($B65, gdp_tot_mes!$B:$XFD, MATCH(gdp_capita_mesorreg!L$1, gdp_tot_mes!$B$1:$XFD$1, 0), 0)*1000/VLOOKUP($B65, pop_mesorreg_interpol!$B:$XFD, MATCH(gdp_capita_mesorreg!L$1, pop_mesorreg_interpol!$B$1:$XFD$1, 0), 0)</f>
        <v>10478.170897547414</v>
      </c>
      <c r="M65" s="7">
        <f>VLOOKUP($B65, gdp_tot_mes!$B:$XFD, MATCH(gdp_capita_mesorreg!M$1, gdp_tot_mes!$B$1:$XFD$1, 0), 0)*1000/VLOOKUP($B65, pop_mesorreg_interpol!$B:$XFD, MATCH(gdp_capita_mesorreg!M$1, pop_mesorreg_interpol!$B$1:$XFD$1, 0), 0)</f>
        <v>10011.821054102649</v>
      </c>
      <c r="N65" s="7">
        <f>VLOOKUP($B65, gdp_tot_mes!$B:$XFD, MATCH(gdp_capita_mesorreg!N$1, gdp_tot_mes!$B$1:$XFD$1, 0), 0)*1000/VLOOKUP($B65, pop_mesorreg_interpol!$B:$XFD, MATCH(gdp_capita_mesorreg!N$1, pop_mesorreg_interpol!$B$1:$XFD$1, 0), 0)</f>
        <v>9885.7480702807879</v>
      </c>
      <c r="O65" s="7">
        <f>VLOOKUP($B65, gdp_tot_mes!$B:$XFD, MATCH(gdp_capita_mesorreg!O$1, gdp_tot_mes!$B$1:$XFD$1, 0), 0)*1000/VLOOKUP($B65, pop_mesorreg_interpol!$B:$XFD, MATCH(gdp_capita_mesorreg!O$1, pop_mesorreg_interpol!$B$1:$XFD$1, 0), 0)</f>
        <v>10340.90264801209</v>
      </c>
      <c r="P65" s="7">
        <f>VLOOKUP($B65, gdp_tot_mes!$B:$XFD, MATCH(gdp_capita_mesorreg!P$1, gdp_tot_mes!$B$1:$XFD$1, 0), 0)*1000/VLOOKUP($B65, pop_mesorreg_interpol!$B:$XFD, MATCH(gdp_capita_mesorreg!P$1, pop_mesorreg_interpol!$B$1:$XFD$1, 0), 0)</f>
        <v>10340.753594695369</v>
      </c>
      <c r="Q65" s="7">
        <f>VLOOKUP($B65, gdp_tot_mes!$B:$XFD, MATCH(gdp_capita_mesorreg!Q$1, gdp_tot_mes!$B$1:$XFD$1, 0), 0)*1000/VLOOKUP($B65, pop_mesorreg_interpol!$B:$XFD, MATCH(gdp_capita_mesorreg!Q$1, pop_mesorreg_interpol!$B$1:$XFD$1, 0), 0)</f>
        <v>10446.428657379351</v>
      </c>
      <c r="R65" s="7">
        <f>VLOOKUP($B65, gdp_tot_mes!$B:$XFD, MATCH(gdp_capita_mesorreg!R$1, gdp_tot_mes!$B$1:$XFD$1, 0), 0)*1000/VLOOKUP($B65, pop_mesorreg_interpol!$B:$XFD, MATCH(gdp_capita_mesorreg!R$1, pop_mesorreg_interpol!$B$1:$XFD$1, 0), 0)</f>
        <v>10326.319500621161</v>
      </c>
      <c r="S65" s="7">
        <f>VLOOKUP($B65, gdp_tot_mes!$B:$XFD, MATCH(gdp_capita_mesorreg!S$1, gdp_tot_mes!$B$1:$XFD$1, 0), 0)*1000/VLOOKUP($B65, pop_mesorreg_interpol!$B:$XFD, MATCH(gdp_capita_mesorreg!S$1, pop_mesorreg_interpol!$B$1:$XFD$1, 0), 0)</f>
        <v>11264.736241538321</v>
      </c>
      <c r="T65" s="7">
        <f>VLOOKUP($B65, gdp_tot_mes!$B:$XFD, MATCH(gdp_capita_mesorreg!T$1, gdp_tot_mes!$B$1:$XFD$1, 0), 0)*1000/VLOOKUP($B65, pop_mesorreg_interpol!$B:$XFD, MATCH(gdp_capita_mesorreg!T$1, pop_mesorreg_interpol!$B$1:$XFD$1, 0), 0)</f>
        <v>11149.22337103574</v>
      </c>
      <c r="U65" s="7">
        <f>VLOOKUP($B65, gdp_tot_mes!$B:$XFD, MATCH(gdp_capita_mesorreg!U$1, gdp_tot_mes!$B$1:$XFD$1, 0), 0)*1000/VLOOKUP($B65, pop_mesorreg_interpol!$B:$XFD, MATCH(gdp_capita_mesorreg!U$1, pop_mesorreg_interpol!$B$1:$XFD$1, 0), 0)</f>
        <v>11510.763626888602</v>
      </c>
      <c r="V65" s="7">
        <f>VLOOKUP($B65, gdp_tot_mes!$B:$XFD, MATCH(gdp_capita_mesorreg!V$1, gdp_tot_mes!$B$1:$XFD$1, 0), 0)*1000/VLOOKUP($B65, pop_mesorreg_interpol!$B:$XFD, MATCH(gdp_capita_mesorreg!V$1, pop_mesorreg_interpol!$B$1:$XFD$1, 0), 0)</f>
        <v>11969.453849023344</v>
      </c>
      <c r="W65" s="7">
        <f>VLOOKUP($B65, gdp_tot_mes!$B:$XFD, MATCH(gdp_capita_mesorreg!W$1, gdp_tot_mes!$B$1:$XFD$1, 0), 0)*1000/VLOOKUP($B65, pop_mesorreg_interpol!$B:$XFD, MATCH(gdp_capita_mesorreg!W$1, pop_mesorreg_interpol!$B$1:$XFD$1, 0), 0)</f>
        <v>11931.042411657418</v>
      </c>
      <c r="X65" s="7">
        <f>VLOOKUP($B65, gdp_tot_mes!$B:$XFD, MATCH(gdp_capita_mesorreg!X$1, gdp_tot_mes!$B$1:$XFD$1, 0), 0)*1000/VLOOKUP($B65, pop_mesorreg_interpol!$B:$XFD, MATCH(gdp_capita_mesorreg!X$1, pop_mesorreg_interpol!$B$1:$XFD$1, 0), 0)</f>
        <v>11697.524858792542</v>
      </c>
      <c r="Y65" s="7">
        <f>VLOOKUP($B65, gdp_tot_mes!$B:$XFD, MATCH(gdp_capita_mesorreg!Y$1, gdp_tot_mes!$B$1:$XFD$1, 0), 0)*1000/VLOOKUP($B65, pop_mesorreg_interpol!$B:$XFD, MATCH(gdp_capita_mesorreg!Y$1, pop_mesorreg_interpol!$B$1:$XFD$1, 0), 0)</f>
        <v>11688.883468448857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x14ac:dyDescent="0.25">
      <c r="A66" s="1" t="s">
        <v>158</v>
      </c>
      <c r="B66" s="1" t="s">
        <v>165</v>
      </c>
      <c r="C66" s="1" t="s">
        <v>166</v>
      </c>
      <c r="D66" s="7">
        <f>VLOOKUP($B66, gdp_tot_mes!$B:$XFD, MATCH(gdp_capita_mesorreg!D$1, gdp_tot_mes!$B$1:$XFD$1, 0), 0)*1000/VLOOKUP($B66, pop_mesorreg_interpol!$B:$XFD, MATCH(gdp_capita_mesorreg!D$1, pop_mesorreg_interpol!$B$1:$XFD$1, 0), 0)</f>
        <v>535.76785497710148</v>
      </c>
      <c r="E66" s="7">
        <f>VLOOKUP($B66, gdp_tot_mes!$B:$XFD, MATCH(gdp_capita_mesorreg!E$1, gdp_tot_mes!$B$1:$XFD$1, 0), 0)*1000/VLOOKUP($B66, pop_mesorreg_interpol!$B:$XFD, MATCH(gdp_capita_mesorreg!E$1, pop_mesorreg_interpol!$B$1:$XFD$1, 0), 0)</f>
        <v>940.24586907514868</v>
      </c>
      <c r="F66" s="7">
        <f>VLOOKUP($B66, gdp_tot_mes!$B:$XFD, MATCH(gdp_capita_mesorreg!F$1, gdp_tot_mes!$B$1:$XFD$1, 0), 0)*1000/VLOOKUP($B66, pop_mesorreg_interpol!$B:$XFD, MATCH(gdp_capita_mesorreg!F$1, pop_mesorreg_interpol!$B$1:$XFD$1, 0), 0)</f>
        <v>620.31576557929986</v>
      </c>
      <c r="G66" s="7">
        <f>VLOOKUP($B66, gdp_tot_mes!$B:$XFD, MATCH(gdp_capita_mesorreg!G$1, gdp_tot_mes!$B$1:$XFD$1, 0), 0)*1000/VLOOKUP($B66, pop_mesorreg_interpol!$B:$XFD, MATCH(gdp_capita_mesorreg!G$1, pop_mesorreg_interpol!$B$1:$XFD$1, 0), 0)</f>
        <v>1030.3858183966695</v>
      </c>
      <c r="H66" s="7">
        <f>VLOOKUP($B66, gdp_tot_mes!$B:$XFD, MATCH(gdp_capita_mesorreg!H$1, gdp_tot_mes!$B$1:$XFD$1, 0), 0)*1000/VLOOKUP($B66, pop_mesorreg_interpol!$B:$XFD, MATCH(gdp_capita_mesorreg!H$1, pop_mesorreg_interpol!$B$1:$XFD$1, 0), 0)</f>
        <v>2037.1619162203215</v>
      </c>
      <c r="I66" s="7">
        <f>VLOOKUP($B66, gdp_tot_mes!$B:$XFD, MATCH(gdp_capita_mesorreg!I$1, gdp_tot_mes!$B$1:$XFD$1, 0), 0)*1000/VLOOKUP($B66, pop_mesorreg_interpol!$B:$XFD, MATCH(gdp_capita_mesorreg!I$1, pop_mesorreg_interpol!$B$1:$XFD$1, 0), 0)</f>
        <v>2774.1948368920648</v>
      </c>
      <c r="J66" s="7">
        <f>VLOOKUP($B66, gdp_tot_mes!$B:$XFD, MATCH(gdp_capita_mesorreg!J$1, gdp_tot_mes!$B$1:$XFD$1, 0), 0)*1000/VLOOKUP($B66, pop_mesorreg_interpol!$B:$XFD, MATCH(gdp_capita_mesorreg!J$1, pop_mesorreg_interpol!$B$1:$XFD$1, 0), 0)</f>
        <v>4534.0649852793167</v>
      </c>
      <c r="K66" s="7">
        <f>VLOOKUP($B66, gdp_tot_mes!$B:$XFD, MATCH(gdp_capita_mesorreg!K$1, gdp_tot_mes!$B$1:$XFD$1, 0), 0)*1000/VLOOKUP($B66, pop_mesorreg_interpol!$B:$XFD, MATCH(gdp_capita_mesorreg!K$1, pop_mesorreg_interpol!$B$1:$XFD$1, 0), 0)</f>
        <v>4466.7139310769107</v>
      </c>
      <c r="L66" s="8">
        <f>VLOOKUP($B66, gdp_tot_mes!$B:$XFD, MATCH(gdp_capita_mesorreg!L$1, gdp_tot_mes!$B$1:$XFD$1, 0), 0)*1000/VLOOKUP($B66, pop_mesorreg_interpol!$B:$XFD, MATCH(gdp_capita_mesorreg!L$1, pop_mesorreg_interpol!$B$1:$XFD$1, 0), 0)</f>
        <v>3463.1123940076886</v>
      </c>
      <c r="M66" s="7">
        <f>VLOOKUP($B66, gdp_tot_mes!$B:$XFD, MATCH(gdp_capita_mesorreg!M$1, gdp_tot_mes!$B$1:$XFD$1, 0), 0)*1000/VLOOKUP($B66, pop_mesorreg_interpol!$B:$XFD, MATCH(gdp_capita_mesorreg!M$1, pop_mesorreg_interpol!$B$1:$XFD$1, 0), 0)</f>
        <v>2451.8189370963141</v>
      </c>
      <c r="N66" s="7">
        <f>VLOOKUP($B66, gdp_tot_mes!$B:$XFD, MATCH(gdp_capita_mesorreg!N$1, gdp_tot_mes!$B$1:$XFD$1, 0), 0)*1000/VLOOKUP($B66, pop_mesorreg_interpol!$B:$XFD, MATCH(gdp_capita_mesorreg!N$1, pop_mesorreg_interpol!$B$1:$XFD$1, 0), 0)</f>
        <v>3284.4637850809604</v>
      </c>
      <c r="O66" s="7">
        <f>VLOOKUP($B66, gdp_tot_mes!$B:$XFD, MATCH(gdp_capita_mesorreg!O$1, gdp_tot_mes!$B$1:$XFD$1, 0), 0)*1000/VLOOKUP($B66, pop_mesorreg_interpol!$B:$XFD, MATCH(gdp_capita_mesorreg!O$1, pop_mesorreg_interpol!$B$1:$XFD$1, 0), 0)</f>
        <v>3055.45875662859</v>
      </c>
      <c r="P66" s="7">
        <f>VLOOKUP($B66, gdp_tot_mes!$B:$XFD, MATCH(gdp_capita_mesorreg!P$1, gdp_tot_mes!$B$1:$XFD$1, 0), 0)*1000/VLOOKUP($B66, pop_mesorreg_interpol!$B:$XFD, MATCH(gdp_capita_mesorreg!P$1, pop_mesorreg_interpol!$B$1:$XFD$1, 0), 0)</f>
        <v>3409.99672016776</v>
      </c>
      <c r="Q66" s="7">
        <f>VLOOKUP($B66, gdp_tot_mes!$B:$XFD, MATCH(gdp_capita_mesorreg!Q$1, gdp_tot_mes!$B$1:$XFD$1, 0), 0)*1000/VLOOKUP($B66, pop_mesorreg_interpol!$B:$XFD, MATCH(gdp_capita_mesorreg!Q$1, pop_mesorreg_interpol!$B$1:$XFD$1, 0), 0)</f>
        <v>3521.0671700461421</v>
      </c>
      <c r="R66" s="7">
        <f>VLOOKUP($B66, gdp_tot_mes!$B:$XFD, MATCH(gdp_capita_mesorreg!R$1, gdp_tot_mes!$B$1:$XFD$1, 0), 0)*1000/VLOOKUP($B66, pop_mesorreg_interpol!$B:$XFD, MATCH(gdp_capita_mesorreg!R$1, pop_mesorreg_interpol!$B$1:$XFD$1, 0), 0)</f>
        <v>3426.3533115683172</v>
      </c>
      <c r="S66" s="7">
        <f>VLOOKUP($B66, gdp_tot_mes!$B:$XFD, MATCH(gdp_capita_mesorreg!S$1, gdp_tot_mes!$B$1:$XFD$1, 0), 0)*1000/VLOOKUP($B66, pop_mesorreg_interpol!$B:$XFD, MATCH(gdp_capita_mesorreg!S$1, pop_mesorreg_interpol!$B$1:$XFD$1, 0), 0)</f>
        <v>3418.8297825827763</v>
      </c>
      <c r="T66" s="7">
        <f>VLOOKUP($B66, gdp_tot_mes!$B:$XFD, MATCH(gdp_capita_mesorreg!T$1, gdp_tot_mes!$B$1:$XFD$1, 0), 0)*1000/VLOOKUP($B66, pop_mesorreg_interpol!$B:$XFD, MATCH(gdp_capita_mesorreg!T$1, pop_mesorreg_interpol!$B$1:$XFD$1, 0), 0)</f>
        <v>3482.2564067959834</v>
      </c>
      <c r="U66" s="7">
        <f>VLOOKUP($B66, gdp_tot_mes!$B:$XFD, MATCH(gdp_capita_mesorreg!U$1, gdp_tot_mes!$B$1:$XFD$1, 0), 0)*1000/VLOOKUP($B66, pop_mesorreg_interpol!$B:$XFD, MATCH(gdp_capita_mesorreg!U$1, pop_mesorreg_interpol!$B$1:$XFD$1, 0), 0)</f>
        <v>3573.1486707448166</v>
      </c>
      <c r="V66" s="7">
        <f>VLOOKUP($B66, gdp_tot_mes!$B:$XFD, MATCH(gdp_capita_mesorreg!V$1, gdp_tot_mes!$B$1:$XFD$1, 0), 0)*1000/VLOOKUP($B66, pop_mesorreg_interpol!$B:$XFD, MATCH(gdp_capita_mesorreg!V$1, pop_mesorreg_interpol!$B$1:$XFD$1, 0), 0)</f>
        <v>3890.2859574280928</v>
      </c>
      <c r="W66" s="7">
        <f>VLOOKUP($B66, gdp_tot_mes!$B:$XFD, MATCH(gdp_capita_mesorreg!W$1, gdp_tot_mes!$B$1:$XFD$1, 0), 0)*1000/VLOOKUP($B66, pop_mesorreg_interpol!$B:$XFD, MATCH(gdp_capita_mesorreg!W$1, pop_mesorreg_interpol!$B$1:$XFD$1, 0), 0)</f>
        <v>3785.4531285180151</v>
      </c>
      <c r="X66" s="7">
        <f>VLOOKUP($B66, gdp_tot_mes!$B:$XFD, MATCH(gdp_capita_mesorreg!X$1, gdp_tot_mes!$B$1:$XFD$1, 0), 0)*1000/VLOOKUP($B66, pop_mesorreg_interpol!$B:$XFD, MATCH(gdp_capita_mesorreg!X$1, pop_mesorreg_interpol!$B$1:$XFD$1, 0), 0)</f>
        <v>3837.2308340311843</v>
      </c>
      <c r="Y66" s="7">
        <f>VLOOKUP($B66, gdp_tot_mes!$B:$XFD, MATCH(gdp_capita_mesorreg!Y$1, gdp_tot_mes!$B$1:$XFD$1, 0), 0)*1000/VLOOKUP($B66, pop_mesorreg_interpol!$B:$XFD, MATCH(gdp_capita_mesorreg!Y$1, pop_mesorreg_interpol!$B$1:$XFD$1, 0), 0)</f>
        <v>4024.2542401392216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x14ac:dyDescent="0.25">
      <c r="A67" s="1" t="s">
        <v>158</v>
      </c>
      <c r="B67" s="1" t="s">
        <v>167</v>
      </c>
      <c r="C67" s="1" t="s">
        <v>168</v>
      </c>
      <c r="D67" s="7">
        <f>VLOOKUP($B67, gdp_tot_mes!$B:$XFD, MATCH(gdp_capita_mesorreg!D$1, gdp_tot_mes!$B$1:$XFD$1, 0), 0)*1000/VLOOKUP($B67, pop_mesorreg_interpol!$B:$XFD, MATCH(gdp_capita_mesorreg!D$1, pop_mesorreg_interpol!$B$1:$XFD$1, 0), 0)</f>
        <v>1044.902746431962</v>
      </c>
      <c r="E67" s="7">
        <f>VLOOKUP($B67, gdp_tot_mes!$B:$XFD, MATCH(gdp_capita_mesorreg!E$1, gdp_tot_mes!$B$1:$XFD$1, 0), 0)*1000/VLOOKUP($B67, pop_mesorreg_interpol!$B:$XFD, MATCH(gdp_capita_mesorreg!E$1, pop_mesorreg_interpol!$B$1:$XFD$1, 0), 0)</f>
        <v>1973.3649612682286</v>
      </c>
      <c r="F67" s="7">
        <f>VLOOKUP($B67, gdp_tot_mes!$B:$XFD, MATCH(gdp_capita_mesorreg!F$1, gdp_tot_mes!$B$1:$XFD$1, 0), 0)*1000/VLOOKUP($B67, pop_mesorreg_interpol!$B:$XFD, MATCH(gdp_capita_mesorreg!F$1, pop_mesorreg_interpol!$B$1:$XFD$1, 0), 0)</f>
        <v>1015.8254933228375</v>
      </c>
      <c r="G67" s="7">
        <f>VLOOKUP($B67, gdp_tot_mes!$B:$XFD, MATCH(gdp_capita_mesorreg!G$1, gdp_tot_mes!$B$1:$XFD$1, 0), 0)*1000/VLOOKUP($B67, pop_mesorreg_interpol!$B:$XFD, MATCH(gdp_capita_mesorreg!G$1, pop_mesorreg_interpol!$B$1:$XFD$1, 0), 0)</f>
        <v>792.37204240245535</v>
      </c>
      <c r="H67" s="7">
        <f>VLOOKUP($B67, gdp_tot_mes!$B:$XFD, MATCH(gdp_capita_mesorreg!H$1, gdp_tot_mes!$B$1:$XFD$1, 0), 0)*1000/VLOOKUP($B67, pop_mesorreg_interpol!$B:$XFD, MATCH(gdp_capita_mesorreg!H$1, pop_mesorreg_interpol!$B$1:$XFD$1, 0), 0)</f>
        <v>2422.5685075293432</v>
      </c>
      <c r="I67" s="7">
        <f>VLOOKUP($B67, gdp_tot_mes!$B:$XFD, MATCH(gdp_capita_mesorreg!I$1, gdp_tot_mes!$B$1:$XFD$1, 0), 0)*1000/VLOOKUP($B67, pop_mesorreg_interpol!$B:$XFD, MATCH(gdp_capita_mesorreg!I$1, pop_mesorreg_interpol!$B$1:$XFD$1, 0), 0)</f>
        <v>2862.2530494243442</v>
      </c>
      <c r="J67" s="7">
        <f>VLOOKUP($B67, gdp_tot_mes!$B:$XFD, MATCH(gdp_capita_mesorreg!J$1, gdp_tot_mes!$B$1:$XFD$1, 0), 0)*1000/VLOOKUP($B67, pop_mesorreg_interpol!$B:$XFD, MATCH(gdp_capita_mesorreg!J$1, pop_mesorreg_interpol!$B$1:$XFD$1, 0), 0)</f>
        <v>7154.8510433908505</v>
      </c>
      <c r="K67" s="7">
        <f>VLOOKUP($B67, gdp_tot_mes!$B:$XFD, MATCH(gdp_capita_mesorreg!K$1, gdp_tot_mes!$B$1:$XFD$1, 0), 0)*1000/VLOOKUP($B67, pop_mesorreg_interpol!$B:$XFD, MATCH(gdp_capita_mesorreg!K$1, pop_mesorreg_interpol!$B$1:$XFD$1, 0), 0)</f>
        <v>9372.1383438644261</v>
      </c>
      <c r="L67" s="8">
        <f>VLOOKUP($B67, gdp_tot_mes!$B:$XFD, MATCH(gdp_capita_mesorreg!L$1, gdp_tot_mes!$B$1:$XFD$1, 0), 0)*1000/VLOOKUP($B67, pop_mesorreg_interpol!$B:$XFD, MATCH(gdp_capita_mesorreg!L$1, pop_mesorreg_interpol!$B$1:$XFD$1, 0), 0)</f>
        <v>5020.7658523261889</v>
      </c>
      <c r="M67" s="7">
        <f>VLOOKUP($B67, gdp_tot_mes!$B:$XFD, MATCH(gdp_capita_mesorreg!M$1, gdp_tot_mes!$B$1:$XFD$1, 0), 0)*1000/VLOOKUP($B67, pop_mesorreg_interpol!$B:$XFD, MATCH(gdp_capita_mesorreg!M$1, pop_mesorreg_interpol!$B$1:$XFD$1, 0), 0)</f>
        <v>2452.4960547061992</v>
      </c>
      <c r="N67" s="7">
        <f>VLOOKUP($B67, gdp_tot_mes!$B:$XFD, MATCH(gdp_capita_mesorreg!N$1, gdp_tot_mes!$B$1:$XFD$1, 0), 0)*1000/VLOOKUP($B67, pop_mesorreg_interpol!$B:$XFD, MATCH(gdp_capita_mesorreg!N$1, pop_mesorreg_interpol!$B$1:$XFD$1, 0), 0)</f>
        <v>3967.1000149860765</v>
      </c>
      <c r="O67" s="7">
        <f>VLOOKUP($B67, gdp_tot_mes!$B:$XFD, MATCH(gdp_capita_mesorreg!O$1, gdp_tot_mes!$B$1:$XFD$1, 0), 0)*1000/VLOOKUP($B67, pop_mesorreg_interpol!$B:$XFD, MATCH(gdp_capita_mesorreg!O$1, pop_mesorreg_interpol!$B$1:$XFD$1, 0), 0)</f>
        <v>3639.3093615509711</v>
      </c>
      <c r="P67" s="7">
        <f>VLOOKUP($B67, gdp_tot_mes!$B:$XFD, MATCH(gdp_capita_mesorreg!P$1, gdp_tot_mes!$B$1:$XFD$1, 0), 0)*1000/VLOOKUP($B67, pop_mesorreg_interpol!$B:$XFD, MATCH(gdp_capita_mesorreg!P$1, pop_mesorreg_interpol!$B$1:$XFD$1, 0), 0)</f>
        <v>4222.7434083271646</v>
      </c>
      <c r="Q67" s="7">
        <f>VLOOKUP($B67, gdp_tot_mes!$B:$XFD, MATCH(gdp_capita_mesorreg!Q$1, gdp_tot_mes!$B$1:$XFD$1, 0), 0)*1000/VLOOKUP($B67, pop_mesorreg_interpol!$B:$XFD, MATCH(gdp_capita_mesorreg!Q$1, pop_mesorreg_interpol!$B$1:$XFD$1, 0), 0)</f>
        <v>4587.6337456340143</v>
      </c>
      <c r="R67" s="7">
        <f>VLOOKUP($B67, gdp_tot_mes!$B:$XFD, MATCH(gdp_capita_mesorreg!R$1, gdp_tot_mes!$B$1:$XFD$1, 0), 0)*1000/VLOOKUP($B67, pop_mesorreg_interpol!$B:$XFD, MATCH(gdp_capita_mesorreg!R$1, pop_mesorreg_interpol!$B$1:$XFD$1, 0), 0)</f>
        <v>4630.1371405803975</v>
      </c>
      <c r="S67" s="7">
        <f>VLOOKUP($B67, gdp_tot_mes!$B:$XFD, MATCH(gdp_capita_mesorreg!S$1, gdp_tot_mes!$B$1:$XFD$1, 0), 0)*1000/VLOOKUP($B67, pop_mesorreg_interpol!$B:$XFD, MATCH(gdp_capita_mesorreg!S$1, pop_mesorreg_interpol!$B$1:$XFD$1, 0), 0)</f>
        <v>4857.5452271801323</v>
      </c>
      <c r="T67" s="7">
        <f>VLOOKUP($B67, gdp_tot_mes!$B:$XFD, MATCH(gdp_capita_mesorreg!T$1, gdp_tot_mes!$B$1:$XFD$1, 0), 0)*1000/VLOOKUP($B67, pop_mesorreg_interpol!$B:$XFD, MATCH(gdp_capita_mesorreg!T$1, pop_mesorreg_interpol!$B$1:$XFD$1, 0), 0)</f>
        <v>4792.2190507506302</v>
      </c>
      <c r="U67" s="7">
        <f>VLOOKUP($B67, gdp_tot_mes!$B:$XFD, MATCH(gdp_capita_mesorreg!U$1, gdp_tot_mes!$B$1:$XFD$1, 0), 0)*1000/VLOOKUP($B67, pop_mesorreg_interpol!$B:$XFD, MATCH(gdp_capita_mesorreg!U$1, pop_mesorreg_interpol!$B$1:$XFD$1, 0), 0)</f>
        <v>4839.5011649887065</v>
      </c>
      <c r="V67" s="7">
        <f>VLOOKUP($B67, gdp_tot_mes!$B:$XFD, MATCH(gdp_capita_mesorreg!V$1, gdp_tot_mes!$B$1:$XFD$1, 0), 0)*1000/VLOOKUP($B67, pop_mesorreg_interpol!$B:$XFD, MATCH(gdp_capita_mesorreg!V$1, pop_mesorreg_interpol!$B$1:$XFD$1, 0), 0)</f>
        <v>5404.0097106822996</v>
      </c>
      <c r="W67" s="7">
        <f>VLOOKUP($B67, gdp_tot_mes!$B:$XFD, MATCH(gdp_capita_mesorreg!W$1, gdp_tot_mes!$B$1:$XFD$1, 0), 0)*1000/VLOOKUP($B67, pop_mesorreg_interpol!$B:$XFD, MATCH(gdp_capita_mesorreg!W$1, pop_mesorreg_interpol!$B$1:$XFD$1, 0), 0)</f>
        <v>5388.5500132604393</v>
      </c>
      <c r="X67" s="7">
        <f>VLOOKUP($B67, gdp_tot_mes!$B:$XFD, MATCH(gdp_capita_mesorreg!X$1, gdp_tot_mes!$B$1:$XFD$1, 0), 0)*1000/VLOOKUP($B67, pop_mesorreg_interpol!$B:$XFD, MATCH(gdp_capita_mesorreg!X$1, pop_mesorreg_interpol!$B$1:$XFD$1, 0), 0)</f>
        <v>5427.2566328611711</v>
      </c>
      <c r="Y67" s="7">
        <f>VLOOKUP($B67, gdp_tot_mes!$B:$XFD, MATCH(gdp_capita_mesorreg!Y$1, gdp_tot_mes!$B$1:$XFD$1, 0), 0)*1000/VLOOKUP($B67, pop_mesorreg_interpol!$B:$XFD, MATCH(gdp_capita_mesorreg!Y$1, pop_mesorreg_interpol!$B$1:$XFD$1, 0), 0)</f>
        <v>5861.0350198899077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x14ac:dyDescent="0.25">
      <c r="A68" s="1" t="s">
        <v>158</v>
      </c>
      <c r="B68" s="1" t="s">
        <v>169</v>
      </c>
      <c r="C68" s="1" t="s">
        <v>170</v>
      </c>
      <c r="D68" s="7">
        <f>VLOOKUP($B68, gdp_tot_mes!$B:$XFD, MATCH(gdp_capita_mesorreg!D$1, gdp_tot_mes!$B$1:$XFD$1, 0), 0)*1000/VLOOKUP($B68, pop_mesorreg_interpol!$B:$XFD, MATCH(gdp_capita_mesorreg!D$1, pop_mesorreg_interpol!$B$1:$XFD$1, 0), 0)</f>
        <v>405.86288258794258</v>
      </c>
      <c r="E68" s="7">
        <f>VLOOKUP($B68, gdp_tot_mes!$B:$XFD, MATCH(gdp_capita_mesorreg!E$1, gdp_tot_mes!$B$1:$XFD$1, 0), 0)*1000/VLOOKUP($B68, pop_mesorreg_interpol!$B:$XFD, MATCH(gdp_capita_mesorreg!E$1, pop_mesorreg_interpol!$B$1:$XFD$1, 0), 0)</f>
        <v>1165.0007099726895</v>
      </c>
      <c r="F68" s="7">
        <f>VLOOKUP($B68, gdp_tot_mes!$B:$XFD, MATCH(gdp_capita_mesorreg!F$1, gdp_tot_mes!$B$1:$XFD$1, 0), 0)*1000/VLOOKUP($B68, pop_mesorreg_interpol!$B:$XFD, MATCH(gdp_capita_mesorreg!F$1, pop_mesorreg_interpol!$B$1:$XFD$1, 0), 0)</f>
        <v>1827.2819234258104</v>
      </c>
      <c r="G68" s="7">
        <f>VLOOKUP($B68, gdp_tot_mes!$B:$XFD, MATCH(gdp_capita_mesorreg!G$1, gdp_tot_mes!$B$1:$XFD$1, 0), 0)*1000/VLOOKUP($B68, pop_mesorreg_interpol!$B:$XFD, MATCH(gdp_capita_mesorreg!G$1, pop_mesorreg_interpol!$B$1:$XFD$1, 0), 0)</f>
        <v>2037.730005567322</v>
      </c>
      <c r="H68" s="7">
        <f>VLOOKUP($B68, gdp_tot_mes!$B:$XFD, MATCH(gdp_capita_mesorreg!H$1, gdp_tot_mes!$B$1:$XFD$1, 0), 0)*1000/VLOOKUP($B68, pop_mesorreg_interpol!$B:$XFD, MATCH(gdp_capita_mesorreg!H$1, pop_mesorreg_interpol!$B$1:$XFD$1, 0), 0)</f>
        <v>1772.847917353921</v>
      </c>
      <c r="I68" s="7">
        <f>VLOOKUP($B68, gdp_tot_mes!$B:$XFD, MATCH(gdp_capita_mesorreg!I$1, gdp_tot_mes!$B$1:$XFD$1, 0), 0)*1000/VLOOKUP($B68, pop_mesorreg_interpol!$B:$XFD, MATCH(gdp_capita_mesorreg!I$1, pop_mesorreg_interpol!$B$1:$XFD$1, 0), 0)</f>
        <v>2791.6466860551191</v>
      </c>
      <c r="J68" s="7">
        <f>VLOOKUP($B68, gdp_tot_mes!$B:$XFD, MATCH(gdp_capita_mesorreg!J$1, gdp_tot_mes!$B$1:$XFD$1, 0), 0)*1000/VLOOKUP($B68, pop_mesorreg_interpol!$B:$XFD, MATCH(gdp_capita_mesorreg!J$1, pop_mesorreg_interpol!$B$1:$XFD$1, 0), 0)</f>
        <v>9104.4096054508955</v>
      </c>
      <c r="K68" s="7">
        <f>VLOOKUP($B68, gdp_tot_mes!$B:$XFD, MATCH(gdp_capita_mesorreg!K$1, gdp_tot_mes!$B$1:$XFD$1, 0), 0)*1000/VLOOKUP($B68, pop_mesorreg_interpol!$B:$XFD, MATCH(gdp_capita_mesorreg!K$1, pop_mesorreg_interpol!$B$1:$XFD$1, 0), 0)</f>
        <v>9176.4986718002983</v>
      </c>
      <c r="L68" s="8">
        <f>VLOOKUP($B68, gdp_tot_mes!$B:$XFD, MATCH(gdp_capita_mesorreg!L$1, gdp_tot_mes!$B$1:$XFD$1, 0), 0)*1000/VLOOKUP($B68, pop_mesorreg_interpol!$B:$XFD, MATCH(gdp_capita_mesorreg!L$1, pop_mesorreg_interpol!$B$1:$XFD$1, 0), 0)</f>
        <v>6595.0629592167488</v>
      </c>
      <c r="M68" s="7">
        <f>VLOOKUP($B68, gdp_tot_mes!$B:$XFD, MATCH(gdp_capita_mesorreg!M$1, gdp_tot_mes!$B$1:$XFD$1, 0), 0)*1000/VLOOKUP($B68, pop_mesorreg_interpol!$B:$XFD, MATCH(gdp_capita_mesorreg!M$1, pop_mesorreg_interpol!$B$1:$XFD$1, 0), 0)</f>
        <v>4884.6049975348515</v>
      </c>
      <c r="N68" s="7">
        <f>VLOOKUP($B68, gdp_tot_mes!$B:$XFD, MATCH(gdp_capita_mesorreg!N$1, gdp_tot_mes!$B$1:$XFD$1, 0), 0)*1000/VLOOKUP($B68, pop_mesorreg_interpol!$B:$XFD, MATCH(gdp_capita_mesorreg!N$1, pop_mesorreg_interpol!$B$1:$XFD$1, 0), 0)</f>
        <v>8263.2394939646965</v>
      </c>
      <c r="O68" s="7">
        <f>VLOOKUP($B68, gdp_tot_mes!$B:$XFD, MATCH(gdp_capita_mesorreg!O$1, gdp_tot_mes!$B$1:$XFD$1, 0), 0)*1000/VLOOKUP($B68, pop_mesorreg_interpol!$B:$XFD, MATCH(gdp_capita_mesorreg!O$1, pop_mesorreg_interpol!$B$1:$XFD$1, 0), 0)</f>
        <v>8874.8508369834926</v>
      </c>
      <c r="P68" s="7">
        <f>VLOOKUP($B68, gdp_tot_mes!$B:$XFD, MATCH(gdp_capita_mesorreg!P$1, gdp_tot_mes!$B$1:$XFD$1, 0), 0)*1000/VLOOKUP($B68, pop_mesorreg_interpol!$B:$XFD, MATCH(gdp_capita_mesorreg!P$1, pop_mesorreg_interpol!$B$1:$XFD$1, 0), 0)</f>
        <v>9944.6331666745427</v>
      </c>
      <c r="Q68" s="7">
        <f>VLOOKUP($B68, gdp_tot_mes!$B:$XFD, MATCH(gdp_capita_mesorreg!Q$1, gdp_tot_mes!$B$1:$XFD$1, 0), 0)*1000/VLOOKUP($B68, pop_mesorreg_interpol!$B:$XFD, MATCH(gdp_capita_mesorreg!Q$1, pop_mesorreg_interpol!$B$1:$XFD$1, 0), 0)</f>
        <v>10131.559641040421</v>
      </c>
      <c r="R68" s="7">
        <f>VLOOKUP($B68, gdp_tot_mes!$B:$XFD, MATCH(gdp_capita_mesorreg!R$1, gdp_tot_mes!$B$1:$XFD$1, 0), 0)*1000/VLOOKUP($B68, pop_mesorreg_interpol!$B:$XFD, MATCH(gdp_capita_mesorreg!R$1, pop_mesorreg_interpol!$B$1:$XFD$1, 0), 0)</f>
        <v>10320.274399730471</v>
      </c>
      <c r="S68" s="7">
        <f>VLOOKUP($B68, gdp_tot_mes!$B:$XFD, MATCH(gdp_capita_mesorreg!S$1, gdp_tot_mes!$B$1:$XFD$1, 0), 0)*1000/VLOOKUP($B68, pop_mesorreg_interpol!$B:$XFD, MATCH(gdp_capita_mesorreg!S$1, pop_mesorreg_interpol!$B$1:$XFD$1, 0), 0)</f>
        <v>11779.172393914976</v>
      </c>
      <c r="T68" s="7">
        <f>VLOOKUP($B68, gdp_tot_mes!$B:$XFD, MATCH(gdp_capita_mesorreg!T$1, gdp_tot_mes!$B$1:$XFD$1, 0), 0)*1000/VLOOKUP($B68, pop_mesorreg_interpol!$B:$XFD, MATCH(gdp_capita_mesorreg!T$1, pop_mesorreg_interpol!$B$1:$XFD$1, 0), 0)</f>
        <v>12279.313026344411</v>
      </c>
      <c r="U68" s="7">
        <f>VLOOKUP($B68, gdp_tot_mes!$B:$XFD, MATCH(gdp_capita_mesorreg!U$1, gdp_tot_mes!$B$1:$XFD$1, 0), 0)*1000/VLOOKUP($B68, pop_mesorreg_interpol!$B:$XFD, MATCH(gdp_capita_mesorreg!U$1, pop_mesorreg_interpol!$B$1:$XFD$1, 0), 0)</f>
        <v>12762.885485347413</v>
      </c>
      <c r="V68" s="7">
        <f>VLOOKUP($B68, gdp_tot_mes!$B:$XFD, MATCH(gdp_capita_mesorreg!V$1, gdp_tot_mes!$B$1:$XFD$1, 0), 0)*1000/VLOOKUP($B68, pop_mesorreg_interpol!$B:$XFD, MATCH(gdp_capita_mesorreg!V$1, pop_mesorreg_interpol!$B$1:$XFD$1, 0), 0)</f>
        <v>13243.944463134272</v>
      </c>
      <c r="W68" s="7">
        <f>VLOOKUP($B68, gdp_tot_mes!$B:$XFD, MATCH(gdp_capita_mesorreg!W$1, gdp_tot_mes!$B$1:$XFD$1, 0), 0)*1000/VLOOKUP($B68, pop_mesorreg_interpol!$B:$XFD, MATCH(gdp_capita_mesorreg!W$1, pop_mesorreg_interpol!$B$1:$XFD$1, 0), 0)</f>
        <v>15709.889818840798</v>
      </c>
      <c r="X68" s="7">
        <f>VLOOKUP($B68, gdp_tot_mes!$B:$XFD, MATCH(gdp_capita_mesorreg!X$1, gdp_tot_mes!$B$1:$XFD$1, 0), 0)*1000/VLOOKUP($B68, pop_mesorreg_interpol!$B:$XFD, MATCH(gdp_capita_mesorreg!X$1, pop_mesorreg_interpol!$B$1:$XFD$1, 0), 0)</f>
        <v>12343.12106892315</v>
      </c>
      <c r="Y68" s="7">
        <f>VLOOKUP($B68, gdp_tot_mes!$B:$XFD, MATCH(gdp_capita_mesorreg!Y$1, gdp_tot_mes!$B$1:$XFD$1, 0), 0)*1000/VLOOKUP($B68, pop_mesorreg_interpol!$B:$XFD, MATCH(gdp_capita_mesorreg!Y$1, pop_mesorreg_interpol!$B$1:$XFD$1, 0), 0)</f>
        <v>19484.136618565914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25">
      <c r="A69" s="1" t="s">
        <v>171</v>
      </c>
      <c r="B69" s="1" t="s">
        <v>172</v>
      </c>
      <c r="C69" s="1" t="s">
        <v>173</v>
      </c>
      <c r="D69" s="7">
        <f>VLOOKUP($B69, gdp_tot_mes!$B:$XFD, MATCH(gdp_capita_mesorreg!D$1, gdp_tot_mes!$B$1:$XFD$1, 0), 0)*1000/VLOOKUP($B69, pop_mesorreg_interpol!$B:$XFD, MATCH(gdp_capita_mesorreg!D$1, pop_mesorreg_interpol!$B$1:$XFD$1, 0), 0)</f>
        <v>168.18690507133698</v>
      </c>
      <c r="E69" s="7">
        <f>VLOOKUP($B69, gdp_tot_mes!$B:$XFD, MATCH(gdp_capita_mesorreg!E$1, gdp_tot_mes!$B$1:$XFD$1, 0), 0)*1000/VLOOKUP($B69, pop_mesorreg_interpol!$B:$XFD, MATCH(gdp_capita_mesorreg!E$1, pop_mesorreg_interpol!$B$1:$XFD$1, 0), 0)</f>
        <v>828.61165170528011</v>
      </c>
      <c r="F69" s="7">
        <f>VLOOKUP($B69, gdp_tot_mes!$B:$XFD, MATCH(gdp_capita_mesorreg!F$1, gdp_tot_mes!$B$1:$XFD$1, 0), 0)*1000/VLOOKUP($B69, pop_mesorreg_interpol!$B:$XFD, MATCH(gdp_capita_mesorreg!F$1, pop_mesorreg_interpol!$B$1:$XFD$1, 0), 0)</f>
        <v>1542.2766722009112</v>
      </c>
      <c r="G69" s="7">
        <f>VLOOKUP($B69, gdp_tot_mes!$B:$XFD, MATCH(gdp_capita_mesorreg!G$1, gdp_tot_mes!$B$1:$XFD$1, 0), 0)*1000/VLOOKUP($B69, pop_mesorreg_interpol!$B:$XFD, MATCH(gdp_capita_mesorreg!G$1, pop_mesorreg_interpol!$B$1:$XFD$1, 0), 0)</f>
        <v>1694.6380979129201</v>
      </c>
      <c r="H69" s="7">
        <f>VLOOKUP($B69, gdp_tot_mes!$B:$XFD, MATCH(gdp_capita_mesorreg!H$1, gdp_tot_mes!$B$1:$XFD$1, 0), 0)*1000/VLOOKUP($B69, pop_mesorreg_interpol!$B:$XFD, MATCH(gdp_capita_mesorreg!H$1, pop_mesorreg_interpol!$B$1:$XFD$1, 0), 0)</f>
        <v>1283.7434850727821</v>
      </c>
      <c r="I69" s="7">
        <f>VLOOKUP($B69, gdp_tot_mes!$B:$XFD, MATCH(gdp_capita_mesorreg!I$1, gdp_tot_mes!$B$1:$XFD$1, 0), 0)*1000/VLOOKUP($B69, pop_mesorreg_interpol!$B:$XFD, MATCH(gdp_capita_mesorreg!I$1, pop_mesorreg_interpol!$B$1:$XFD$1, 0), 0)</f>
        <v>2281.7876717648969</v>
      </c>
      <c r="J69" s="7">
        <f>VLOOKUP($B69, gdp_tot_mes!$B:$XFD, MATCH(gdp_capita_mesorreg!J$1, gdp_tot_mes!$B$1:$XFD$1, 0), 0)*1000/VLOOKUP($B69, pop_mesorreg_interpol!$B:$XFD, MATCH(gdp_capita_mesorreg!J$1, pop_mesorreg_interpol!$B$1:$XFD$1, 0), 0)</f>
        <v>2297.0826897766615</v>
      </c>
      <c r="K69" s="7">
        <f>VLOOKUP($B69, gdp_tot_mes!$B:$XFD, MATCH(gdp_capita_mesorreg!K$1, gdp_tot_mes!$B$1:$XFD$1, 0), 0)*1000/VLOOKUP($B69, pop_mesorreg_interpol!$B:$XFD, MATCH(gdp_capita_mesorreg!K$1, pop_mesorreg_interpol!$B$1:$XFD$1, 0), 0)</f>
        <v>2974.6966433086914</v>
      </c>
      <c r="L69" s="8">
        <f>VLOOKUP($B69, gdp_tot_mes!$B:$XFD, MATCH(gdp_capita_mesorreg!L$1, gdp_tot_mes!$B$1:$XFD$1, 0), 0)*1000/VLOOKUP($B69, pop_mesorreg_interpol!$B:$XFD, MATCH(gdp_capita_mesorreg!L$1, pop_mesorreg_interpol!$B$1:$XFD$1, 0), 0)</f>
        <v>2725.2864121357688</v>
      </c>
      <c r="M69" s="7">
        <f>VLOOKUP($B69, gdp_tot_mes!$B:$XFD, MATCH(gdp_capita_mesorreg!M$1, gdp_tot_mes!$B$1:$XFD$1, 0), 0)*1000/VLOOKUP($B69, pop_mesorreg_interpol!$B:$XFD, MATCH(gdp_capita_mesorreg!M$1, pop_mesorreg_interpol!$B$1:$XFD$1, 0), 0)</f>
        <v>2435.4195709896699</v>
      </c>
      <c r="N69" s="7">
        <f>VLOOKUP($B69, gdp_tot_mes!$B:$XFD, MATCH(gdp_capita_mesorreg!N$1, gdp_tot_mes!$B$1:$XFD$1, 0), 0)*1000/VLOOKUP($B69, pop_mesorreg_interpol!$B:$XFD, MATCH(gdp_capita_mesorreg!N$1, pop_mesorreg_interpol!$B$1:$XFD$1, 0), 0)</f>
        <v>3885.540026422324</v>
      </c>
      <c r="O69" s="7">
        <f>VLOOKUP($B69, gdp_tot_mes!$B:$XFD, MATCH(gdp_capita_mesorreg!O$1, gdp_tot_mes!$B$1:$XFD$1, 0), 0)*1000/VLOOKUP($B69, pop_mesorreg_interpol!$B:$XFD, MATCH(gdp_capita_mesorreg!O$1, pop_mesorreg_interpol!$B$1:$XFD$1, 0), 0)</f>
        <v>3963.8108202879571</v>
      </c>
      <c r="P69" s="7">
        <f>VLOOKUP($B69, gdp_tot_mes!$B:$XFD, MATCH(gdp_capita_mesorreg!P$1, gdp_tot_mes!$B$1:$XFD$1, 0), 0)*1000/VLOOKUP($B69, pop_mesorreg_interpol!$B:$XFD, MATCH(gdp_capita_mesorreg!P$1, pop_mesorreg_interpol!$B$1:$XFD$1, 0), 0)</f>
        <v>4074.3089256172848</v>
      </c>
      <c r="Q69" s="7">
        <f>VLOOKUP($B69, gdp_tot_mes!$B:$XFD, MATCH(gdp_capita_mesorreg!Q$1, gdp_tot_mes!$B$1:$XFD$1, 0), 0)*1000/VLOOKUP($B69, pop_mesorreg_interpol!$B:$XFD, MATCH(gdp_capita_mesorreg!Q$1, pop_mesorreg_interpol!$B$1:$XFD$1, 0), 0)</f>
        <v>4089.048524485861</v>
      </c>
      <c r="R69" s="7">
        <f>VLOOKUP($B69, gdp_tot_mes!$B:$XFD, MATCH(gdp_capita_mesorreg!R$1, gdp_tot_mes!$B$1:$XFD$1, 0), 0)*1000/VLOOKUP($B69, pop_mesorreg_interpol!$B:$XFD, MATCH(gdp_capita_mesorreg!R$1, pop_mesorreg_interpol!$B$1:$XFD$1, 0), 0)</f>
        <v>4094.0335118750118</v>
      </c>
      <c r="S69" s="7">
        <f>VLOOKUP($B69, gdp_tot_mes!$B:$XFD, MATCH(gdp_capita_mesorreg!S$1, gdp_tot_mes!$B$1:$XFD$1, 0), 0)*1000/VLOOKUP($B69, pop_mesorreg_interpol!$B:$XFD, MATCH(gdp_capita_mesorreg!S$1, pop_mesorreg_interpol!$B$1:$XFD$1, 0), 0)</f>
        <v>4092.2971990091264</v>
      </c>
      <c r="T69" s="7">
        <f>VLOOKUP($B69, gdp_tot_mes!$B:$XFD, MATCH(gdp_capita_mesorreg!T$1, gdp_tot_mes!$B$1:$XFD$1, 0), 0)*1000/VLOOKUP($B69, pop_mesorreg_interpol!$B:$XFD, MATCH(gdp_capita_mesorreg!T$1, pop_mesorreg_interpol!$B$1:$XFD$1, 0), 0)</f>
        <v>4021.2977875454039</v>
      </c>
      <c r="U69" s="7">
        <f>VLOOKUP($B69, gdp_tot_mes!$B:$XFD, MATCH(gdp_capita_mesorreg!U$1, gdp_tot_mes!$B$1:$XFD$1, 0), 0)*1000/VLOOKUP($B69, pop_mesorreg_interpol!$B:$XFD, MATCH(gdp_capita_mesorreg!U$1, pop_mesorreg_interpol!$B$1:$XFD$1, 0), 0)</f>
        <v>4511.2654227737967</v>
      </c>
      <c r="V69" s="7">
        <f>VLOOKUP($B69, gdp_tot_mes!$B:$XFD, MATCH(gdp_capita_mesorreg!V$1, gdp_tot_mes!$B$1:$XFD$1, 0), 0)*1000/VLOOKUP($B69, pop_mesorreg_interpol!$B:$XFD, MATCH(gdp_capita_mesorreg!V$1, pop_mesorreg_interpol!$B$1:$XFD$1, 0), 0)</f>
        <v>4804.3785888846096</v>
      </c>
      <c r="W69" s="7">
        <f>VLOOKUP($B69, gdp_tot_mes!$B:$XFD, MATCH(gdp_capita_mesorreg!W$1, gdp_tot_mes!$B$1:$XFD$1, 0), 0)*1000/VLOOKUP($B69, pop_mesorreg_interpol!$B:$XFD, MATCH(gdp_capita_mesorreg!W$1, pop_mesorreg_interpol!$B$1:$XFD$1, 0), 0)</f>
        <v>5235.7735756529682</v>
      </c>
      <c r="X69" s="7">
        <f>VLOOKUP($B69, gdp_tot_mes!$B:$XFD, MATCH(gdp_capita_mesorreg!X$1, gdp_tot_mes!$B$1:$XFD$1, 0), 0)*1000/VLOOKUP($B69, pop_mesorreg_interpol!$B:$XFD, MATCH(gdp_capita_mesorreg!X$1, pop_mesorreg_interpol!$B$1:$XFD$1, 0), 0)</f>
        <v>5403.9864200305647</v>
      </c>
      <c r="Y69" s="7">
        <f>VLOOKUP($B69, gdp_tot_mes!$B:$XFD, MATCH(gdp_capita_mesorreg!Y$1, gdp_tot_mes!$B$1:$XFD$1, 0), 0)*1000/VLOOKUP($B69, pop_mesorreg_interpol!$B:$XFD, MATCH(gdp_capita_mesorreg!Y$1, pop_mesorreg_interpol!$B$1:$XFD$1, 0), 0)</f>
        <v>5533.9550312913452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x14ac:dyDescent="0.25">
      <c r="A70" s="1" t="s">
        <v>171</v>
      </c>
      <c r="B70" s="1" t="s">
        <v>174</v>
      </c>
      <c r="C70" s="1" t="s">
        <v>175</v>
      </c>
      <c r="D70" s="7">
        <f>VLOOKUP($B70, gdp_tot_mes!$B:$XFD, MATCH(gdp_capita_mesorreg!D$1, gdp_tot_mes!$B$1:$XFD$1, 0), 0)*1000/VLOOKUP($B70, pop_mesorreg_interpol!$B:$XFD, MATCH(gdp_capita_mesorreg!D$1, pop_mesorreg_interpol!$B$1:$XFD$1, 0), 0)</f>
        <v>331.41191457158391</v>
      </c>
      <c r="E70" s="7">
        <f>VLOOKUP($B70, gdp_tot_mes!$B:$XFD, MATCH(gdp_capita_mesorreg!E$1, gdp_tot_mes!$B$1:$XFD$1, 0), 0)*1000/VLOOKUP($B70, pop_mesorreg_interpol!$B:$XFD, MATCH(gdp_capita_mesorreg!E$1, pop_mesorreg_interpol!$B$1:$XFD$1, 0), 0)</f>
        <v>466.73855277658072</v>
      </c>
      <c r="F70" s="7">
        <f>VLOOKUP($B70, gdp_tot_mes!$B:$XFD, MATCH(gdp_capita_mesorreg!F$1, gdp_tot_mes!$B$1:$XFD$1, 0), 0)*1000/VLOOKUP($B70, pop_mesorreg_interpol!$B:$XFD, MATCH(gdp_capita_mesorreg!F$1, pop_mesorreg_interpol!$B$1:$XFD$1, 0), 0)</f>
        <v>1072.6780966272356</v>
      </c>
      <c r="G70" s="7">
        <f>VLOOKUP($B70, gdp_tot_mes!$B:$XFD, MATCH(gdp_capita_mesorreg!G$1, gdp_tot_mes!$B$1:$XFD$1, 0), 0)*1000/VLOOKUP($B70, pop_mesorreg_interpol!$B:$XFD, MATCH(gdp_capita_mesorreg!G$1, pop_mesorreg_interpol!$B$1:$XFD$1, 0), 0)</f>
        <v>879.73357341415056</v>
      </c>
      <c r="H70" s="7">
        <f>VLOOKUP($B70, gdp_tot_mes!$B:$XFD, MATCH(gdp_capita_mesorreg!H$1, gdp_tot_mes!$B$1:$XFD$1, 0), 0)*1000/VLOOKUP($B70, pop_mesorreg_interpol!$B:$XFD, MATCH(gdp_capita_mesorreg!H$1, pop_mesorreg_interpol!$B$1:$XFD$1, 0), 0)</f>
        <v>1214.729985191859</v>
      </c>
      <c r="I70" s="7">
        <f>VLOOKUP($B70, gdp_tot_mes!$B:$XFD, MATCH(gdp_capita_mesorreg!I$1, gdp_tot_mes!$B$1:$XFD$1, 0), 0)*1000/VLOOKUP($B70, pop_mesorreg_interpol!$B:$XFD, MATCH(gdp_capita_mesorreg!I$1, pop_mesorreg_interpol!$B$1:$XFD$1, 0), 0)</f>
        <v>2038.5197302566551</v>
      </c>
      <c r="J70" s="7">
        <f>VLOOKUP($B70, gdp_tot_mes!$B:$XFD, MATCH(gdp_capita_mesorreg!J$1, gdp_tot_mes!$B$1:$XFD$1, 0), 0)*1000/VLOOKUP($B70, pop_mesorreg_interpol!$B:$XFD, MATCH(gdp_capita_mesorreg!J$1, pop_mesorreg_interpol!$B$1:$XFD$1, 0), 0)</f>
        <v>2029.5866521409234</v>
      </c>
      <c r="K70" s="7">
        <f>VLOOKUP($B70, gdp_tot_mes!$B:$XFD, MATCH(gdp_capita_mesorreg!K$1, gdp_tot_mes!$B$1:$XFD$1, 0), 0)*1000/VLOOKUP($B70, pop_mesorreg_interpol!$B:$XFD, MATCH(gdp_capita_mesorreg!K$1, pop_mesorreg_interpol!$B$1:$XFD$1, 0), 0)</f>
        <v>3099.9139471850694</v>
      </c>
      <c r="L70" s="8">
        <f>VLOOKUP($B70, gdp_tot_mes!$B:$XFD, MATCH(gdp_capita_mesorreg!L$1, gdp_tot_mes!$B$1:$XFD$1, 0), 0)*1000/VLOOKUP($B70, pop_mesorreg_interpol!$B:$XFD, MATCH(gdp_capita_mesorreg!L$1, pop_mesorreg_interpol!$B$1:$XFD$1, 0), 0)</f>
        <v>2774.7840956792666</v>
      </c>
      <c r="M70" s="7">
        <f>VLOOKUP($B70, gdp_tot_mes!$B:$XFD, MATCH(gdp_capita_mesorreg!M$1, gdp_tot_mes!$B$1:$XFD$1, 0), 0)*1000/VLOOKUP($B70, pop_mesorreg_interpol!$B:$XFD, MATCH(gdp_capita_mesorreg!M$1, pop_mesorreg_interpol!$B$1:$XFD$1, 0), 0)</f>
        <v>2388.9495647863978</v>
      </c>
      <c r="N70" s="7">
        <f>VLOOKUP($B70, gdp_tot_mes!$B:$XFD, MATCH(gdp_capita_mesorreg!N$1, gdp_tot_mes!$B$1:$XFD$1, 0), 0)*1000/VLOOKUP($B70, pop_mesorreg_interpol!$B:$XFD, MATCH(gdp_capita_mesorreg!N$1, pop_mesorreg_interpol!$B$1:$XFD$1, 0), 0)</f>
        <v>3424.8982001876934</v>
      </c>
      <c r="O70" s="7">
        <f>VLOOKUP($B70, gdp_tot_mes!$B:$XFD, MATCH(gdp_capita_mesorreg!O$1, gdp_tot_mes!$B$1:$XFD$1, 0), 0)*1000/VLOOKUP($B70, pop_mesorreg_interpol!$B:$XFD, MATCH(gdp_capita_mesorreg!O$1, pop_mesorreg_interpol!$B$1:$XFD$1, 0), 0)</f>
        <v>3557.0011189638071</v>
      </c>
      <c r="P70" s="7">
        <f>VLOOKUP($B70, gdp_tot_mes!$B:$XFD, MATCH(gdp_capita_mesorreg!P$1, gdp_tot_mes!$B$1:$XFD$1, 0), 0)*1000/VLOOKUP($B70, pop_mesorreg_interpol!$B:$XFD, MATCH(gdp_capita_mesorreg!P$1, pop_mesorreg_interpol!$B$1:$XFD$1, 0), 0)</f>
        <v>3963.4923491891473</v>
      </c>
      <c r="Q70" s="7">
        <f>VLOOKUP($B70, gdp_tot_mes!$B:$XFD, MATCH(gdp_capita_mesorreg!Q$1, gdp_tot_mes!$B$1:$XFD$1, 0), 0)*1000/VLOOKUP($B70, pop_mesorreg_interpol!$B:$XFD, MATCH(gdp_capita_mesorreg!Q$1, pop_mesorreg_interpol!$B$1:$XFD$1, 0), 0)</f>
        <v>3892.7580821035626</v>
      </c>
      <c r="R70" s="7">
        <f>VLOOKUP($B70, gdp_tot_mes!$B:$XFD, MATCH(gdp_capita_mesorreg!R$1, gdp_tot_mes!$B$1:$XFD$1, 0), 0)*1000/VLOOKUP($B70, pop_mesorreg_interpol!$B:$XFD, MATCH(gdp_capita_mesorreg!R$1, pop_mesorreg_interpol!$B$1:$XFD$1, 0), 0)</f>
        <v>3720.1369401789962</v>
      </c>
      <c r="S70" s="7">
        <f>VLOOKUP($B70, gdp_tot_mes!$B:$XFD, MATCH(gdp_capita_mesorreg!S$1, gdp_tot_mes!$B$1:$XFD$1, 0), 0)*1000/VLOOKUP($B70, pop_mesorreg_interpol!$B:$XFD, MATCH(gdp_capita_mesorreg!S$1, pop_mesorreg_interpol!$B$1:$XFD$1, 0), 0)</f>
        <v>3750.5962889695229</v>
      </c>
      <c r="T70" s="7">
        <f>VLOOKUP($B70, gdp_tot_mes!$B:$XFD, MATCH(gdp_capita_mesorreg!T$1, gdp_tot_mes!$B$1:$XFD$1, 0), 0)*1000/VLOOKUP($B70, pop_mesorreg_interpol!$B:$XFD, MATCH(gdp_capita_mesorreg!T$1, pop_mesorreg_interpol!$B$1:$XFD$1, 0), 0)</f>
        <v>3936.4624787619678</v>
      </c>
      <c r="U70" s="7">
        <f>VLOOKUP($B70, gdp_tot_mes!$B:$XFD, MATCH(gdp_capita_mesorreg!U$1, gdp_tot_mes!$B$1:$XFD$1, 0), 0)*1000/VLOOKUP($B70, pop_mesorreg_interpol!$B:$XFD, MATCH(gdp_capita_mesorreg!U$1, pop_mesorreg_interpol!$B$1:$XFD$1, 0), 0)</f>
        <v>4242.6202251128498</v>
      </c>
      <c r="V70" s="7">
        <f>VLOOKUP($B70, gdp_tot_mes!$B:$XFD, MATCH(gdp_capita_mesorreg!V$1, gdp_tot_mes!$B$1:$XFD$1, 0), 0)*1000/VLOOKUP($B70, pop_mesorreg_interpol!$B:$XFD, MATCH(gdp_capita_mesorreg!V$1, pop_mesorreg_interpol!$B$1:$XFD$1, 0), 0)</f>
        <v>4600.0920390381852</v>
      </c>
      <c r="W70" s="7">
        <f>VLOOKUP($B70, gdp_tot_mes!$B:$XFD, MATCH(gdp_capita_mesorreg!W$1, gdp_tot_mes!$B$1:$XFD$1, 0), 0)*1000/VLOOKUP($B70, pop_mesorreg_interpol!$B:$XFD, MATCH(gdp_capita_mesorreg!W$1, pop_mesorreg_interpol!$B$1:$XFD$1, 0), 0)</f>
        <v>4890.3936794513475</v>
      </c>
      <c r="X70" s="7">
        <f>VLOOKUP($B70, gdp_tot_mes!$B:$XFD, MATCH(gdp_capita_mesorreg!X$1, gdp_tot_mes!$B$1:$XFD$1, 0), 0)*1000/VLOOKUP($B70, pop_mesorreg_interpol!$B:$XFD, MATCH(gdp_capita_mesorreg!X$1, pop_mesorreg_interpol!$B$1:$XFD$1, 0), 0)</f>
        <v>5021.9446137270725</v>
      </c>
      <c r="Y70" s="7">
        <f>VLOOKUP($B70, gdp_tot_mes!$B:$XFD, MATCH(gdp_capita_mesorreg!Y$1, gdp_tot_mes!$B$1:$XFD$1, 0), 0)*1000/VLOOKUP($B70, pop_mesorreg_interpol!$B:$XFD, MATCH(gdp_capita_mesorreg!Y$1, pop_mesorreg_interpol!$B$1:$XFD$1, 0), 0)</f>
        <v>5047.870121335869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x14ac:dyDescent="0.25">
      <c r="A71" s="1" t="s">
        <v>171</v>
      </c>
      <c r="B71" s="1" t="s">
        <v>176</v>
      </c>
      <c r="C71" s="1" t="s">
        <v>177</v>
      </c>
      <c r="D71" s="7">
        <f>VLOOKUP($B71, gdp_tot_mes!$B:$XFD, MATCH(gdp_capita_mesorreg!D$1, gdp_tot_mes!$B$1:$XFD$1, 0), 0)*1000/VLOOKUP($B71, pop_mesorreg_interpol!$B:$XFD, MATCH(gdp_capita_mesorreg!D$1, pop_mesorreg_interpol!$B$1:$XFD$1, 0), 0)</f>
        <v>313.10924065458755</v>
      </c>
      <c r="E71" s="7">
        <f>VLOOKUP($B71, gdp_tot_mes!$B:$XFD, MATCH(gdp_capita_mesorreg!E$1, gdp_tot_mes!$B$1:$XFD$1, 0), 0)*1000/VLOOKUP($B71, pop_mesorreg_interpol!$B:$XFD, MATCH(gdp_capita_mesorreg!E$1, pop_mesorreg_interpol!$B$1:$XFD$1, 0), 0)</f>
        <v>847.05241337040798</v>
      </c>
      <c r="F71" s="7">
        <f>VLOOKUP($B71, gdp_tot_mes!$B:$XFD, MATCH(gdp_capita_mesorreg!F$1, gdp_tot_mes!$B$1:$XFD$1, 0), 0)*1000/VLOOKUP($B71, pop_mesorreg_interpol!$B:$XFD, MATCH(gdp_capita_mesorreg!F$1, pop_mesorreg_interpol!$B$1:$XFD$1, 0), 0)</f>
        <v>1115.4562593264961</v>
      </c>
      <c r="G71" s="7">
        <f>VLOOKUP($B71, gdp_tot_mes!$B:$XFD, MATCH(gdp_capita_mesorreg!G$1, gdp_tot_mes!$B$1:$XFD$1, 0), 0)*1000/VLOOKUP($B71, pop_mesorreg_interpol!$B:$XFD, MATCH(gdp_capita_mesorreg!G$1, pop_mesorreg_interpol!$B$1:$XFD$1, 0), 0)</f>
        <v>1873.3150904966128</v>
      </c>
      <c r="H71" s="7">
        <f>VLOOKUP($B71, gdp_tot_mes!$B:$XFD, MATCH(gdp_capita_mesorreg!H$1, gdp_tot_mes!$B$1:$XFD$1, 0), 0)*1000/VLOOKUP($B71, pop_mesorreg_interpol!$B:$XFD, MATCH(gdp_capita_mesorreg!H$1, pop_mesorreg_interpol!$B$1:$XFD$1, 0), 0)</f>
        <v>1972.4206787844448</v>
      </c>
      <c r="I71" s="7">
        <f>VLOOKUP($B71, gdp_tot_mes!$B:$XFD, MATCH(gdp_capita_mesorreg!I$1, gdp_tot_mes!$B$1:$XFD$1, 0), 0)*1000/VLOOKUP($B71, pop_mesorreg_interpol!$B:$XFD, MATCH(gdp_capita_mesorreg!I$1, pop_mesorreg_interpol!$B$1:$XFD$1, 0), 0)</f>
        <v>2995.774799949168</v>
      </c>
      <c r="J71" s="7">
        <f>VLOOKUP($B71, gdp_tot_mes!$B:$XFD, MATCH(gdp_capita_mesorreg!J$1, gdp_tot_mes!$B$1:$XFD$1, 0), 0)*1000/VLOOKUP($B71, pop_mesorreg_interpol!$B:$XFD, MATCH(gdp_capita_mesorreg!J$1, pop_mesorreg_interpol!$B$1:$XFD$1, 0), 0)</f>
        <v>3555.1592951428188</v>
      </c>
      <c r="K71" s="7">
        <f>VLOOKUP($B71, gdp_tot_mes!$B:$XFD, MATCH(gdp_capita_mesorreg!K$1, gdp_tot_mes!$B$1:$XFD$1, 0), 0)*1000/VLOOKUP($B71, pop_mesorreg_interpol!$B:$XFD, MATCH(gdp_capita_mesorreg!K$1, pop_mesorreg_interpol!$B$1:$XFD$1, 0), 0)</f>
        <v>3393.6691761764628</v>
      </c>
      <c r="L71" s="8">
        <f>VLOOKUP($B71, gdp_tot_mes!$B:$XFD, MATCH(gdp_capita_mesorreg!L$1, gdp_tot_mes!$B$1:$XFD$1, 0), 0)*1000/VLOOKUP($B71, pop_mesorreg_interpol!$B:$XFD, MATCH(gdp_capita_mesorreg!L$1, pop_mesorreg_interpol!$B$1:$XFD$1, 0), 0)</f>
        <v>3674.8479706843673</v>
      </c>
      <c r="M71" s="7">
        <f>VLOOKUP($B71, gdp_tot_mes!$B:$XFD, MATCH(gdp_capita_mesorreg!M$1, gdp_tot_mes!$B$1:$XFD$1, 0), 0)*1000/VLOOKUP($B71, pop_mesorreg_interpol!$B:$XFD, MATCH(gdp_capita_mesorreg!M$1, pop_mesorreg_interpol!$B$1:$XFD$1, 0), 0)</f>
        <v>3984.5621607641838</v>
      </c>
      <c r="N71" s="7">
        <f>VLOOKUP($B71, gdp_tot_mes!$B:$XFD, MATCH(gdp_capita_mesorreg!N$1, gdp_tot_mes!$B$1:$XFD$1, 0), 0)*1000/VLOOKUP($B71, pop_mesorreg_interpol!$B:$XFD, MATCH(gdp_capita_mesorreg!N$1, pop_mesorreg_interpol!$B$1:$XFD$1, 0), 0)</f>
        <v>5089.8465242481479</v>
      </c>
      <c r="O71" s="7">
        <f>VLOOKUP($B71, gdp_tot_mes!$B:$XFD, MATCH(gdp_capita_mesorreg!O$1, gdp_tot_mes!$B$1:$XFD$1, 0), 0)*1000/VLOOKUP($B71, pop_mesorreg_interpol!$B:$XFD, MATCH(gdp_capita_mesorreg!O$1, pop_mesorreg_interpol!$B$1:$XFD$1, 0), 0)</f>
        <v>5331.5081454005749</v>
      </c>
      <c r="P71" s="7">
        <f>VLOOKUP($B71, gdp_tot_mes!$B:$XFD, MATCH(gdp_capita_mesorreg!P$1, gdp_tot_mes!$B$1:$XFD$1, 0), 0)*1000/VLOOKUP($B71, pop_mesorreg_interpol!$B:$XFD, MATCH(gdp_capita_mesorreg!P$1, pop_mesorreg_interpol!$B$1:$XFD$1, 0), 0)</f>
        <v>5385.7206864889813</v>
      </c>
      <c r="Q71" s="7">
        <f>VLOOKUP($B71, gdp_tot_mes!$B:$XFD, MATCH(gdp_capita_mesorreg!Q$1, gdp_tot_mes!$B$1:$XFD$1, 0), 0)*1000/VLOOKUP($B71, pop_mesorreg_interpol!$B:$XFD, MATCH(gdp_capita_mesorreg!Q$1, pop_mesorreg_interpol!$B$1:$XFD$1, 0), 0)</f>
        <v>5403.0684382043601</v>
      </c>
      <c r="R71" s="7">
        <f>VLOOKUP($B71, gdp_tot_mes!$B:$XFD, MATCH(gdp_capita_mesorreg!R$1, gdp_tot_mes!$B$1:$XFD$1, 0), 0)*1000/VLOOKUP($B71, pop_mesorreg_interpol!$B:$XFD, MATCH(gdp_capita_mesorreg!R$1, pop_mesorreg_interpol!$B$1:$XFD$1, 0), 0)</f>
        <v>5627.4081572428668</v>
      </c>
      <c r="S71" s="7">
        <f>VLOOKUP($B71, gdp_tot_mes!$B:$XFD, MATCH(gdp_capita_mesorreg!S$1, gdp_tot_mes!$B$1:$XFD$1, 0), 0)*1000/VLOOKUP($B71, pop_mesorreg_interpol!$B:$XFD, MATCH(gdp_capita_mesorreg!S$1, pop_mesorreg_interpol!$B$1:$XFD$1, 0), 0)</f>
        <v>5585.4925701580469</v>
      </c>
      <c r="T71" s="7">
        <f>VLOOKUP($B71, gdp_tot_mes!$B:$XFD, MATCH(gdp_capita_mesorreg!T$1, gdp_tot_mes!$B$1:$XFD$1, 0), 0)*1000/VLOOKUP($B71, pop_mesorreg_interpol!$B:$XFD, MATCH(gdp_capita_mesorreg!T$1, pop_mesorreg_interpol!$B$1:$XFD$1, 0), 0)</f>
        <v>5507.6849946155935</v>
      </c>
      <c r="U71" s="7">
        <f>VLOOKUP($B71, gdp_tot_mes!$B:$XFD, MATCH(gdp_capita_mesorreg!U$1, gdp_tot_mes!$B$1:$XFD$1, 0), 0)*1000/VLOOKUP($B71, pop_mesorreg_interpol!$B:$XFD, MATCH(gdp_capita_mesorreg!U$1, pop_mesorreg_interpol!$B$1:$XFD$1, 0), 0)</f>
        <v>6112.7398147804979</v>
      </c>
      <c r="V71" s="7">
        <f>VLOOKUP($B71, gdp_tot_mes!$B:$XFD, MATCH(gdp_capita_mesorreg!V$1, gdp_tot_mes!$B$1:$XFD$1, 0), 0)*1000/VLOOKUP($B71, pop_mesorreg_interpol!$B:$XFD, MATCH(gdp_capita_mesorreg!V$1, pop_mesorreg_interpol!$B$1:$XFD$1, 0), 0)</f>
        <v>6523.0862969260315</v>
      </c>
      <c r="W71" s="7">
        <f>VLOOKUP($B71, gdp_tot_mes!$B:$XFD, MATCH(gdp_capita_mesorreg!W$1, gdp_tot_mes!$B$1:$XFD$1, 0), 0)*1000/VLOOKUP($B71, pop_mesorreg_interpol!$B:$XFD, MATCH(gdp_capita_mesorreg!W$1, pop_mesorreg_interpol!$B$1:$XFD$1, 0), 0)</f>
        <v>6786.5787747956028</v>
      </c>
      <c r="X71" s="7">
        <f>VLOOKUP($B71, gdp_tot_mes!$B:$XFD, MATCH(gdp_capita_mesorreg!X$1, gdp_tot_mes!$B$1:$XFD$1, 0), 0)*1000/VLOOKUP($B71, pop_mesorreg_interpol!$B:$XFD, MATCH(gdp_capita_mesorreg!X$1, pop_mesorreg_interpol!$B$1:$XFD$1, 0), 0)</f>
        <v>6950.4294854206373</v>
      </c>
      <c r="Y71" s="7">
        <f>VLOOKUP($B71, gdp_tot_mes!$B:$XFD, MATCH(gdp_capita_mesorreg!Y$1, gdp_tot_mes!$B$1:$XFD$1, 0), 0)*1000/VLOOKUP($B71, pop_mesorreg_interpol!$B:$XFD, MATCH(gdp_capita_mesorreg!Y$1, pop_mesorreg_interpol!$B$1:$XFD$1, 0), 0)</f>
        <v>7058.3225037275015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x14ac:dyDescent="0.25">
      <c r="A72" s="1" t="s">
        <v>171</v>
      </c>
      <c r="B72" s="1" t="s">
        <v>178</v>
      </c>
      <c r="C72" s="1" t="s">
        <v>179</v>
      </c>
      <c r="D72" s="7">
        <f>VLOOKUP($B72, gdp_tot_mes!$B:$XFD, MATCH(gdp_capita_mesorreg!D$1, gdp_tot_mes!$B$1:$XFD$1, 0), 0)*1000/VLOOKUP($B72, pop_mesorreg_interpol!$B:$XFD, MATCH(gdp_capita_mesorreg!D$1, pop_mesorreg_interpol!$B$1:$XFD$1, 0), 0)</f>
        <v>544.21942771850286</v>
      </c>
      <c r="E72" s="7">
        <f>VLOOKUP($B72, gdp_tot_mes!$B:$XFD, MATCH(gdp_capita_mesorreg!E$1, gdp_tot_mes!$B$1:$XFD$1, 0), 0)*1000/VLOOKUP($B72, pop_mesorreg_interpol!$B:$XFD, MATCH(gdp_capita_mesorreg!E$1, pop_mesorreg_interpol!$B$1:$XFD$1, 0), 0)</f>
        <v>1512.161581946448</v>
      </c>
      <c r="F72" s="7">
        <f>VLOOKUP($B72, gdp_tot_mes!$B:$XFD, MATCH(gdp_capita_mesorreg!F$1, gdp_tot_mes!$B$1:$XFD$1, 0), 0)*1000/VLOOKUP($B72, pop_mesorreg_interpol!$B:$XFD, MATCH(gdp_capita_mesorreg!F$1, pop_mesorreg_interpol!$B$1:$XFD$1, 0), 0)</f>
        <v>1976.8852684112223</v>
      </c>
      <c r="G72" s="7">
        <f>VLOOKUP($B72, gdp_tot_mes!$B:$XFD, MATCH(gdp_capita_mesorreg!G$1, gdp_tot_mes!$B$1:$XFD$1, 0), 0)*1000/VLOOKUP($B72, pop_mesorreg_interpol!$B:$XFD, MATCH(gdp_capita_mesorreg!G$1, pop_mesorreg_interpol!$B$1:$XFD$1, 0), 0)</f>
        <v>2460.9389116364032</v>
      </c>
      <c r="H72" s="7">
        <f>VLOOKUP($B72, gdp_tot_mes!$B:$XFD, MATCH(gdp_capita_mesorreg!H$1, gdp_tot_mes!$B$1:$XFD$1, 0), 0)*1000/VLOOKUP($B72, pop_mesorreg_interpol!$B:$XFD, MATCH(gdp_capita_mesorreg!H$1, pop_mesorreg_interpol!$B$1:$XFD$1, 0), 0)</f>
        <v>3613.0058956727089</v>
      </c>
      <c r="I72" s="7">
        <f>VLOOKUP($B72, gdp_tot_mes!$B:$XFD, MATCH(gdp_capita_mesorreg!I$1, gdp_tot_mes!$B$1:$XFD$1, 0), 0)*1000/VLOOKUP($B72, pop_mesorreg_interpol!$B:$XFD, MATCH(gdp_capita_mesorreg!I$1, pop_mesorreg_interpol!$B$1:$XFD$1, 0), 0)</f>
        <v>5088.0148422528237</v>
      </c>
      <c r="J72" s="7">
        <f>VLOOKUP($B72, gdp_tot_mes!$B:$XFD, MATCH(gdp_capita_mesorreg!J$1, gdp_tot_mes!$B$1:$XFD$1, 0), 0)*1000/VLOOKUP($B72, pop_mesorreg_interpol!$B:$XFD, MATCH(gdp_capita_mesorreg!J$1, pop_mesorreg_interpol!$B$1:$XFD$1, 0), 0)</f>
        <v>7466.9242545924608</v>
      </c>
      <c r="K72" s="7">
        <f>VLOOKUP($B72, gdp_tot_mes!$B:$XFD, MATCH(gdp_capita_mesorreg!K$1, gdp_tot_mes!$B$1:$XFD$1, 0), 0)*1000/VLOOKUP($B72, pop_mesorreg_interpol!$B:$XFD, MATCH(gdp_capita_mesorreg!K$1, pop_mesorreg_interpol!$B$1:$XFD$1, 0), 0)</f>
        <v>7963.5215164318206</v>
      </c>
      <c r="L72" s="8">
        <f>VLOOKUP($B72, gdp_tot_mes!$B:$XFD, MATCH(gdp_capita_mesorreg!L$1, gdp_tot_mes!$B$1:$XFD$1, 0), 0)*1000/VLOOKUP($B72, pop_mesorreg_interpol!$B:$XFD, MATCH(gdp_capita_mesorreg!L$1, pop_mesorreg_interpol!$B$1:$XFD$1, 0), 0)</f>
        <v>9143.6046166952765</v>
      </c>
      <c r="M72" s="7">
        <f>VLOOKUP($B72, gdp_tot_mes!$B:$XFD, MATCH(gdp_capita_mesorreg!M$1, gdp_tot_mes!$B$1:$XFD$1, 0), 0)*1000/VLOOKUP($B72, pop_mesorreg_interpol!$B:$XFD, MATCH(gdp_capita_mesorreg!M$1, pop_mesorreg_interpol!$B$1:$XFD$1, 0), 0)</f>
        <v>10243.193725018557</v>
      </c>
      <c r="N72" s="7">
        <f>VLOOKUP($B72, gdp_tot_mes!$B:$XFD, MATCH(gdp_capita_mesorreg!N$1, gdp_tot_mes!$B$1:$XFD$1, 0), 0)*1000/VLOOKUP($B72, pop_mesorreg_interpol!$B:$XFD, MATCH(gdp_capita_mesorreg!N$1, pop_mesorreg_interpol!$B$1:$XFD$1, 0), 0)</f>
        <v>8801.0741618253451</v>
      </c>
      <c r="O72" s="7">
        <f>VLOOKUP($B72, gdp_tot_mes!$B:$XFD, MATCH(gdp_capita_mesorreg!O$1, gdp_tot_mes!$B$1:$XFD$1, 0), 0)*1000/VLOOKUP($B72, pop_mesorreg_interpol!$B:$XFD, MATCH(gdp_capita_mesorreg!O$1, pop_mesorreg_interpol!$B$1:$XFD$1, 0), 0)</f>
        <v>8946.9214951244667</v>
      </c>
      <c r="P72" s="7">
        <f>VLOOKUP($B72, gdp_tot_mes!$B:$XFD, MATCH(gdp_capita_mesorreg!P$1, gdp_tot_mes!$B$1:$XFD$1, 0), 0)*1000/VLOOKUP($B72, pop_mesorreg_interpol!$B:$XFD, MATCH(gdp_capita_mesorreg!P$1, pop_mesorreg_interpol!$B$1:$XFD$1, 0), 0)</f>
        <v>9837.0873848708907</v>
      </c>
      <c r="Q72" s="7">
        <f>VLOOKUP($B72, gdp_tot_mes!$B:$XFD, MATCH(gdp_capita_mesorreg!Q$1, gdp_tot_mes!$B$1:$XFD$1, 0), 0)*1000/VLOOKUP($B72, pop_mesorreg_interpol!$B:$XFD, MATCH(gdp_capita_mesorreg!Q$1, pop_mesorreg_interpol!$B$1:$XFD$1, 0), 0)</f>
        <v>10455.514857884949</v>
      </c>
      <c r="R72" s="7">
        <f>VLOOKUP($B72, gdp_tot_mes!$B:$XFD, MATCH(gdp_capita_mesorreg!R$1, gdp_tot_mes!$B$1:$XFD$1, 0), 0)*1000/VLOOKUP($B72, pop_mesorreg_interpol!$B:$XFD, MATCH(gdp_capita_mesorreg!R$1, pop_mesorreg_interpol!$B$1:$XFD$1, 0), 0)</f>
        <v>10060.174673977795</v>
      </c>
      <c r="S72" s="7">
        <f>VLOOKUP($B72, gdp_tot_mes!$B:$XFD, MATCH(gdp_capita_mesorreg!S$1, gdp_tot_mes!$B$1:$XFD$1, 0), 0)*1000/VLOOKUP($B72, pop_mesorreg_interpol!$B:$XFD, MATCH(gdp_capita_mesorreg!S$1, pop_mesorreg_interpol!$B$1:$XFD$1, 0), 0)</f>
        <v>9631.8625302814289</v>
      </c>
      <c r="T72" s="7">
        <f>VLOOKUP($B72, gdp_tot_mes!$B:$XFD, MATCH(gdp_capita_mesorreg!T$1, gdp_tot_mes!$B$1:$XFD$1, 0), 0)*1000/VLOOKUP($B72, pop_mesorreg_interpol!$B:$XFD, MATCH(gdp_capita_mesorreg!T$1, pop_mesorreg_interpol!$B$1:$XFD$1, 0), 0)</f>
        <v>10358.695565254831</v>
      </c>
      <c r="U72" s="7">
        <f>VLOOKUP($B72, gdp_tot_mes!$B:$XFD, MATCH(gdp_capita_mesorreg!U$1, gdp_tot_mes!$B$1:$XFD$1, 0), 0)*1000/VLOOKUP($B72, pop_mesorreg_interpol!$B:$XFD, MATCH(gdp_capita_mesorreg!U$1, pop_mesorreg_interpol!$B$1:$XFD$1, 0), 0)</f>
        <v>10900.785738372058</v>
      </c>
      <c r="V72" s="7">
        <f>VLOOKUP($B72, gdp_tot_mes!$B:$XFD, MATCH(gdp_capita_mesorreg!V$1, gdp_tot_mes!$B$1:$XFD$1, 0), 0)*1000/VLOOKUP($B72, pop_mesorreg_interpol!$B:$XFD, MATCH(gdp_capita_mesorreg!V$1, pop_mesorreg_interpol!$B$1:$XFD$1, 0), 0)</f>
        <v>11359.939193800237</v>
      </c>
      <c r="W72" s="7">
        <f>VLOOKUP($B72, gdp_tot_mes!$B:$XFD, MATCH(gdp_capita_mesorreg!W$1, gdp_tot_mes!$B$1:$XFD$1, 0), 0)*1000/VLOOKUP($B72, pop_mesorreg_interpol!$B:$XFD, MATCH(gdp_capita_mesorreg!W$1, pop_mesorreg_interpol!$B$1:$XFD$1, 0), 0)</f>
        <v>11844.008183133754</v>
      </c>
      <c r="X72" s="7">
        <f>VLOOKUP($B72, gdp_tot_mes!$B:$XFD, MATCH(gdp_capita_mesorreg!X$1, gdp_tot_mes!$B$1:$XFD$1, 0), 0)*1000/VLOOKUP($B72, pop_mesorreg_interpol!$B:$XFD, MATCH(gdp_capita_mesorreg!X$1, pop_mesorreg_interpol!$B$1:$XFD$1, 0), 0)</f>
        <v>12180.180317461865</v>
      </c>
      <c r="Y72" s="7">
        <f>VLOOKUP($B72, gdp_tot_mes!$B:$XFD, MATCH(gdp_capita_mesorreg!Y$1, gdp_tot_mes!$B$1:$XFD$1, 0), 0)*1000/VLOOKUP($B72, pop_mesorreg_interpol!$B:$XFD, MATCH(gdp_capita_mesorreg!Y$1, pop_mesorreg_interpol!$B$1:$XFD$1, 0), 0)</f>
        <v>12286.869257110178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x14ac:dyDescent="0.25">
      <c r="A73" s="1" t="s">
        <v>180</v>
      </c>
      <c r="B73" s="1" t="s">
        <v>181</v>
      </c>
      <c r="C73" s="1" t="s">
        <v>182</v>
      </c>
      <c r="D73" s="7">
        <f>VLOOKUP($B73, gdp_tot_mes!$B:$XFD, MATCH(gdp_capita_mesorreg!D$1, gdp_tot_mes!$B$1:$XFD$1, 0), 0)*1000/VLOOKUP($B73, pop_mesorreg_interpol!$B:$XFD, MATCH(gdp_capita_mesorreg!D$1, pop_mesorreg_interpol!$B$1:$XFD$1, 0), 0)</f>
        <v>237.18393248486692</v>
      </c>
      <c r="E73" s="7">
        <f>VLOOKUP($B73, gdp_tot_mes!$B:$XFD, MATCH(gdp_capita_mesorreg!E$1, gdp_tot_mes!$B$1:$XFD$1, 0), 0)*1000/VLOOKUP($B73, pop_mesorreg_interpol!$B:$XFD, MATCH(gdp_capita_mesorreg!E$1, pop_mesorreg_interpol!$B$1:$XFD$1, 0), 0)</f>
        <v>612.2679552006158</v>
      </c>
      <c r="F73" s="7">
        <f>VLOOKUP($B73, gdp_tot_mes!$B:$XFD, MATCH(gdp_capita_mesorreg!F$1, gdp_tot_mes!$B$1:$XFD$1, 0), 0)*1000/VLOOKUP($B73, pop_mesorreg_interpol!$B:$XFD, MATCH(gdp_capita_mesorreg!F$1, pop_mesorreg_interpol!$B$1:$XFD$1, 0), 0)</f>
        <v>1088.2214350916618</v>
      </c>
      <c r="G73" s="7">
        <f>VLOOKUP($B73, gdp_tot_mes!$B:$XFD, MATCH(gdp_capita_mesorreg!G$1, gdp_tot_mes!$B$1:$XFD$1, 0), 0)*1000/VLOOKUP($B73, pop_mesorreg_interpol!$B:$XFD, MATCH(gdp_capita_mesorreg!G$1, pop_mesorreg_interpol!$B$1:$XFD$1, 0), 0)</f>
        <v>1583.5698440289354</v>
      </c>
      <c r="H73" s="7">
        <f>VLOOKUP($B73, gdp_tot_mes!$B:$XFD, MATCH(gdp_capita_mesorreg!H$1, gdp_tot_mes!$B$1:$XFD$1, 0), 0)*1000/VLOOKUP($B73, pop_mesorreg_interpol!$B:$XFD, MATCH(gdp_capita_mesorreg!H$1, pop_mesorreg_interpol!$B$1:$XFD$1, 0), 0)</f>
        <v>1379.8317925442905</v>
      </c>
      <c r="I73" s="7">
        <f>VLOOKUP($B73, gdp_tot_mes!$B:$XFD, MATCH(gdp_capita_mesorreg!I$1, gdp_tot_mes!$B$1:$XFD$1, 0), 0)*1000/VLOOKUP($B73, pop_mesorreg_interpol!$B:$XFD, MATCH(gdp_capita_mesorreg!I$1, pop_mesorreg_interpol!$B$1:$XFD$1, 0), 0)</f>
        <v>3013.5186247793526</v>
      </c>
      <c r="J73" s="7">
        <f>VLOOKUP($B73, gdp_tot_mes!$B:$XFD, MATCH(gdp_capita_mesorreg!J$1, gdp_tot_mes!$B$1:$XFD$1, 0), 0)*1000/VLOOKUP($B73, pop_mesorreg_interpol!$B:$XFD, MATCH(gdp_capita_mesorreg!J$1, pop_mesorreg_interpol!$B$1:$XFD$1, 0), 0)</f>
        <v>2865.7750014306421</v>
      </c>
      <c r="K73" s="7">
        <f>VLOOKUP($B73, gdp_tot_mes!$B:$XFD, MATCH(gdp_capita_mesorreg!K$1, gdp_tot_mes!$B$1:$XFD$1, 0), 0)*1000/VLOOKUP($B73, pop_mesorreg_interpol!$B:$XFD, MATCH(gdp_capita_mesorreg!K$1, pop_mesorreg_interpol!$B$1:$XFD$1, 0), 0)</f>
        <v>2921.419020630673</v>
      </c>
      <c r="L73" s="8">
        <f>VLOOKUP($B73, gdp_tot_mes!$B:$XFD, MATCH(gdp_capita_mesorreg!L$1, gdp_tot_mes!$B$1:$XFD$1, 0), 0)*1000/VLOOKUP($B73, pop_mesorreg_interpol!$B:$XFD, MATCH(gdp_capita_mesorreg!L$1, pop_mesorreg_interpol!$B$1:$XFD$1, 0), 0)</f>
        <v>2776.7844706463616</v>
      </c>
      <c r="M73" s="7">
        <f>VLOOKUP($B73, gdp_tot_mes!$B:$XFD, MATCH(gdp_capita_mesorreg!M$1, gdp_tot_mes!$B$1:$XFD$1, 0), 0)*1000/VLOOKUP($B73, pop_mesorreg_interpol!$B:$XFD, MATCH(gdp_capita_mesorreg!M$1, pop_mesorreg_interpol!$B$1:$XFD$1, 0), 0)</f>
        <v>2614.7200290986757</v>
      </c>
      <c r="N73" s="7">
        <f>VLOOKUP($B73, gdp_tot_mes!$B:$XFD, MATCH(gdp_capita_mesorreg!N$1, gdp_tot_mes!$B$1:$XFD$1, 0), 0)*1000/VLOOKUP($B73, pop_mesorreg_interpol!$B:$XFD, MATCH(gdp_capita_mesorreg!N$1, pop_mesorreg_interpol!$B$1:$XFD$1, 0), 0)</f>
        <v>3713.4548629287378</v>
      </c>
      <c r="O73" s="7">
        <f>VLOOKUP($B73, gdp_tot_mes!$B:$XFD, MATCH(gdp_capita_mesorreg!O$1, gdp_tot_mes!$B$1:$XFD$1, 0), 0)*1000/VLOOKUP($B73, pop_mesorreg_interpol!$B:$XFD, MATCH(gdp_capita_mesorreg!O$1, pop_mesorreg_interpol!$B$1:$XFD$1, 0), 0)</f>
        <v>3693.7755906712978</v>
      </c>
      <c r="P73" s="7">
        <f>VLOOKUP($B73, gdp_tot_mes!$B:$XFD, MATCH(gdp_capita_mesorreg!P$1, gdp_tot_mes!$B$1:$XFD$1, 0), 0)*1000/VLOOKUP($B73, pop_mesorreg_interpol!$B:$XFD, MATCH(gdp_capita_mesorreg!P$1, pop_mesorreg_interpol!$B$1:$XFD$1, 0), 0)</f>
        <v>3746.6485996808351</v>
      </c>
      <c r="Q73" s="7">
        <f>VLOOKUP($B73, gdp_tot_mes!$B:$XFD, MATCH(gdp_capita_mesorreg!Q$1, gdp_tot_mes!$B$1:$XFD$1, 0), 0)*1000/VLOOKUP($B73, pop_mesorreg_interpol!$B:$XFD, MATCH(gdp_capita_mesorreg!Q$1, pop_mesorreg_interpol!$B$1:$XFD$1, 0), 0)</f>
        <v>3908.7482866638734</v>
      </c>
      <c r="R73" s="7">
        <f>VLOOKUP($B73, gdp_tot_mes!$B:$XFD, MATCH(gdp_capita_mesorreg!R$1, gdp_tot_mes!$B$1:$XFD$1, 0), 0)*1000/VLOOKUP($B73, pop_mesorreg_interpol!$B:$XFD, MATCH(gdp_capita_mesorreg!R$1, pop_mesorreg_interpol!$B$1:$XFD$1, 0), 0)</f>
        <v>3708.9592988872755</v>
      </c>
      <c r="S73" s="7">
        <f>VLOOKUP($B73, gdp_tot_mes!$B:$XFD, MATCH(gdp_capita_mesorreg!S$1, gdp_tot_mes!$B$1:$XFD$1, 0), 0)*1000/VLOOKUP($B73, pop_mesorreg_interpol!$B:$XFD, MATCH(gdp_capita_mesorreg!S$1, pop_mesorreg_interpol!$B$1:$XFD$1, 0), 0)</f>
        <v>3720.4897542213271</v>
      </c>
      <c r="T73" s="7">
        <f>VLOOKUP($B73, gdp_tot_mes!$B:$XFD, MATCH(gdp_capita_mesorreg!T$1, gdp_tot_mes!$B$1:$XFD$1, 0), 0)*1000/VLOOKUP($B73, pop_mesorreg_interpol!$B:$XFD, MATCH(gdp_capita_mesorreg!T$1, pop_mesorreg_interpol!$B$1:$XFD$1, 0), 0)</f>
        <v>4008.4137348123977</v>
      </c>
      <c r="U73" s="7">
        <f>VLOOKUP($B73, gdp_tot_mes!$B:$XFD, MATCH(gdp_capita_mesorreg!U$1, gdp_tot_mes!$B$1:$XFD$1, 0), 0)*1000/VLOOKUP($B73, pop_mesorreg_interpol!$B:$XFD, MATCH(gdp_capita_mesorreg!U$1, pop_mesorreg_interpol!$B$1:$XFD$1, 0), 0)</f>
        <v>4246.7865093790215</v>
      </c>
      <c r="V73" s="7">
        <f>VLOOKUP($B73, gdp_tot_mes!$B:$XFD, MATCH(gdp_capita_mesorreg!V$1, gdp_tot_mes!$B$1:$XFD$1, 0), 0)*1000/VLOOKUP($B73, pop_mesorreg_interpol!$B:$XFD, MATCH(gdp_capita_mesorreg!V$1, pop_mesorreg_interpol!$B$1:$XFD$1, 0), 0)</f>
        <v>4477.442129897674</v>
      </c>
      <c r="W73" s="7">
        <f>VLOOKUP($B73, gdp_tot_mes!$B:$XFD, MATCH(gdp_capita_mesorreg!W$1, gdp_tot_mes!$B$1:$XFD$1, 0), 0)*1000/VLOOKUP($B73, pop_mesorreg_interpol!$B:$XFD, MATCH(gdp_capita_mesorreg!W$1, pop_mesorreg_interpol!$B$1:$XFD$1, 0), 0)</f>
        <v>4741.7009712330491</v>
      </c>
      <c r="X73" s="7">
        <f>VLOOKUP($B73, gdp_tot_mes!$B:$XFD, MATCH(gdp_capita_mesorreg!X$1, gdp_tot_mes!$B$1:$XFD$1, 0), 0)*1000/VLOOKUP($B73, pop_mesorreg_interpol!$B:$XFD, MATCH(gdp_capita_mesorreg!X$1, pop_mesorreg_interpol!$B$1:$XFD$1, 0), 0)</f>
        <v>4960.8804919496024</v>
      </c>
      <c r="Y73" s="7">
        <f>VLOOKUP($B73, gdp_tot_mes!$B:$XFD, MATCH(gdp_capita_mesorreg!Y$1, gdp_tot_mes!$B$1:$XFD$1, 0), 0)*1000/VLOOKUP($B73, pop_mesorreg_interpol!$B:$XFD, MATCH(gdp_capita_mesorreg!Y$1, pop_mesorreg_interpol!$B$1:$XFD$1, 0), 0)</f>
        <v>5409.1696698534352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x14ac:dyDescent="0.25">
      <c r="A74" s="1" t="s">
        <v>180</v>
      </c>
      <c r="B74" s="1" t="s">
        <v>183</v>
      </c>
      <c r="C74" s="1" t="s">
        <v>184</v>
      </c>
      <c r="D74" s="7">
        <f>VLOOKUP($B74, gdp_tot_mes!$B:$XFD, MATCH(gdp_capita_mesorreg!D$1, gdp_tot_mes!$B$1:$XFD$1, 0), 0)*1000/VLOOKUP($B74, pop_mesorreg_interpol!$B:$XFD, MATCH(gdp_capita_mesorreg!D$1, pop_mesorreg_interpol!$B$1:$XFD$1, 0), 0)</f>
        <v>333.5863871194245</v>
      </c>
      <c r="E74" s="7">
        <f>VLOOKUP($B74, gdp_tot_mes!$B:$XFD, MATCH(gdp_capita_mesorreg!E$1, gdp_tot_mes!$B$1:$XFD$1, 0), 0)*1000/VLOOKUP($B74, pop_mesorreg_interpol!$B:$XFD, MATCH(gdp_capita_mesorreg!E$1, pop_mesorreg_interpol!$B$1:$XFD$1, 0), 0)</f>
        <v>878.51409365772736</v>
      </c>
      <c r="F74" s="7">
        <f>VLOOKUP($B74, gdp_tot_mes!$B:$XFD, MATCH(gdp_capita_mesorreg!F$1, gdp_tot_mes!$B$1:$XFD$1, 0), 0)*1000/VLOOKUP($B74, pop_mesorreg_interpol!$B:$XFD, MATCH(gdp_capita_mesorreg!F$1, pop_mesorreg_interpol!$B$1:$XFD$1, 0), 0)</f>
        <v>945.73750735778435</v>
      </c>
      <c r="G74" s="7">
        <f>VLOOKUP($B74, gdp_tot_mes!$B:$XFD, MATCH(gdp_capita_mesorreg!G$1, gdp_tot_mes!$B$1:$XFD$1, 0), 0)*1000/VLOOKUP($B74, pop_mesorreg_interpol!$B:$XFD, MATCH(gdp_capita_mesorreg!G$1, pop_mesorreg_interpol!$B$1:$XFD$1, 0), 0)</f>
        <v>1382.8485333333899</v>
      </c>
      <c r="H74" s="7">
        <f>VLOOKUP($B74, gdp_tot_mes!$B:$XFD, MATCH(gdp_capita_mesorreg!H$1, gdp_tot_mes!$B$1:$XFD$1, 0), 0)*1000/VLOOKUP($B74, pop_mesorreg_interpol!$B:$XFD, MATCH(gdp_capita_mesorreg!H$1, pop_mesorreg_interpol!$B$1:$XFD$1, 0), 0)</f>
        <v>2051.3766484248422</v>
      </c>
      <c r="I74" s="7">
        <f>VLOOKUP($B74, gdp_tot_mes!$B:$XFD, MATCH(gdp_capita_mesorreg!I$1, gdp_tot_mes!$B$1:$XFD$1, 0), 0)*1000/VLOOKUP($B74, pop_mesorreg_interpol!$B:$XFD, MATCH(gdp_capita_mesorreg!I$1, pop_mesorreg_interpol!$B$1:$XFD$1, 0), 0)</f>
        <v>3102.4580942383895</v>
      </c>
      <c r="J74" s="7">
        <f>VLOOKUP($B74, gdp_tot_mes!$B:$XFD, MATCH(gdp_capita_mesorreg!J$1, gdp_tot_mes!$B$1:$XFD$1, 0), 0)*1000/VLOOKUP($B74, pop_mesorreg_interpol!$B:$XFD, MATCH(gdp_capita_mesorreg!J$1, pop_mesorreg_interpol!$B$1:$XFD$1, 0), 0)</f>
        <v>4536.8063447833001</v>
      </c>
      <c r="K74" s="7">
        <f>VLOOKUP($B74, gdp_tot_mes!$B:$XFD, MATCH(gdp_capita_mesorreg!K$1, gdp_tot_mes!$B$1:$XFD$1, 0), 0)*1000/VLOOKUP($B74, pop_mesorreg_interpol!$B:$XFD, MATCH(gdp_capita_mesorreg!K$1, pop_mesorreg_interpol!$B$1:$XFD$1, 0), 0)</f>
        <v>4932.4202794231078</v>
      </c>
      <c r="L74" s="8">
        <f>VLOOKUP($B74, gdp_tot_mes!$B:$XFD, MATCH(gdp_capita_mesorreg!L$1, gdp_tot_mes!$B$1:$XFD$1, 0), 0)*1000/VLOOKUP($B74, pop_mesorreg_interpol!$B:$XFD, MATCH(gdp_capita_mesorreg!L$1, pop_mesorreg_interpol!$B$1:$XFD$1, 0), 0)</f>
        <v>4720.2278526678383</v>
      </c>
      <c r="M74" s="7">
        <f>VLOOKUP($B74, gdp_tot_mes!$B:$XFD, MATCH(gdp_capita_mesorreg!M$1, gdp_tot_mes!$B$1:$XFD$1, 0), 0)*1000/VLOOKUP($B74, pop_mesorreg_interpol!$B:$XFD, MATCH(gdp_capita_mesorreg!M$1, pop_mesorreg_interpol!$B$1:$XFD$1, 0), 0)</f>
        <v>4527.3202444546005</v>
      </c>
      <c r="N74" s="7">
        <f>VLOOKUP($B74, gdp_tot_mes!$B:$XFD, MATCH(gdp_capita_mesorreg!N$1, gdp_tot_mes!$B$1:$XFD$1, 0), 0)*1000/VLOOKUP($B74, pop_mesorreg_interpol!$B:$XFD, MATCH(gdp_capita_mesorreg!N$1, pop_mesorreg_interpol!$B$1:$XFD$1, 0), 0)</f>
        <v>7073.7479250296865</v>
      </c>
      <c r="O74" s="7">
        <f>VLOOKUP($B74, gdp_tot_mes!$B:$XFD, MATCH(gdp_capita_mesorreg!O$1, gdp_tot_mes!$B$1:$XFD$1, 0), 0)*1000/VLOOKUP($B74, pop_mesorreg_interpol!$B:$XFD, MATCH(gdp_capita_mesorreg!O$1, pop_mesorreg_interpol!$B$1:$XFD$1, 0), 0)</f>
        <v>6873.4246595070417</v>
      </c>
      <c r="P74" s="7">
        <f>VLOOKUP($B74, gdp_tot_mes!$B:$XFD, MATCH(gdp_capita_mesorreg!P$1, gdp_tot_mes!$B$1:$XFD$1, 0), 0)*1000/VLOOKUP($B74, pop_mesorreg_interpol!$B:$XFD, MATCH(gdp_capita_mesorreg!P$1, pop_mesorreg_interpol!$B$1:$XFD$1, 0), 0)</f>
        <v>7314.563625224212</v>
      </c>
      <c r="Q74" s="7">
        <f>VLOOKUP($B74, gdp_tot_mes!$B:$XFD, MATCH(gdp_capita_mesorreg!Q$1, gdp_tot_mes!$B$1:$XFD$1, 0), 0)*1000/VLOOKUP($B74, pop_mesorreg_interpol!$B:$XFD, MATCH(gdp_capita_mesorreg!Q$1, pop_mesorreg_interpol!$B$1:$XFD$1, 0), 0)</f>
        <v>7636.2821616000347</v>
      </c>
      <c r="R74" s="7">
        <f>VLOOKUP($B74, gdp_tot_mes!$B:$XFD, MATCH(gdp_capita_mesorreg!R$1, gdp_tot_mes!$B$1:$XFD$1, 0), 0)*1000/VLOOKUP($B74, pop_mesorreg_interpol!$B:$XFD, MATCH(gdp_capita_mesorreg!R$1, pop_mesorreg_interpol!$B$1:$XFD$1, 0), 0)</f>
        <v>8384.5082403691413</v>
      </c>
      <c r="S74" s="7">
        <f>VLOOKUP($B74, gdp_tot_mes!$B:$XFD, MATCH(gdp_capita_mesorreg!S$1, gdp_tot_mes!$B$1:$XFD$1, 0), 0)*1000/VLOOKUP($B74, pop_mesorreg_interpol!$B:$XFD, MATCH(gdp_capita_mesorreg!S$1, pop_mesorreg_interpol!$B$1:$XFD$1, 0), 0)</f>
        <v>8520.3384679832616</v>
      </c>
      <c r="T74" s="7">
        <f>VLOOKUP($B74, gdp_tot_mes!$B:$XFD, MATCH(gdp_capita_mesorreg!T$1, gdp_tot_mes!$B$1:$XFD$1, 0), 0)*1000/VLOOKUP($B74, pop_mesorreg_interpol!$B:$XFD, MATCH(gdp_capita_mesorreg!T$1, pop_mesorreg_interpol!$B$1:$XFD$1, 0), 0)</f>
        <v>8254.3857209484922</v>
      </c>
      <c r="U74" s="7">
        <f>VLOOKUP($B74, gdp_tot_mes!$B:$XFD, MATCH(gdp_capita_mesorreg!U$1, gdp_tot_mes!$B$1:$XFD$1, 0), 0)*1000/VLOOKUP($B74, pop_mesorreg_interpol!$B:$XFD, MATCH(gdp_capita_mesorreg!U$1, pop_mesorreg_interpol!$B$1:$XFD$1, 0), 0)</f>
        <v>7851.4311904558308</v>
      </c>
      <c r="V74" s="7">
        <f>VLOOKUP($B74, gdp_tot_mes!$B:$XFD, MATCH(gdp_capita_mesorreg!V$1, gdp_tot_mes!$B$1:$XFD$1, 0), 0)*1000/VLOOKUP($B74, pop_mesorreg_interpol!$B:$XFD, MATCH(gdp_capita_mesorreg!V$1, pop_mesorreg_interpol!$B$1:$XFD$1, 0), 0)</f>
        <v>8186.4513065357851</v>
      </c>
      <c r="W74" s="7">
        <f>VLOOKUP($B74, gdp_tot_mes!$B:$XFD, MATCH(gdp_capita_mesorreg!W$1, gdp_tot_mes!$B$1:$XFD$1, 0), 0)*1000/VLOOKUP($B74, pop_mesorreg_interpol!$B:$XFD, MATCH(gdp_capita_mesorreg!W$1, pop_mesorreg_interpol!$B$1:$XFD$1, 0), 0)</f>
        <v>8973.9104816294439</v>
      </c>
      <c r="X74" s="7">
        <f>VLOOKUP($B74, gdp_tot_mes!$B:$XFD, MATCH(gdp_capita_mesorreg!X$1, gdp_tot_mes!$B$1:$XFD$1, 0), 0)*1000/VLOOKUP($B74, pop_mesorreg_interpol!$B:$XFD, MATCH(gdp_capita_mesorreg!X$1, pop_mesorreg_interpol!$B$1:$XFD$1, 0), 0)</f>
        <v>8200.3487373604858</v>
      </c>
      <c r="Y74" s="7">
        <f>VLOOKUP($B74, gdp_tot_mes!$B:$XFD, MATCH(gdp_capita_mesorreg!Y$1, gdp_tot_mes!$B$1:$XFD$1, 0), 0)*1000/VLOOKUP($B74, pop_mesorreg_interpol!$B:$XFD, MATCH(gdp_capita_mesorreg!Y$1, pop_mesorreg_interpol!$B$1:$XFD$1, 0), 0)</f>
        <v>9551.8618166975957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x14ac:dyDescent="0.25">
      <c r="A75" s="1" t="s">
        <v>180</v>
      </c>
      <c r="B75" s="1" t="s">
        <v>185</v>
      </c>
      <c r="C75" s="1" t="s">
        <v>186</v>
      </c>
      <c r="D75" s="7">
        <f>VLOOKUP($B75, gdp_tot_mes!$B:$XFD, MATCH(gdp_capita_mesorreg!D$1, gdp_tot_mes!$B$1:$XFD$1, 0), 0)*1000/VLOOKUP($B75, pop_mesorreg_interpol!$B:$XFD, MATCH(gdp_capita_mesorreg!D$1, pop_mesorreg_interpol!$B$1:$XFD$1, 0), 0)</f>
        <v>378.9519935864169</v>
      </c>
      <c r="E75" s="7">
        <f>VLOOKUP($B75, gdp_tot_mes!$B:$XFD, MATCH(gdp_capita_mesorreg!E$1, gdp_tot_mes!$B$1:$XFD$1, 0), 0)*1000/VLOOKUP($B75, pop_mesorreg_interpol!$B:$XFD, MATCH(gdp_capita_mesorreg!E$1, pop_mesorreg_interpol!$B$1:$XFD$1, 0), 0)</f>
        <v>788.03887169346808</v>
      </c>
      <c r="F75" s="7">
        <f>VLOOKUP($B75, gdp_tot_mes!$B:$XFD, MATCH(gdp_capita_mesorreg!F$1, gdp_tot_mes!$B$1:$XFD$1, 0), 0)*1000/VLOOKUP($B75, pop_mesorreg_interpol!$B:$XFD, MATCH(gdp_capita_mesorreg!F$1, pop_mesorreg_interpol!$B$1:$XFD$1, 0), 0)</f>
        <v>1026.1194138982337</v>
      </c>
      <c r="G75" s="7">
        <f>VLOOKUP($B75, gdp_tot_mes!$B:$XFD, MATCH(gdp_capita_mesorreg!G$1, gdp_tot_mes!$B$1:$XFD$1, 0), 0)*1000/VLOOKUP($B75, pop_mesorreg_interpol!$B:$XFD, MATCH(gdp_capita_mesorreg!G$1, pop_mesorreg_interpol!$B$1:$XFD$1, 0), 0)</f>
        <v>1361.1176683202098</v>
      </c>
      <c r="H75" s="7">
        <f>VLOOKUP($B75, gdp_tot_mes!$B:$XFD, MATCH(gdp_capita_mesorreg!H$1, gdp_tot_mes!$B$1:$XFD$1, 0), 0)*1000/VLOOKUP($B75, pop_mesorreg_interpol!$B:$XFD, MATCH(gdp_capita_mesorreg!H$1, pop_mesorreg_interpol!$B$1:$XFD$1, 0), 0)</f>
        <v>1728.7859467671383</v>
      </c>
      <c r="I75" s="7">
        <f>VLOOKUP($B75, gdp_tot_mes!$B:$XFD, MATCH(gdp_capita_mesorreg!I$1, gdp_tot_mes!$B$1:$XFD$1, 0), 0)*1000/VLOOKUP($B75, pop_mesorreg_interpol!$B:$XFD, MATCH(gdp_capita_mesorreg!I$1, pop_mesorreg_interpol!$B$1:$XFD$1, 0), 0)</f>
        <v>2535.0104546753396</v>
      </c>
      <c r="J75" s="7">
        <f>VLOOKUP($B75, gdp_tot_mes!$B:$XFD, MATCH(gdp_capita_mesorreg!J$1, gdp_tot_mes!$B$1:$XFD$1, 0), 0)*1000/VLOOKUP($B75, pop_mesorreg_interpol!$B:$XFD, MATCH(gdp_capita_mesorreg!J$1, pop_mesorreg_interpol!$B$1:$XFD$1, 0), 0)</f>
        <v>3206.3845514910877</v>
      </c>
      <c r="K75" s="7">
        <f>VLOOKUP($B75, gdp_tot_mes!$B:$XFD, MATCH(gdp_capita_mesorreg!K$1, gdp_tot_mes!$B$1:$XFD$1, 0), 0)*1000/VLOOKUP($B75, pop_mesorreg_interpol!$B:$XFD, MATCH(gdp_capita_mesorreg!K$1, pop_mesorreg_interpol!$B$1:$XFD$1, 0), 0)</f>
        <v>3476.9322238140458</v>
      </c>
      <c r="L75" s="8">
        <f>VLOOKUP($B75, gdp_tot_mes!$B:$XFD, MATCH(gdp_capita_mesorreg!L$1, gdp_tot_mes!$B$1:$XFD$1, 0), 0)*1000/VLOOKUP($B75, pop_mesorreg_interpol!$B:$XFD, MATCH(gdp_capita_mesorreg!L$1, pop_mesorreg_interpol!$B$1:$XFD$1, 0), 0)</f>
        <v>3320.0736627935194</v>
      </c>
      <c r="M75" s="7">
        <f>VLOOKUP($B75, gdp_tot_mes!$B:$XFD, MATCH(gdp_capita_mesorreg!M$1, gdp_tot_mes!$B$1:$XFD$1, 0), 0)*1000/VLOOKUP($B75, pop_mesorreg_interpol!$B:$XFD, MATCH(gdp_capita_mesorreg!M$1, pop_mesorreg_interpol!$B$1:$XFD$1, 0), 0)</f>
        <v>3146.1541400867327</v>
      </c>
      <c r="N75" s="7">
        <f>VLOOKUP($B75, gdp_tot_mes!$B:$XFD, MATCH(gdp_capita_mesorreg!N$1, gdp_tot_mes!$B$1:$XFD$1, 0), 0)*1000/VLOOKUP($B75, pop_mesorreg_interpol!$B:$XFD, MATCH(gdp_capita_mesorreg!N$1, pop_mesorreg_interpol!$B$1:$XFD$1, 0), 0)</f>
        <v>4186.6996407383631</v>
      </c>
      <c r="O75" s="7">
        <f>VLOOKUP($B75, gdp_tot_mes!$B:$XFD, MATCH(gdp_capita_mesorreg!O$1, gdp_tot_mes!$B$1:$XFD$1, 0), 0)*1000/VLOOKUP($B75, pop_mesorreg_interpol!$B:$XFD, MATCH(gdp_capita_mesorreg!O$1, pop_mesorreg_interpol!$B$1:$XFD$1, 0), 0)</f>
        <v>4180.5600123488985</v>
      </c>
      <c r="P75" s="7">
        <f>VLOOKUP($B75, gdp_tot_mes!$B:$XFD, MATCH(gdp_capita_mesorreg!P$1, gdp_tot_mes!$B$1:$XFD$1, 0), 0)*1000/VLOOKUP($B75, pop_mesorreg_interpol!$B:$XFD, MATCH(gdp_capita_mesorreg!P$1, pop_mesorreg_interpol!$B$1:$XFD$1, 0), 0)</f>
        <v>4433.1143292995157</v>
      </c>
      <c r="Q75" s="7">
        <f>VLOOKUP($B75, gdp_tot_mes!$B:$XFD, MATCH(gdp_capita_mesorreg!Q$1, gdp_tot_mes!$B$1:$XFD$1, 0), 0)*1000/VLOOKUP($B75, pop_mesorreg_interpol!$B:$XFD, MATCH(gdp_capita_mesorreg!Q$1, pop_mesorreg_interpol!$B$1:$XFD$1, 0), 0)</f>
        <v>4524.084770806814</v>
      </c>
      <c r="R75" s="7">
        <f>VLOOKUP($B75, gdp_tot_mes!$B:$XFD, MATCH(gdp_capita_mesorreg!R$1, gdp_tot_mes!$B$1:$XFD$1, 0), 0)*1000/VLOOKUP($B75, pop_mesorreg_interpol!$B:$XFD, MATCH(gdp_capita_mesorreg!R$1, pop_mesorreg_interpol!$B$1:$XFD$1, 0), 0)</f>
        <v>4399.6831522298744</v>
      </c>
      <c r="S75" s="7">
        <f>VLOOKUP($B75, gdp_tot_mes!$B:$XFD, MATCH(gdp_capita_mesorreg!S$1, gdp_tot_mes!$B$1:$XFD$1, 0), 0)*1000/VLOOKUP($B75, pop_mesorreg_interpol!$B:$XFD, MATCH(gdp_capita_mesorreg!S$1, pop_mesorreg_interpol!$B$1:$XFD$1, 0), 0)</f>
        <v>4532.0678269382033</v>
      </c>
      <c r="T75" s="7">
        <f>VLOOKUP($B75, gdp_tot_mes!$B:$XFD, MATCH(gdp_capita_mesorreg!T$1, gdp_tot_mes!$B$1:$XFD$1, 0), 0)*1000/VLOOKUP($B75, pop_mesorreg_interpol!$B:$XFD, MATCH(gdp_capita_mesorreg!T$1, pop_mesorreg_interpol!$B$1:$XFD$1, 0), 0)</f>
        <v>4808.7714116593888</v>
      </c>
      <c r="U75" s="7">
        <f>VLOOKUP($B75, gdp_tot_mes!$B:$XFD, MATCH(gdp_capita_mesorreg!U$1, gdp_tot_mes!$B$1:$XFD$1, 0), 0)*1000/VLOOKUP($B75, pop_mesorreg_interpol!$B:$XFD, MATCH(gdp_capita_mesorreg!U$1, pop_mesorreg_interpol!$B$1:$XFD$1, 0), 0)</f>
        <v>5059.0990849671416</v>
      </c>
      <c r="V75" s="7">
        <f>VLOOKUP($B75, gdp_tot_mes!$B:$XFD, MATCH(gdp_capita_mesorreg!V$1, gdp_tot_mes!$B$1:$XFD$1, 0), 0)*1000/VLOOKUP($B75, pop_mesorreg_interpol!$B:$XFD, MATCH(gdp_capita_mesorreg!V$1, pop_mesorreg_interpol!$B$1:$XFD$1, 0), 0)</f>
        <v>5410.8975431047747</v>
      </c>
      <c r="W75" s="7">
        <f>VLOOKUP($B75, gdp_tot_mes!$B:$XFD, MATCH(gdp_capita_mesorreg!W$1, gdp_tot_mes!$B$1:$XFD$1, 0), 0)*1000/VLOOKUP($B75, pop_mesorreg_interpol!$B:$XFD, MATCH(gdp_capita_mesorreg!W$1, pop_mesorreg_interpol!$B$1:$XFD$1, 0), 0)</f>
        <v>5527.8212111437997</v>
      </c>
      <c r="X75" s="7">
        <f>VLOOKUP($B75, gdp_tot_mes!$B:$XFD, MATCH(gdp_capita_mesorreg!X$1, gdp_tot_mes!$B$1:$XFD$1, 0), 0)*1000/VLOOKUP($B75, pop_mesorreg_interpol!$B:$XFD, MATCH(gdp_capita_mesorreg!X$1, pop_mesorreg_interpol!$B$1:$XFD$1, 0), 0)</f>
        <v>5723.9914584689732</v>
      </c>
      <c r="Y75" s="7">
        <f>VLOOKUP($B75, gdp_tot_mes!$B:$XFD, MATCH(gdp_capita_mesorreg!Y$1, gdp_tot_mes!$B$1:$XFD$1, 0), 0)*1000/VLOOKUP($B75, pop_mesorreg_interpol!$B:$XFD, MATCH(gdp_capita_mesorreg!Y$1, pop_mesorreg_interpol!$B$1:$XFD$1, 0), 0)</f>
        <v>6266.5028566919191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x14ac:dyDescent="0.25">
      <c r="A76" s="1" t="s">
        <v>180</v>
      </c>
      <c r="B76" s="1" t="s">
        <v>187</v>
      </c>
      <c r="C76" s="1" t="s">
        <v>188</v>
      </c>
      <c r="D76" s="7">
        <f>VLOOKUP($B76, gdp_tot_mes!$B:$XFD, MATCH(gdp_capita_mesorreg!D$1, gdp_tot_mes!$B$1:$XFD$1, 0), 0)*1000/VLOOKUP($B76, pop_mesorreg_interpol!$B:$XFD, MATCH(gdp_capita_mesorreg!D$1, pop_mesorreg_interpol!$B$1:$XFD$1, 0), 0)</f>
        <v>517.47468786127581</v>
      </c>
      <c r="E76" s="7">
        <f>VLOOKUP($B76, gdp_tot_mes!$B:$XFD, MATCH(gdp_capita_mesorreg!E$1, gdp_tot_mes!$B$1:$XFD$1, 0), 0)*1000/VLOOKUP($B76, pop_mesorreg_interpol!$B:$XFD, MATCH(gdp_capita_mesorreg!E$1, pop_mesorreg_interpol!$B$1:$XFD$1, 0), 0)</f>
        <v>1675.198229164517</v>
      </c>
      <c r="F76" s="7">
        <f>VLOOKUP($B76, gdp_tot_mes!$B:$XFD, MATCH(gdp_capita_mesorreg!F$1, gdp_tot_mes!$B$1:$XFD$1, 0), 0)*1000/VLOOKUP($B76, pop_mesorreg_interpol!$B:$XFD, MATCH(gdp_capita_mesorreg!F$1, pop_mesorreg_interpol!$B$1:$XFD$1, 0), 0)</f>
        <v>1918.1208408474786</v>
      </c>
      <c r="G76" s="7">
        <f>VLOOKUP($B76, gdp_tot_mes!$B:$XFD, MATCH(gdp_capita_mesorreg!G$1, gdp_tot_mes!$B$1:$XFD$1, 0), 0)*1000/VLOOKUP($B76, pop_mesorreg_interpol!$B:$XFD, MATCH(gdp_capita_mesorreg!G$1, pop_mesorreg_interpol!$B$1:$XFD$1, 0), 0)</f>
        <v>2392.3510933318494</v>
      </c>
      <c r="H76" s="7">
        <f>VLOOKUP($B76, gdp_tot_mes!$B:$XFD, MATCH(gdp_capita_mesorreg!H$1, gdp_tot_mes!$B$1:$XFD$1, 0), 0)*1000/VLOOKUP($B76, pop_mesorreg_interpol!$B:$XFD, MATCH(gdp_capita_mesorreg!H$1, pop_mesorreg_interpol!$B$1:$XFD$1, 0), 0)</f>
        <v>2633.5849130430984</v>
      </c>
      <c r="I76" s="7">
        <f>VLOOKUP($B76, gdp_tot_mes!$B:$XFD, MATCH(gdp_capita_mesorreg!I$1, gdp_tot_mes!$B$1:$XFD$1, 0), 0)*1000/VLOOKUP($B76, pop_mesorreg_interpol!$B:$XFD, MATCH(gdp_capita_mesorreg!I$1, pop_mesorreg_interpol!$B$1:$XFD$1, 0), 0)</f>
        <v>4086.3576105803381</v>
      </c>
      <c r="J76" s="7">
        <f>VLOOKUP($B76, gdp_tot_mes!$B:$XFD, MATCH(gdp_capita_mesorreg!J$1, gdp_tot_mes!$B$1:$XFD$1, 0), 0)*1000/VLOOKUP($B76, pop_mesorreg_interpol!$B:$XFD, MATCH(gdp_capita_mesorreg!J$1, pop_mesorreg_interpol!$B$1:$XFD$1, 0), 0)</f>
        <v>5466.4747501568481</v>
      </c>
      <c r="K76" s="7">
        <f>VLOOKUP($B76, gdp_tot_mes!$B:$XFD, MATCH(gdp_capita_mesorreg!K$1, gdp_tot_mes!$B$1:$XFD$1, 0), 0)*1000/VLOOKUP($B76, pop_mesorreg_interpol!$B:$XFD, MATCH(gdp_capita_mesorreg!K$1, pop_mesorreg_interpol!$B$1:$XFD$1, 0), 0)</f>
        <v>6539.6525534107468</v>
      </c>
      <c r="L76" s="8">
        <f>VLOOKUP($B76, gdp_tot_mes!$B:$XFD, MATCH(gdp_capita_mesorreg!L$1, gdp_tot_mes!$B$1:$XFD$1, 0), 0)*1000/VLOOKUP($B76, pop_mesorreg_interpol!$B:$XFD, MATCH(gdp_capita_mesorreg!L$1, pop_mesorreg_interpol!$B$1:$XFD$1, 0), 0)</f>
        <v>5416.6652708137835</v>
      </c>
      <c r="M76" s="7">
        <f>VLOOKUP($B76, gdp_tot_mes!$B:$XFD, MATCH(gdp_capita_mesorreg!M$1, gdp_tot_mes!$B$1:$XFD$1, 0), 0)*1000/VLOOKUP($B76, pop_mesorreg_interpol!$B:$XFD, MATCH(gdp_capita_mesorreg!M$1, pop_mesorreg_interpol!$B$1:$XFD$1, 0), 0)</f>
        <v>4161.626192948881</v>
      </c>
      <c r="N76" s="7">
        <f>VLOOKUP($B76, gdp_tot_mes!$B:$XFD, MATCH(gdp_capita_mesorreg!N$1, gdp_tot_mes!$B$1:$XFD$1, 0), 0)*1000/VLOOKUP($B76, pop_mesorreg_interpol!$B:$XFD, MATCH(gdp_capita_mesorreg!N$1, pop_mesorreg_interpol!$B$1:$XFD$1, 0), 0)</f>
        <v>5038.7104916236949</v>
      </c>
      <c r="O76" s="7">
        <f>VLOOKUP($B76, gdp_tot_mes!$B:$XFD, MATCH(gdp_capita_mesorreg!O$1, gdp_tot_mes!$B$1:$XFD$1, 0), 0)*1000/VLOOKUP($B76, pop_mesorreg_interpol!$B:$XFD, MATCH(gdp_capita_mesorreg!O$1, pop_mesorreg_interpol!$B$1:$XFD$1, 0), 0)</f>
        <v>4964.4034310377556</v>
      </c>
      <c r="P76" s="7">
        <f>VLOOKUP($B76, gdp_tot_mes!$B:$XFD, MATCH(gdp_capita_mesorreg!P$1, gdp_tot_mes!$B$1:$XFD$1, 0), 0)*1000/VLOOKUP($B76, pop_mesorreg_interpol!$B:$XFD, MATCH(gdp_capita_mesorreg!P$1, pop_mesorreg_interpol!$B$1:$XFD$1, 0), 0)</f>
        <v>5313.5769782721673</v>
      </c>
      <c r="Q76" s="7">
        <f>VLOOKUP($B76, gdp_tot_mes!$B:$XFD, MATCH(gdp_capita_mesorreg!Q$1, gdp_tot_mes!$B$1:$XFD$1, 0), 0)*1000/VLOOKUP($B76, pop_mesorreg_interpol!$B:$XFD, MATCH(gdp_capita_mesorreg!Q$1, pop_mesorreg_interpol!$B$1:$XFD$1, 0), 0)</f>
        <v>5302.5888397527115</v>
      </c>
      <c r="R76" s="7">
        <f>VLOOKUP($B76, gdp_tot_mes!$B:$XFD, MATCH(gdp_capita_mesorreg!R$1, gdp_tot_mes!$B$1:$XFD$1, 0), 0)*1000/VLOOKUP($B76, pop_mesorreg_interpol!$B:$XFD, MATCH(gdp_capita_mesorreg!R$1, pop_mesorreg_interpol!$B$1:$XFD$1, 0), 0)</f>
        <v>5107.6700823918854</v>
      </c>
      <c r="S76" s="7">
        <f>VLOOKUP($B76, gdp_tot_mes!$B:$XFD, MATCH(gdp_capita_mesorreg!S$1, gdp_tot_mes!$B$1:$XFD$1, 0), 0)*1000/VLOOKUP($B76, pop_mesorreg_interpol!$B:$XFD, MATCH(gdp_capita_mesorreg!S$1, pop_mesorreg_interpol!$B$1:$XFD$1, 0), 0)</f>
        <v>5218.7377215071219</v>
      </c>
      <c r="T76" s="7">
        <f>VLOOKUP($B76, gdp_tot_mes!$B:$XFD, MATCH(gdp_capita_mesorreg!T$1, gdp_tot_mes!$B$1:$XFD$1, 0), 0)*1000/VLOOKUP($B76, pop_mesorreg_interpol!$B:$XFD, MATCH(gdp_capita_mesorreg!T$1, pop_mesorreg_interpol!$B$1:$XFD$1, 0), 0)</f>
        <v>5495.2607062627576</v>
      </c>
      <c r="U76" s="7">
        <f>VLOOKUP($B76, gdp_tot_mes!$B:$XFD, MATCH(gdp_capita_mesorreg!U$1, gdp_tot_mes!$B$1:$XFD$1, 0), 0)*1000/VLOOKUP($B76, pop_mesorreg_interpol!$B:$XFD, MATCH(gdp_capita_mesorreg!U$1, pop_mesorreg_interpol!$B$1:$XFD$1, 0), 0)</f>
        <v>5612.2319021824933</v>
      </c>
      <c r="V76" s="7">
        <f>VLOOKUP($B76, gdp_tot_mes!$B:$XFD, MATCH(gdp_capita_mesorreg!V$1, gdp_tot_mes!$B$1:$XFD$1, 0), 0)*1000/VLOOKUP($B76, pop_mesorreg_interpol!$B:$XFD, MATCH(gdp_capita_mesorreg!V$1, pop_mesorreg_interpol!$B$1:$XFD$1, 0), 0)</f>
        <v>5649.8008546513483</v>
      </c>
      <c r="W76" s="7">
        <f>VLOOKUP($B76, gdp_tot_mes!$B:$XFD, MATCH(gdp_capita_mesorreg!W$1, gdp_tot_mes!$B$1:$XFD$1, 0), 0)*1000/VLOOKUP($B76, pop_mesorreg_interpol!$B:$XFD, MATCH(gdp_capita_mesorreg!W$1, pop_mesorreg_interpol!$B$1:$XFD$1, 0), 0)</f>
        <v>5835.299014542682</v>
      </c>
      <c r="X76" s="7">
        <f>VLOOKUP($B76, gdp_tot_mes!$B:$XFD, MATCH(gdp_capita_mesorreg!X$1, gdp_tot_mes!$B$1:$XFD$1, 0), 0)*1000/VLOOKUP($B76, pop_mesorreg_interpol!$B:$XFD, MATCH(gdp_capita_mesorreg!X$1, pop_mesorreg_interpol!$B$1:$XFD$1, 0), 0)</f>
        <v>6276.8941847250844</v>
      </c>
      <c r="Y76" s="7">
        <f>VLOOKUP($B76, gdp_tot_mes!$B:$XFD, MATCH(gdp_capita_mesorreg!Y$1, gdp_tot_mes!$B$1:$XFD$1, 0), 0)*1000/VLOOKUP($B76, pop_mesorreg_interpol!$B:$XFD, MATCH(gdp_capita_mesorreg!Y$1, pop_mesorreg_interpol!$B$1:$XFD$1, 0), 0)</f>
        <v>6789.3420601264424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x14ac:dyDescent="0.25">
      <c r="A77" s="1" t="s">
        <v>180</v>
      </c>
      <c r="B77" s="1" t="s">
        <v>189</v>
      </c>
      <c r="C77" s="1" t="s">
        <v>190</v>
      </c>
      <c r="D77" s="7">
        <f>VLOOKUP($B77, gdp_tot_mes!$B:$XFD, MATCH(gdp_capita_mesorreg!D$1, gdp_tot_mes!$B$1:$XFD$1, 0), 0)*1000/VLOOKUP($B77, pop_mesorreg_interpol!$B:$XFD, MATCH(gdp_capita_mesorreg!D$1, pop_mesorreg_interpol!$B$1:$XFD$1, 0), 0)</f>
        <v>1000.807364583236</v>
      </c>
      <c r="E77" s="7">
        <f>VLOOKUP($B77, gdp_tot_mes!$B:$XFD, MATCH(gdp_capita_mesorreg!E$1, gdp_tot_mes!$B$1:$XFD$1, 0), 0)*1000/VLOOKUP($B77, pop_mesorreg_interpol!$B:$XFD, MATCH(gdp_capita_mesorreg!E$1, pop_mesorreg_interpol!$B$1:$XFD$1, 0), 0)</f>
        <v>4033.447361509714</v>
      </c>
      <c r="F77" s="7">
        <f>VLOOKUP($B77, gdp_tot_mes!$B:$XFD, MATCH(gdp_capita_mesorreg!F$1, gdp_tot_mes!$B$1:$XFD$1, 0), 0)*1000/VLOOKUP($B77, pop_mesorreg_interpol!$B:$XFD, MATCH(gdp_capita_mesorreg!F$1, pop_mesorreg_interpol!$B$1:$XFD$1, 0), 0)</f>
        <v>4527.3011942956582</v>
      </c>
      <c r="G77" s="7">
        <f>VLOOKUP($B77, gdp_tot_mes!$B:$XFD, MATCH(gdp_capita_mesorreg!G$1, gdp_tot_mes!$B$1:$XFD$1, 0), 0)*1000/VLOOKUP($B77, pop_mesorreg_interpol!$B:$XFD, MATCH(gdp_capita_mesorreg!G$1, pop_mesorreg_interpol!$B$1:$XFD$1, 0), 0)</f>
        <v>5712.1832620079613</v>
      </c>
      <c r="H77" s="7">
        <f>VLOOKUP($B77, gdp_tot_mes!$B:$XFD, MATCH(gdp_capita_mesorreg!H$1, gdp_tot_mes!$B$1:$XFD$1, 0), 0)*1000/VLOOKUP($B77, pop_mesorreg_interpol!$B:$XFD, MATCH(gdp_capita_mesorreg!H$1, pop_mesorreg_interpol!$B$1:$XFD$1, 0), 0)</f>
        <v>7663.7949660748509</v>
      </c>
      <c r="I77" s="7">
        <f>VLOOKUP($B77, gdp_tot_mes!$B:$XFD, MATCH(gdp_capita_mesorreg!I$1, gdp_tot_mes!$B$1:$XFD$1, 0), 0)*1000/VLOOKUP($B77, pop_mesorreg_interpol!$B:$XFD, MATCH(gdp_capita_mesorreg!I$1, pop_mesorreg_interpol!$B$1:$XFD$1, 0), 0)</f>
        <v>10148.637061253843</v>
      </c>
      <c r="J77" s="7">
        <f>VLOOKUP($B77, gdp_tot_mes!$B:$XFD, MATCH(gdp_capita_mesorreg!J$1, gdp_tot_mes!$B$1:$XFD$1, 0), 0)*1000/VLOOKUP($B77, pop_mesorreg_interpol!$B:$XFD, MATCH(gdp_capita_mesorreg!J$1, pop_mesorreg_interpol!$B$1:$XFD$1, 0), 0)</f>
        <v>12429.997728280616</v>
      </c>
      <c r="K77" s="7">
        <f>VLOOKUP($B77, gdp_tot_mes!$B:$XFD, MATCH(gdp_capita_mesorreg!K$1, gdp_tot_mes!$B$1:$XFD$1, 0), 0)*1000/VLOOKUP($B77, pop_mesorreg_interpol!$B:$XFD, MATCH(gdp_capita_mesorreg!K$1, pop_mesorreg_interpol!$B$1:$XFD$1, 0), 0)</f>
        <v>11448.443969874324</v>
      </c>
      <c r="L77" s="8">
        <f>VLOOKUP($B77, gdp_tot_mes!$B:$XFD, MATCH(gdp_capita_mesorreg!L$1, gdp_tot_mes!$B$1:$XFD$1, 0), 0)*1000/VLOOKUP($B77, pop_mesorreg_interpol!$B:$XFD, MATCH(gdp_capita_mesorreg!L$1, pop_mesorreg_interpol!$B$1:$XFD$1, 0), 0)</f>
        <v>12280.760219164549</v>
      </c>
      <c r="M77" s="7">
        <f>VLOOKUP($B77, gdp_tot_mes!$B:$XFD, MATCH(gdp_capita_mesorreg!M$1, gdp_tot_mes!$B$1:$XFD$1, 0), 0)*1000/VLOOKUP($B77, pop_mesorreg_interpol!$B:$XFD, MATCH(gdp_capita_mesorreg!M$1, pop_mesorreg_interpol!$B$1:$XFD$1, 0), 0)</f>
        <v>13123.515952064956</v>
      </c>
      <c r="N77" s="7">
        <f>VLOOKUP($B77, gdp_tot_mes!$B:$XFD, MATCH(gdp_capita_mesorreg!N$1, gdp_tot_mes!$B$1:$XFD$1, 0), 0)*1000/VLOOKUP($B77, pop_mesorreg_interpol!$B:$XFD, MATCH(gdp_capita_mesorreg!N$1, pop_mesorreg_interpol!$B$1:$XFD$1, 0), 0)</f>
        <v>12075.460820434781</v>
      </c>
      <c r="O77" s="7">
        <f>VLOOKUP($B77, gdp_tot_mes!$B:$XFD, MATCH(gdp_capita_mesorreg!O$1, gdp_tot_mes!$B$1:$XFD$1, 0), 0)*1000/VLOOKUP($B77, pop_mesorreg_interpol!$B:$XFD, MATCH(gdp_capita_mesorreg!O$1, pop_mesorreg_interpol!$B$1:$XFD$1, 0), 0)</f>
        <v>11951.239622544685</v>
      </c>
      <c r="P77" s="7">
        <f>VLOOKUP($B77, gdp_tot_mes!$B:$XFD, MATCH(gdp_capita_mesorreg!P$1, gdp_tot_mes!$B$1:$XFD$1, 0), 0)*1000/VLOOKUP($B77, pop_mesorreg_interpol!$B:$XFD, MATCH(gdp_capita_mesorreg!P$1, pop_mesorreg_interpol!$B$1:$XFD$1, 0), 0)</f>
        <v>12046.505921866788</v>
      </c>
      <c r="Q77" s="7">
        <f>VLOOKUP($B77, gdp_tot_mes!$B:$XFD, MATCH(gdp_capita_mesorreg!Q$1, gdp_tot_mes!$B$1:$XFD$1, 0), 0)*1000/VLOOKUP($B77, pop_mesorreg_interpol!$B:$XFD, MATCH(gdp_capita_mesorreg!Q$1, pop_mesorreg_interpol!$B$1:$XFD$1, 0), 0)</f>
        <v>12825.797545274067</v>
      </c>
      <c r="R77" s="7">
        <f>VLOOKUP($B77, gdp_tot_mes!$B:$XFD, MATCH(gdp_capita_mesorreg!R$1, gdp_tot_mes!$B$1:$XFD$1, 0), 0)*1000/VLOOKUP($B77, pop_mesorreg_interpol!$B:$XFD, MATCH(gdp_capita_mesorreg!R$1, pop_mesorreg_interpol!$B$1:$XFD$1, 0), 0)</f>
        <v>12256.172315515212</v>
      </c>
      <c r="S77" s="7">
        <f>VLOOKUP($B77, gdp_tot_mes!$B:$XFD, MATCH(gdp_capita_mesorreg!S$1, gdp_tot_mes!$B$1:$XFD$1, 0), 0)*1000/VLOOKUP($B77, pop_mesorreg_interpol!$B:$XFD, MATCH(gdp_capita_mesorreg!S$1, pop_mesorreg_interpol!$B$1:$XFD$1, 0), 0)</f>
        <v>12631.356334633067</v>
      </c>
      <c r="T77" s="7">
        <f>VLOOKUP($B77, gdp_tot_mes!$B:$XFD, MATCH(gdp_capita_mesorreg!T$1, gdp_tot_mes!$B$1:$XFD$1, 0), 0)*1000/VLOOKUP($B77, pop_mesorreg_interpol!$B:$XFD, MATCH(gdp_capita_mesorreg!T$1, pop_mesorreg_interpol!$B$1:$XFD$1, 0), 0)</f>
        <v>13186.996474753512</v>
      </c>
      <c r="U77" s="7">
        <f>VLOOKUP($B77, gdp_tot_mes!$B:$XFD, MATCH(gdp_capita_mesorreg!U$1, gdp_tot_mes!$B$1:$XFD$1, 0), 0)*1000/VLOOKUP($B77, pop_mesorreg_interpol!$B:$XFD, MATCH(gdp_capita_mesorreg!U$1, pop_mesorreg_interpol!$B$1:$XFD$1, 0), 0)</f>
        <v>13236.946469543373</v>
      </c>
      <c r="V77" s="7">
        <f>VLOOKUP($B77, gdp_tot_mes!$B:$XFD, MATCH(gdp_capita_mesorreg!V$1, gdp_tot_mes!$B$1:$XFD$1, 0), 0)*1000/VLOOKUP($B77, pop_mesorreg_interpol!$B:$XFD, MATCH(gdp_capita_mesorreg!V$1, pop_mesorreg_interpol!$B$1:$XFD$1, 0), 0)</f>
        <v>14148.781345514935</v>
      </c>
      <c r="W77" s="7">
        <f>VLOOKUP($B77, gdp_tot_mes!$B:$XFD, MATCH(gdp_capita_mesorreg!W$1, gdp_tot_mes!$B$1:$XFD$1, 0), 0)*1000/VLOOKUP($B77, pop_mesorreg_interpol!$B:$XFD, MATCH(gdp_capita_mesorreg!W$1, pop_mesorreg_interpol!$B$1:$XFD$1, 0), 0)</f>
        <v>14503.707635867351</v>
      </c>
      <c r="X77" s="7">
        <f>VLOOKUP($B77, gdp_tot_mes!$B:$XFD, MATCH(gdp_capita_mesorreg!X$1, gdp_tot_mes!$B$1:$XFD$1, 0), 0)*1000/VLOOKUP($B77, pop_mesorreg_interpol!$B:$XFD, MATCH(gdp_capita_mesorreg!X$1, pop_mesorreg_interpol!$B$1:$XFD$1, 0), 0)</f>
        <v>14935.422728213065</v>
      </c>
      <c r="Y77" s="7">
        <f>VLOOKUP($B77, gdp_tot_mes!$B:$XFD, MATCH(gdp_capita_mesorreg!Y$1, gdp_tot_mes!$B$1:$XFD$1, 0), 0)*1000/VLOOKUP($B77, pop_mesorreg_interpol!$B:$XFD, MATCH(gdp_capita_mesorreg!Y$1, pop_mesorreg_interpol!$B$1:$XFD$1, 0), 0)</f>
        <v>16646.050242108624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x14ac:dyDescent="0.25">
      <c r="A78" s="1" t="s">
        <v>191</v>
      </c>
      <c r="B78" s="1" t="s">
        <v>192</v>
      </c>
      <c r="C78" s="1" t="s">
        <v>193</v>
      </c>
      <c r="D78" s="7">
        <f>VLOOKUP($B78, gdp_tot_mes!$B:$XFD, MATCH(gdp_capita_mesorreg!D$1, gdp_tot_mes!$B$1:$XFD$1, 0), 0)*1000/VLOOKUP($B78, pop_mesorreg_interpol!$B:$XFD, MATCH(gdp_capita_mesorreg!D$1, pop_mesorreg_interpol!$B$1:$XFD$1, 0), 0)</f>
        <v>331.93136539645838</v>
      </c>
      <c r="E78" s="7">
        <f>VLOOKUP($B78, gdp_tot_mes!$B:$XFD, MATCH(gdp_capita_mesorreg!E$1, gdp_tot_mes!$B$1:$XFD$1, 0), 0)*1000/VLOOKUP($B78, pop_mesorreg_interpol!$B:$XFD, MATCH(gdp_capita_mesorreg!E$1, pop_mesorreg_interpol!$B$1:$XFD$1, 0), 0)</f>
        <v>1499.2725399288031</v>
      </c>
      <c r="F78" s="7">
        <f>VLOOKUP($B78, gdp_tot_mes!$B:$XFD, MATCH(gdp_capita_mesorreg!F$1, gdp_tot_mes!$B$1:$XFD$1, 0), 0)*1000/VLOOKUP($B78, pop_mesorreg_interpol!$B:$XFD, MATCH(gdp_capita_mesorreg!F$1, pop_mesorreg_interpol!$B$1:$XFD$1, 0), 0)</f>
        <v>650.71072319922177</v>
      </c>
      <c r="G78" s="7">
        <f>VLOOKUP($B78, gdp_tot_mes!$B:$XFD, MATCH(gdp_capita_mesorreg!G$1, gdp_tot_mes!$B$1:$XFD$1, 0), 0)*1000/VLOOKUP($B78, pop_mesorreg_interpol!$B:$XFD, MATCH(gdp_capita_mesorreg!G$1, pop_mesorreg_interpol!$B$1:$XFD$1, 0), 0)</f>
        <v>854.4045351263627</v>
      </c>
      <c r="H78" s="7">
        <f>VLOOKUP($B78, gdp_tot_mes!$B:$XFD, MATCH(gdp_capita_mesorreg!H$1, gdp_tot_mes!$B$1:$XFD$1, 0), 0)*1000/VLOOKUP($B78, pop_mesorreg_interpol!$B:$XFD, MATCH(gdp_capita_mesorreg!H$1, pop_mesorreg_interpol!$B$1:$XFD$1, 0), 0)</f>
        <v>1263.352795857289</v>
      </c>
      <c r="I78" s="7">
        <f>VLOOKUP($B78, gdp_tot_mes!$B:$XFD, MATCH(gdp_capita_mesorreg!I$1, gdp_tot_mes!$B$1:$XFD$1, 0), 0)*1000/VLOOKUP($B78, pop_mesorreg_interpol!$B:$XFD, MATCH(gdp_capita_mesorreg!I$1, pop_mesorreg_interpol!$B$1:$XFD$1, 0), 0)</f>
        <v>1567.7034732502598</v>
      </c>
      <c r="J78" s="7">
        <f>VLOOKUP($B78, gdp_tot_mes!$B:$XFD, MATCH(gdp_capita_mesorreg!J$1, gdp_tot_mes!$B$1:$XFD$1, 0), 0)*1000/VLOOKUP($B78, pop_mesorreg_interpol!$B:$XFD, MATCH(gdp_capita_mesorreg!J$1, pop_mesorreg_interpol!$B$1:$XFD$1, 0), 0)</f>
        <v>2248.0107646144088</v>
      </c>
      <c r="K78" s="7">
        <f>VLOOKUP($B78, gdp_tot_mes!$B:$XFD, MATCH(gdp_capita_mesorreg!K$1, gdp_tot_mes!$B$1:$XFD$1, 0), 0)*1000/VLOOKUP($B78, pop_mesorreg_interpol!$B:$XFD, MATCH(gdp_capita_mesorreg!K$1, pop_mesorreg_interpol!$B$1:$XFD$1, 0), 0)</f>
        <v>2320.319447163879</v>
      </c>
      <c r="L78" s="8">
        <f>VLOOKUP($B78, gdp_tot_mes!$B:$XFD, MATCH(gdp_capita_mesorreg!L$1, gdp_tot_mes!$B$1:$XFD$1, 0), 0)*1000/VLOOKUP($B78, pop_mesorreg_interpol!$B:$XFD, MATCH(gdp_capita_mesorreg!L$1, pop_mesorreg_interpol!$B$1:$XFD$1, 0), 0)</f>
        <v>2319.8670961067487</v>
      </c>
      <c r="M78" s="7">
        <f>VLOOKUP($B78, gdp_tot_mes!$B:$XFD, MATCH(gdp_capita_mesorreg!M$1, gdp_tot_mes!$B$1:$XFD$1, 0), 0)*1000/VLOOKUP($B78, pop_mesorreg_interpol!$B:$XFD, MATCH(gdp_capita_mesorreg!M$1, pop_mesorreg_interpol!$B$1:$XFD$1, 0), 0)</f>
        <v>2319.3887547049835</v>
      </c>
      <c r="N78" s="7">
        <f>VLOOKUP($B78, gdp_tot_mes!$B:$XFD, MATCH(gdp_capita_mesorreg!N$1, gdp_tot_mes!$B$1:$XFD$1, 0), 0)*1000/VLOOKUP($B78, pop_mesorreg_interpol!$B:$XFD, MATCH(gdp_capita_mesorreg!N$1, pop_mesorreg_interpol!$B$1:$XFD$1, 0), 0)</f>
        <v>3311.6992110765132</v>
      </c>
      <c r="O78" s="7">
        <f>VLOOKUP($B78, gdp_tot_mes!$B:$XFD, MATCH(gdp_capita_mesorreg!O$1, gdp_tot_mes!$B$1:$XFD$1, 0), 0)*1000/VLOOKUP($B78, pop_mesorreg_interpol!$B:$XFD, MATCH(gdp_capita_mesorreg!O$1, pop_mesorreg_interpol!$B$1:$XFD$1, 0), 0)</f>
        <v>3445.795959129196</v>
      </c>
      <c r="P78" s="7">
        <f>VLOOKUP($B78, gdp_tot_mes!$B:$XFD, MATCH(gdp_capita_mesorreg!P$1, gdp_tot_mes!$B$1:$XFD$1, 0), 0)*1000/VLOOKUP($B78, pop_mesorreg_interpol!$B:$XFD, MATCH(gdp_capita_mesorreg!P$1, pop_mesorreg_interpol!$B$1:$XFD$1, 0), 0)</f>
        <v>3390.6048113167599</v>
      </c>
      <c r="Q78" s="7">
        <f>VLOOKUP($B78, gdp_tot_mes!$B:$XFD, MATCH(gdp_capita_mesorreg!Q$1, gdp_tot_mes!$B$1:$XFD$1, 0), 0)*1000/VLOOKUP($B78, pop_mesorreg_interpol!$B:$XFD, MATCH(gdp_capita_mesorreg!Q$1, pop_mesorreg_interpol!$B$1:$XFD$1, 0), 0)</f>
        <v>3150.3303920484818</v>
      </c>
      <c r="R78" s="7">
        <f>VLOOKUP($B78, gdp_tot_mes!$B:$XFD, MATCH(gdp_capita_mesorreg!R$1, gdp_tot_mes!$B$1:$XFD$1, 0), 0)*1000/VLOOKUP($B78, pop_mesorreg_interpol!$B:$XFD, MATCH(gdp_capita_mesorreg!R$1, pop_mesorreg_interpol!$B$1:$XFD$1, 0), 0)</f>
        <v>3172.4397853171204</v>
      </c>
      <c r="S78" s="7">
        <f>VLOOKUP($B78, gdp_tot_mes!$B:$XFD, MATCH(gdp_capita_mesorreg!S$1, gdp_tot_mes!$B$1:$XFD$1, 0), 0)*1000/VLOOKUP($B78, pop_mesorreg_interpol!$B:$XFD, MATCH(gdp_capita_mesorreg!S$1, pop_mesorreg_interpol!$B$1:$XFD$1, 0), 0)</f>
        <v>3421.0618528522177</v>
      </c>
      <c r="T78" s="7">
        <f>VLOOKUP($B78, gdp_tot_mes!$B:$XFD, MATCH(gdp_capita_mesorreg!T$1, gdp_tot_mes!$B$1:$XFD$1, 0), 0)*1000/VLOOKUP($B78, pop_mesorreg_interpol!$B:$XFD, MATCH(gdp_capita_mesorreg!T$1, pop_mesorreg_interpol!$B$1:$XFD$1, 0), 0)</f>
        <v>3525.9568104336481</v>
      </c>
      <c r="U78" s="7">
        <f>VLOOKUP($B78, gdp_tot_mes!$B:$XFD, MATCH(gdp_capita_mesorreg!U$1, gdp_tot_mes!$B$1:$XFD$1, 0), 0)*1000/VLOOKUP($B78, pop_mesorreg_interpol!$B:$XFD, MATCH(gdp_capita_mesorreg!U$1, pop_mesorreg_interpol!$B$1:$XFD$1, 0), 0)</f>
        <v>3694.4703138201789</v>
      </c>
      <c r="V78" s="7">
        <f>VLOOKUP($B78, gdp_tot_mes!$B:$XFD, MATCH(gdp_capita_mesorreg!V$1, gdp_tot_mes!$B$1:$XFD$1, 0), 0)*1000/VLOOKUP($B78, pop_mesorreg_interpol!$B:$XFD, MATCH(gdp_capita_mesorreg!V$1, pop_mesorreg_interpol!$B$1:$XFD$1, 0), 0)</f>
        <v>3979.6711165683778</v>
      </c>
      <c r="W78" s="7">
        <f>VLOOKUP($B78, gdp_tot_mes!$B:$XFD, MATCH(gdp_capita_mesorreg!W$1, gdp_tot_mes!$B$1:$XFD$1, 0), 0)*1000/VLOOKUP($B78, pop_mesorreg_interpol!$B:$XFD, MATCH(gdp_capita_mesorreg!W$1, pop_mesorreg_interpol!$B$1:$XFD$1, 0), 0)</f>
        <v>4055.7027083187868</v>
      </c>
      <c r="X78" s="7">
        <f>VLOOKUP($B78, gdp_tot_mes!$B:$XFD, MATCH(gdp_capita_mesorreg!X$1, gdp_tot_mes!$B$1:$XFD$1, 0), 0)*1000/VLOOKUP($B78, pop_mesorreg_interpol!$B:$XFD, MATCH(gdp_capita_mesorreg!X$1, pop_mesorreg_interpol!$B$1:$XFD$1, 0), 0)</f>
        <v>4164.6383826850688</v>
      </c>
      <c r="Y78" s="7">
        <f>VLOOKUP($B78, gdp_tot_mes!$B:$XFD, MATCH(gdp_capita_mesorreg!Y$1, gdp_tot_mes!$B$1:$XFD$1, 0), 0)*1000/VLOOKUP($B78, pop_mesorreg_interpol!$B:$XFD, MATCH(gdp_capita_mesorreg!Y$1, pop_mesorreg_interpol!$B$1:$XFD$1, 0), 0)</f>
        <v>4585.294239219571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x14ac:dyDescent="0.25">
      <c r="A79" s="1" t="s">
        <v>191</v>
      </c>
      <c r="B79" s="1" t="s">
        <v>194</v>
      </c>
      <c r="C79" s="1" t="s">
        <v>195</v>
      </c>
      <c r="D79" s="7">
        <f>VLOOKUP($B79, gdp_tot_mes!$B:$XFD, MATCH(gdp_capita_mesorreg!D$1, gdp_tot_mes!$B$1:$XFD$1, 0), 0)*1000/VLOOKUP($B79, pop_mesorreg_interpol!$B:$XFD, MATCH(gdp_capita_mesorreg!D$1, pop_mesorreg_interpol!$B$1:$XFD$1, 0), 0)</f>
        <v>320.4027138745563</v>
      </c>
      <c r="E79" s="7">
        <f>VLOOKUP($B79, gdp_tot_mes!$B:$XFD, MATCH(gdp_capita_mesorreg!E$1, gdp_tot_mes!$B$1:$XFD$1, 0), 0)*1000/VLOOKUP($B79, pop_mesorreg_interpol!$B:$XFD, MATCH(gdp_capita_mesorreg!E$1, pop_mesorreg_interpol!$B$1:$XFD$1, 0), 0)</f>
        <v>989.01372206323174</v>
      </c>
      <c r="F79" s="7">
        <f>VLOOKUP($B79, gdp_tot_mes!$B:$XFD, MATCH(gdp_capita_mesorreg!F$1, gdp_tot_mes!$B$1:$XFD$1, 0), 0)*1000/VLOOKUP($B79, pop_mesorreg_interpol!$B:$XFD, MATCH(gdp_capita_mesorreg!F$1, pop_mesorreg_interpol!$B$1:$XFD$1, 0), 0)</f>
        <v>1009.137095394047</v>
      </c>
      <c r="G79" s="7">
        <f>VLOOKUP($B79, gdp_tot_mes!$B:$XFD, MATCH(gdp_capita_mesorreg!G$1, gdp_tot_mes!$B$1:$XFD$1, 0), 0)*1000/VLOOKUP($B79, pop_mesorreg_interpol!$B:$XFD, MATCH(gdp_capita_mesorreg!G$1, pop_mesorreg_interpol!$B$1:$XFD$1, 0), 0)</f>
        <v>1095.85369889805</v>
      </c>
      <c r="H79" s="7">
        <f>VLOOKUP($B79, gdp_tot_mes!$B:$XFD, MATCH(gdp_capita_mesorreg!H$1, gdp_tot_mes!$B$1:$XFD$1, 0), 0)*1000/VLOOKUP($B79, pop_mesorreg_interpol!$B:$XFD, MATCH(gdp_capita_mesorreg!H$1, pop_mesorreg_interpol!$B$1:$XFD$1, 0), 0)</f>
        <v>1969.357327997842</v>
      </c>
      <c r="I79" s="7">
        <f>VLOOKUP($B79, gdp_tot_mes!$B:$XFD, MATCH(gdp_capita_mesorreg!I$1, gdp_tot_mes!$B$1:$XFD$1, 0), 0)*1000/VLOOKUP($B79, pop_mesorreg_interpol!$B:$XFD, MATCH(gdp_capita_mesorreg!I$1, pop_mesorreg_interpol!$B$1:$XFD$1, 0), 0)</f>
        <v>3045.9298957188757</v>
      </c>
      <c r="J79" s="7">
        <f>VLOOKUP($B79, gdp_tot_mes!$B:$XFD, MATCH(gdp_capita_mesorreg!J$1, gdp_tot_mes!$B$1:$XFD$1, 0), 0)*1000/VLOOKUP($B79, pop_mesorreg_interpol!$B:$XFD, MATCH(gdp_capita_mesorreg!J$1, pop_mesorreg_interpol!$B$1:$XFD$1, 0), 0)</f>
        <v>4032.5315247459757</v>
      </c>
      <c r="K79" s="7">
        <f>VLOOKUP($B79, gdp_tot_mes!$B:$XFD, MATCH(gdp_capita_mesorreg!K$1, gdp_tot_mes!$B$1:$XFD$1, 0), 0)*1000/VLOOKUP($B79, pop_mesorreg_interpol!$B:$XFD, MATCH(gdp_capita_mesorreg!K$1, pop_mesorreg_interpol!$B$1:$XFD$1, 0), 0)</f>
        <v>4802.5968768645816</v>
      </c>
      <c r="L79" s="8">
        <f>VLOOKUP($B79, gdp_tot_mes!$B:$XFD, MATCH(gdp_capita_mesorreg!L$1, gdp_tot_mes!$B$1:$XFD$1, 0), 0)*1000/VLOOKUP($B79, pop_mesorreg_interpol!$B:$XFD, MATCH(gdp_capita_mesorreg!L$1, pop_mesorreg_interpol!$B$1:$XFD$1, 0), 0)</f>
        <v>5766.5199654864482</v>
      </c>
      <c r="M79" s="7">
        <f>VLOOKUP($B79, gdp_tot_mes!$B:$XFD, MATCH(gdp_capita_mesorreg!M$1, gdp_tot_mes!$B$1:$XFD$1, 0), 0)*1000/VLOOKUP($B79, pop_mesorreg_interpol!$B:$XFD, MATCH(gdp_capita_mesorreg!M$1, pop_mesorreg_interpol!$B$1:$XFD$1, 0), 0)</f>
        <v>6714.0265387542886</v>
      </c>
      <c r="N79" s="7">
        <f>VLOOKUP($B79, gdp_tot_mes!$B:$XFD, MATCH(gdp_capita_mesorreg!N$1, gdp_tot_mes!$B$1:$XFD$1, 0), 0)*1000/VLOOKUP($B79, pop_mesorreg_interpol!$B:$XFD, MATCH(gdp_capita_mesorreg!N$1, pop_mesorreg_interpol!$B$1:$XFD$1, 0), 0)</f>
        <v>6165.2667522326483</v>
      </c>
      <c r="O79" s="7">
        <f>VLOOKUP($B79, gdp_tot_mes!$B:$XFD, MATCH(gdp_capita_mesorreg!O$1, gdp_tot_mes!$B$1:$XFD$1, 0), 0)*1000/VLOOKUP($B79, pop_mesorreg_interpol!$B:$XFD, MATCH(gdp_capita_mesorreg!O$1, pop_mesorreg_interpol!$B$1:$XFD$1, 0), 0)</f>
        <v>6350.5762694632922</v>
      </c>
      <c r="P79" s="7">
        <f>VLOOKUP($B79, gdp_tot_mes!$B:$XFD, MATCH(gdp_capita_mesorreg!P$1, gdp_tot_mes!$B$1:$XFD$1, 0), 0)*1000/VLOOKUP($B79, pop_mesorreg_interpol!$B:$XFD, MATCH(gdp_capita_mesorreg!P$1, pop_mesorreg_interpol!$B$1:$XFD$1, 0), 0)</f>
        <v>6108.3972368195355</v>
      </c>
      <c r="Q79" s="7">
        <f>VLOOKUP($B79, gdp_tot_mes!$B:$XFD, MATCH(gdp_capita_mesorreg!Q$1, gdp_tot_mes!$B$1:$XFD$1, 0), 0)*1000/VLOOKUP($B79, pop_mesorreg_interpol!$B:$XFD, MATCH(gdp_capita_mesorreg!Q$1, pop_mesorreg_interpol!$B$1:$XFD$1, 0), 0)</f>
        <v>6581.1763918111856</v>
      </c>
      <c r="R79" s="7">
        <f>VLOOKUP($B79, gdp_tot_mes!$B:$XFD, MATCH(gdp_capita_mesorreg!R$1, gdp_tot_mes!$B$1:$XFD$1, 0), 0)*1000/VLOOKUP($B79, pop_mesorreg_interpol!$B:$XFD, MATCH(gdp_capita_mesorreg!R$1, pop_mesorreg_interpol!$B$1:$XFD$1, 0), 0)</f>
        <v>6645.5161895940355</v>
      </c>
      <c r="S79" s="7">
        <f>VLOOKUP($B79, gdp_tot_mes!$B:$XFD, MATCH(gdp_capita_mesorreg!S$1, gdp_tot_mes!$B$1:$XFD$1, 0), 0)*1000/VLOOKUP($B79, pop_mesorreg_interpol!$B:$XFD, MATCH(gdp_capita_mesorreg!S$1, pop_mesorreg_interpol!$B$1:$XFD$1, 0), 0)</f>
        <v>6516.5573936673409</v>
      </c>
      <c r="T79" s="7">
        <f>VLOOKUP($B79, gdp_tot_mes!$B:$XFD, MATCH(gdp_capita_mesorreg!T$1, gdp_tot_mes!$B$1:$XFD$1, 0), 0)*1000/VLOOKUP($B79, pop_mesorreg_interpol!$B:$XFD, MATCH(gdp_capita_mesorreg!T$1, pop_mesorreg_interpol!$B$1:$XFD$1, 0), 0)</f>
        <v>6895.8231614798178</v>
      </c>
      <c r="U79" s="7">
        <f>VLOOKUP($B79, gdp_tot_mes!$B:$XFD, MATCH(gdp_capita_mesorreg!U$1, gdp_tot_mes!$B$1:$XFD$1, 0), 0)*1000/VLOOKUP($B79, pop_mesorreg_interpol!$B:$XFD, MATCH(gdp_capita_mesorreg!U$1, pop_mesorreg_interpol!$B$1:$XFD$1, 0), 0)</f>
        <v>7199.8217750974936</v>
      </c>
      <c r="V79" s="7">
        <f>VLOOKUP($B79, gdp_tot_mes!$B:$XFD, MATCH(gdp_capita_mesorreg!V$1, gdp_tot_mes!$B$1:$XFD$1, 0), 0)*1000/VLOOKUP($B79, pop_mesorreg_interpol!$B:$XFD, MATCH(gdp_capita_mesorreg!V$1, pop_mesorreg_interpol!$B$1:$XFD$1, 0), 0)</f>
        <v>7515.8734743124669</v>
      </c>
      <c r="W79" s="7">
        <f>VLOOKUP($B79, gdp_tot_mes!$B:$XFD, MATCH(gdp_capita_mesorreg!W$1, gdp_tot_mes!$B$1:$XFD$1, 0), 0)*1000/VLOOKUP($B79, pop_mesorreg_interpol!$B:$XFD, MATCH(gdp_capita_mesorreg!W$1, pop_mesorreg_interpol!$B$1:$XFD$1, 0), 0)</f>
        <v>7945.7094477304263</v>
      </c>
      <c r="X79" s="7">
        <f>VLOOKUP($B79, gdp_tot_mes!$B:$XFD, MATCH(gdp_capita_mesorreg!X$1, gdp_tot_mes!$B$1:$XFD$1, 0), 0)*1000/VLOOKUP($B79, pop_mesorreg_interpol!$B:$XFD, MATCH(gdp_capita_mesorreg!X$1, pop_mesorreg_interpol!$B$1:$XFD$1, 0), 0)</f>
        <v>8369.1373410244778</v>
      </c>
      <c r="Y79" s="7">
        <f>VLOOKUP($B79, gdp_tot_mes!$B:$XFD, MATCH(gdp_capita_mesorreg!Y$1, gdp_tot_mes!$B$1:$XFD$1, 0), 0)*1000/VLOOKUP($B79, pop_mesorreg_interpol!$B:$XFD, MATCH(gdp_capita_mesorreg!Y$1, pop_mesorreg_interpol!$B$1:$XFD$1, 0), 0)</f>
        <v>9138.650896917723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x14ac:dyDescent="0.25">
      <c r="A80" s="1" t="s">
        <v>191</v>
      </c>
      <c r="B80" s="1" t="s">
        <v>196</v>
      </c>
      <c r="C80" s="1" t="s">
        <v>197</v>
      </c>
      <c r="D80" s="7">
        <f>VLOOKUP($B80, gdp_tot_mes!$B:$XFD, MATCH(gdp_capita_mesorreg!D$1, gdp_tot_mes!$B$1:$XFD$1, 0), 0)*1000/VLOOKUP($B80, pop_mesorreg_interpol!$B:$XFD, MATCH(gdp_capita_mesorreg!D$1, pop_mesorreg_interpol!$B$1:$XFD$1, 0), 0)</f>
        <v>339.51118867930506</v>
      </c>
      <c r="E80" s="7">
        <f>VLOOKUP($B80, gdp_tot_mes!$B:$XFD, MATCH(gdp_capita_mesorreg!E$1, gdp_tot_mes!$B$1:$XFD$1, 0), 0)*1000/VLOOKUP($B80, pop_mesorreg_interpol!$B:$XFD, MATCH(gdp_capita_mesorreg!E$1, pop_mesorreg_interpol!$B$1:$XFD$1, 0), 0)</f>
        <v>900.92056334210474</v>
      </c>
      <c r="F80" s="7">
        <f>VLOOKUP($B80, gdp_tot_mes!$B:$XFD, MATCH(gdp_capita_mesorreg!F$1, gdp_tot_mes!$B$1:$XFD$1, 0), 0)*1000/VLOOKUP($B80, pop_mesorreg_interpol!$B:$XFD, MATCH(gdp_capita_mesorreg!F$1, pop_mesorreg_interpol!$B$1:$XFD$1, 0), 0)</f>
        <v>567.04174490015316</v>
      </c>
      <c r="G80" s="7">
        <f>VLOOKUP($B80, gdp_tot_mes!$B:$XFD, MATCH(gdp_capita_mesorreg!G$1, gdp_tot_mes!$B$1:$XFD$1, 0), 0)*1000/VLOOKUP($B80, pop_mesorreg_interpol!$B:$XFD, MATCH(gdp_capita_mesorreg!G$1, pop_mesorreg_interpol!$B$1:$XFD$1, 0), 0)</f>
        <v>1162.8169800866856</v>
      </c>
      <c r="H80" s="7">
        <f>VLOOKUP($B80, gdp_tot_mes!$B:$XFD, MATCH(gdp_capita_mesorreg!H$1, gdp_tot_mes!$B$1:$XFD$1, 0), 0)*1000/VLOOKUP($B80, pop_mesorreg_interpol!$B:$XFD, MATCH(gdp_capita_mesorreg!H$1, pop_mesorreg_interpol!$B$1:$XFD$1, 0), 0)</f>
        <v>1148.1507737432619</v>
      </c>
      <c r="I80" s="7">
        <f>VLOOKUP($B80, gdp_tot_mes!$B:$XFD, MATCH(gdp_capita_mesorreg!I$1, gdp_tot_mes!$B$1:$XFD$1, 0), 0)*1000/VLOOKUP($B80, pop_mesorreg_interpol!$B:$XFD, MATCH(gdp_capita_mesorreg!I$1, pop_mesorreg_interpol!$B$1:$XFD$1, 0), 0)</f>
        <v>1633.9178551179923</v>
      </c>
      <c r="J80" s="7">
        <f>VLOOKUP($B80, gdp_tot_mes!$B:$XFD, MATCH(gdp_capita_mesorreg!J$1, gdp_tot_mes!$B$1:$XFD$1, 0), 0)*1000/VLOOKUP($B80, pop_mesorreg_interpol!$B:$XFD, MATCH(gdp_capita_mesorreg!J$1, pop_mesorreg_interpol!$B$1:$XFD$1, 0), 0)</f>
        <v>2066.1872934237381</v>
      </c>
      <c r="K80" s="7">
        <f>VLOOKUP($B80, gdp_tot_mes!$B:$XFD, MATCH(gdp_capita_mesorreg!K$1, gdp_tot_mes!$B$1:$XFD$1, 0), 0)*1000/VLOOKUP($B80, pop_mesorreg_interpol!$B:$XFD, MATCH(gdp_capita_mesorreg!K$1, pop_mesorreg_interpol!$B$1:$XFD$1, 0), 0)</f>
        <v>2264.9080934713206</v>
      </c>
      <c r="L80" s="8">
        <f>VLOOKUP($B80, gdp_tot_mes!$B:$XFD, MATCH(gdp_capita_mesorreg!L$1, gdp_tot_mes!$B$1:$XFD$1, 0), 0)*1000/VLOOKUP($B80, pop_mesorreg_interpol!$B:$XFD, MATCH(gdp_capita_mesorreg!L$1, pop_mesorreg_interpol!$B$1:$XFD$1, 0), 0)</f>
        <v>2309.6630726213289</v>
      </c>
      <c r="M80" s="7">
        <f>VLOOKUP($B80, gdp_tot_mes!$B:$XFD, MATCH(gdp_capita_mesorreg!M$1, gdp_tot_mes!$B$1:$XFD$1, 0), 0)*1000/VLOOKUP($B80, pop_mesorreg_interpol!$B:$XFD, MATCH(gdp_capita_mesorreg!M$1, pop_mesorreg_interpol!$B$1:$XFD$1, 0), 0)</f>
        <v>2358.1695709040569</v>
      </c>
      <c r="N80" s="7">
        <f>VLOOKUP($B80, gdp_tot_mes!$B:$XFD, MATCH(gdp_capita_mesorreg!N$1, gdp_tot_mes!$B$1:$XFD$1, 0), 0)*1000/VLOOKUP($B80, pop_mesorreg_interpol!$B:$XFD, MATCH(gdp_capita_mesorreg!N$1, pop_mesorreg_interpol!$B$1:$XFD$1, 0), 0)</f>
        <v>3574.5866765911396</v>
      </c>
      <c r="O80" s="7">
        <f>VLOOKUP($B80, gdp_tot_mes!$B:$XFD, MATCH(gdp_capita_mesorreg!O$1, gdp_tot_mes!$B$1:$XFD$1, 0), 0)*1000/VLOOKUP($B80, pop_mesorreg_interpol!$B:$XFD, MATCH(gdp_capita_mesorreg!O$1, pop_mesorreg_interpol!$B$1:$XFD$1, 0), 0)</f>
        <v>3713.3468888075963</v>
      </c>
      <c r="P80" s="7">
        <f>VLOOKUP($B80, gdp_tot_mes!$B:$XFD, MATCH(gdp_capita_mesorreg!P$1, gdp_tot_mes!$B$1:$XFD$1, 0), 0)*1000/VLOOKUP($B80, pop_mesorreg_interpol!$B:$XFD, MATCH(gdp_capita_mesorreg!P$1, pop_mesorreg_interpol!$B$1:$XFD$1, 0), 0)</f>
        <v>3737.072619184572</v>
      </c>
      <c r="Q80" s="7">
        <f>VLOOKUP($B80, gdp_tot_mes!$B:$XFD, MATCH(gdp_capita_mesorreg!Q$1, gdp_tot_mes!$B$1:$XFD$1, 0), 0)*1000/VLOOKUP($B80, pop_mesorreg_interpol!$B:$XFD, MATCH(gdp_capita_mesorreg!Q$1, pop_mesorreg_interpol!$B$1:$XFD$1, 0), 0)</f>
        <v>3660.5282250376699</v>
      </c>
      <c r="R80" s="7">
        <f>VLOOKUP($B80, gdp_tot_mes!$B:$XFD, MATCH(gdp_capita_mesorreg!R$1, gdp_tot_mes!$B$1:$XFD$1, 0), 0)*1000/VLOOKUP($B80, pop_mesorreg_interpol!$B:$XFD, MATCH(gdp_capita_mesorreg!R$1, pop_mesorreg_interpol!$B$1:$XFD$1, 0), 0)</f>
        <v>4167.2768711212257</v>
      </c>
      <c r="S80" s="7">
        <f>VLOOKUP($B80, gdp_tot_mes!$B:$XFD, MATCH(gdp_capita_mesorreg!S$1, gdp_tot_mes!$B$1:$XFD$1, 0), 0)*1000/VLOOKUP($B80, pop_mesorreg_interpol!$B:$XFD, MATCH(gdp_capita_mesorreg!S$1, pop_mesorreg_interpol!$B$1:$XFD$1, 0), 0)</f>
        <v>4765.9347342352439</v>
      </c>
      <c r="T80" s="7">
        <f>VLOOKUP($B80, gdp_tot_mes!$B:$XFD, MATCH(gdp_capita_mesorreg!T$1, gdp_tot_mes!$B$1:$XFD$1, 0), 0)*1000/VLOOKUP($B80, pop_mesorreg_interpol!$B:$XFD, MATCH(gdp_capita_mesorreg!T$1, pop_mesorreg_interpol!$B$1:$XFD$1, 0), 0)</f>
        <v>4818.5108699553848</v>
      </c>
      <c r="U80" s="7">
        <f>VLOOKUP($B80, gdp_tot_mes!$B:$XFD, MATCH(gdp_capita_mesorreg!U$1, gdp_tot_mes!$B$1:$XFD$1, 0), 0)*1000/VLOOKUP($B80, pop_mesorreg_interpol!$B:$XFD, MATCH(gdp_capita_mesorreg!U$1, pop_mesorreg_interpol!$B$1:$XFD$1, 0), 0)</f>
        <v>5031.9006722642453</v>
      </c>
      <c r="V80" s="7">
        <f>VLOOKUP($B80, gdp_tot_mes!$B:$XFD, MATCH(gdp_capita_mesorreg!V$1, gdp_tot_mes!$B$1:$XFD$1, 0), 0)*1000/VLOOKUP($B80, pop_mesorreg_interpol!$B:$XFD, MATCH(gdp_capita_mesorreg!V$1, pop_mesorreg_interpol!$B$1:$XFD$1, 0), 0)</f>
        <v>5250.3719827319737</v>
      </c>
      <c r="W80" s="7">
        <f>VLOOKUP($B80, gdp_tot_mes!$B:$XFD, MATCH(gdp_capita_mesorreg!W$1, gdp_tot_mes!$B$1:$XFD$1, 0), 0)*1000/VLOOKUP($B80, pop_mesorreg_interpol!$B:$XFD, MATCH(gdp_capita_mesorreg!W$1, pop_mesorreg_interpol!$B$1:$XFD$1, 0), 0)</f>
        <v>6352.2319183694863</v>
      </c>
      <c r="X80" s="7">
        <f>VLOOKUP($B80, gdp_tot_mes!$B:$XFD, MATCH(gdp_capita_mesorreg!X$1, gdp_tot_mes!$B$1:$XFD$1, 0), 0)*1000/VLOOKUP($B80, pop_mesorreg_interpol!$B:$XFD, MATCH(gdp_capita_mesorreg!X$1, pop_mesorreg_interpol!$B$1:$XFD$1, 0), 0)</f>
        <v>6806.2370065985679</v>
      </c>
      <c r="Y80" s="7">
        <f>VLOOKUP($B80, gdp_tot_mes!$B:$XFD, MATCH(gdp_capita_mesorreg!Y$1, gdp_tot_mes!$B$1:$XFD$1, 0), 0)*1000/VLOOKUP($B80, pop_mesorreg_interpol!$B:$XFD, MATCH(gdp_capita_mesorreg!Y$1, pop_mesorreg_interpol!$B$1:$XFD$1, 0), 0)</f>
        <v>6305.821278067925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x14ac:dyDescent="0.25">
      <c r="A81" s="1" t="s">
        <v>191</v>
      </c>
      <c r="B81" s="1" t="s">
        <v>198</v>
      </c>
      <c r="C81" s="1" t="s">
        <v>199</v>
      </c>
      <c r="D81" s="7">
        <f>VLOOKUP($B81, gdp_tot_mes!$B:$XFD, MATCH(gdp_capita_mesorreg!D$1, gdp_tot_mes!$B$1:$XFD$1, 0), 0)*1000/VLOOKUP($B81, pop_mesorreg_interpol!$B:$XFD, MATCH(gdp_capita_mesorreg!D$1, pop_mesorreg_interpol!$B$1:$XFD$1, 0), 0)</f>
        <v>424.41848892697107</v>
      </c>
      <c r="E81" s="7">
        <f>VLOOKUP($B81, gdp_tot_mes!$B:$XFD, MATCH(gdp_capita_mesorreg!E$1, gdp_tot_mes!$B$1:$XFD$1, 0), 0)*1000/VLOOKUP($B81, pop_mesorreg_interpol!$B:$XFD, MATCH(gdp_capita_mesorreg!E$1, pop_mesorreg_interpol!$B$1:$XFD$1, 0), 0)</f>
        <v>661.96280463662163</v>
      </c>
      <c r="F81" s="7">
        <f>VLOOKUP($B81, gdp_tot_mes!$B:$XFD, MATCH(gdp_capita_mesorreg!F$1, gdp_tot_mes!$B$1:$XFD$1, 0), 0)*1000/VLOOKUP($B81, pop_mesorreg_interpol!$B:$XFD, MATCH(gdp_capita_mesorreg!F$1, pop_mesorreg_interpol!$B$1:$XFD$1, 0), 0)</f>
        <v>476.81106787526932</v>
      </c>
      <c r="G81" s="7">
        <f>VLOOKUP($B81, gdp_tot_mes!$B:$XFD, MATCH(gdp_capita_mesorreg!G$1, gdp_tot_mes!$B$1:$XFD$1, 0), 0)*1000/VLOOKUP($B81, pop_mesorreg_interpol!$B:$XFD, MATCH(gdp_capita_mesorreg!G$1, pop_mesorreg_interpol!$B$1:$XFD$1, 0), 0)</f>
        <v>849.1405891407785</v>
      </c>
      <c r="H81" s="7">
        <f>VLOOKUP($B81, gdp_tot_mes!$B:$XFD, MATCH(gdp_capita_mesorreg!H$1, gdp_tot_mes!$B$1:$XFD$1, 0), 0)*1000/VLOOKUP($B81, pop_mesorreg_interpol!$B:$XFD, MATCH(gdp_capita_mesorreg!H$1, pop_mesorreg_interpol!$B$1:$XFD$1, 0), 0)</f>
        <v>1317.724061161756</v>
      </c>
      <c r="I81" s="7">
        <f>VLOOKUP($B81, gdp_tot_mes!$B:$XFD, MATCH(gdp_capita_mesorreg!I$1, gdp_tot_mes!$B$1:$XFD$1, 0), 0)*1000/VLOOKUP($B81, pop_mesorreg_interpol!$B:$XFD, MATCH(gdp_capita_mesorreg!I$1, pop_mesorreg_interpol!$B$1:$XFD$1, 0), 0)</f>
        <v>1922.7669297154146</v>
      </c>
      <c r="J81" s="7">
        <f>VLOOKUP($B81, gdp_tot_mes!$B:$XFD, MATCH(gdp_capita_mesorreg!J$1, gdp_tot_mes!$B$1:$XFD$1, 0), 0)*1000/VLOOKUP($B81, pop_mesorreg_interpol!$B:$XFD, MATCH(gdp_capita_mesorreg!J$1, pop_mesorreg_interpol!$B$1:$XFD$1, 0), 0)</f>
        <v>2725.6609918873933</v>
      </c>
      <c r="K81" s="7">
        <f>VLOOKUP($B81, gdp_tot_mes!$B:$XFD, MATCH(gdp_capita_mesorreg!K$1, gdp_tot_mes!$B$1:$XFD$1, 0), 0)*1000/VLOOKUP($B81, pop_mesorreg_interpol!$B:$XFD, MATCH(gdp_capita_mesorreg!K$1, pop_mesorreg_interpol!$B$1:$XFD$1, 0), 0)</f>
        <v>3110.8084196246564</v>
      </c>
      <c r="L81" s="8">
        <f>VLOOKUP($B81, gdp_tot_mes!$B:$XFD, MATCH(gdp_capita_mesorreg!L$1, gdp_tot_mes!$B$1:$XFD$1, 0), 0)*1000/VLOOKUP($B81, pop_mesorreg_interpol!$B:$XFD, MATCH(gdp_capita_mesorreg!L$1, pop_mesorreg_interpol!$B$1:$XFD$1, 0), 0)</f>
        <v>2796.0451549860095</v>
      </c>
      <c r="M81" s="7">
        <f>VLOOKUP($B81, gdp_tot_mes!$B:$XFD, MATCH(gdp_capita_mesorreg!M$1, gdp_tot_mes!$B$1:$XFD$1, 0), 0)*1000/VLOOKUP($B81, pop_mesorreg_interpol!$B:$XFD, MATCH(gdp_capita_mesorreg!M$1, pop_mesorreg_interpol!$B$1:$XFD$1, 0), 0)</f>
        <v>2451.7306078994197</v>
      </c>
      <c r="N81" s="7">
        <f>VLOOKUP($B81, gdp_tot_mes!$B:$XFD, MATCH(gdp_capita_mesorreg!N$1, gdp_tot_mes!$B$1:$XFD$1, 0), 0)*1000/VLOOKUP($B81, pop_mesorreg_interpol!$B:$XFD, MATCH(gdp_capita_mesorreg!N$1, pop_mesorreg_interpol!$B$1:$XFD$1, 0), 0)</f>
        <v>3181.7876275445815</v>
      </c>
      <c r="O81" s="7">
        <f>VLOOKUP($B81, gdp_tot_mes!$B:$XFD, MATCH(gdp_capita_mesorreg!O$1, gdp_tot_mes!$B$1:$XFD$1, 0), 0)*1000/VLOOKUP($B81, pop_mesorreg_interpol!$B:$XFD, MATCH(gdp_capita_mesorreg!O$1, pop_mesorreg_interpol!$B$1:$XFD$1, 0), 0)</f>
        <v>3309.981669158562</v>
      </c>
      <c r="P81" s="7">
        <f>VLOOKUP($B81, gdp_tot_mes!$B:$XFD, MATCH(gdp_capita_mesorreg!P$1, gdp_tot_mes!$B$1:$XFD$1, 0), 0)*1000/VLOOKUP($B81, pop_mesorreg_interpol!$B:$XFD, MATCH(gdp_capita_mesorreg!P$1, pop_mesorreg_interpol!$B$1:$XFD$1, 0), 0)</f>
        <v>3367.6601530914791</v>
      </c>
      <c r="Q81" s="7">
        <f>VLOOKUP($B81, gdp_tot_mes!$B:$XFD, MATCH(gdp_capita_mesorreg!Q$1, gdp_tot_mes!$B$1:$XFD$1, 0), 0)*1000/VLOOKUP($B81, pop_mesorreg_interpol!$B:$XFD, MATCH(gdp_capita_mesorreg!Q$1, pop_mesorreg_interpol!$B$1:$XFD$1, 0), 0)</f>
        <v>3409.5025297077905</v>
      </c>
      <c r="R81" s="7">
        <f>VLOOKUP($B81, gdp_tot_mes!$B:$XFD, MATCH(gdp_capita_mesorreg!R$1, gdp_tot_mes!$B$1:$XFD$1, 0), 0)*1000/VLOOKUP($B81, pop_mesorreg_interpol!$B:$XFD, MATCH(gdp_capita_mesorreg!R$1, pop_mesorreg_interpol!$B$1:$XFD$1, 0), 0)</f>
        <v>3474.3667646495919</v>
      </c>
      <c r="S81" s="7">
        <f>VLOOKUP($B81, gdp_tot_mes!$B:$XFD, MATCH(gdp_capita_mesorreg!S$1, gdp_tot_mes!$B$1:$XFD$1, 0), 0)*1000/VLOOKUP($B81, pop_mesorreg_interpol!$B:$XFD, MATCH(gdp_capita_mesorreg!S$1, pop_mesorreg_interpol!$B$1:$XFD$1, 0), 0)</f>
        <v>3786.6535725241506</v>
      </c>
      <c r="T81" s="7">
        <f>VLOOKUP($B81, gdp_tot_mes!$B:$XFD, MATCH(gdp_capita_mesorreg!T$1, gdp_tot_mes!$B$1:$XFD$1, 0), 0)*1000/VLOOKUP($B81, pop_mesorreg_interpol!$B:$XFD, MATCH(gdp_capita_mesorreg!T$1, pop_mesorreg_interpol!$B$1:$XFD$1, 0), 0)</f>
        <v>3959.6950962951496</v>
      </c>
      <c r="U81" s="7">
        <f>VLOOKUP($B81, gdp_tot_mes!$B:$XFD, MATCH(gdp_capita_mesorreg!U$1, gdp_tot_mes!$B$1:$XFD$1, 0), 0)*1000/VLOOKUP($B81, pop_mesorreg_interpol!$B:$XFD, MATCH(gdp_capita_mesorreg!U$1, pop_mesorreg_interpol!$B$1:$XFD$1, 0), 0)</f>
        <v>4245.1259768402688</v>
      </c>
      <c r="V81" s="7">
        <f>VLOOKUP($B81, gdp_tot_mes!$B:$XFD, MATCH(gdp_capita_mesorreg!V$1, gdp_tot_mes!$B$1:$XFD$1, 0), 0)*1000/VLOOKUP($B81, pop_mesorreg_interpol!$B:$XFD, MATCH(gdp_capita_mesorreg!V$1, pop_mesorreg_interpol!$B$1:$XFD$1, 0), 0)</f>
        <v>4400.4453681683071</v>
      </c>
      <c r="W81" s="7">
        <f>VLOOKUP($B81, gdp_tot_mes!$B:$XFD, MATCH(gdp_capita_mesorreg!W$1, gdp_tot_mes!$B$1:$XFD$1, 0), 0)*1000/VLOOKUP($B81, pop_mesorreg_interpol!$B:$XFD, MATCH(gdp_capita_mesorreg!W$1, pop_mesorreg_interpol!$B$1:$XFD$1, 0), 0)</f>
        <v>4864.9946397906324</v>
      </c>
      <c r="X81" s="7">
        <f>VLOOKUP($B81, gdp_tot_mes!$B:$XFD, MATCH(gdp_capita_mesorreg!X$1, gdp_tot_mes!$B$1:$XFD$1, 0), 0)*1000/VLOOKUP($B81, pop_mesorreg_interpol!$B:$XFD, MATCH(gdp_capita_mesorreg!X$1, pop_mesorreg_interpol!$B$1:$XFD$1, 0), 0)</f>
        <v>4938.7603715353789</v>
      </c>
      <c r="Y81" s="7">
        <f>VLOOKUP($B81, gdp_tot_mes!$B:$XFD, MATCH(gdp_capita_mesorreg!Y$1, gdp_tot_mes!$B$1:$XFD$1, 0), 0)*1000/VLOOKUP($B81, pop_mesorreg_interpol!$B:$XFD, MATCH(gdp_capita_mesorreg!Y$1, pop_mesorreg_interpol!$B$1:$XFD$1, 0), 0)</f>
        <v>5167.4657322461726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x14ac:dyDescent="0.25">
      <c r="A82" s="1" t="s">
        <v>200</v>
      </c>
      <c r="B82" s="1" t="s">
        <v>201</v>
      </c>
      <c r="C82" s="1" t="s">
        <v>202</v>
      </c>
      <c r="D82" s="7" t="e">
        <f>NA()</f>
        <v>#N/A</v>
      </c>
      <c r="E82" s="7" t="e">
        <f>NA()</f>
        <v>#N/A</v>
      </c>
      <c r="F82" s="7" t="e">
        <f>NA()</f>
        <v>#N/A</v>
      </c>
      <c r="G82" s="7">
        <f>VLOOKUP($B82, gdp_tot_mes!$B:$XFD, MATCH(gdp_capita_mesorreg!G$1, gdp_tot_mes!$B$1:$XFD$1, 0), 0)*1000/VLOOKUP($B82, pop_mesorreg_interpol!$B:$XFD, MATCH(gdp_capita_mesorreg!G$1, pop_mesorreg_interpol!$B$1:$XFD$1, 0), 0)</f>
        <v>3813.3539693509711</v>
      </c>
      <c r="H82" s="7">
        <f>VLOOKUP($B82, gdp_tot_mes!$B:$XFD, MATCH(gdp_capita_mesorreg!H$1, gdp_tot_mes!$B$1:$XFD$1, 0), 0)*1000/VLOOKUP($B82, pop_mesorreg_interpol!$B:$XFD, MATCH(gdp_capita_mesorreg!H$1, pop_mesorreg_interpol!$B$1:$XFD$1, 0), 0)</f>
        <v>2969.0349664207024</v>
      </c>
      <c r="I82" s="7">
        <f>VLOOKUP($B82, gdp_tot_mes!$B:$XFD, MATCH(gdp_capita_mesorreg!I$1, gdp_tot_mes!$B$1:$XFD$1, 0), 0)*1000/VLOOKUP($B82, pop_mesorreg_interpol!$B:$XFD, MATCH(gdp_capita_mesorreg!I$1, pop_mesorreg_interpol!$B$1:$XFD$1, 0), 0)</f>
        <v>8732.3139588889699</v>
      </c>
      <c r="J82" s="7">
        <f>VLOOKUP($B82, gdp_tot_mes!$B:$XFD, MATCH(gdp_capita_mesorreg!J$1, gdp_tot_mes!$B$1:$XFD$1, 0), 0)*1000/VLOOKUP($B82, pop_mesorreg_interpol!$B:$XFD, MATCH(gdp_capita_mesorreg!J$1, pop_mesorreg_interpol!$B$1:$XFD$1, 0), 0)</f>
        <v>7531.1228216853842</v>
      </c>
      <c r="K82" s="7">
        <f>VLOOKUP($B82, gdp_tot_mes!$B:$XFD, MATCH(gdp_capita_mesorreg!K$1, gdp_tot_mes!$B$1:$XFD$1, 0), 0)*1000/VLOOKUP($B82, pop_mesorreg_interpol!$B:$XFD, MATCH(gdp_capita_mesorreg!K$1, pop_mesorreg_interpol!$B$1:$XFD$1, 0), 0)</f>
        <v>11109.692164005504</v>
      </c>
      <c r="L82" s="8">
        <f>VLOOKUP($B82, gdp_tot_mes!$B:$XFD, MATCH(gdp_capita_mesorreg!L$1, gdp_tot_mes!$B$1:$XFD$1, 0), 0)*1000/VLOOKUP($B82, pop_mesorreg_interpol!$B:$XFD, MATCH(gdp_capita_mesorreg!L$1, pop_mesorreg_interpol!$B$1:$XFD$1, 0), 0)</f>
        <v>9632.7650023630977</v>
      </c>
      <c r="M82" s="7">
        <f>VLOOKUP($B82, gdp_tot_mes!$B:$XFD, MATCH(gdp_capita_mesorreg!M$1, gdp_tot_mes!$B$1:$XFD$1, 0), 0)*1000/VLOOKUP($B82, pop_mesorreg_interpol!$B:$XFD, MATCH(gdp_capita_mesorreg!M$1, pop_mesorreg_interpol!$B$1:$XFD$1, 0), 0)</f>
        <v>7632.3951477890078</v>
      </c>
      <c r="N82" s="7">
        <f>VLOOKUP($B82, gdp_tot_mes!$B:$XFD, MATCH(gdp_capita_mesorreg!N$1, gdp_tot_mes!$B$1:$XFD$1, 0), 0)*1000/VLOOKUP($B82, pop_mesorreg_interpol!$B:$XFD, MATCH(gdp_capita_mesorreg!N$1, pop_mesorreg_interpol!$B$1:$XFD$1, 0), 0)</f>
        <v>9618.7601423093784</v>
      </c>
      <c r="O82" s="7">
        <f>VLOOKUP($B82, gdp_tot_mes!$B:$XFD, MATCH(gdp_capita_mesorreg!O$1, gdp_tot_mes!$B$1:$XFD$1, 0), 0)*1000/VLOOKUP($B82, pop_mesorreg_interpol!$B:$XFD, MATCH(gdp_capita_mesorreg!O$1, pop_mesorreg_interpol!$B$1:$XFD$1, 0), 0)</f>
        <v>9648.5325809775095</v>
      </c>
      <c r="P82" s="7">
        <f>VLOOKUP($B82, gdp_tot_mes!$B:$XFD, MATCH(gdp_capita_mesorreg!P$1, gdp_tot_mes!$B$1:$XFD$1, 0), 0)*1000/VLOOKUP($B82, pop_mesorreg_interpol!$B:$XFD, MATCH(gdp_capita_mesorreg!P$1, pop_mesorreg_interpol!$B$1:$XFD$1, 0), 0)</f>
        <v>9281.2027812484921</v>
      </c>
      <c r="Q82" s="7">
        <f>VLOOKUP($B82, gdp_tot_mes!$B:$XFD, MATCH(gdp_capita_mesorreg!Q$1, gdp_tot_mes!$B$1:$XFD$1, 0), 0)*1000/VLOOKUP($B82, pop_mesorreg_interpol!$B:$XFD, MATCH(gdp_capita_mesorreg!Q$1, pop_mesorreg_interpol!$B$1:$XFD$1, 0), 0)</f>
        <v>10438.872096587014</v>
      </c>
      <c r="R82" s="7">
        <f>VLOOKUP($B82, gdp_tot_mes!$B:$XFD, MATCH(gdp_capita_mesorreg!R$1, gdp_tot_mes!$B$1:$XFD$1, 0), 0)*1000/VLOOKUP($B82, pop_mesorreg_interpol!$B:$XFD, MATCH(gdp_capita_mesorreg!R$1, pop_mesorreg_interpol!$B$1:$XFD$1, 0), 0)</f>
        <v>11949.259033856253</v>
      </c>
      <c r="S82" s="7">
        <f>VLOOKUP($B82, gdp_tot_mes!$B:$XFD, MATCH(gdp_capita_mesorreg!S$1, gdp_tot_mes!$B$1:$XFD$1, 0), 0)*1000/VLOOKUP($B82, pop_mesorreg_interpol!$B:$XFD, MATCH(gdp_capita_mesorreg!S$1, pop_mesorreg_interpol!$B$1:$XFD$1, 0), 0)</f>
        <v>12043.785559472022</v>
      </c>
      <c r="T82" s="7">
        <f>VLOOKUP($B82, gdp_tot_mes!$B:$XFD, MATCH(gdp_capita_mesorreg!T$1, gdp_tot_mes!$B$1:$XFD$1, 0), 0)*1000/VLOOKUP($B82, pop_mesorreg_interpol!$B:$XFD, MATCH(gdp_capita_mesorreg!T$1, pop_mesorreg_interpol!$B$1:$XFD$1, 0), 0)</f>
        <v>11417.914292096066</v>
      </c>
      <c r="U82" s="7">
        <f>VLOOKUP($B82, gdp_tot_mes!$B:$XFD, MATCH(gdp_capita_mesorreg!U$1, gdp_tot_mes!$B$1:$XFD$1, 0), 0)*1000/VLOOKUP($B82, pop_mesorreg_interpol!$B:$XFD, MATCH(gdp_capita_mesorreg!U$1, pop_mesorreg_interpol!$B$1:$XFD$1, 0), 0)</f>
        <v>11678.580905219211</v>
      </c>
      <c r="V82" s="7">
        <f>VLOOKUP($B82, gdp_tot_mes!$B:$XFD, MATCH(gdp_capita_mesorreg!V$1, gdp_tot_mes!$B$1:$XFD$1, 0), 0)*1000/VLOOKUP($B82, pop_mesorreg_interpol!$B:$XFD, MATCH(gdp_capita_mesorreg!V$1, pop_mesorreg_interpol!$B$1:$XFD$1, 0), 0)</f>
        <v>12392.243503810838</v>
      </c>
      <c r="W82" s="7">
        <f>VLOOKUP($B82, gdp_tot_mes!$B:$XFD, MATCH(gdp_capita_mesorreg!W$1, gdp_tot_mes!$B$1:$XFD$1, 0), 0)*1000/VLOOKUP($B82, pop_mesorreg_interpol!$B:$XFD, MATCH(gdp_capita_mesorreg!W$1, pop_mesorreg_interpol!$B$1:$XFD$1, 0), 0)</f>
        <v>12460.852705875572</v>
      </c>
      <c r="X82" s="7">
        <f>VLOOKUP($B82, gdp_tot_mes!$B:$XFD, MATCH(gdp_capita_mesorreg!X$1, gdp_tot_mes!$B$1:$XFD$1, 0), 0)*1000/VLOOKUP($B82, pop_mesorreg_interpol!$B:$XFD, MATCH(gdp_capita_mesorreg!X$1, pop_mesorreg_interpol!$B$1:$XFD$1, 0), 0)</f>
        <v>13053.42451720795</v>
      </c>
      <c r="Y82" s="7">
        <f>VLOOKUP($B82, gdp_tot_mes!$B:$XFD, MATCH(gdp_capita_mesorreg!Y$1, gdp_tot_mes!$B$1:$XFD$1, 0), 0)*1000/VLOOKUP($B82, pop_mesorreg_interpol!$B:$XFD, MATCH(gdp_capita_mesorreg!Y$1, pop_mesorreg_interpol!$B$1:$XFD$1, 0), 0)</f>
        <v>14043.869487659937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x14ac:dyDescent="0.25">
      <c r="A83" s="1" t="s">
        <v>200</v>
      </c>
      <c r="B83" s="1" t="s">
        <v>203</v>
      </c>
      <c r="C83" s="1" t="s">
        <v>204</v>
      </c>
      <c r="D83" s="7" t="e">
        <f>NA()</f>
        <v>#N/A</v>
      </c>
      <c r="E83" s="7" t="e">
        <f>NA()</f>
        <v>#N/A</v>
      </c>
      <c r="F83" s="7">
        <f>VLOOKUP($B83, gdp_tot_mes!$B:$XFD, MATCH(gdp_capita_mesorreg!F$1, gdp_tot_mes!$B$1:$XFD$1, 0), 0)*1000/VLOOKUP($B83, pop_mesorreg_interpol!$B:$XFD, MATCH(gdp_capita_mesorreg!F$1, pop_mesorreg_interpol!$B$1:$XFD$1, 0), 0)</f>
        <v>1380.5105541021032</v>
      </c>
      <c r="G83" s="7">
        <f>VLOOKUP($B83, gdp_tot_mes!$B:$XFD, MATCH(gdp_capita_mesorreg!G$1, gdp_tot_mes!$B$1:$XFD$1, 0), 0)*1000/VLOOKUP($B83, pop_mesorreg_interpol!$B:$XFD, MATCH(gdp_capita_mesorreg!G$1, pop_mesorreg_interpol!$B$1:$XFD$1, 0), 0)</f>
        <v>3256.0555499783641</v>
      </c>
      <c r="H83" s="7">
        <f>VLOOKUP($B83, gdp_tot_mes!$B:$XFD, MATCH(gdp_capita_mesorreg!H$1, gdp_tot_mes!$B$1:$XFD$1, 0), 0)*1000/VLOOKUP($B83, pop_mesorreg_interpol!$B:$XFD, MATCH(gdp_capita_mesorreg!H$1, pop_mesorreg_interpol!$B$1:$XFD$1, 0), 0)</f>
        <v>3298.4961936898089</v>
      </c>
      <c r="I83" s="7">
        <f>VLOOKUP($B83, gdp_tot_mes!$B:$XFD, MATCH(gdp_capita_mesorreg!I$1, gdp_tot_mes!$B$1:$XFD$1, 0), 0)*1000/VLOOKUP($B83, pop_mesorreg_interpol!$B:$XFD, MATCH(gdp_capita_mesorreg!I$1, pop_mesorreg_interpol!$B$1:$XFD$1, 0), 0)</f>
        <v>6853.277948726316</v>
      </c>
      <c r="J83" s="7">
        <f>VLOOKUP($B83, gdp_tot_mes!$B:$XFD, MATCH(gdp_capita_mesorreg!J$1, gdp_tot_mes!$B$1:$XFD$1, 0), 0)*1000/VLOOKUP($B83, pop_mesorreg_interpol!$B:$XFD, MATCH(gdp_capita_mesorreg!J$1, pop_mesorreg_interpol!$B$1:$XFD$1, 0), 0)</f>
        <v>8487.4169383978078</v>
      </c>
      <c r="K83" s="7">
        <f>VLOOKUP($B83, gdp_tot_mes!$B:$XFD, MATCH(gdp_capita_mesorreg!K$1, gdp_tot_mes!$B$1:$XFD$1, 0), 0)*1000/VLOOKUP($B83, pop_mesorreg_interpol!$B:$XFD, MATCH(gdp_capita_mesorreg!K$1, pop_mesorreg_interpol!$B$1:$XFD$1, 0), 0)</f>
        <v>11592.314890767429</v>
      </c>
      <c r="L83" s="8">
        <f>VLOOKUP($B83, gdp_tot_mes!$B:$XFD, MATCH(gdp_capita_mesorreg!L$1, gdp_tot_mes!$B$1:$XFD$1, 0), 0)*1000/VLOOKUP($B83, pop_mesorreg_interpol!$B:$XFD, MATCH(gdp_capita_mesorreg!L$1, pop_mesorreg_interpol!$B$1:$XFD$1, 0), 0)</f>
        <v>10110.390889577542</v>
      </c>
      <c r="M83" s="7">
        <f>VLOOKUP($B83, gdp_tot_mes!$B:$XFD, MATCH(gdp_capita_mesorreg!M$1, gdp_tot_mes!$B$1:$XFD$1, 0), 0)*1000/VLOOKUP($B83, pop_mesorreg_interpol!$B:$XFD, MATCH(gdp_capita_mesorreg!M$1, pop_mesorreg_interpol!$B$1:$XFD$1, 0), 0)</f>
        <v>8158.6342981635516</v>
      </c>
      <c r="N83" s="7">
        <f>VLOOKUP($B83, gdp_tot_mes!$B:$XFD, MATCH(gdp_capita_mesorreg!N$1, gdp_tot_mes!$B$1:$XFD$1, 0), 0)*1000/VLOOKUP($B83, pop_mesorreg_interpol!$B:$XFD, MATCH(gdp_capita_mesorreg!N$1, pop_mesorreg_interpol!$B$1:$XFD$1, 0), 0)</f>
        <v>12684.713335810338</v>
      </c>
      <c r="O83" s="7">
        <f>VLOOKUP($B83, gdp_tot_mes!$B:$XFD, MATCH(gdp_capita_mesorreg!O$1, gdp_tot_mes!$B$1:$XFD$1, 0), 0)*1000/VLOOKUP($B83, pop_mesorreg_interpol!$B:$XFD, MATCH(gdp_capita_mesorreg!O$1, pop_mesorreg_interpol!$B$1:$XFD$1, 0), 0)</f>
        <v>12698.643675153658</v>
      </c>
      <c r="P83" s="7">
        <f>VLOOKUP($B83, gdp_tot_mes!$B:$XFD, MATCH(gdp_capita_mesorreg!P$1, gdp_tot_mes!$B$1:$XFD$1, 0), 0)*1000/VLOOKUP($B83, pop_mesorreg_interpol!$B:$XFD, MATCH(gdp_capita_mesorreg!P$1, pop_mesorreg_interpol!$B$1:$XFD$1, 0), 0)</f>
        <v>13204.402218621313</v>
      </c>
      <c r="Q83" s="7">
        <f>VLOOKUP($B83, gdp_tot_mes!$B:$XFD, MATCH(gdp_capita_mesorreg!Q$1, gdp_tot_mes!$B$1:$XFD$1, 0), 0)*1000/VLOOKUP($B83, pop_mesorreg_interpol!$B:$XFD, MATCH(gdp_capita_mesorreg!Q$1, pop_mesorreg_interpol!$B$1:$XFD$1, 0), 0)</f>
        <v>15002.793186975661</v>
      </c>
      <c r="R83" s="7">
        <f>VLOOKUP($B83, gdp_tot_mes!$B:$XFD, MATCH(gdp_capita_mesorreg!R$1, gdp_tot_mes!$B$1:$XFD$1, 0), 0)*1000/VLOOKUP($B83, pop_mesorreg_interpol!$B:$XFD, MATCH(gdp_capita_mesorreg!R$1, pop_mesorreg_interpol!$B$1:$XFD$1, 0), 0)</f>
        <v>16929.575583613019</v>
      </c>
      <c r="S83" s="7">
        <f>VLOOKUP($B83, gdp_tot_mes!$B:$XFD, MATCH(gdp_capita_mesorreg!S$1, gdp_tot_mes!$B$1:$XFD$1, 0), 0)*1000/VLOOKUP($B83, pop_mesorreg_interpol!$B:$XFD, MATCH(gdp_capita_mesorreg!S$1, pop_mesorreg_interpol!$B$1:$XFD$1, 0), 0)</f>
        <v>16512.7905902889</v>
      </c>
      <c r="T83" s="7">
        <f>VLOOKUP($B83, gdp_tot_mes!$B:$XFD, MATCH(gdp_capita_mesorreg!T$1, gdp_tot_mes!$B$1:$XFD$1, 0), 0)*1000/VLOOKUP($B83, pop_mesorreg_interpol!$B:$XFD, MATCH(gdp_capita_mesorreg!T$1, pop_mesorreg_interpol!$B$1:$XFD$1, 0), 0)</f>
        <v>13933.533599249808</v>
      </c>
      <c r="U83" s="7">
        <f>VLOOKUP($B83, gdp_tot_mes!$B:$XFD, MATCH(gdp_capita_mesorreg!U$1, gdp_tot_mes!$B$1:$XFD$1, 0), 0)*1000/VLOOKUP($B83, pop_mesorreg_interpol!$B:$XFD, MATCH(gdp_capita_mesorreg!U$1, pop_mesorreg_interpol!$B$1:$XFD$1, 0), 0)</f>
        <v>13878.110329963883</v>
      </c>
      <c r="V83" s="7">
        <f>VLOOKUP($B83, gdp_tot_mes!$B:$XFD, MATCH(gdp_capita_mesorreg!V$1, gdp_tot_mes!$B$1:$XFD$1, 0), 0)*1000/VLOOKUP($B83, pop_mesorreg_interpol!$B:$XFD, MATCH(gdp_capita_mesorreg!V$1, pop_mesorreg_interpol!$B$1:$XFD$1, 0), 0)</f>
        <v>14884.857905236851</v>
      </c>
      <c r="W83" s="7">
        <f>VLOOKUP($B83, gdp_tot_mes!$B:$XFD, MATCH(gdp_capita_mesorreg!W$1, gdp_tot_mes!$B$1:$XFD$1, 0), 0)*1000/VLOOKUP($B83, pop_mesorreg_interpol!$B:$XFD, MATCH(gdp_capita_mesorreg!W$1, pop_mesorreg_interpol!$B$1:$XFD$1, 0), 0)</f>
        <v>16897.096982931744</v>
      </c>
      <c r="X83" s="7">
        <f>VLOOKUP($B83, gdp_tot_mes!$B:$XFD, MATCH(gdp_capita_mesorreg!X$1, gdp_tot_mes!$B$1:$XFD$1, 0), 0)*1000/VLOOKUP($B83, pop_mesorreg_interpol!$B:$XFD, MATCH(gdp_capita_mesorreg!X$1, pop_mesorreg_interpol!$B$1:$XFD$1, 0), 0)</f>
        <v>15774.686937650091</v>
      </c>
      <c r="Y83" s="7">
        <f>VLOOKUP($B83, gdp_tot_mes!$B:$XFD, MATCH(gdp_capita_mesorreg!Y$1, gdp_tot_mes!$B$1:$XFD$1, 0), 0)*1000/VLOOKUP($B83, pop_mesorreg_interpol!$B:$XFD, MATCH(gdp_capita_mesorreg!Y$1, pop_mesorreg_interpol!$B$1:$XFD$1, 0), 0)</f>
        <v>15430.138017209129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x14ac:dyDescent="0.25">
      <c r="A84" s="1" t="s">
        <v>200</v>
      </c>
      <c r="B84" s="1" t="s">
        <v>205</v>
      </c>
      <c r="C84" s="1" t="s">
        <v>206</v>
      </c>
      <c r="D84" s="7">
        <f>VLOOKUP($B84, gdp_tot_mes!$B:$XFD, MATCH(gdp_capita_mesorreg!D$1, gdp_tot_mes!$B$1:$XFD$1, 0), 0)*1000/VLOOKUP($B84, pop_mesorreg_interpol!$B:$XFD, MATCH(gdp_capita_mesorreg!D$1, pop_mesorreg_interpol!$B$1:$XFD$1, 0), 0)</f>
        <v>585.86306008507358</v>
      </c>
      <c r="E84" s="7">
        <f>VLOOKUP($B84, gdp_tot_mes!$B:$XFD, MATCH(gdp_capita_mesorreg!E$1, gdp_tot_mes!$B$1:$XFD$1, 0), 0)*1000/VLOOKUP($B84, pop_mesorreg_interpol!$B:$XFD, MATCH(gdp_capita_mesorreg!E$1, pop_mesorreg_interpol!$B$1:$XFD$1, 0), 0)</f>
        <v>1408.4361268981042</v>
      </c>
      <c r="F84" s="7">
        <f>VLOOKUP($B84, gdp_tot_mes!$B:$XFD, MATCH(gdp_capita_mesorreg!F$1, gdp_tot_mes!$B$1:$XFD$1, 0), 0)*1000/VLOOKUP($B84, pop_mesorreg_interpol!$B:$XFD, MATCH(gdp_capita_mesorreg!F$1, pop_mesorreg_interpol!$B$1:$XFD$1, 0), 0)</f>
        <v>3940.8566647939042</v>
      </c>
      <c r="G84" s="7">
        <f>VLOOKUP($B84, gdp_tot_mes!$B:$XFD, MATCH(gdp_capita_mesorreg!G$1, gdp_tot_mes!$B$1:$XFD$1, 0), 0)*1000/VLOOKUP($B84, pop_mesorreg_interpol!$B:$XFD, MATCH(gdp_capita_mesorreg!G$1, pop_mesorreg_interpol!$B$1:$XFD$1, 0), 0)</f>
        <v>4847.134947422901</v>
      </c>
      <c r="H84" s="7">
        <f>VLOOKUP($B84, gdp_tot_mes!$B:$XFD, MATCH(gdp_capita_mesorreg!H$1, gdp_tot_mes!$B$1:$XFD$1, 0), 0)*1000/VLOOKUP($B84, pop_mesorreg_interpol!$B:$XFD, MATCH(gdp_capita_mesorreg!H$1, pop_mesorreg_interpol!$B$1:$XFD$1, 0), 0)</f>
        <v>4851.4539478120714</v>
      </c>
      <c r="I84" s="7">
        <f>VLOOKUP($B84, gdp_tot_mes!$B:$XFD, MATCH(gdp_capita_mesorreg!I$1, gdp_tot_mes!$B$1:$XFD$1, 0), 0)*1000/VLOOKUP($B84, pop_mesorreg_interpol!$B:$XFD, MATCH(gdp_capita_mesorreg!I$1, pop_mesorreg_interpol!$B$1:$XFD$1, 0), 0)</f>
        <v>11194.707502230493</v>
      </c>
      <c r="J84" s="7">
        <f>VLOOKUP($B84, gdp_tot_mes!$B:$XFD, MATCH(gdp_capita_mesorreg!J$1, gdp_tot_mes!$B$1:$XFD$1, 0), 0)*1000/VLOOKUP($B84, pop_mesorreg_interpol!$B:$XFD, MATCH(gdp_capita_mesorreg!J$1, pop_mesorreg_interpol!$B$1:$XFD$1, 0), 0)</f>
        <v>11441.768646244158</v>
      </c>
      <c r="K84" s="7">
        <f>VLOOKUP($B84, gdp_tot_mes!$B:$XFD, MATCH(gdp_capita_mesorreg!K$1, gdp_tot_mes!$B$1:$XFD$1, 0), 0)*1000/VLOOKUP($B84, pop_mesorreg_interpol!$B:$XFD, MATCH(gdp_capita_mesorreg!K$1, pop_mesorreg_interpol!$B$1:$XFD$1, 0), 0)</f>
        <v>13357.118221036892</v>
      </c>
      <c r="L84" s="8">
        <f>VLOOKUP($B84, gdp_tot_mes!$B:$XFD, MATCH(gdp_capita_mesorreg!L$1, gdp_tot_mes!$B$1:$XFD$1, 0), 0)*1000/VLOOKUP($B84, pop_mesorreg_interpol!$B:$XFD, MATCH(gdp_capita_mesorreg!L$1, pop_mesorreg_interpol!$B$1:$XFD$1, 0), 0)</f>
        <v>12824.044390365894</v>
      </c>
      <c r="M84" s="7">
        <f>VLOOKUP($B84, gdp_tot_mes!$B:$XFD, MATCH(gdp_capita_mesorreg!M$1, gdp_tot_mes!$B$1:$XFD$1, 0), 0)*1000/VLOOKUP($B84, pop_mesorreg_interpol!$B:$XFD, MATCH(gdp_capita_mesorreg!M$1, pop_mesorreg_interpol!$B$1:$XFD$1, 0), 0)</f>
        <v>12251.830633513728</v>
      </c>
      <c r="N84" s="7">
        <f>VLOOKUP($B84, gdp_tot_mes!$B:$XFD, MATCH(gdp_capita_mesorreg!N$1, gdp_tot_mes!$B$1:$XFD$1, 0), 0)*1000/VLOOKUP($B84, pop_mesorreg_interpol!$B:$XFD, MATCH(gdp_capita_mesorreg!N$1, pop_mesorreg_interpol!$B$1:$XFD$1, 0), 0)</f>
        <v>14510.11965300289</v>
      </c>
      <c r="O84" s="7">
        <f>VLOOKUP($B84, gdp_tot_mes!$B:$XFD, MATCH(gdp_capita_mesorreg!O$1, gdp_tot_mes!$B$1:$XFD$1, 0), 0)*1000/VLOOKUP($B84, pop_mesorreg_interpol!$B:$XFD, MATCH(gdp_capita_mesorreg!O$1, pop_mesorreg_interpol!$B$1:$XFD$1, 0), 0)</f>
        <v>14396.03232597557</v>
      </c>
      <c r="P84" s="7">
        <f>VLOOKUP($B84, gdp_tot_mes!$B:$XFD, MATCH(gdp_capita_mesorreg!P$1, gdp_tot_mes!$B$1:$XFD$1, 0), 0)*1000/VLOOKUP($B84, pop_mesorreg_interpol!$B:$XFD, MATCH(gdp_capita_mesorreg!P$1, pop_mesorreg_interpol!$B$1:$XFD$1, 0), 0)</f>
        <v>14088.956900709647</v>
      </c>
      <c r="Q84" s="7">
        <f>VLOOKUP($B84, gdp_tot_mes!$B:$XFD, MATCH(gdp_capita_mesorreg!Q$1, gdp_tot_mes!$B$1:$XFD$1, 0), 0)*1000/VLOOKUP($B84, pop_mesorreg_interpol!$B:$XFD, MATCH(gdp_capita_mesorreg!Q$1, pop_mesorreg_interpol!$B$1:$XFD$1, 0), 0)</f>
        <v>14719.064266191583</v>
      </c>
      <c r="R84" s="7">
        <f>VLOOKUP($B84, gdp_tot_mes!$B:$XFD, MATCH(gdp_capita_mesorreg!R$1, gdp_tot_mes!$B$1:$XFD$1, 0), 0)*1000/VLOOKUP($B84, pop_mesorreg_interpol!$B:$XFD, MATCH(gdp_capita_mesorreg!R$1, pop_mesorreg_interpol!$B$1:$XFD$1, 0), 0)</f>
        <v>15928.647055340665</v>
      </c>
      <c r="S84" s="7">
        <f>VLOOKUP($B84, gdp_tot_mes!$B:$XFD, MATCH(gdp_capita_mesorreg!S$1, gdp_tot_mes!$B$1:$XFD$1, 0), 0)*1000/VLOOKUP($B84, pop_mesorreg_interpol!$B:$XFD, MATCH(gdp_capita_mesorreg!S$1, pop_mesorreg_interpol!$B$1:$XFD$1, 0), 0)</f>
        <v>16206.417486666805</v>
      </c>
      <c r="T84" s="7">
        <f>VLOOKUP($B84, gdp_tot_mes!$B:$XFD, MATCH(gdp_capita_mesorreg!T$1, gdp_tot_mes!$B$1:$XFD$1, 0), 0)*1000/VLOOKUP($B84, pop_mesorreg_interpol!$B:$XFD, MATCH(gdp_capita_mesorreg!T$1, pop_mesorreg_interpol!$B$1:$XFD$1, 0), 0)</f>
        <v>15539.504347566071</v>
      </c>
      <c r="U84" s="7">
        <f>VLOOKUP($B84, gdp_tot_mes!$B:$XFD, MATCH(gdp_capita_mesorreg!U$1, gdp_tot_mes!$B$1:$XFD$1, 0), 0)*1000/VLOOKUP($B84, pop_mesorreg_interpol!$B:$XFD, MATCH(gdp_capita_mesorreg!U$1, pop_mesorreg_interpol!$B$1:$XFD$1, 0), 0)</f>
        <v>15410.070012492504</v>
      </c>
      <c r="V84" s="7">
        <f>VLOOKUP($B84, gdp_tot_mes!$B:$XFD, MATCH(gdp_capita_mesorreg!V$1, gdp_tot_mes!$B$1:$XFD$1, 0), 0)*1000/VLOOKUP($B84, pop_mesorreg_interpol!$B:$XFD, MATCH(gdp_capita_mesorreg!V$1, pop_mesorreg_interpol!$B$1:$XFD$1, 0), 0)</f>
        <v>17069.463921607403</v>
      </c>
      <c r="W84" s="7">
        <f>VLOOKUP($B84, gdp_tot_mes!$B:$XFD, MATCH(gdp_capita_mesorreg!W$1, gdp_tot_mes!$B$1:$XFD$1, 0), 0)*1000/VLOOKUP($B84, pop_mesorreg_interpol!$B:$XFD, MATCH(gdp_capita_mesorreg!W$1, pop_mesorreg_interpol!$B$1:$XFD$1, 0), 0)</f>
        <v>16438.871237754236</v>
      </c>
      <c r="X84" s="7">
        <f>VLOOKUP($B84, gdp_tot_mes!$B:$XFD, MATCH(gdp_capita_mesorreg!X$1, gdp_tot_mes!$B$1:$XFD$1, 0), 0)*1000/VLOOKUP($B84, pop_mesorreg_interpol!$B:$XFD, MATCH(gdp_capita_mesorreg!X$1, pop_mesorreg_interpol!$B$1:$XFD$1, 0), 0)</f>
        <v>16972.727413492623</v>
      </c>
      <c r="Y84" s="7">
        <f>VLOOKUP($B84, gdp_tot_mes!$B:$XFD, MATCH(gdp_capita_mesorreg!Y$1, gdp_tot_mes!$B$1:$XFD$1, 0), 0)*1000/VLOOKUP($B84, pop_mesorreg_interpol!$B:$XFD, MATCH(gdp_capita_mesorreg!Y$1, pop_mesorreg_interpol!$B$1:$XFD$1, 0), 0)</f>
        <v>17207.753654433596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x14ac:dyDescent="0.25">
      <c r="A85" s="1" t="s">
        <v>200</v>
      </c>
      <c r="B85" s="1" t="s">
        <v>207</v>
      </c>
      <c r="C85" s="1" t="s">
        <v>208</v>
      </c>
      <c r="D85" s="7">
        <f>VLOOKUP($B85, gdp_tot_mes!$B:$XFD, MATCH(gdp_capita_mesorreg!D$1, gdp_tot_mes!$B$1:$XFD$1, 0), 0)*1000/VLOOKUP($B85, pop_mesorreg_interpol!$B:$XFD, MATCH(gdp_capita_mesorreg!D$1, pop_mesorreg_interpol!$B$1:$XFD$1, 0), 0)</f>
        <v>1193.2778926704791</v>
      </c>
      <c r="E85" s="7">
        <f>VLOOKUP($B85, gdp_tot_mes!$B:$XFD, MATCH(gdp_capita_mesorreg!E$1, gdp_tot_mes!$B$1:$XFD$1, 0), 0)*1000/VLOOKUP($B85, pop_mesorreg_interpol!$B:$XFD, MATCH(gdp_capita_mesorreg!E$1, pop_mesorreg_interpol!$B$1:$XFD$1, 0), 0)</f>
        <v>2561.6440226957111</v>
      </c>
      <c r="F85" s="7">
        <f>VLOOKUP($B85, gdp_tot_mes!$B:$XFD, MATCH(gdp_capita_mesorreg!F$1, gdp_tot_mes!$B$1:$XFD$1, 0), 0)*1000/VLOOKUP($B85, pop_mesorreg_interpol!$B:$XFD, MATCH(gdp_capita_mesorreg!F$1, pop_mesorreg_interpol!$B$1:$XFD$1, 0), 0)</f>
        <v>3910.9750356209297</v>
      </c>
      <c r="G85" s="7">
        <f>VLOOKUP($B85, gdp_tot_mes!$B:$XFD, MATCH(gdp_capita_mesorreg!G$1, gdp_tot_mes!$B$1:$XFD$1, 0), 0)*1000/VLOOKUP($B85, pop_mesorreg_interpol!$B:$XFD, MATCH(gdp_capita_mesorreg!G$1, pop_mesorreg_interpol!$B$1:$XFD$1, 0), 0)</f>
        <v>4061.049254236887</v>
      </c>
      <c r="H85" s="7">
        <f>VLOOKUP($B85, gdp_tot_mes!$B:$XFD, MATCH(gdp_capita_mesorreg!H$1, gdp_tot_mes!$B$1:$XFD$1, 0), 0)*1000/VLOOKUP($B85, pop_mesorreg_interpol!$B:$XFD, MATCH(gdp_capita_mesorreg!H$1, pop_mesorreg_interpol!$B$1:$XFD$1, 0), 0)</f>
        <v>4136.1954930093543</v>
      </c>
      <c r="I85" s="7">
        <f>VLOOKUP($B85, gdp_tot_mes!$B:$XFD, MATCH(gdp_capita_mesorreg!I$1, gdp_tot_mes!$B$1:$XFD$1, 0), 0)*1000/VLOOKUP($B85, pop_mesorreg_interpol!$B:$XFD, MATCH(gdp_capita_mesorreg!I$1, pop_mesorreg_interpol!$B$1:$XFD$1, 0), 0)</f>
        <v>7051.8182402419152</v>
      </c>
      <c r="J85" s="7">
        <f>VLOOKUP($B85, gdp_tot_mes!$B:$XFD, MATCH(gdp_capita_mesorreg!J$1, gdp_tot_mes!$B$1:$XFD$1, 0), 0)*1000/VLOOKUP($B85, pop_mesorreg_interpol!$B:$XFD, MATCH(gdp_capita_mesorreg!J$1, pop_mesorreg_interpol!$B$1:$XFD$1, 0), 0)</f>
        <v>9320.5423117859209</v>
      </c>
      <c r="K85" s="7">
        <f>VLOOKUP($B85, gdp_tot_mes!$B:$XFD, MATCH(gdp_capita_mesorreg!K$1, gdp_tot_mes!$B$1:$XFD$1, 0), 0)*1000/VLOOKUP($B85, pop_mesorreg_interpol!$B:$XFD, MATCH(gdp_capita_mesorreg!K$1, pop_mesorreg_interpol!$B$1:$XFD$1, 0), 0)</f>
        <v>12373.630565597585</v>
      </c>
      <c r="L85" s="8">
        <f>VLOOKUP($B85, gdp_tot_mes!$B:$XFD, MATCH(gdp_capita_mesorreg!L$1, gdp_tot_mes!$B$1:$XFD$1, 0), 0)*1000/VLOOKUP($B85, pop_mesorreg_interpol!$B:$XFD, MATCH(gdp_capita_mesorreg!L$1, pop_mesorreg_interpol!$B$1:$XFD$1, 0), 0)</f>
        <v>10182.130169300774</v>
      </c>
      <c r="M85" s="7">
        <f>VLOOKUP($B85, gdp_tot_mes!$B:$XFD, MATCH(gdp_capita_mesorreg!M$1, gdp_tot_mes!$B$1:$XFD$1, 0), 0)*1000/VLOOKUP($B85, pop_mesorreg_interpol!$B:$XFD, MATCH(gdp_capita_mesorreg!M$1, pop_mesorreg_interpol!$B$1:$XFD$1, 0), 0)</f>
        <v>7446.8054855135042</v>
      </c>
      <c r="N85" s="7">
        <f>VLOOKUP($B85, gdp_tot_mes!$B:$XFD, MATCH(gdp_capita_mesorreg!N$1, gdp_tot_mes!$B$1:$XFD$1, 0), 0)*1000/VLOOKUP($B85, pop_mesorreg_interpol!$B:$XFD, MATCH(gdp_capita_mesorreg!N$1, pop_mesorreg_interpol!$B$1:$XFD$1, 0), 0)</f>
        <v>9400.1340776298603</v>
      </c>
      <c r="O85" s="7">
        <f>VLOOKUP($B85, gdp_tot_mes!$B:$XFD, MATCH(gdp_capita_mesorreg!O$1, gdp_tot_mes!$B$1:$XFD$1, 0), 0)*1000/VLOOKUP($B85, pop_mesorreg_interpol!$B:$XFD, MATCH(gdp_capita_mesorreg!O$1, pop_mesorreg_interpol!$B$1:$XFD$1, 0), 0)</f>
        <v>9224.0393713052144</v>
      </c>
      <c r="P85" s="7">
        <f>VLOOKUP($B85, gdp_tot_mes!$B:$XFD, MATCH(gdp_capita_mesorreg!P$1, gdp_tot_mes!$B$1:$XFD$1, 0), 0)*1000/VLOOKUP($B85, pop_mesorreg_interpol!$B:$XFD, MATCH(gdp_capita_mesorreg!P$1, pop_mesorreg_interpol!$B$1:$XFD$1, 0), 0)</f>
        <v>9417.2334152131425</v>
      </c>
      <c r="Q85" s="7">
        <f>VLOOKUP($B85, gdp_tot_mes!$B:$XFD, MATCH(gdp_capita_mesorreg!Q$1, gdp_tot_mes!$B$1:$XFD$1, 0), 0)*1000/VLOOKUP($B85, pop_mesorreg_interpol!$B:$XFD, MATCH(gdp_capita_mesorreg!Q$1, pop_mesorreg_interpol!$B$1:$XFD$1, 0), 0)</f>
        <v>10480.172540824307</v>
      </c>
      <c r="R85" s="7">
        <f>VLOOKUP($B85, gdp_tot_mes!$B:$XFD, MATCH(gdp_capita_mesorreg!R$1, gdp_tot_mes!$B$1:$XFD$1, 0), 0)*1000/VLOOKUP($B85, pop_mesorreg_interpol!$B:$XFD, MATCH(gdp_capita_mesorreg!R$1, pop_mesorreg_interpol!$B$1:$XFD$1, 0), 0)</f>
        <v>12011.265948157014</v>
      </c>
      <c r="S85" s="7">
        <f>VLOOKUP($B85, gdp_tot_mes!$B:$XFD, MATCH(gdp_capita_mesorreg!S$1, gdp_tot_mes!$B$1:$XFD$1, 0), 0)*1000/VLOOKUP($B85, pop_mesorreg_interpol!$B:$XFD, MATCH(gdp_capita_mesorreg!S$1, pop_mesorreg_interpol!$B$1:$XFD$1, 0), 0)</f>
        <v>12297.256589680723</v>
      </c>
      <c r="T85" s="7">
        <f>VLOOKUP($B85, gdp_tot_mes!$B:$XFD, MATCH(gdp_capita_mesorreg!T$1, gdp_tot_mes!$B$1:$XFD$1, 0), 0)*1000/VLOOKUP($B85, pop_mesorreg_interpol!$B:$XFD, MATCH(gdp_capita_mesorreg!T$1, pop_mesorreg_interpol!$B$1:$XFD$1, 0), 0)</f>
        <v>10905.183247985682</v>
      </c>
      <c r="U85" s="7">
        <f>VLOOKUP($B85, gdp_tot_mes!$B:$XFD, MATCH(gdp_capita_mesorreg!U$1, gdp_tot_mes!$B$1:$XFD$1, 0), 0)*1000/VLOOKUP($B85, pop_mesorreg_interpol!$B:$XFD, MATCH(gdp_capita_mesorreg!U$1, pop_mesorreg_interpol!$B$1:$XFD$1, 0), 0)</f>
        <v>10470.350980730553</v>
      </c>
      <c r="V85" s="7">
        <f>VLOOKUP($B85, gdp_tot_mes!$B:$XFD, MATCH(gdp_capita_mesorreg!V$1, gdp_tot_mes!$B$1:$XFD$1, 0), 0)*1000/VLOOKUP($B85, pop_mesorreg_interpol!$B:$XFD, MATCH(gdp_capita_mesorreg!V$1, pop_mesorreg_interpol!$B$1:$XFD$1, 0), 0)</f>
        <v>11391.236378576068</v>
      </c>
      <c r="W85" s="7">
        <f>VLOOKUP($B85, gdp_tot_mes!$B:$XFD, MATCH(gdp_capita_mesorreg!W$1, gdp_tot_mes!$B$1:$XFD$1, 0), 0)*1000/VLOOKUP($B85, pop_mesorreg_interpol!$B:$XFD, MATCH(gdp_capita_mesorreg!W$1, pop_mesorreg_interpol!$B$1:$XFD$1, 0), 0)</f>
        <v>11842.723379451465</v>
      </c>
      <c r="X85" s="7">
        <f>VLOOKUP($B85, gdp_tot_mes!$B:$XFD, MATCH(gdp_capita_mesorreg!X$1, gdp_tot_mes!$B$1:$XFD$1, 0), 0)*1000/VLOOKUP($B85, pop_mesorreg_interpol!$B:$XFD, MATCH(gdp_capita_mesorreg!X$1, pop_mesorreg_interpol!$B$1:$XFD$1, 0), 0)</f>
        <v>11429.212057251611</v>
      </c>
      <c r="Y85" s="7">
        <f>VLOOKUP($B85, gdp_tot_mes!$B:$XFD, MATCH(gdp_capita_mesorreg!Y$1, gdp_tot_mes!$B$1:$XFD$1, 0), 0)*1000/VLOOKUP($B85, pop_mesorreg_interpol!$B:$XFD, MATCH(gdp_capita_mesorreg!Y$1, pop_mesorreg_interpol!$B$1:$XFD$1, 0), 0)</f>
        <v>12211.655908564984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x14ac:dyDescent="0.25">
      <c r="A86" s="1" t="s">
        <v>200</v>
      </c>
      <c r="B86" s="1" t="s">
        <v>209</v>
      </c>
      <c r="C86" s="1" t="s">
        <v>210</v>
      </c>
      <c r="D86" s="7">
        <f>VLOOKUP($B86, gdp_tot_mes!$B:$XFD, MATCH(gdp_capita_mesorreg!D$1, gdp_tot_mes!$B$1:$XFD$1, 0), 0)*1000/VLOOKUP($B86, pop_mesorreg_interpol!$B:$XFD, MATCH(gdp_capita_mesorreg!D$1, pop_mesorreg_interpol!$B$1:$XFD$1, 0), 0)</f>
        <v>838.0424744524571</v>
      </c>
      <c r="E86" s="7">
        <f>VLOOKUP($B86, gdp_tot_mes!$B:$XFD, MATCH(gdp_capita_mesorreg!E$1, gdp_tot_mes!$B$1:$XFD$1, 0), 0)*1000/VLOOKUP($B86, pop_mesorreg_interpol!$B:$XFD, MATCH(gdp_capita_mesorreg!E$1, pop_mesorreg_interpol!$B$1:$XFD$1, 0), 0)</f>
        <v>2107.0934531406101</v>
      </c>
      <c r="F86" s="7">
        <f>VLOOKUP($B86, gdp_tot_mes!$B:$XFD, MATCH(gdp_capita_mesorreg!F$1, gdp_tot_mes!$B$1:$XFD$1, 0), 0)*1000/VLOOKUP($B86, pop_mesorreg_interpol!$B:$XFD, MATCH(gdp_capita_mesorreg!F$1, pop_mesorreg_interpol!$B$1:$XFD$1, 0), 0)</f>
        <v>3569.4431997207475</v>
      </c>
      <c r="G86" s="7">
        <f>VLOOKUP($B86, gdp_tot_mes!$B:$XFD, MATCH(gdp_capita_mesorreg!G$1, gdp_tot_mes!$B$1:$XFD$1, 0), 0)*1000/VLOOKUP($B86, pop_mesorreg_interpol!$B:$XFD, MATCH(gdp_capita_mesorreg!G$1, pop_mesorreg_interpol!$B$1:$XFD$1, 0), 0)</f>
        <v>3545.0245057253046</v>
      </c>
      <c r="H86" s="7">
        <f>VLOOKUP($B86, gdp_tot_mes!$B:$XFD, MATCH(gdp_capita_mesorreg!H$1, gdp_tot_mes!$B$1:$XFD$1, 0), 0)*1000/VLOOKUP($B86, pop_mesorreg_interpol!$B:$XFD, MATCH(gdp_capita_mesorreg!H$1, pop_mesorreg_interpol!$B$1:$XFD$1, 0), 0)</f>
        <v>6533.3906617293696</v>
      </c>
      <c r="I86" s="7">
        <f>VLOOKUP($B86, gdp_tot_mes!$B:$XFD, MATCH(gdp_capita_mesorreg!I$1, gdp_tot_mes!$B$1:$XFD$1, 0), 0)*1000/VLOOKUP($B86, pop_mesorreg_interpol!$B:$XFD, MATCH(gdp_capita_mesorreg!I$1, pop_mesorreg_interpol!$B$1:$XFD$1, 0), 0)</f>
        <v>13629.354094136379</v>
      </c>
      <c r="J86" s="7">
        <f>VLOOKUP($B86, gdp_tot_mes!$B:$XFD, MATCH(gdp_capita_mesorreg!J$1, gdp_tot_mes!$B$1:$XFD$1, 0), 0)*1000/VLOOKUP($B86, pop_mesorreg_interpol!$B:$XFD, MATCH(gdp_capita_mesorreg!J$1, pop_mesorreg_interpol!$B$1:$XFD$1, 0), 0)</f>
        <v>14858.574506038709</v>
      </c>
      <c r="K86" s="7">
        <f>VLOOKUP($B86, gdp_tot_mes!$B:$XFD, MATCH(gdp_capita_mesorreg!K$1, gdp_tot_mes!$B$1:$XFD$1, 0), 0)*1000/VLOOKUP($B86, pop_mesorreg_interpol!$B:$XFD, MATCH(gdp_capita_mesorreg!K$1, pop_mesorreg_interpol!$B$1:$XFD$1, 0), 0)</f>
        <v>17301.559049183325</v>
      </c>
      <c r="L86" s="8">
        <f>VLOOKUP($B86, gdp_tot_mes!$B:$XFD, MATCH(gdp_capita_mesorreg!L$1, gdp_tot_mes!$B$1:$XFD$1, 0), 0)*1000/VLOOKUP($B86, pop_mesorreg_interpol!$B:$XFD, MATCH(gdp_capita_mesorreg!L$1, pop_mesorreg_interpol!$B$1:$XFD$1, 0), 0)</f>
        <v>15539.126152540812</v>
      </c>
      <c r="M86" s="7">
        <f>VLOOKUP($B86, gdp_tot_mes!$B:$XFD, MATCH(gdp_capita_mesorreg!M$1, gdp_tot_mes!$B$1:$XFD$1, 0), 0)*1000/VLOOKUP($B86, pop_mesorreg_interpol!$B:$XFD, MATCH(gdp_capita_mesorreg!M$1, pop_mesorreg_interpol!$B$1:$XFD$1, 0), 0)</f>
        <v>13695.623428797058</v>
      </c>
      <c r="N86" s="7">
        <f>VLOOKUP($B86, gdp_tot_mes!$B:$XFD, MATCH(gdp_capita_mesorreg!N$1, gdp_tot_mes!$B$1:$XFD$1, 0), 0)*1000/VLOOKUP($B86, pop_mesorreg_interpol!$B:$XFD, MATCH(gdp_capita_mesorreg!N$1, pop_mesorreg_interpol!$B$1:$XFD$1, 0), 0)</f>
        <v>15021.058385257029</v>
      </c>
      <c r="O86" s="7">
        <f>VLOOKUP($B86, gdp_tot_mes!$B:$XFD, MATCH(gdp_capita_mesorreg!O$1, gdp_tot_mes!$B$1:$XFD$1, 0), 0)*1000/VLOOKUP($B86, pop_mesorreg_interpol!$B:$XFD, MATCH(gdp_capita_mesorreg!O$1, pop_mesorreg_interpol!$B$1:$XFD$1, 0), 0)</f>
        <v>15269.634135422533</v>
      </c>
      <c r="P86" s="7">
        <f>VLOOKUP($B86, gdp_tot_mes!$B:$XFD, MATCH(gdp_capita_mesorreg!P$1, gdp_tot_mes!$B$1:$XFD$1, 0), 0)*1000/VLOOKUP($B86, pop_mesorreg_interpol!$B:$XFD, MATCH(gdp_capita_mesorreg!P$1, pop_mesorreg_interpol!$B$1:$XFD$1, 0), 0)</f>
        <v>15503.440638904443</v>
      </c>
      <c r="Q86" s="7">
        <f>VLOOKUP($B86, gdp_tot_mes!$B:$XFD, MATCH(gdp_capita_mesorreg!Q$1, gdp_tot_mes!$B$1:$XFD$1, 0), 0)*1000/VLOOKUP($B86, pop_mesorreg_interpol!$B:$XFD, MATCH(gdp_capita_mesorreg!Q$1, pop_mesorreg_interpol!$B$1:$XFD$1, 0), 0)</f>
        <v>17277.924912702321</v>
      </c>
      <c r="R86" s="7">
        <f>VLOOKUP($B86, gdp_tot_mes!$B:$XFD, MATCH(gdp_capita_mesorreg!R$1, gdp_tot_mes!$B$1:$XFD$1, 0), 0)*1000/VLOOKUP($B86, pop_mesorreg_interpol!$B:$XFD, MATCH(gdp_capita_mesorreg!R$1, pop_mesorreg_interpol!$B$1:$XFD$1, 0), 0)</f>
        <v>18719.306252701423</v>
      </c>
      <c r="S86" s="7">
        <f>VLOOKUP($B86, gdp_tot_mes!$B:$XFD, MATCH(gdp_capita_mesorreg!S$1, gdp_tot_mes!$B$1:$XFD$1, 0), 0)*1000/VLOOKUP($B86, pop_mesorreg_interpol!$B:$XFD, MATCH(gdp_capita_mesorreg!S$1, pop_mesorreg_interpol!$B$1:$XFD$1, 0), 0)</f>
        <v>19663.978218950168</v>
      </c>
      <c r="T86" s="7">
        <f>VLOOKUP($B86, gdp_tot_mes!$B:$XFD, MATCH(gdp_capita_mesorreg!T$1, gdp_tot_mes!$B$1:$XFD$1, 0), 0)*1000/VLOOKUP($B86, pop_mesorreg_interpol!$B:$XFD, MATCH(gdp_capita_mesorreg!T$1, pop_mesorreg_interpol!$B$1:$XFD$1, 0), 0)</f>
        <v>18338.187322055652</v>
      </c>
      <c r="U86" s="7">
        <f>VLOOKUP($B86, gdp_tot_mes!$B:$XFD, MATCH(gdp_capita_mesorreg!U$1, gdp_tot_mes!$B$1:$XFD$1, 0), 0)*1000/VLOOKUP($B86, pop_mesorreg_interpol!$B:$XFD, MATCH(gdp_capita_mesorreg!U$1, pop_mesorreg_interpol!$B$1:$XFD$1, 0), 0)</f>
        <v>18613.857298899642</v>
      </c>
      <c r="V86" s="7">
        <f>VLOOKUP($B86, gdp_tot_mes!$B:$XFD, MATCH(gdp_capita_mesorreg!V$1, gdp_tot_mes!$B$1:$XFD$1, 0), 0)*1000/VLOOKUP($B86, pop_mesorreg_interpol!$B:$XFD, MATCH(gdp_capita_mesorreg!V$1, pop_mesorreg_interpol!$B$1:$XFD$1, 0), 0)</f>
        <v>19489.56989416997</v>
      </c>
      <c r="W86" s="7">
        <f>VLOOKUP($B86, gdp_tot_mes!$B:$XFD, MATCH(gdp_capita_mesorreg!W$1, gdp_tot_mes!$B$1:$XFD$1, 0), 0)*1000/VLOOKUP($B86, pop_mesorreg_interpol!$B:$XFD, MATCH(gdp_capita_mesorreg!W$1, pop_mesorreg_interpol!$B$1:$XFD$1, 0), 0)</f>
        <v>18660.825931271957</v>
      </c>
      <c r="X86" s="7">
        <f>VLOOKUP($B86, gdp_tot_mes!$B:$XFD, MATCH(gdp_capita_mesorreg!X$1, gdp_tot_mes!$B$1:$XFD$1, 0), 0)*1000/VLOOKUP($B86, pop_mesorreg_interpol!$B:$XFD, MATCH(gdp_capita_mesorreg!X$1, pop_mesorreg_interpol!$B$1:$XFD$1, 0), 0)</f>
        <v>17664.301464011183</v>
      </c>
      <c r="Y86" s="7">
        <f>VLOOKUP($B86, gdp_tot_mes!$B:$XFD, MATCH(gdp_capita_mesorreg!Y$1, gdp_tot_mes!$B$1:$XFD$1, 0), 0)*1000/VLOOKUP($B86, pop_mesorreg_interpol!$B:$XFD, MATCH(gdp_capita_mesorreg!Y$1, pop_mesorreg_interpol!$B$1:$XFD$1, 0), 0)</f>
        <v>18314.225345614766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x14ac:dyDescent="0.25">
      <c r="A87" s="1" t="s">
        <v>200</v>
      </c>
      <c r="B87" s="1" t="s">
        <v>211</v>
      </c>
      <c r="C87" s="1" t="s">
        <v>212</v>
      </c>
      <c r="D87" s="7">
        <f>VLOOKUP($B87, gdp_tot_mes!$B:$XFD, MATCH(gdp_capita_mesorreg!D$1, gdp_tot_mes!$B$1:$XFD$1, 0), 0)*1000/VLOOKUP($B87, pop_mesorreg_interpol!$B:$XFD, MATCH(gdp_capita_mesorreg!D$1, pop_mesorreg_interpol!$B$1:$XFD$1, 0), 0)</f>
        <v>1143.1693687689749</v>
      </c>
      <c r="E87" s="7">
        <f>VLOOKUP($B87, gdp_tot_mes!$B:$XFD, MATCH(gdp_capita_mesorreg!E$1, gdp_tot_mes!$B$1:$XFD$1, 0), 0)*1000/VLOOKUP($B87, pop_mesorreg_interpol!$B:$XFD, MATCH(gdp_capita_mesorreg!E$1, pop_mesorreg_interpol!$B$1:$XFD$1, 0), 0)</f>
        <v>2883.7286388032571</v>
      </c>
      <c r="F87" s="7">
        <f>VLOOKUP($B87, gdp_tot_mes!$B:$XFD, MATCH(gdp_capita_mesorreg!F$1, gdp_tot_mes!$B$1:$XFD$1, 0), 0)*1000/VLOOKUP($B87, pop_mesorreg_interpol!$B:$XFD, MATCH(gdp_capita_mesorreg!F$1, pop_mesorreg_interpol!$B$1:$XFD$1, 0), 0)</f>
        <v>2097.8872883766212</v>
      </c>
      <c r="G87" s="7">
        <f>VLOOKUP($B87, gdp_tot_mes!$B:$XFD, MATCH(gdp_capita_mesorreg!G$1, gdp_tot_mes!$B$1:$XFD$1, 0), 0)*1000/VLOOKUP($B87, pop_mesorreg_interpol!$B:$XFD, MATCH(gdp_capita_mesorreg!G$1, pop_mesorreg_interpol!$B$1:$XFD$1, 0), 0)</f>
        <v>3342.4338681929853</v>
      </c>
      <c r="H87" s="7">
        <f>VLOOKUP($B87, gdp_tot_mes!$B:$XFD, MATCH(gdp_capita_mesorreg!H$1, gdp_tot_mes!$B$1:$XFD$1, 0), 0)*1000/VLOOKUP($B87, pop_mesorreg_interpol!$B:$XFD, MATCH(gdp_capita_mesorreg!H$1, pop_mesorreg_interpol!$B$1:$XFD$1, 0), 0)</f>
        <v>4132.0822616789601</v>
      </c>
      <c r="I87" s="7">
        <f>VLOOKUP($B87, gdp_tot_mes!$B:$XFD, MATCH(gdp_capita_mesorreg!I$1, gdp_tot_mes!$B$1:$XFD$1, 0), 0)*1000/VLOOKUP($B87, pop_mesorreg_interpol!$B:$XFD, MATCH(gdp_capita_mesorreg!I$1, pop_mesorreg_interpol!$B$1:$XFD$1, 0), 0)</f>
        <v>9483.5307324638015</v>
      </c>
      <c r="J87" s="7">
        <f>VLOOKUP($B87, gdp_tot_mes!$B:$XFD, MATCH(gdp_capita_mesorreg!J$1, gdp_tot_mes!$B$1:$XFD$1, 0), 0)*1000/VLOOKUP($B87, pop_mesorreg_interpol!$B:$XFD, MATCH(gdp_capita_mesorreg!J$1, pop_mesorreg_interpol!$B$1:$XFD$1, 0), 0)</f>
        <v>11611.355967969739</v>
      </c>
      <c r="K87" s="7">
        <f>VLOOKUP($B87, gdp_tot_mes!$B:$XFD, MATCH(gdp_capita_mesorreg!K$1, gdp_tot_mes!$B$1:$XFD$1, 0), 0)*1000/VLOOKUP($B87, pop_mesorreg_interpol!$B:$XFD, MATCH(gdp_capita_mesorreg!K$1, pop_mesorreg_interpol!$B$1:$XFD$1, 0), 0)</f>
        <v>12876.516274943657</v>
      </c>
      <c r="L87" s="8">
        <f>VLOOKUP($B87, gdp_tot_mes!$B:$XFD, MATCH(gdp_capita_mesorreg!L$1, gdp_tot_mes!$B$1:$XFD$1, 0), 0)*1000/VLOOKUP($B87, pop_mesorreg_interpol!$B:$XFD, MATCH(gdp_capita_mesorreg!L$1, pop_mesorreg_interpol!$B$1:$XFD$1, 0), 0)</f>
        <v>11982.296153398345</v>
      </c>
      <c r="M87" s="7">
        <f>VLOOKUP($B87, gdp_tot_mes!$B:$XFD, MATCH(gdp_capita_mesorreg!M$1, gdp_tot_mes!$B$1:$XFD$1, 0), 0)*1000/VLOOKUP($B87, pop_mesorreg_interpol!$B:$XFD, MATCH(gdp_capita_mesorreg!M$1, pop_mesorreg_interpol!$B$1:$XFD$1, 0), 0)</f>
        <v>10989.824836831924</v>
      </c>
      <c r="N87" s="7">
        <f>VLOOKUP($B87, gdp_tot_mes!$B:$XFD, MATCH(gdp_capita_mesorreg!N$1, gdp_tot_mes!$B$1:$XFD$1, 0), 0)*1000/VLOOKUP($B87, pop_mesorreg_interpol!$B:$XFD, MATCH(gdp_capita_mesorreg!N$1, pop_mesorreg_interpol!$B$1:$XFD$1, 0), 0)</f>
        <v>16634.827021603425</v>
      </c>
      <c r="O87" s="7">
        <f>VLOOKUP($B87, gdp_tot_mes!$B:$XFD, MATCH(gdp_capita_mesorreg!O$1, gdp_tot_mes!$B$1:$XFD$1, 0), 0)*1000/VLOOKUP($B87, pop_mesorreg_interpol!$B:$XFD, MATCH(gdp_capita_mesorreg!O$1, pop_mesorreg_interpol!$B$1:$XFD$1, 0), 0)</f>
        <v>17052.039423446658</v>
      </c>
      <c r="P87" s="7">
        <f>VLOOKUP($B87, gdp_tot_mes!$B:$XFD, MATCH(gdp_capita_mesorreg!P$1, gdp_tot_mes!$B$1:$XFD$1, 0), 0)*1000/VLOOKUP($B87, pop_mesorreg_interpol!$B:$XFD, MATCH(gdp_capita_mesorreg!P$1, pop_mesorreg_interpol!$B$1:$XFD$1, 0), 0)</f>
        <v>16405.824875753278</v>
      </c>
      <c r="Q87" s="7">
        <f>VLOOKUP($B87, gdp_tot_mes!$B:$XFD, MATCH(gdp_capita_mesorreg!Q$1, gdp_tot_mes!$B$1:$XFD$1, 0), 0)*1000/VLOOKUP($B87, pop_mesorreg_interpol!$B:$XFD, MATCH(gdp_capita_mesorreg!Q$1, pop_mesorreg_interpol!$B$1:$XFD$1, 0), 0)</f>
        <v>18793.007558975947</v>
      </c>
      <c r="R87" s="7">
        <f>VLOOKUP($B87, gdp_tot_mes!$B:$XFD, MATCH(gdp_capita_mesorreg!R$1, gdp_tot_mes!$B$1:$XFD$1, 0), 0)*1000/VLOOKUP($B87, pop_mesorreg_interpol!$B:$XFD, MATCH(gdp_capita_mesorreg!R$1, pop_mesorreg_interpol!$B$1:$XFD$1, 0), 0)</f>
        <v>19605.26395021108</v>
      </c>
      <c r="S87" s="7">
        <f>VLOOKUP($B87, gdp_tot_mes!$B:$XFD, MATCH(gdp_capita_mesorreg!S$1, gdp_tot_mes!$B$1:$XFD$1, 0), 0)*1000/VLOOKUP($B87, pop_mesorreg_interpol!$B:$XFD, MATCH(gdp_capita_mesorreg!S$1, pop_mesorreg_interpol!$B$1:$XFD$1, 0), 0)</f>
        <v>19459.461395894738</v>
      </c>
      <c r="T87" s="7">
        <f>VLOOKUP($B87, gdp_tot_mes!$B:$XFD, MATCH(gdp_capita_mesorreg!T$1, gdp_tot_mes!$B$1:$XFD$1, 0), 0)*1000/VLOOKUP($B87, pop_mesorreg_interpol!$B:$XFD, MATCH(gdp_capita_mesorreg!T$1, pop_mesorreg_interpol!$B$1:$XFD$1, 0), 0)</f>
        <v>18490.333033008814</v>
      </c>
      <c r="U87" s="7">
        <f>VLOOKUP($B87, gdp_tot_mes!$B:$XFD, MATCH(gdp_capita_mesorreg!U$1, gdp_tot_mes!$B$1:$XFD$1, 0), 0)*1000/VLOOKUP($B87, pop_mesorreg_interpol!$B:$XFD, MATCH(gdp_capita_mesorreg!U$1, pop_mesorreg_interpol!$B$1:$XFD$1, 0), 0)</f>
        <v>17821.78772578909</v>
      </c>
      <c r="V87" s="7">
        <f>VLOOKUP($B87, gdp_tot_mes!$B:$XFD, MATCH(gdp_capita_mesorreg!V$1, gdp_tot_mes!$B$1:$XFD$1, 0), 0)*1000/VLOOKUP($B87, pop_mesorreg_interpol!$B:$XFD, MATCH(gdp_capita_mesorreg!V$1, pop_mesorreg_interpol!$B$1:$XFD$1, 0), 0)</f>
        <v>20030.437986362831</v>
      </c>
      <c r="W87" s="7">
        <f>VLOOKUP($B87, gdp_tot_mes!$B:$XFD, MATCH(gdp_capita_mesorreg!W$1, gdp_tot_mes!$B$1:$XFD$1, 0), 0)*1000/VLOOKUP($B87, pop_mesorreg_interpol!$B:$XFD, MATCH(gdp_capita_mesorreg!W$1, pop_mesorreg_interpol!$B$1:$XFD$1, 0), 0)</f>
        <v>20283.78074885016</v>
      </c>
      <c r="X87" s="7">
        <f>VLOOKUP($B87, gdp_tot_mes!$B:$XFD, MATCH(gdp_capita_mesorreg!X$1, gdp_tot_mes!$B$1:$XFD$1, 0), 0)*1000/VLOOKUP($B87, pop_mesorreg_interpol!$B:$XFD, MATCH(gdp_capita_mesorreg!X$1, pop_mesorreg_interpol!$B$1:$XFD$1, 0), 0)</f>
        <v>20198.357011714379</v>
      </c>
      <c r="Y87" s="7">
        <f>VLOOKUP($B87, gdp_tot_mes!$B:$XFD, MATCH(gdp_capita_mesorreg!Y$1, gdp_tot_mes!$B$1:$XFD$1, 0), 0)*1000/VLOOKUP($B87, pop_mesorreg_interpol!$B:$XFD, MATCH(gdp_capita_mesorreg!Y$1, pop_mesorreg_interpol!$B$1:$XFD$1, 0), 0)</f>
        <v>20048.093118982455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x14ac:dyDescent="0.25">
      <c r="A88" s="1" t="s">
        <v>200</v>
      </c>
      <c r="B88" s="1" t="s">
        <v>213</v>
      </c>
      <c r="C88" s="1" t="s">
        <v>214</v>
      </c>
      <c r="D88" s="7" t="e">
        <f>NA()</f>
        <v>#N/A</v>
      </c>
      <c r="E88" s="7" t="e">
        <f>NA()</f>
        <v>#N/A</v>
      </c>
      <c r="F88" s="7" t="e">
        <f>NA()</f>
        <v>#N/A</v>
      </c>
      <c r="G88" s="7">
        <f>VLOOKUP($B88, gdp_tot_mes!$B:$XFD, MATCH(gdp_capita_mesorreg!G$1, gdp_tot_mes!$B$1:$XFD$1, 0), 0)*1000/VLOOKUP($B88, pop_mesorreg_interpol!$B:$XFD, MATCH(gdp_capita_mesorreg!G$1, pop_mesorreg_interpol!$B$1:$XFD$1, 0), 0)</f>
        <v>2720.0786281931728</v>
      </c>
      <c r="H88" s="7">
        <f>VLOOKUP($B88, gdp_tot_mes!$B:$XFD, MATCH(gdp_capita_mesorreg!H$1, gdp_tot_mes!$B$1:$XFD$1, 0), 0)*1000/VLOOKUP($B88, pop_mesorreg_interpol!$B:$XFD, MATCH(gdp_capita_mesorreg!H$1, pop_mesorreg_interpol!$B$1:$XFD$1, 0), 0)</f>
        <v>3681.3121127013596</v>
      </c>
      <c r="I88" s="7">
        <f>VLOOKUP($B88, gdp_tot_mes!$B:$XFD, MATCH(gdp_capita_mesorreg!I$1, gdp_tot_mes!$B$1:$XFD$1, 0), 0)*1000/VLOOKUP($B88, pop_mesorreg_interpol!$B:$XFD, MATCH(gdp_capita_mesorreg!I$1, pop_mesorreg_interpol!$B$1:$XFD$1, 0), 0)</f>
        <v>6852.1334182642431</v>
      </c>
      <c r="J88" s="7">
        <f>VLOOKUP($B88, gdp_tot_mes!$B:$XFD, MATCH(gdp_capita_mesorreg!J$1, gdp_tot_mes!$B$1:$XFD$1, 0), 0)*1000/VLOOKUP($B88, pop_mesorreg_interpol!$B:$XFD, MATCH(gdp_capita_mesorreg!J$1, pop_mesorreg_interpol!$B$1:$XFD$1, 0), 0)</f>
        <v>8632.3182249168203</v>
      </c>
      <c r="K88" s="7">
        <f>VLOOKUP($B88, gdp_tot_mes!$B:$XFD, MATCH(gdp_capita_mesorreg!K$1, gdp_tot_mes!$B$1:$XFD$1, 0), 0)*1000/VLOOKUP($B88, pop_mesorreg_interpol!$B:$XFD, MATCH(gdp_capita_mesorreg!K$1, pop_mesorreg_interpol!$B$1:$XFD$1, 0), 0)</f>
        <v>8902.5698558742715</v>
      </c>
      <c r="L88" s="8">
        <f>VLOOKUP($B88, gdp_tot_mes!$B:$XFD, MATCH(gdp_capita_mesorreg!L$1, gdp_tot_mes!$B$1:$XFD$1, 0), 0)*1000/VLOOKUP($B88, pop_mesorreg_interpol!$B:$XFD, MATCH(gdp_capita_mesorreg!L$1, pop_mesorreg_interpol!$B$1:$XFD$1, 0), 0)</f>
        <v>10278.699445619557</v>
      </c>
      <c r="M88" s="7">
        <f>VLOOKUP($B88, gdp_tot_mes!$B:$XFD, MATCH(gdp_capita_mesorreg!M$1, gdp_tot_mes!$B$1:$XFD$1, 0), 0)*1000/VLOOKUP($B88, pop_mesorreg_interpol!$B:$XFD, MATCH(gdp_capita_mesorreg!M$1, pop_mesorreg_interpol!$B$1:$XFD$1, 0), 0)</f>
        <v>12047.463871401642</v>
      </c>
      <c r="N88" s="7">
        <f>VLOOKUP($B88, gdp_tot_mes!$B:$XFD, MATCH(gdp_capita_mesorreg!N$1, gdp_tot_mes!$B$1:$XFD$1, 0), 0)*1000/VLOOKUP($B88, pop_mesorreg_interpol!$B:$XFD, MATCH(gdp_capita_mesorreg!N$1, pop_mesorreg_interpol!$B$1:$XFD$1, 0), 0)</f>
        <v>10459.207611131609</v>
      </c>
      <c r="O88" s="7">
        <f>VLOOKUP($B88, gdp_tot_mes!$B:$XFD, MATCH(gdp_capita_mesorreg!O$1, gdp_tot_mes!$B$1:$XFD$1, 0), 0)*1000/VLOOKUP($B88, pop_mesorreg_interpol!$B:$XFD, MATCH(gdp_capita_mesorreg!O$1, pop_mesorreg_interpol!$B$1:$XFD$1, 0), 0)</f>
        <v>10909.742444084655</v>
      </c>
      <c r="P88" s="7">
        <f>VLOOKUP($B88, gdp_tot_mes!$B:$XFD, MATCH(gdp_capita_mesorreg!P$1, gdp_tot_mes!$B$1:$XFD$1, 0), 0)*1000/VLOOKUP($B88, pop_mesorreg_interpol!$B:$XFD, MATCH(gdp_capita_mesorreg!P$1, pop_mesorreg_interpol!$B$1:$XFD$1, 0), 0)</f>
        <v>10367.502579035108</v>
      </c>
      <c r="Q88" s="7">
        <f>VLOOKUP($B88, gdp_tot_mes!$B:$XFD, MATCH(gdp_capita_mesorreg!Q$1, gdp_tot_mes!$B$1:$XFD$1, 0), 0)*1000/VLOOKUP($B88, pop_mesorreg_interpol!$B:$XFD, MATCH(gdp_capita_mesorreg!Q$1, pop_mesorreg_interpol!$B$1:$XFD$1, 0), 0)</f>
        <v>12020.967056549127</v>
      </c>
      <c r="R88" s="7">
        <f>VLOOKUP($B88, gdp_tot_mes!$B:$XFD, MATCH(gdp_capita_mesorreg!R$1, gdp_tot_mes!$B$1:$XFD$1, 0), 0)*1000/VLOOKUP($B88, pop_mesorreg_interpol!$B:$XFD, MATCH(gdp_capita_mesorreg!R$1, pop_mesorreg_interpol!$B$1:$XFD$1, 0), 0)</f>
        <v>14113.918518500526</v>
      </c>
      <c r="S88" s="7">
        <f>VLOOKUP($B88, gdp_tot_mes!$B:$XFD, MATCH(gdp_capita_mesorreg!S$1, gdp_tot_mes!$B$1:$XFD$1, 0), 0)*1000/VLOOKUP($B88, pop_mesorreg_interpol!$B:$XFD, MATCH(gdp_capita_mesorreg!S$1, pop_mesorreg_interpol!$B$1:$XFD$1, 0), 0)</f>
        <v>14176.175272029212</v>
      </c>
      <c r="T88" s="7">
        <f>VLOOKUP($B88, gdp_tot_mes!$B:$XFD, MATCH(gdp_capita_mesorreg!T$1, gdp_tot_mes!$B$1:$XFD$1, 0), 0)*1000/VLOOKUP($B88, pop_mesorreg_interpol!$B:$XFD, MATCH(gdp_capita_mesorreg!T$1, pop_mesorreg_interpol!$B$1:$XFD$1, 0), 0)</f>
        <v>12906.941511917426</v>
      </c>
      <c r="U88" s="7">
        <f>VLOOKUP($B88, gdp_tot_mes!$B:$XFD, MATCH(gdp_capita_mesorreg!U$1, gdp_tot_mes!$B$1:$XFD$1, 0), 0)*1000/VLOOKUP($B88, pop_mesorreg_interpol!$B:$XFD, MATCH(gdp_capita_mesorreg!U$1, pop_mesorreg_interpol!$B$1:$XFD$1, 0), 0)</f>
        <v>12508.891348544754</v>
      </c>
      <c r="V88" s="7">
        <f>VLOOKUP($B88, gdp_tot_mes!$B:$XFD, MATCH(gdp_capita_mesorreg!V$1, gdp_tot_mes!$B$1:$XFD$1, 0), 0)*1000/VLOOKUP($B88, pop_mesorreg_interpol!$B:$XFD, MATCH(gdp_capita_mesorreg!V$1, pop_mesorreg_interpol!$B$1:$XFD$1, 0), 0)</f>
        <v>14319.370500257268</v>
      </c>
      <c r="W88" s="7">
        <f>VLOOKUP($B88, gdp_tot_mes!$B:$XFD, MATCH(gdp_capita_mesorreg!W$1, gdp_tot_mes!$B$1:$XFD$1, 0), 0)*1000/VLOOKUP($B88, pop_mesorreg_interpol!$B:$XFD, MATCH(gdp_capita_mesorreg!W$1, pop_mesorreg_interpol!$B$1:$XFD$1, 0), 0)</f>
        <v>15845.656885171004</v>
      </c>
      <c r="X88" s="7">
        <f>VLOOKUP($B88, gdp_tot_mes!$B:$XFD, MATCH(gdp_capita_mesorreg!X$1, gdp_tot_mes!$B$1:$XFD$1, 0), 0)*1000/VLOOKUP($B88, pop_mesorreg_interpol!$B:$XFD, MATCH(gdp_capita_mesorreg!X$1, pop_mesorreg_interpol!$B$1:$XFD$1, 0), 0)</f>
        <v>15984.051657519065</v>
      </c>
      <c r="Y88" s="7">
        <f>VLOOKUP($B88, gdp_tot_mes!$B:$XFD, MATCH(gdp_capita_mesorreg!Y$1, gdp_tot_mes!$B$1:$XFD$1, 0), 0)*1000/VLOOKUP($B88, pop_mesorreg_interpol!$B:$XFD, MATCH(gdp_capita_mesorreg!Y$1, pop_mesorreg_interpol!$B$1:$XFD$1, 0), 0)</f>
        <v>16181.407288278446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x14ac:dyDescent="0.25">
      <c r="A89" s="1" t="s">
        <v>200</v>
      </c>
      <c r="B89" s="1" t="s">
        <v>215</v>
      </c>
      <c r="C89" s="1" t="s">
        <v>216</v>
      </c>
      <c r="D89" s="7">
        <f>VLOOKUP($B89, gdp_tot_mes!$B:$XFD, MATCH(gdp_capita_mesorreg!D$1, gdp_tot_mes!$B$1:$XFD$1, 0), 0)*1000/VLOOKUP($B89, pop_mesorreg_interpol!$B:$XFD, MATCH(gdp_capita_mesorreg!D$1, pop_mesorreg_interpol!$B$1:$XFD$1, 0), 0)</f>
        <v>654.42209776210984</v>
      </c>
      <c r="E89" s="7">
        <f>VLOOKUP($B89, gdp_tot_mes!$B:$XFD, MATCH(gdp_capita_mesorreg!E$1, gdp_tot_mes!$B$1:$XFD$1, 0), 0)*1000/VLOOKUP($B89, pop_mesorreg_interpol!$B:$XFD, MATCH(gdp_capita_mesorreg!E$1, pop_mesorreg_interpol!$B$1:$XFD$1, 0), 0)</f>
        <v>1168.6527704693217</v>
      </c>
      <c r="F89" s="7">
        <f>VLOOKUP($B89, gdp_tot_mes!$B:$XFD, MATCH(gdp_capita_mesorreg!F$1, gdp_tot_mes!$B$1:$XFD$1, 0), 0)*1000/VLOOKUP($B89, pop_mesorreg_interpol!$B:$XFD, MATCH(gdp_capita_mesorreg!F$1, pop_mesorreg_interpol!$B$1:$XFD$1, 0), 0)</f>
        <v>1565.460479739394</v>
      </c>
      <c r="G89" s="7">
        <f>VLOOKUP($B89, gdp_tot_mes!$B:$XFD, MATCH(gdp_capita_mesorreg!G$1, gdp_tot_mes!$B$1:$XFD$1, 0), 0)*1000/VLOOKUP($B89, pop_mesorreg_interpol!$B:$XFD, MATCH(gdp_capita_mesorreg!G$1, pop_mesorreg_interpol!$B$1:$XFD$1, 0), 0)</f>
        <v>3427.3011647788812</v>
      </c>
      <c r="H89" s="7">
        <f>VLOOKUP($B89, gdp_tot_mes!$B:$XFD, MATCH(gdp_capita_mesorreg!H$1, gdp_tot_mes!$B$1:$XFD$1, 0), 0)*1000/VLOOKUP($B89, pop_mesorreg_interpol!$B:$XFD, MATCH(gdp_capita_mesorreg!H$1, pop_mesorreg_interpol!$B$1:$XFD$1, 0), 0)</f>
        <v>6577.3411966374251</v>
      </c>
      <c r="I89" s="7">
        <f>VLOOKUP($B89, gdp_tot_mes!$B:$XFD, MATCH(gdp_capita_mesorreg!I$1, gdp_tot_mes!$B$1:$XFD$1, 0), 0)*1000/VLOOKUP($B89, pop_mesorreg_interpol!$B:$XFD, MATCH(gdp_capita_mesorreg!I$1, pop_mesorreg_interpol!$B$1:$XFD$1, 0), 0)</f>
        <v>13599.834245592576</v>
      </c>
      <c r="J89" s="7">
        <f>VLOOKUP($B89, gdp_tot_mes!$B:$XFD, MATCH(gdp_capita_mesorreg!J$1, gdp_tot_mes!$B$1:$XFD$1, 0), 0)*1000/VLOOKUP($B89, pop_mesorreg_interpol!$B:$XFD, MATCH(gdp_capita_mesorreg!J$1, pop_mesorreg_interpol!$B$1:$XFD$1, 0), 0)</f>
        <v>9671.2810784666417</v>
      </c>
      <c r="K89" s="7">
        <f>VLOOKUP($B89, gdp_tot_mes!$B:$XFD, MATCH(gdp_capita_mesorreg!K$1, gdp_tot_mes!$B$1:$XFD$1, 0), 0)*1000/VLOOKUP($B89, pop_mesorreg_interpol!$B:$XFD, MATCH(gdp_capita_mesorreg!K$1, pop_mesorreg_interpol!$B$1:$XFD$1, 0), 0)</f>
        <v>8830.390257161911</v>
      </c>
      <c r="L89" s="8">
        <f>VLOOKUP($B89, gdp_tot_mes!$B:$XFD, MATCH(gdp_capita_mesorreg!L$1, gdp_tot_mes!$B$1:$XFD$1, 0), 0)*1000/VLOOKUP($B89, pop_mesorreg_interpol!$B:$XFD, MATCH(gdp_capita_mesorreg!L$1, pop_mesorreg_interpol!$B$1:$XFD$1, 0), 0)</f>
        <v>8042.1565438315483</v>
      </c>
      <c r="M89" s="7">
        <f>VLOOKUP($B89, gdp_tot_mes!$B:$XFD, MATCH(gdp_capita_mesorreg!M$1, gdp_tot_mes!$B$1:$XFD$1, 0), 0)*1000/VLOOKUP($B89, pop_mesorreg_interpol!$B:$XFD, MATCH(gdp_capita_mesorreg!M$1, pop_mesorreg_interpol!$B$1:$XFD$1, 0), 0)</f>
        <v>7148.933247723342</v>
      </c>
      <c r="N89" s="7">
        <f>VLOOKUP($B89, gdp_tot_mes!$B:$XFD, MATCH(gdp_capita_mesorreg!N$1, gdp_tot_mes!$B$1:$XFD$1, 0), 0)*1000/VLOOKUP($B89, pop_mesorreg_interpol!$B:$XFD, MATCH(gdp_capita_mesorreg!N$1, pop_mesorreg_interpol!$B$1:$XFD$1, 0), 0)</f>
        <v>12014.06266041934</v>
      </c>
      <c r="O89" s="7">
        <f>VLOOKUP($B89, gdp_tot_mes!$B:$XFD, MATCH(gdp_capita_mesorreg!O$1, gdp_tot_mes!$B$1:$XFD$1, 0), 0)*1000/VLOOKUP($B89, pop_mesorreg_interpol!$B:$XFD, MATCH(gdp_capita_mesorreg!O$1, pop_mesorreg_interpol!$B$1:$XFD$1, 0), 0)</f>
        <v>12044.910591846326</v>
      </c>
      <c r="P89" s="7">
        <f>VLOOKUP($B89, gdp_tot_mes!$B:$XFD, MATCH(gdp_capita_mesorreg!P$1, gdp_tot_mes!$B$1:$XFD$1, 0), 0)*1000/VLOOKUP($B89, pop_mesorreg_interpol!$B:$XFD, MATCH(gdp_capita_mesorreg!P$1, pop_mesorreg_interpol!$B$1:$XFD$1, 0), 0)</f>
        <v>13088.357249502422</v>
      </c>
      <c r="Q89" s="7">
        <f>VLOOKUP($B89, gdp_tot_mes!$B:$XFD, MATCH(gdp_capita_mesorreg!Q$1, gdp_tot_mes!$B$1:$XFD$1, 0), 0)*1000/VLOOKUP($B89, pop_mesorreg_interpol!$B:$XFD, MATCH(gdp_capita_mesorreg!Q$1, pop_mesorreg_interpol!$B$1:$XFD$1, 0), 0)</f>
        <v>13383.478616773151</v>
      </c>
      <c r="R89" s="7">
        <f>VLOOKUP($B89, gdp_tot_mes!$B:$XFD, MATCH(gdp_capita_mesorreg!R$1, gdp_tot_mes!$B$1:$XFD$1, 0), 0)*1000/VLOOKUP($B89, pop_mesorreg_interpol!$B:$XFD, MATCH(gdp_capita_mesorreg!R$1, pop_mesorreg_interpol!$B$1:$XFD$1, 0), 0)</f>
        <v>14686.887725410308</v>
      </c>
      <c r="S89" s="7">
        <f>VLOOKUP($B89, gdp_tot_mes!$B:$XFD, MATCH(gdp_capita_mesorreg!S$1, gdp_tot_mes!$B$1:$XFD$1, 0), 0)*1000/VLOOKUP($B89, pop_mesorreg_interpol!$B:$XFD, MATCH(gdp_capita_mesorreg!S$1, pop_mesorreg_interpol!$B$1:$XFD$1, 0), 0)</f>
        <v>15204.422454335803</v>
      </c>
      <c r="T89" s="7">
        <f>VLOOKUP($B89, gdp_tot_mes!$B:$XFD, MATCH(gdp_capita_mesorreg!T$1, gdp_tot_mes!$B$1:$XFD$1, 0), 0)*1000/VLOOKUP($B89, pop_mesorreg_interpol!$B:$XFD, MATCH(gdp_capita_mesorreg!T$1, pop_mesorreg_interpol!$B$1:$XFD$1, 0), 0)</f>
        <v>13881.088098576107</v>
      </c>
      <c r="U89" s="7">
        <f>VLOOKUP($B89, gdp_tot_mes!$B:$XFD, MATCH(gdp_capita_mesorreg!U$1, gdp_tot_mes!$B$1:$XFD$1, 0), 0)*1000/VLOOKUP($B89, pop_mesorreg_interpol!$B:$XFD, MATCH(gdp_capita_mesorreg!U$1, pop_mesorreg_interpol!$B$1:$XFD$1, 0), 0)</f>
        <v>12405.946918518694</v>
      </c>
      <c r="V89" s="7">
        <f>VLOOKUP($B89, gdp_tot_mes!$B:$XFD, MATCH(gdp_capita_mesorreg!V$1, gdp_tot_mes!$B$1:$XFD$1, 0), 0)*1000/VLOOKUP($B89, pop_mesorreg_interpol!$B:$XFD, MATCH(gdp_capita_mesorreg!V$1, pop_mesorreg_interpol!$B$1:$XFD$1, 0), 0)</f>
        <v>15218.633587837072</v>
      </c>
      <c r="W89" s="7">
        <f>VLOOKUP($B89, gdp_tot_mes!$B:$XFD, MATCH(gdp_capita_mesorreg!W$1, gdp_tot_mes!$B$1:$XFD$1, 0), 0)*1000/VLOOKUP($B89, pop_mesorreg_interpol!$B:$XFD, MATCH(gdp_capita_mesorreg!W$1, pop_mesorreg_interpol!$B$1:$XFD$1, 0), 0)</f>
        <v>14039.600062727633</v>
      </c>
      <c r="X89" s="7">
        <f>VLOOKUP($B89, gdp_tot_mes!$B:$XFD, MATCH(gdp_capita_mesorreg!X$1, gdp_tot_mes!$B$1:$XFD$1, 0), 0)*1000/VLOOKUP($B89, pop_mesorreg_interpol!$B:$XFD, MATCH(gdp_capita_mesorreg!X$1, pop_mesorreg_interpol!$B$1:$XFD$1, 0), 0)</f>
        <v>13506.878870421802</v>
      </c>
      <c r="Y89" s="7">
        <f>VLOOKUP($B89, gdp_tot_mes!$B:$XFD, MATCH(gdp_capita_mesorreg!Y$1, gdp_tot_mes!$B$1:$XFD$1, 0), 0)*1000/VLOOKUP($B89, pop_mesorreg_interpol!$B:$XFD, MATCH(gdp_capita_mesorreg!Y$1, pop_mesorreg_interpol!$B$1:$XFD$1, 0), 0)</f>
        <v>13804.630814605196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x14ac:dyDescent="0.25">
      <c r="A90" s="1" t="s">
        <v>200</v>
      </c>
      <c r="B90" s="1" t="s">
        <v>217</v>
      </c>
      <c r="C90" s="1" t="s">
        <v>218</v>
      </c>
      <c r="D90" s="7">
        <f>VLOOKUP($B90, gdp_tot_mes!$B:$XFD, MATCH(gdp_capita_mesorreg!D$1, gdp_tot_mes!$B$1:$XFD$1, 0), 0)*1000/VLOOKUP($B90, pop_mesorreg_interpol!$B:$XFD, MATCH(gdp_capita_mesorreg!D$1, pop_mesorreg_interpol!$B$1:$XFD$1, 0), 0)</f>
        <v>796.17952524313728</v>
      </c>
      <c r="E90" s="7">
        <f>VLOOKUP($B90, gdp_tot_mes!$B:$XFD, MATCH(gdp_capita_mesorreg!E$1, gdp_tot_mes!$B$1:$XFD$1, 0), 0)*1000/VLOOKUP($B90, pop_mesorreg_interpol!$B:$XFD, MATCH(gdp_capita_mesorreg!E$1, pop_mesorreg_interpol!$B$1:$XFD$1, 0), 0)</f>
        <v>2115.4105034708332</v>
      </c>
      <c r="F90" s="7">
        <f>VLOOKUP($B90, gdp_tot_mes!$B:$XFD, MATCH(gdp_capita_mesorreg!F$1, gdp_tot_mes!$B$1:$XFD$1, 0), 0)*1000/VLOOKUP($B90, pop_mesorreg_interpol!$B:$XFD, MATCH(gdp_capita_mesorreg!F$1, pop_mesorreg_interpol!$B$1:$XFD$1, 0), 0)</f>
        <v>2901.9896571408908</v>
      </c>
      <c r="G90" s="7">
        <f>VLOOKUP($B90, gdp_tot_mes!$B:$XFD, MATCH(gdp_capita_mesorreg!G$1, gdp_tot_mes!$B$1:$XFD$1, 0), 0)*1000/VLOOKUP($B90, pop_mesorreg_interpol!$B:$XFD, MATCH(gdp_capita_mesorreg!G$1, pop_mesorreg_interpol!$B$1:$XFD$1, 0), 0)</f>
        <v>3275.5133972962867</v>
      </c>
      <c r="H90" s="7">
        <f>VLOOKUP($B90, gdp_tot_mes!$B:$XFD, MATCH(gdp_capita_mesorreg!H$1, gdp_tot_mes!$B$1:$XFD$1, 0), 0)*1000/VLOOKUP($B90, pop_mesorreg_interpol!$B:$XFD, MATCH(gdp_capita_mesorreg!H$1, pop_mesorreg_interpol!$B$1:$XFD$1, 0), 0)</f>
        <v>8261.4964197435293</v>
      </c>
      <c r="I90" s="7">
        <f>VLOOKUP($B90, gdp_tot_mes!$B:$XFD, MATCH(gdp_capita_mesorreg!I$1, gdp_tot_mes!$B$1:$XFD$1, 0), 0)*1000/VLOOKUP($B90, pop_mesorreg_interpol!$B:$XFD, MATCH(gdp_capita_mesorreg!I$1, pop_mesorreg_interpol!$B$1:$XFD$1, 0), 0)</f>
        <v>7358.0761775463679</v>
      </c>
      <c r="J90" s="7">
        <f>VLOOKUP($B90, gdp_tot_mes!$B:$XFD, MATCH(gdp_capita_mesorreg!J$1, gdp_tot_mes!$B$1:$XFD$1, 0), 0)*1000/VLOOKUP($B90, pop_mesorreg_interpol!$B:$XFD, MATCH(gdp_capita_mesorreg!J$1, pop_mesorreg_interpol!$B$1:$XFD$1, 0), 0)</f>
        <v>9785.6954424578144</v>
      </c>
      <c r="K90" s="7">
        <f>VLOOKUP($B90, gdp_tot_mes!$B:$XFD, MATCH(gdp_capita_mesorreg!K$1, gdp_tot_mes!$B$1:$XFD$1, 0), 0)*1000/VLOOKUP($B90, pop_mesorreg_interpol!$B:$XFD, MATCH(gdp_capita_mesorreg!K$1, pop_mesorreg_interpol!$B$1:$XFD$1, 0), 0)</f>
        <v>9604.1822632539861</v>
      </c>
      <c r="L90" s="8">
        <f>VLOOKUP($B90, gdp_tot_mes!$B:$XFD, MATCH(gdp_capita_mesorreg!L$1, gdp_tot_mes!$B$1:$XFD$1, 0), 0)*1000/VLOOKUP($B90, pop_mesorreg_interpol!$B:$XFD, MATCH(gdp_capita_mesorreg!L$1, pop_mesorreg_interpol!$B$1:$XFD$1, 0), 0)</f>
        <v>8544.1369690410938</v>
      </c>
      <c r="M90" s="7">
        <f>VLOOKUP($B90, gdp_tot_mes!$B:$XFD, MATCH(gdp_capita_mesorreg!M$1, gdp_tot_mes!$B$1:$XFD$1, 0), 0)*1000/VLOOKUP($B90, pop_mesorreg_interpol!$B:$XFD, MATCH(gdp_capita_mesorreg!M$1, pop_mesorreg_interpol!$B$1:$XFD$1, 0), 0)</f>
        <v>7413.5539628363786</v>
      </c>
      <c r="N90" s="7">
        <f>VLOOKUP($B90, gdp_tot_mes!$B:$XFD, MATCH(gdp_capita_mesorreg!N$1, gdp_tot_mes!$B$1:$XFD$1, 0), 0)*1000/VLOOKUP($B90, pop_mesorreg_interpol!$B:$XFD, MATCH(gdp_capita_mesorreg!N$1, pop_mesorreg_interpol!$B$1:$XFD$1, 0), 0)</f>
        <v>9035.9629573937382</v>
      </c>
      <c r="O90" s="7">
        <f>VLOOKUP($B90, gdp_tot_mes!$B:$XFD, MATCH(gdp_capita_mesorreg!O$1, gdp_tot_mes!$B$1:$XFD$1, 0), 0)*1000/VLOOKUP($B90, pop_mesorreg_interpol!$B:$XFD, MATCH(gdp_capita_mesorreg!O$1, pop_mesorreg_interpol!$B$1:$XFD$1, 0), 0)</f>
        <v>9319.6930124051178</v>
      </c>
      <c r="P90" s="7">
        <f>VLOOKUP($B90, gdp_tot_mes!$B:$XFD, MATCH(gdp_capita_mesorreg!P$1, gdp_tot_mes!$B$1:$XFD$1, 0), 0)*1000/VLOOKUP($B90, pop_mesorreg_interpol!$B:$XFD, MATCH(gdp_capita_mesorreg!P$1, pop_mesorreg_interpol!$B$1:$XFD$1, 0), 0)</f>
        <v>8983.6769152775032</v>
      </c>
      <c r="Q90" s="7">
        <f>VLOOKUP($B90, gdp_tot_mes!$B:$XFD, MATCH(gdp_capita_mesorreg!Q$1, gdp_tot_mes!$B$1:$XFD$1, 0), 0)*1000/VLOOKUP($B90, pop_mesorreg_interpol!$B:$XFD, MATCH(gdp_capita_mesorreg!Q$1, pop_mesorreg_interpol!$B$1:$XFD$1, 0), 0)</f>
        <v>10393.232590067715</v>
      </c>
      <c r="R90" s="7">
        <f>VLOOKUP($B90, gdp_tot_mes!$B:$XFD, MATCH(gdp_capita_mesorreg!R$1, gdp_tot_mes!$B$1:$XFD$1, 0), 0)*1000/VLOOKUP($B90, pop_mesorreg_interpol!$B:$XFD, MATCH(gdp_capita_mesorreg!R$1, pop_mesorreg_interpol!$B$1:$XFD$1, 0), 0)</f>
        <v>11746.726651896945</v>
      </c>
      <c r="S90" s="7">
        <f>VLOOKUP($B90, gdp_tot_mes!$B:$XFD, MATCH(gdp_capita_mesorreg!S$1, gdp_tot_mes!$B$1:$XFD$1, 0), 0)*1000/VLOOKUP($B90, pop_mesorreg_interpol!$B:$XFD, MATCH(gdp_capita_mesorreg!S$1, pop_mesorreg_interpol!$B$1:$XFD$1, 0), 0)</f>
        <v>11973.347470178736</v>
      </c>
      <c r="T90" s="7">
        <f>VLOOKUP($B90, gdp_tot_mes!$B:$XFD, MATCH(gdp_capita_mesorreg!T$1, gdp_tot_mes!$B$1:$XFD$1, 0), 0)*1000/VLOOKUP($B90, pop_mesorreg_interpol!$B:$XFD, MATCH(gdp_capita_mesorreg!T$1, pop_mesorreg_interpol!$B$1:$XFD$1, 0), 0)</f>
        <v>11061.156681808208</v>
      </c>
      <c r="U90" s="7">
        <f>VLOOKUP($B90, gdp_tot_mes!$B:$XFD, MATCH(gdp_capita_mesorreg!U$1, gdp_tot_mes!$B$1:$XFD$1, 0), 0)*1000/VLOOKUP($B90, pop_mesorreg_interpol!$B:$XFD, MATCH(gdp_capita_mesorreg!U$1, pop_mesorreg_interpol!$B$1:$XFD$1, 0), 0)</f>
        <v>11245.699724873662</v>
      </c>
      <c r="V90" s="7">
        <f>VLOOKUP($B90, gdp_tot_mes!$B:$XFD, MATCH(gdp_capita_mesorreg!V$1, gdp_tot_mes!$B$1:$XFD$1, 0), 0)*1000/VLOOKUP($B90, pop_mesorreg_interpol!$B:$XFD, MATCH(gdp_capita_mesorreg!V$1, pop_mesorreg_interpol!$B$1:$XFD$1, 0), 0)</f>
        <v>11875.581637720084</v>
      </c>
      <c r="W90" s="7">
        <f>VLOOKUP($B90, gdp_tot_mes!$B:$XFD, MATCH(gdp_capita_mesorreg!W$1, gdp_tot_mes!$B$1:$XFD$1, 0), 0)*1000/VLOOKUP($B90, pop_mesorreg_interpol!$B:$XFD, MATCH(gdp_capita_mesorreg!W$1, pop_mesorreg_interpol!$B$1:$XFD$1, 0), 0)</f>
        <v>12132.426160595218</v>
      </c>
      <c r="X90" s="7">
        <f>VLOOKUP($B90, gdp_tot_mes!$B:$XFD, MATCH(gdp_capita_mesorreg!X$1, gdp_tot_mes!$B$1:$XFD$1, 0), 0)*1000/VLOOKUP($B90, pop_mesorreg_interpol!$B:$XFD, MATCH(gdp_capita_mesorreg!X$1, pop_mesorreg_interpol!$B$1:$XFD$1, 0), 0)</f>
        <v>10941.36851788706</v>
      </c>
      <c r="Y90" s="7">
        <f>VLOOKUP($B90, gdp_tot_mes!$B:$XFD, MATCH(gdp_capita_mesorreg!Y$1, gdp_tot_mes!$B$1:$XFD$1, 0), 0)*1000/VLOOKUP($B90, pop_mesorreg_interpol!$B:$XFD, MATCH(gdp_capita_mesorreg!Y$1, pop_mesorreg_interpol!$B$1:$XFD$1, 0), 0)</f>
        <v>11493.235066542482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x14ac:dyDescent="0.25">
      <c r="A91" s="1" t="s">
        <v>200</v>
      </c>
      <c r="B91" s="1" t="s">
        <v>219</v>
      </c>
      <c r="C91" s="1" t="s">
        <v>220</v>
      </c>
      <c r="D91" s="7">
        <f>VLOOKUP($B91, gdp_tot_mes!$B:$XFD, MATCH(gdp_capita_mesorreg!D$1, gdp_tot_mes!$B$1:$XFD$1, 0), 0)*1000/VLOOKUP($B91, pop_mesorreg_interpol!$B:$XFD, MATCH(gdp_capita_mesorreg!D$1, pop_mesorreg_interpol!$B$1:$XFD$1, 0), 0)</f>
        <v>1320.0069991826574</v>
      </c>
      <c r="E91" s="7">
        <f>VLOOKUP($B91, gdp_tot_mes!$B:$XFD, MATCH(gdp_capita_mesorreg!E$1, gdp_tot_mes!$B$1:$XFD$1, 0), 0)*1000/VLOOKUP($B91, pop_mesorreg_interpol!$B:$XFD, MATCH(gdp_capita_mesorreg!E$1, pop_mesorreg_interpol!$B$1:$XFD$1, 0), 0)</f>
        <v>3218.1040442595363</v>
      </c>
      <c r="F91" s="7">
        <f>VLOOKUP($B91, gdp_tot_mes!$B:$XFD, MATCH(gdp_capita_mesorreg!F$1, gdp_tot_mes!$B$1:$XFD$1, 0), 0)*1000/VLOOKUP($B91, pop_mesorreg_interpol!$B:$XFD, MATCH(gdp_capita_mesorreg!F$1, pop_mesorreg_interpol!$B$1:$XFD$1, 0), 0)</f>
        <v>4215.6410491170182</v>
      </c>
      <c r="G91" s="7">
        <f>VLOOKUP($B91, gdp_tot_mes!$B:$XFD, MATCH(gdp_capita_mesorreg!G$1, gdp_tot_mes!$B$1:$XFD$1, 0), 0)*1000/VLOOKUP($B91, pop_mesorreg_interpol!$B:$XFD, MATCH(gdp_capita_mesorreg!G$1, pop_mesorreg_interpol!$B$1:$XFD$1, 0), 0)</f>
        <v>7245.6769518994024</v>
      </c>
      <c r="H91" s="7">
        <f>VLOOKUP($B91, gdp_tot_mes!$B:$XFD, MATCH(gdp_capita_mesorreg!H$1, gdp_tot_mes!$B$1:$XFD$1, 0), 0)*1000/VLOOKUP($B91, pop_mesorreg_interpol!$B:$XFD, MATCH(gdp_capita_mesorreg!H$1, pop_mesorreg_interpol!$B$1:$XFD$1, 0), 0)</f>
        <v>11172.370015323066</v>
      </c>
      <c r="I91" s="7">
        <f>VLOOKUP($B91, gdp_tot_mes!$B:$XFD, MATCH(gdp_capita_mesorreg!I$1, gdp_tot_mes!$B$1:$XFD$1, 0), 0)*1000/VLOOKUP($B91, pop_mesorreg_interpol!$B:$XFD, MATCH(gdp_capita_mesorreg!I$1, pop_mesorreg_interpol!$B$1:$XFD$1, 0), 0)</f>
        <v>16191.084453739777</v>
      </c>
      <c r="J91" s="7">
        <f>VLOOKUP($B91, gdp_tot_mes!$B:$XFD, MATCH(gdp_capita_mesorreg!J$1, gdp_tot_mes!$B$1:$XFD$1, 0), 0)*1000/VLOOKUP($B91, pop_mesorreg_interpol!$B:$XFD, MATCH(gdp_capita_mesorreg!J$1, pop_mesorreg_interpol!$B$1:$XFD$1, 0), 0)</f>
        <v>22879.266721794098</v>
      </c>
      <c r="K91" s="7">
        <f>VLOOKUP($B91, gdp_tot_mes!$B:$XFD, MATCH(gdp_capita_mesorreg!K$1, gdp_tot_mes!$B$1:$XFD$1, 0), 0)*1000/VLOOKUP($B91, pop_mesorreg_interpol!$B:$XFD, MATCH(gdp_capita_mesorreg!K$1, pop_mesorreg_interpol!$B$1:$XFD$1, 0), 0)</f>
        <v>22469.469189092441</v>
      </c>
      <c r="L91" s="8">
        <f>VLOOKUP($B91, gdp_tot_mes!$B:$XFD, MATCH(gdp_capita_mesorreg!L$1, gdp_tot_mes!$B$1:$XFD$1, 0), 0)*1000/VLOOKUP($B91, pop_mesorreg_interpol!$B:$XFD, MATCH(gdp_capita_mesorreg!L$1, pop_mesorreg_interpol!$B$1:$XFD$1, 0), 0)</f>
        <v>22694.895627576974</v>
      </c>
      <c r="M91" s="7">
        <f>VLOOKUP($B91, gdp_tot_mes!$B:$XFD, MATCH(gdp_capita_mesorreg!M$1, gdp_tot_mes!$B$1:$XFD$1, 0), 0)*1000/VLOOKUP($B91, pop_mesorreg_interpol!$B:$XFD, MATCH(gdp_capita_mesorreg!M$1, pop_mesorreg_interpol!$B$1:$XFD$1, 0), 0)</f>
        <v>22895.314430499067</v>
      </c>
      <c r="N91" s="7">
        <f>VLOOKUP($B91, gdp_tot_mes!$B:$XFD, MATCH(gdp_capita_mesorreg!N$1, gdp_tot_mes!$B$1:$XFD$1, 0), 0)*1000/VLOOKUP($B91, pop_mesorreg_interpol!$B:$XFD, MATCH(gdp_capita_mesorreg!N$1, pop_mesorreg_interpol!$B$1:$XFD$1, 0), 0)</f>
        <v>23331.474687171456</v>
      </c>
      <c r="O91" s="7">
        <f>VLOOKUP($B91, gdp_tot_mes!$B:$XFD, MATCH(gdp_capita_mesorreg!O$1, gdp_tot_mes!$B$1:$XFD$1, 0), 0)*1000/VLOOKUP($B91, pop_mesorreg_interpol!$B:$XFD, MATCH(gdp_capita_mesorreg!O$1, pop_mesorreg_interpol!$B$1:$XFD$1, 0), 0)</f>
        <v>22938.591165952883</v>
      </c>
      <c r="P91" s="7">
        <f>VLOOKUP($B91, gdp_tot_mes!$B:$XFD, MATCH(gdp_capita_mesorreg!P$1, gdp_tot_mes!$B$1:$XFD$1, 0), 0)*1000/VLOOKUP($B91, pop_mesorreg_interpol!$B:$XFD, MATCH(gdp_capita_mesorreg!P$1, pop_mesorreg_interpol!$B$1:$XFD$1, 0), 0)</f>
        <v>23664.30861063777</v>
      </c>
      <c r="Q91" s="7">
        <f>VLOOKUP($B91, gdp_tot_mes!$B:$XFD, MATCH(gdp_capita_mesorreg!Q$1, gdp_tot_mes!$B$1:$XFD$1, 0), 0)*1000/VLOOKUP($B91, pop_mesorreg_interpol!$B:$XFD, MATCH(gdp_capita_mesorreg!Q$1, pop_mesorreg_interpol!$B$1:$XFD$1, 0), 0)</f>
        <v>23031.985043373545</v>
      </c>
      <c r="R91" s="7">
        <f>VLOOKUP($B91, gdp_tot_mes!$B:$XFD, MATCH(gdp_capita_mesorreg!R$1, gdp_tot_mes!$B$1:$XFD$1, 0), 0)*1000/VLOOKUP($B91, pop_mesorreg_interpol!$B:$XFD, MATCH(gdp_capita_mesorreg!R$1, pop_mesorreg_interpol!$B$1:$XFD$1, 0), 0)</f>
        <v>24080.599966788272</v>
      </c>
      <c r="S91" s="7">
        <f>VLOOKUP($B91, gdp_tot_mes!$B:$XFD, MATCH(gdp_capita_mesorreg!S$1, gdp_tot_mes!$B$1:$XFD$1, 0), 0)*1000/VLOOKUP($B91, pop_mesorreg_interpol!$B:$XFD, MATCH(gdp_capita_mesorreg!S$1, pop_mesorreg_interpol!$B$1:$XFD$1, 0), 0)</f>
        <v>25087.676919814796</v>
      </c>
      <c r="T91" s="7">
        <f>VLOOKUP($B91, gdp_tot_mes!$B:$XFD, MATCH(gdp_capita_mesorreg!T$1, gdp_tot_mes!$B$1:$XFD$1, 0), 0)*1000/VLOOKUP($B91, pop_mesorreg_interpol!$B:$XFD, MATCH(gdp_capita_mesorreg!T$1, pop_mesorreg_interpol!$B$1:$XFD$1, 0), 0)</f>
        <v>24430.518892113549</v>
      </c>
      <c r="U91" s="7">
        <f>VLOOKUP($B91, gdp_tot_mes!$B:$XFD, MATCH(gdp_capita_mesorreg!U$1, gdp_tot_mes!$B$1:$XFD$1, 0), 0)*1000/VLOOKUP($B91, pop_mesorreg_interpol!$B:$XFD, MATCH(gdp_capita_mesorreg!U$1, pop_mesorreg_interpol!$B$1:$XFD$1, 0), 0)</f>
        <v>23949.376594601203</v>
      </c>
      <c r="V91" s="7">
        <f>VLOOKUP($B91, gdp_tot_mes!$B:$XFD, MATCH(gdp_capita_mesorreg!V$1, gdp_tot_mes!$B$1:$XFD$1, 0), 0)*1000/VLOOKUP($B91, pop_mesorreg_interpol!$B:$XFD, MATCH(gdp_capita_mesorreg!V$1, pop_mesorreg_interpol!$B$1:$XFD$1, 0), 0)</f>
        <v>27115.203247521302</v>
      </c>
      <c r="W91" s="7">
        <f>VLOOKUP($B91, gdp_tot_mes!$B:$XFD, MATCH(gdp_capita_mesorreg!W$1, gdp_tot_mes!$B$1:$XFD$1, 0), 0)*1000/VLOOKUP($B91, pop_mesorreg_interpol!$B:$XFD, MATCH(gdp_capita_mesorreg!W$1, pop_mesorreg_interpol!$B$1:$XFD$1, 0), 0)</f>
        <v>28127.572111299691</v>
      </c>
      <c r="X91" s="7">
        <f>VLOOKUP($B91, gdp_tot_mes!$B:$XFD, MATCH(gdp_capita_mesorreg!X$1, gdp_tot_mes!$B$1:$XFD$1, 0), 0)*1000/VLOOKUP($B91, pop_mesorreg_interpol!$B:$XFD, MATCH(gdp_capita_mesorreg!X$1, pop_mesorreg_interpol!$B$1:$XFD$1, 0), 0)</f>
        <v>27308.801057286099</v>
      </c>
      <c r="Y91" s="7">
        <f>VLOOKUP($B91, gdp_tot_mes!$B:$XFD, MATCH(gdp_capita_mesorreg!Y$1, gdp_tot_mes!$B$1:$XFD$1, 0), 0)*1000/VLOOKUP($B91, pop_mesorreg_interpol!$B:$XFD, MATCH(gdp_capita_mesorreg!Y$1, pop_mesorreg_interpol!$B$1:$XFD$1, 0), 0)</f>
        <v>29653.024034402079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x14ac:dyDescent="0.25">
      <c r="A92" s="1" t="s">
        <v>221</v>
      </c>
      <c r="B92" s="1" t="s">
        <v>222</v>
      </c>
      <c r="C92" s="1" t="s">
        <v>223</v>
      </c>
      <c r="D92" s="7">
        <f>VLOOKUP($B92, gdp_tot_mes!$B:$XFD, MATCH(gdp_capita_mesorreg!D$1, gdp_tot_mes!$B$1:$XFD$1, 0), 0)*1000/VLOOKUP($B92, pop_mesorreg_interpol!$B:$XFD, MATCH(gdp_capita_mesorreg!D$1, pop_mesorreg_interpol!$B$1:$XFD$1, 0), 0)</f>
        <v>1192.8779017957474</v>
      </c>
      <c r="E92" s="7">
        <f>VLOOKUP($B92, gdp_tot_mes!$B:$XFD, MATCH(gdp_capita_mesorreg!E$1, gdp_tot_mes!$B$1:$XFD$1, 0), 0)*1000/VLOOKUP($B92, pop_mesorreg_interpol!$B:$XFD, MATCH(gdp_capita_mesorreg!E$1, pop_mesorreg_interpol!$B$1:$XFD$1, 0), 0)</f>
        <v>1315.7779210508941</v>
      </c>
      <c r="F92" s="7">
        <f>VLOOKUP($B92, gdp_tot_mes!$B:$XFD, MATCH(gdp_capita_mesorreg!F$1, gdp_tot_mes!$B$1:$XFD$1, 0), 0)*1000/VLOOKUP($B92, pop_mesorreg_interpol!$B:$XFD, MATCH(gdp_capita_mesorreg!F$1, pop_mesorreg_interpol!$B$1:$XFD$1, 0), 0)</f>
        <v>2536.592407653106</v>
      </c>
      <c r="G92" s="7">
        <f>VLOOKUP($B92, gdp_tot_mes!$B:$XFD, MATCH(gdp_capita_mesorreg!G$1, gdp_tot_mes!$B$1:$XFD$1, 0), 0)*1000/VLOOKUP($B92, pop_mesorreg_interpol!$B:$XFD, MATCH(gdp_capita_mesorreg!G$1, pop_mesorreg_interpol!$B$1:$XFD$1, 0), 0)</f>
        <v>2941.2281398484256</v>
      </c>
      <c r="H92" s="7">
        <f>VLOOKUP($B92, gdp_tot_mes!$B:$XFD, MATCH(gdp_capita_mesorreg!H$1, gdp_tot_mes!$B$1:$XFD$1, 0), 0)*1000/VLOOKUP($B92, pop_mesorreg_interpol!$B:$XFD, MATCH(gdp_capita_mesorreg!H$1, pop_mesorreg_interpol!$B$1:$XFD$1, 0), 0)</f>
        <v>3307.3356094053715</v>
      </c>
      <c r="I92" s="7">
        <f>VLOOKUP($B92, gdp_tot_mes!$B:$XFD, MATCH(gdp_capita_mesorreg!I$1, gdp_tot_mes!$B$1:$XFD$1, 0), 0)*1000/VLOOKUP($B92, pop_mesorreg_interpol!$B:$XFD, MATCH(gdp_capita_mesorreg!I$1, pop_mesorreg_interpol!$B$1:$XFD$1, 0), 0)</f>
        <v>6247.8266607822006</v>
      </c>
      <c r="J92" s="7">
        <f>VLOOKUP($B92, gdp_tot_mes!$B:$XFD, MATCH(gdp_capita_mesorreg!J$1, gdp_tot_mes!$B$1:$XFD$1, 0), 0)*1000/VLOOKUP($B92, pop_mesorreg_interpol!$B:$XFD, MATCH(gdp_capita_mesorreg!J$1, pop_mesorreg_interpol!$B$1:$XFD$1, 0), 0)</f>
        <v>6497.5128260243691</v>
      </c>
      <c r="K92" s="7">
        <f>VLOOKUP($B92, gdp_tot_mes!$B:$XFD, MATCH(gdp_capita_mesorreg!K$1, gdp_tot_mes!$B$1:$XFD$1, 0), 0)*1000/VLOOKUP($B92, pop_mesorreg_interpol!$B:$XFD, MATCH(gdp_capita_mesorreg!K$1, pop_mesorreg_interpol!$B$1:$XFD$1, 0), 0)</f>
        <v>7163.4216760723139</v>
      </c>
      <c r="L92" s="8">
        <f>VLOOKUP($B92, gdp_tot_mes!$B:$XFD, MATCH(gdp_capita_mesorreg!L$1, gdp_tot_mes!$B$1:$XFD$1, 0), 0)*1000/VLOOKUP($B92, pop_mesorreg_interpol!$B:$XFD, MATCH(gdp_capita_mesorreg!L$1, pop_mesorreg_interpol!$B$1:$XFD$1, 0), 0)</f>
        <v>6842.3148501464339</v>
      </c>
      <c r="M92" s="7">
        <f>VLOOKUP($B92, gdp_tot_mes!$B:$XFD, MATCH(gdp_capita_mesorreg!M$1, gdp_tot_mes!$B$1:$XFD$1, 0), 0)*1000/VLOOKUP($B92, pop_mesorreg_interpol!$B:$XFD, MATCH(gdp_capita_mesorreg!M$1, pop_mesorreg_interpol!$B$1:$XFD$1, 0), 0)</f>
        <v>6507.2649563755213</v>
      </c>
      <c r="N92" s="7">
        <f>VLOOKUP($B92, gdp_tot_mes!$B:$XFD, MATCH(gdp_capita_mesorreg!N$1, gdp_tot_mes!$B$1:$XFD$1, 0), 0)*1000/VLOOKUP($B92, pop_mesorreg_interpol!$B:$XFD, MATCH(gdp_capita_mesorreg!N$1, pop_mesorreg_interpol!$B$1:$XFD$1, 0), 0)</f>
        <v>12148.438544177243</v>
      </c>
      <c r="O92" s="7">
        <f>VLOOKUP($B92, gdp_tot_mes!$B:$XFD, MATCH(gdp_capita_mesorreg!O$1, gdp_tot_mes!$B$1:$XFD$1, 0), 0)*1000/VLOOKUP($B92, pop_mesorreg_interpol!$B:$XFD, MATCH(gdp_capita_mesorreg!O$1, pop_mesorreg_interpol!$B$1:$XFD$1, 0), 0)</f>
        <v>11792.069242898302</v>
      </c>
      <c r="P92" s="7">
        <f>VLOOKUP($B92, gdp_tot_mes!$B:$XFD, MATCH(gdp_capita_mesorreg!P$1, gdp_tot_mes!$B$1:$XFD$1, 0), 0)*1000/VLOOKUP($B92, pop_mesorreg_interpol!$B:$XFD, MATCH(gdp_capita_mesorreg!P$1, pop_mesorreg_interpol!$B$1:$XFD$1, 0), 0)</f>
        <v>11124.059852057722</v>
      </c>
      <c r="Q92" s="7">
        <f>VLOOKUP($B92, gdp_tot_mes!$B:$XFD, MATCH(gdp_capita_mesorreg!Q$1, gdp_tot_mes!$B$1:$XFD$1, 0), 0)*1000/VLOOKUP($B92, pop_mesorreg_interpol!$B:$XFD, MATCH(gdp_capita_mesorreg!Q$1, pop_mesorreg_interpol!$B$1:$XFD$1, 0), 0)</f>
        <v>10879.695229069923</v>
      </c>
      <c r="R92" s="7">
        <f>VLOOKUP($B92, gdp_tot_mes!$B:$XFD, MATCH(gdp_capita_mesorreg!R$1, gdp_tot_mes!$B$1:$XFD$1, 0), 0)*1000/VLOOKUP($B92, pop_mesorreg_interpol!$B:$XFD, MATCH(gdp_capita_mesorreg!R$1, pop_mesorreg_interpol!$B$1:$XFD$1, 0), 0)</f>
        <v>11021.008013287996</v>
      </c>
      <c r="S92" s="7">
        <f>VLOOKUP($B92, gdp_tot_mes!$B:$XFD, MATCH(gdp_capita_mesorreg!S$1, gdp_tot_mes!$B$1:$XFD$1, 0), 0)*1000/VLOOKUP($B92, pop_mesorreg_interpol!$B:$XFD, MATCH(gdp_capita_mesorreg!S$1, pop_mesorreg_interpol!$B$1:$XFD$1, 0), 0)</f>
        <v>11478.455769658021</v>
      </c>
      <c r="T92" s="7">
        <f>VLOOKUP($B92, gdp_tot_mes!$B:$XFD, MATCH(gdp_capita_mesorreg!T$1, gdp_tot_mes!$B$1:$XFD$1, 0), 0)*1000/VLOOKUP($B92, pop_mesorreg_interpol!$B:$XFD, MATCH(gdp_capita_mesorreg!T$1, pop_mesorreg_interpol!$B$1:$XFD$1, 0), 0)</f>
        <v>13509.430148121404</v>
      </c>
      <c r="U92" s="7">
        <f>VLOOKUP($B92, gdp_tot_mes!$B:$XFD, MATCH(gdp_capita_mesorreg!U$1, gdp_tot_mes!$B$1:$XFD$1, 0), 0)*1000/VLOOKUP($B92, pop_mesorreg_interpol!$B:$XFD, MATCH(gdp_capita_mesorreg!U$1, pop_mesorreg_interpol!$B$1:$XFD$1, 0), 0)</f>
        <v>12745.028516132614</v>
      </c>
      <c r="V92" s="7">
        <f>VLOOKUP($B92, gdp_tot_mes!$B:$XFD, MATCH(gdp_capita_mesorreg!V$1, gdp_tot_mes!$B$1:$XFD$1, 0), 0)*1000/VLOOKUP($B92, pop_mesorreg_interpol!$B:$XFD, MATCH(gdp_capita_mesorreg!V$1, pop_mesorreg_interpol!$B$1:$XFD$1, 0), 0)</f>
        <v>11589.567837347988</v>
      </c>
      <c r="W92" s="7">
        <f>VLOOKUP($B92, gdp_tot_mes!$B:$XFD, MATCH(gdp_capita_mesorreg!W$1, gdp_tot_mes!$B$1:$XFD$1, 0), 0)*1000/VLOOKUP($B92, pop_mesorreg_interpol!$B:$XFD, MATCH(gdp_capita_mesorreg!W$1, pop_mesorreg_interpol!$B$1:$XFD$1, 0), 0)</f>
        <v>13656.07272006315</v>
      </c>
      <c r="X92" s="7">
        <f>VLOOKUP($B92, gdp_tot_mes!$B:$XFD, MATCH(gdp_capita_mesorreg!X$1, gdp_tot_mes!$B$1:$XFD$1, 0), 0)*1000/VLOOKUP($B92, pop_mesorreg_interpol!$B:$XFD, MATCH(gdp_capita_mesorreg!X$1, pop_mesorreg_interpol!$B$1:$XFD$1, 0), 0)</f>
        <v>12165.158503755354</v>
      </c>
      <c r="Y92" s="7">
        <f>VLOOKUP($B92, gdp_tot_mes!$B:$XFD, MATCH(gdp_capita_mesorreg!Y$1, gdp_tot_mes!$B$1:$XFD$1, 0), 0)*1000/VLOOKUP($B92, pop_mesorreg_interpol!$B:$XFD, MATCH(gdp_capita_mesorreg!Y$1, pop_mesorreg_interpol!$B$1:$XFD$1, 0), 0)</f>
        <v>12156.286573247282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x14ac:dyDescent="0.25">
      <c r="A93" s="1" t="s">
        <v>221</v>
      </c>
      <c r="B93" s="1" t="s">
        <v>224</v>
      </c>
      <c r="C93" s="1" t="s">
        <v>225</v>
      </c>
      <c r="D93" s="7">
        <f>VLOOKUP($B93, gdp_tot_mes!$B:$XFD, MATCH(gdp_capita_mesorreg!D$1, gdp_tot_mes!$B$1:$XFD$1, 0), 0)*1000/VLOOKUP($B93, pop_mesorreg_interpol!$B:$XFD, MATCH(gdp_capita_mesorreg!D$1, pop_mesorreg_interpol!$B$1:$XFD$1, 0), 0)</f>
        <v>946.72747848704819</v>
      </c>
      <c r="E93" s="7">
        <f>VLOOKUP($B93, gdp_tot_mes!$B:$XFD, MATCH(gdp_capita_mesorreg!E$1, gdp_tot_mes!$B$1:$XFD$1, 0), 0)*1000/VLOOKUP($B93, pop_mesorreg_interpol!$B:$XFD, MATCH(gdp_capita_mesorreg!E$1, pop_mesorreg_interpol!$B$1:$XFD$1, 0), 0)</f>
        <v>2293.9329301466296</v>
      </c>
      <c r="F93" s="7">
        <f>VLOOKUP($B93, gdp_tot_mes!$B:$XFD, MATCH(gdp_capita_mesorreg!F$1, gdp_tot_mes!$B$1:$XFD$1, 0), 0)*1000/VLOOKUP($B93, pop_mesorreg_interpol!$B:$XFD, MATCH(gdp_capita_mesorreg!F$1, pop_mesorreg_interpol!$B$1:$XFD$1, 0), 0)</f>
        <v>3182.6651411077419</v>
      </c>
      <c r="G93" s="7">
        <f>VLOOKUP($B93, gdp_tot_mes!$B:$XFD, MATCH(gdp_capita_mesorreg!G$1, gdp_tot_mes!$B$1:$XFD$1, 0), 0)*1000/VLOOKUP($B93, pop_mesorreg_interpol!$B:$XFD, MATCH(gdp_capita_mesorreg!G$1, pop_mesorreg_interpol!$B$1:$XFD$1, 0), 0)</f>
        <v>5124.8582217911153</v>
      </c>
      <c r="H93" s="7">
        <f>VLOOKUP($B93, gdp_tot_mes!$B:$XFD, MATCH(gdp_capita_mesorreg!H$1, gdp_tot_mes!$B$1:$XFD$1, 0), 0)*1000/VLOOKUP($B93, pop_mesorreg_interpol!$B:$XFD, MATCH(gdp_capita_mesorreg!H$1, pop_mesorreg_interpol!$B$1:$XFD$1, 0), 0)</f>
        <v>4698.8312966559124</v>
      </c>
      <c r="I93" s="7">
        <f>VLOOKUP($B93, gdp_tot_mes!$B:$XFD, MATCH(gdp_capita_mesorreg!I$1, gdp_tot_mes!$B$1:$XFD$1, 0), 0)*1000/VLOOKUP($B93, pop_mesorreg_interpol!$B:$XFD, MATCH(gdp_capita_mesorreg!I$1, pop_mesorreg_interpol!$B$1:$XFD$1, 0), 0)</f>
        <v>7471.761901165999</v>
      </c>
      <c r="J93" s="7">
        <f>VLOOKUP($B93, gdp_tot_mes!$B:$XFD, MATCH(gdp_capita_mesorreg!J$1, gdp_tot_mes!$B$1:$XFD$1, 0), 0)*1000/VLOOKUP($B93, pop_mesorreg_interpol!$B:$XFD, MATCH(gdp_capita_mesorreg!J$1, pop_mesorreg_interpol!$B$1:$XFD$1, 0), 0)</f>
        <v>9254.1361064488319</v>
      </c>
      <c r="K93" s="7">
        <f>VLOOKUP($B93, gdp_tot_mes!$B:$XFD, MATCH(gdp_capita_mesorreg!K$1, gdp_tot_mes!$B$1:$XFD$1, 0), 0)*1000/VLOOKUP($B93, pop_mesorreg_interpol!$B:$XFD, MATCH(gdp_capita_mesorreg!K$1, pop_mesorreg_interpol!$B$1:$XFD$1, 0), 0)</f>
        <v>10267.584831110522</v>
      </c>
      <c r="L93" s="8">
        <f>VLOOKUP($B93, gdp_tot_mes!$B:$XFD, MATCH(gdp_capita_mesorreg!L$1, gdp_tot_mes!$B$1:$XFD$1, 0), 0)*1000/VLOOKUP($B93, pop_mesorreg_interpol!$B:$XFD, MATCH(gdp_capita_mesorreg!L$1, pop_mesorreg_interpol!$B$1:$XFD$1, 0), 0)</f>
        <v>12453.627770926254</v>
      </c>
      <c r="M93" s="7">
        <f>VLOOKUP($B93, gdp_tot_mes!$B:$XFD, MATCH(gdp_capita_mesorreg!M$1, gdp_tot_mes!$B$1:$XFD$1, 0), 0)*1000/VLOOKUP($B93, pop_mesorreg_interpol!$B:$XFD, MATCH(gdp_capita_mesorreg!M$1, pop_mesorreg_interpol!$B$1:$XFD$1, 0), 0)</f>
        <v>14728.652842572728</v>
      </c>
      <c r="N93" s="7">
        <f>VLOOKUP($B93, gdp_tot_mes!$B:$XFD, MATCH(gdp_capita_mesorreg!N$1, gdp_tot_mes!$B$1:$XFD$1, 0), 0)*1000/VLOOKUP($B93, pop_mesorreg_interpol!$B:$XFD, MATCH(gdp_capita_mesorreg!N$1, pop_mesorreg_interpol!$B$1:$XFD$1, 0), 0)</f>
        <v>21022.848644199054</v>
      </c>
      <c r="O93" s="7">
        <f>VLOOKUP($B93, gdp_tot_mes!$B:$XFD, MATCH(gdp_capita_mesorreg!O$1, gdp_tot_mes!$B$1:$XFD$1, 0), 0)*1000/VLOOKUP($B93, pop_mesorreg_interpol!$B:$XFD, MATCH(gdp_capita_mesorreg!O$1, pop_mesorreg_interpol!$B$1:$XFD$1, 0), 0)</f>
        <v>29263.6524616065</v>
      </c>
      <c r="P93" s="7">
        <f>VLOOKUP($B93, gdp_tot_mes!$B:$XFD, MATCH(gdp_capita_mesorreg!P$1, gdp_tot_mes!$B$1:$XFD$1, 0), 0)*1000/VLOOKUP($B93, pop_mesorreg_interpol!$B:$XFD, MATCH(gdp_capita_mesorreg!P$1, pop_mesorreg_interpol!$B$1:$XFD$1, 0), 0)</f>
        <v>29245.756205467933</v>
      </c>
      <c r="Q93" s="7">
        <f>VLOOKUP($B93, gdp_tot_mes!$B:$XFD, MATCH(gdp_capita_mesorreg!Q$1, gdp_tot_mes!$B$1:$XFD$1, 0), 0)*1000/VLOOKUP($B93, pop_mesorreg_interpol!$B:$XFD, MATCH(gdp_capita_mesorreg!Q$1, pop_mesorreg_interpol!$B$1:$XFD$1, 0), 0)</f>
        <v>33920.276820391089</v>
      </c>
      <c r="R93" s="7">
        <f>VLOOKUP($B93, gdp_tot_mes!$B:$XFD, MATCH(gdp_capita_mesorreg!R$1, gdp_tot_mes!$B$1:$XFD$1, 0), 0)*1000/VLOOKUP($B93, pop_mesorreg_interpol!$B:$XFD, MATCH(gdp_capita_mesorreg!R$1, pop_mesorreg_interpol!$B$1:$XFD$1, 0), 0)</f>
        <v>36125.599954879872</v>
      </c>
      <c r="S93" s="7">
        <f>VLOOKUP($B93, gdp_tot_mes!$B:$XFD, MATCH(gdp_capita_mesorreg!S$1, gdp_tot_mes!$B$1:$XFD$1, 0), 0)*1000/VLOOKUP($B93, pop_mesorreg_interpol!$B:$XFD, MATCH(gdp_capita_mesorreg!S$1, pop_mesorreg_interpol!$B$1:$XFD$1, 0), 0)</f>
        <v>38673.03341760375</v>
      </c>
      <c r="T93" s="7">
        <f>VLOOKUP($B93, gdp_tot_mes!$B:$XFD, MATCH(gdp_capita_mesorreg!T$1, gdp_tot_mes!$B$1:$XFD$1, 0), 0)*1000/VLOOKUP($B93, pop_mesorreg_interpol!$B:$XFD, MATCH(gdp_capita_mesorreg!T$1, pop_mesorreg_interpol!$B$1:$XFD$1, 0), 0)</f>
        <v>48462.962598539933</v>
      </c>
      <c r="U93" s="7">
        <f>VLOOKUP($B93, gdp_tot_mes!$B:$XFD, MATCH(gdp_capita_mesorreg!U$1, gdp_tot_mes!$B$1:$XFD$1, 0), 0)*1000/VLOOKUP($B93, pop_mesorreg_interpol!$B:$XFD, MATCH(gdp_capita_mesorreg!U$1, pop_mesorreg_interpol!$B$1:$XFD$1, 0), 0)</f>
        <v>59679.916457607062</v>
      </c>
      <c r="V93" s="7">
        <f>VLOOKUP($B93, gdp_tot_mes!$B:$XFD, MATCH(gdp_capita_mesorreg!V$1, gdp_tot_mes!$B$1:$XFD$1, 0), 0)*1000/VLOOKUP($B93, pop_mesorreg_interpol!$B:$XFD, MATCH(gdp_capita_mesorreg!V$1, pop_mesorreg_interpol!$B$1:$XFD$1, 0), 0)</f>
        <v>52930.637983697365</v>
      </c>
      <c r="W93" s="7">
        <f>VLOOKUP($B93, gdp_tot_mes!$B:$XFD, MATCH(gdp_capita_mesorreg!W$1, gdp_tot_mes!$B$1:$XFD$1, 0), 0)*1000/VLOOKUP($B93, pop_mesorreg_interpol!$B:$XFD, MATCH(gdp_capita_mesorreg!W$1, pop_mesorreg_interpol!$B$1:$XFD$1, 0), 0)</f>
        <v>73294.522202690205</v>
      </c>
      <c r="X93" s="7">
        <f>VLOOKUP($B93, gdp_tot_mes!$B:$XFD, MATCH(gdp_capita_mesorreg!X$1, gdp_tot_mes!$B$1:$XFD$1, 0), 0)*1000/VLOOKUP($B93, pop_mesorreg_interpol!$B:$XFD, MATCH(gdp_capita_mesorreg!X$1, pop_mesorreg_interpol!$B$1:$XFD$1, 0), 0)</f>
        <v>48047.981416585579</v>
      </c>
      <c r="Y93" s="7">
        <f>VLOOKUP($B93, gdp_tot_mes!$B:$XFD, MATCH(gdp_capita_mesorreg!Y$1, gdp_tot_mes!$B$1:$XFD$1, 0), 0)*1000/VLOOKUP($B93, pop_mesorreg_interpol!$B:$XFD, MATCH(gdp_capita_mesorreg!Y$1, pop_mesorreg_interpol!$B$1:$XFD$1, 0), 0)</f>
        <v>53732.938670888674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x14ac:dyDescent="0.25">
      <c r="A94" s="1" t="s">
        <v>221</v>
      </c>
      <c r="B94" s="1" t="s">
        <v>226</v>
      </c>
      <c r="C94" s="1" t="s">
        <v>227</v>
      </c>
      <c r="D94" s="7">
        <f>VLOOKUP($B94, gdp_tot_mes!$B:$XFD, MATCH(gdp_capita_mesorreg!D$1, gdp_tot_mes!$B$1:$XFD$1, 0), 0)*1000/VLOOKUP($B94, pop_mesorreg_interpol!$B:$XFD, MATCH(gdp_capita_mesorreg!D$1, pop_mesorreg_interpol!$B$1:$XFD$1, 0), 0)</f>
        <v>888.049190066851</v>
      </c>
      <c r="E94" s="7">
        <f>VLOOKUP($B94, gdp_tot_mes!$B:$XFD, MATCH(gdp_capita_mesorreg!E$1, gdp_tot_mes!$B$1:$XFD$1, 0), 0)*1000/VLOOKUP($B94, pop_mesorreg_interpol!$B:$XFD, MATCH(gdp_capita_mesorreg!E$1, pop_mesorreg_interpol!$B$1:$XFD$1, 0), 0)</f>
        <v>2066.0919800958482</v>
      </c>
      <c r="F94" s="7">
        <f>VLOOKUP($B94, gdp_tot_mes!$B:$XFD, MATCH(gdp_capita_mesorreg!F$1, gdp_tot_mes!$B$1:$XFD$1, 0), 0)*1000/VLOOKUP($B94, pop_mesorreg_interpol!$B:$XFD, MATCH(gdp_capita_mesorreg!F$1, pop_mesorreg_interpol!$B$1:$XFD$1, 0), 0)</f>
        <v>2885.0338122917078</v>
      </c>
      <c r="G94" s="7">
        <f>VLOOKUP($B94, gdp_tot_mes!$B:$XFD, MATCH(gdp_capita_mesorreg!G$1, gdp_tot_mes!$B$1:$XFD$1, 0), 0)*1000/VLOOKUP($B94, pop_mesorreg_interpol!$B:$XFD, MATCH(gdp_capita_mesorreg!G$1, pop_mesorreg_interpol!$B$1:$XFD$1, 0), 0)</f>
        <v>4146.6507048342464</v>
      </c>
      <c r="H94" s="7">
        <f>VLOOKUP($B94, gdp_tot_mes!$B:$XFD, MATCH(gdp_capita_mesorreg!H$1, gdp_tot_mes!$B$1:$XFD$1, 0), 0)*1000/VLOOKUP($B94, pop_mesorreg_interpol!$B:$XFD, MATCH(gdp_capita_mesorreg!H$1, pop_mesorreg_interpol!$B$1:$XFD$1, 0), 0)</f>
        <v>5325.6642951576041</v>
      </c>
      <c r="I94" s="7">
        <f>VLOOKUP($B94, gdp_tot_mes!$B:$XFD, MATCH(gdp_capita_mesorreg!I$1, gdp_tot_mes!$B$1:$XFD$1, 0), 0)*1000/VLOOKUP($B94, pop_mesorreg_interpol!$B:$XFD, MATCH(gdp_capita_mesorreg!I$1, pop_mesorreg_interpol!$B$1:$XFD$1, 0), 0)</f>
        <v>9444.064560832192</v>
      </c>
      <c r="J94" s="7">
        <f>VLOOKUP($B94, gdp_tot_mes!$B:$XFD, MATCH(gdp_capita_mesorreg!J$1, gdp_tot_mes!$B$1:$XFD$1, 0), 0)*1000/VLOOKUP($B94, pop_mesorreg_interpol!$B:$XFD, MATCH(gdp_capita_mesorreg!J$1, pop_mesorreg_interpol!$B$1:$XFD$1, 0), 0)</f>
        <v>12330.244712921192</v>
      </c>
      <c r="K94" s="7">
        <f>VLOOKUP($B94, gdp_tot_mes!$B:$XFD, MATCH(gdp_capita_mesorreg!K$1, gdp_tot_mes!$B$1:$XFD$1, 0), 0)*1000/VLOOKUP($B94, pop_mesorreg_interpol!$B:$XFD, MATCH(gdp_capita_mesorreg!K$1, pop_mesorreg_interpol!$B$1:$XFD$1, 0), 0)</f>
        <v>12196.682575565479</v>
      </c>
      <c r="L94" s="8">
        <f>VLOOKUP($B94, gdp_tot_mes!$B:$XFD, MATCH(gdp_capita_mesorreg!L$1, gdp_tot_mes!$B$1:$XFD$1, 0), 0)*1000/VLOOKUP($B94, pop_mesorreg_interpol!$B:$XFD, MATCH(gdp_capita_mesorreg!L$1, pop_mesorreg_interpol!$B$1:$XFD$1, 0), 0)</f>
        <v>11270.930623964727</v>
      </c>
      <c r="M94" s="7">
        <f>VLOOKUP($B94, gdp_tot_mes!$B:$XFD, MATCH(gdp_capita_mesorreg!M$1, gdp_tot_mes!$B$1:$XFD$1, 0), 0)*1000/VLOOKUP($B94, pop_mesorreg_interpol!$B:$XFD, MATCH(gdp_capita_mesorreg!M$1, pop_mesorreg_interpol!$B$1:$XFD$1, 0), 0)</f>
        <v>10301.064248949506</v>
      </c>
      <c r="N94" s="7">
        <f>VLOOKUP($B94, gdp_tot_mes!$B:$XFD, MATCH(gdp_capita_mesorreg!N$1, gdp_tot_mes!$B$1:$XFD$1, 0), 0)*1000/VLOOKUP($B94, pop_mesorreg_interpol!$B:$XFD, MATCH(gdp_capita_mesorreg!N$1, pop_mesorreg_interpol!$B$1:$XFD$1, 0), 0)</f>
        <v>15397.935597594293</v>
      </c>
      <c r="O94" s="7">
        <f>VLOOKUP($B94, gdp_tot_mes!$B:$XFD, MATCH(gdp_capita_mesorreg!O$1, gdp_tot_mes!$B$1:$XFD$1, 0), 0)*1000/VLOOKUP($B94, pop_mesorreg_interpol!$B:$XFD, MATCH(gdp_capita_mesorreg!O$1, pop_mesorreg_interpol!$B$1:$XFD$1, 0), 0)</f>
        <v>15157.237363412294</v>
      </c>
      <c r="P94" s="7">
        <f>VLOOKUP($B94, gdp_tot_mes!$B:$XFD, MATCH(gdp_capita_mesorreg!P$1, gdp_tot_mes!$B$1:$XFD$1, 0), 0)*1000/VLOOKUP($B94, pop_mesorreg_interpol!$B:$XFD, MATCH(gdp_capita_mesorreg!P$1, pop_mesorreg_interpol!$B$1:$XFD$1, 0), 0)</f>
        <v>14228.516680437342</v>
      </c>
      <c r="Q94" s="7">
        <f>VLOOKUP($B94, gdp_tot_mes!$B:$XFD, MATCH(gdp_capita_mesorreg!Q$1, gdp_tot_mes!$B$1:$XFD$1, 0), 0)*1000/VLOOKUP($B94, pop_mesorreg_interpol!$B:$XFD, MATCH(gdp_capita_mesorreg!Q$1, pop_mesorreg_interpol!$B$1:$XFD$1, 0), 0)</f>
        <v>14508.351431869101</v>
      </c>
      <c r="R94" s="7">
        <f>VLOOKUP($B94, gdp_tot_mes!$B:$XFD, MATCH(gdp_capita_mesorreg!R$1, gdp_tot_mes!$B$1:$XFD$1, 0), 0)*1000/VLOOKUP($B94, pop_mesorreg_interpol!$B:$XFD, MATCH(gdp_capita_mesorreg!R$1, pop_mesorreg_interpol!$B$1:$XFD$1, 0), 0)</f>
        <v>13959.701477409048</v>
      </c>
      <c r="S94" s="7">
        <f>VLOOKUP($B94, gdp_tot_mes!$B:$XFD, MATCH(gdp_capita_mesorreg!S$1, gdp_tot_mes!$B$1:$XFD$1, 0), 0)*1000/VLOOKUP($B94, pop_mesorreg_interpol!$B:$XFD, MATCH(gdp_capita_mesorreg!S$1, pop_mesorreg_interpol!$B$1:$XFD$1, 0), 0)</f>
        <v>14217.346300623136</v>
      </c>
      <c r="T94" s="7">
        <f>VLOOKUP($B94, gdp_tot_mes!$B:$XFD, MATCH(gdp_capita_mesorreg!T$1, gdp_tot_mes!$B$1:$XFD$1, 0), 0)*1000/VLOOKUP($B94, pop_mesorreg_interpol!$B:$XFD, MATCH(gdp_capita_mesorreg!T$1, pop_mesorreg_interpol!$B$1:$XFD$1, 0), 0)</f>
        <v>13586.06062049476</v>
      </c>
      <c r="U94" s="7">
        <f>VLOOKUP($B94, gdp_tot_mes!$B:$XFD, MATCH(gdp_capita_mesorreg!U$1, gdp_tot_mes!$B$1:$XFD$1, 0), 0)*1000/VLOOKUP($B94, pop_mesorreg_interpol!$B:$XFD, MATCH(gdp_capita_mesorreg!U$1, pop_mesorreg_interpol!$B$1:$XFD$1, 0), 0)</f>
        <v>13842.924978147261</v>
      </c>
      <c r="V94" s="7">
        <f>VLOOKUP($B94, gdp_tot_mes!$B:$XFD, MATCH(gdp_capita_mesorreg!V$1, gdp_tot_mes!$B$1:$XFD$1, 0), 0)*1000/VLOOKUP($B94, pop_mesorreg_interpol!$B:$XFD, MATCH(gdp_capita_mesorreg!V$1, pop_mesorreg_interpol!$B$1:$XFD$1, 0), 0)</f>
        <v>14239.471475989232</v>
      </c>
      <c r="W94" s="7">
        <f>VLOOKUP($B94, gdp_tot_mes!$B:$XFD, MATCH(gdp_capita_mesorreg!W$1, gdp_tot_mes!$B$1:$XFD$1, 0), 0)*1000/VLOOKUP($B94, pop_mesorreg_interpol!$B:$XFD, MATCH(gdp_capita_mesorreg!W$1, pop_mesorreg_interpol!$B$1:$XFD$1, 0), 0)</f>
        <v>15738.33095575168</v>
      </c>
      <c r="X94" s="7">
        <f>VLOOKUP($B94, gdp_tot_mes!$B:$XFD, MATCH(gdp_capita_mesorreg!X$1, gdp_tot_mes!$B$1:$XFD$1, 0), 0)*1000/VLOOKUP($B94, pop_mesorreg_interpol!$B:$XFD, MATCH(gdp_capita_mesorreg!X$1, pop_mesorreg_interpol!$B$1:$XFD$1, 0), 0)</f>
        <v>16031.46953808959</v>
      </c>
      <c r="Y94" s="7">
        <f>VLOOKUP($B94, gdp_tot_mes!$B:$XFD, MATCH(gdp_capita_mesorreg!Y$1, gdp_tot_mes!$B$1:$XFD$1, 0), 0)*1000/VLOOKUP($B94, pop_mesorreg_interpol!$B:$XFD, MATCH(gdp_capita_mesorreg!Y$1, pop_mesorreg_interpol!$B$1:$XFD$1, 0), 0)</f>
        <v>16830.559341611319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x14ac:dyDescent="0.25">
      <c r="A95" s="1" t="s">
        <v>221</v>
      </c>
      <c r="B95" s="1" t="s">
        <v>228</v>
      </c>
      <c r="C95" s="1" t="s">
        <v>229</v>
      </c>
      <c r="D95" s="7">
        <f>VLOOKUP($B95, gdp_tot_mes!$B:$XFD, MATCH(gdp_capita_mesorreg!D$1, gdp_tot_mes!$B$1:$XFD$1, 0), 0)*1000/VLOOKUP($B95, pop_mesorreg_interpol!$B:$XFD, MATCH(gdp_capita_mesorreg!D$1, pop_mesorreg_interpol!$B$1:$XFD$1, 0), 0)</f>
        <v>511.88574577007017</v>
      </c>
      <c r="E95" s="7">
        <f>VLOOKUP($B95, gdp_tot_mes!$B:$XFD, MATCH(gdp_capita_mesorreg!E$1, gdp_tot_mes!$B$1:$XFD$1, 0), 0)*1000/VLOOKUP($B95, pop_mesorreg_interpol!$B:$XFD, MATCH(gdp_capita_mesorreg!E$1, pop_mesorreg_interpol!$B$1:$XFD$1, 0), 0)</f>
        <v>957.53386410636676</v>
      </c>
      <c r="F95" s="7">
        <f>VLOOKUP($B95, gdp_tot_mes!$B:$XFD, MATCH(gdp_capita_mesorreg!F$1, gdp_tot_mes!$B$1:$XFD$1, 0), 0)*1000/VLOOKUP($B95, pop_mesorreg_interpol!$B:$XFD, MATCH(gdp_capita_mesorreg!F$1, pop_mesorreg_interpol!$B$1:$XFD$1, 0), 0)</f>
        <v>1609.3350575705358</v>
      </c>
      <c r="G95" s="7">
        <f>VLOOKUP($B95, gdp_tot_mes!$B:$XFD, MATCH(gdp_capita_mesorreg!G$1, gdp_tot_mes!$B$1:$XFD$1, 0), 0)*1000/VLOOKUP($B95, pop_mesorreg_interpol!$B:$XFD, MATCH(gdp_capita_mesorreg!G$1, pop_mesorreg_interpol!$B$1:$XFD$1, 0), 0)</f>
        <v>3766.1891950779718</v>
      </c>
      <c r="H95" s="7">
        <f>VLOOKUP($B95, gdp_tot_mes!$B:$XFD, MATCH(gdp_capita_mesorreg!H$1, gdp_tot_mes!$B$1:$XFD$1, 0), 0)*1000/VLOOKUP($B95, pop_mesorreg_interpol!$B:$XFD, MATCH(gdp_capita_mesorreg!H$1, pop_mesorreg_interpol!$B$1:$XFD$1, 0), 0)</f>
        <v>5557.7887968917748</v>
      </c>
      <c r="I95" s="7">
        <f>VLOOKUP($B95, gdp_tot_mes!$B:$XFD, MATCH(gdp_capita_mesorreg!I$1, gdp_tot_mes!$B$1:$XFD$1, 0), 0)*1000/VLOOKUP($B95, pop_mesorreg_interpol!$B:$XFD, MATCH(gdp_capita_mesorreg!I$1, pop_mesorreg_interpol!$B$1:$XFD$1, 0), 0)</f>
        <v>6435.757282592971</v>
      </c>
      <c r="J95" s="7">
        <f>VLOOKUP($B95, gdp_tot_mes!$B:$XFD, MATCH(gdp_capita_mesorreg!J$1, gdp_tot_mes!$B$1:$XFD$1, 0), 0)*1000/VLOOKUP($B95, pop_mesorreg_interpol!$B:$XFD, MATCH(gdp_capita_mesorreg!J$1, pop_mesorreg_interpol!$B$1:$XFD$1, 0), 0)</f>
        <v>9318.8047806583709</v>
      </c>
      <c r="K95" s="7">
        <f>VLOOKUP($B95, gdp_tot_mes!$B:$XFD, MATCH(gdp_capita_mesorreg!K$1, gdp_tot_mes!$B$1:$XFD$1, 0), 0)*1000/VLOOKUP($B95, pop_mesorreg_interpol!$B:$XFD, MATCH(gdp_capita_mesorreg!K$1, pop_mesorreg_interpol!$B$1:$XFD$1, 0), 0)</f>
        <v>9146.8258153384813</v>
      </c>
      <c r="L95" s="8">
        <f>VLOOKUP($B95, gdp_tot_mes!$B:$XFD, MATCH(gdp_capita_mesorreg!L$1, gdp_tot_mes!$B$1:$XFD$1, 0), 0)*1000/VLOOKUP($B95, pop_mesorreg_interpol!$B:$XFD, MATCH(gdp_capita_mesorreg!L$1, pop_mesorreg_interpol!$B$1:$XFD$1, 0), 0)</f>
        <v>8033.341128187084</v>
      </c>
      <c r="M95" s="7">
        <f>VLOOKUP($B95, gdp_tot_mes!$B:$XFD, MATCH(gdp_capita_mesorreg!M$1, gdp_tot_mes!$B$1:$XFD$1, 0), 0)*1000/VLOOKUP($B95, pop_mesorreg_interpol!$B:$XFD, MATCH(gdp_capita_mesorreg!M$1, pop_mesorreg_interpol!$B$1:$XFD$1, 0), 0)</f>
        <v>7070.6111812583395</v>
      </c>
      <c r="N95" s="7">
        <f>VLOOKUP($B95, gdp_tot_mes!$B:$XFD, MATCH(gdp_capita_mesorreg!N$1, gdp_tot_mes!$B$1:$XFD$1, 0), 0)*1000/VLOOKUP($B95, pop_mesorreg_interpol!$B:$XFD, MATCH(gdp_capita_mesorreg!N$1, pop_mesorreg_interpol!$B$1:$XFD$1, 0), 0)</f>
        <v>18111.586463706586</v>
      </c>
      <c r="O95" s="7">
        <f>VLOOKUP($B95, gdp_tot_mes!$B:$XFD, MATCH(gdp_capita_mesorreg!O$1, gdp_tot_mes!$B$1:$XFD$1, 0), 0)*1000/VLOOKUP($B95, pop_mesorreg_interpol!$B:$XFD, MATCH(gdp_capita_mesorreg!O$1, pop_mesorreg_interpol!$B$1:$XFD$1, 0), 0)</f>
        <v>20827.357391187907</v>
      </c>
      <c r="P95" s="7">
        <f>VLOOKUP($B95, gdp_tot_mes!$B:$XFD, MATCH(gdp_capita_mesorreg!P$1, gdp_tot_mes!$B$1:$XFD$1, 0), 0)*1000/VLOOKUP($B95, pop_mesorreg_interpol!$B:$XFD, MATCH(gdp_capita_mesorreg!P$1, pop_mesorreg_interpol!$B$1:$XFD$1, 0), 0)</f>
        <v>20863.232227071265</v>
      </c>
      <c r="Q95" s="7">
        <f>VLOOKUP($B95, gdp_tot_mes!$B:$XFD, MATCH(gdp_capita_mesorreg!Q$1, gdp_tot_mes!$B$1:$XFD$1, 0), 0)*1000/VLOOKUP($B95, pop_mesorreg_interpol!$B:$XFD, MATCH(gdp_capita_mesorreg!Q$1, pop_mesorreg_interpol!$B$1:$XFD$1, 0), 0)</f>
        <v>24370.909221823535</v>
      </c>
      <c r="R95" s="7">
        <f>VLOOKUP($B95, gdp_tot_mes!$B:$XFD, MATCH(gdp_capita_mesorreg!R$1, gdp_tot_mes!$B$1:$XFD$1, 0), 0)*1000/VLOOKUP($B95, pop_mesorreg_interpol!$B:$XFD, MATCH(gdp_capita_mesorreg!R$1, pop_mesorreg_interpol!$B$1:$XFD$1, 0), 0)</f>
        <v>23821.390263725691</v>
      </c>
      <c r="S95" s="7">
        <f>VLOOKUP($B95, gdp_tot_mes!$B:$XFD, MATCH(gdp_capita_mesorreg!S$1, gdp_tot_mes!$B$1:$XFD$1, 0), 0)*1000/VLOOKUP($B95, pop_mesorreg_interpol!$B:$XFD, MATCH(gdp_capita_mesorreg!S$1, pop_mesorreg_interpol!$B$1:$XFD$1, 0), 0)</f>
        <v>25224.909379230536</v>
      </c>
      <c r="T95" s="7">
        <f>VLOOKUP($B95, gdp_tot_mes!$B:$XFD, MATCH(gdp_capita_mesorreg!T$1, gdp_tot_mes!$B$1:$XFD$1, 0), 0)*1000/VLOOKUP($B95, pop_mesorreg_interpol!$B:$XFD, MATCH(gdp_capita_mesorreg!T$1, pop_mesorreg_interpol!$B$1:$XFD$1, 0), 0)</f>
        <v>34484.206711152954</v>
      </c>
      <c r="U95" s="7">
        <f>VLOOKUP($B95, gdp_tot_mes!$B:$XFD, MATCH(gdp_capita_mesorreg!U$1, gdp_tot_mes!$B$1:$XFD$1, 0), 0)*1000/VLOOKUP($B95, pop_mesorreg_interpol!$B:$XFD, MATCH(gdp_capita_mesorreg!U$1, pop_mesorreg_interpol!$B$1:$XFD$1, 0), 0)</f>
        <v>40423.435938779476</v>
      </c>
      <c r="V95" s="7">
        <f>VLOOKUP($B95, gdp_tot_mes!$B:$XFD, MATCH(gdp_capita_mesorreg!V$1, gdp_tot_mes!$B$1:$XFD$1, 0), 0)*1000/VLOOKUP($B95, pop_mesorreg_interpol!$B:$XFD, MATCH(gdp_capita_mesorreg!V$1, pop_mesorreg_interpol!$B$1:$XFD$1, 0), 0)</f>
        <v>32751.256282972685</v>
      </c>
      <c r="W95" s="7">
        <f>VLOOKUP($B95, gdp_tot_mes!$B:$XFD, MATCH(gdp_capita_mesorreg!W$1, gdp_tot_mes!$B$1:$XFD$1, 0), 0)*1000/VLOOKUP($B95, pop_mesorreg_interpol!$B:$XFD, MATCH(gdp_capita_mesorreg!W$1, pop_mesorreg_interpol!$B$1:$XFD$1, 0), 0)</f>
        <v>35203.23367446207</v>
      </c>
      <c r="X95" s="7">
        <f>VLOOKUP($B95, gdp_tot_mes!$B:$XFD, MATCH(gdp_capita_mesorreg!X$1, gdp_tot_mes!$B$1:$XFD$1, 0), 0)*1000/VLOOKUP($B95, pop_mesorreg_interpol!$B:$XFD, MATCH(gdp_capita_mesorreg!X$1, pop_mesorreg_interpol!$B$1:$XFD$1, 0), 0)</f>
        <v>25957.22613041331</v>
      </c>
      <c r="Y95" s="7">
        <f>VLOOKUP($B95, gdp_tot_mes!$B:$XFD, MATCH(gdp_capita_mesorreg!Y$1, gdp_tot_mes!$B$1:$XFD$1, 0), 0)*1000/VLOOKUP($B95, pop_mesorreg_interpol!$B:$XFD, MATCH(gdp_capita_mesorreg!Y$1, pop_mesorreg_interpol!$B$1:$XFD$1, 0), 0)</f>
        <v>27988.962064202769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x14ac:dyDescent="0.25">
      <c r="A96" s="1" t="s">
        <v>221</v>
      </c>
      <c r="B96" s="1" t="s">
        <v>230</v>
      </c>
      <c r="C96" s="1" t="s">
        <v>231</v>
      </c>
      <c r="D96" s="7">
        <f>VLOOKUP($B96, gdp_tot_mes!$B:$XFD, MATCH(gdp_capita_mesorreg!D$1, gdp_tot_mes!$B$1:$XFD$1, 0), 0)*1000/VLOOKUP($B96, pop_mesorreg_interpol!$B:$XFD, MATCH(gdp_capita_mesorreg!D$1, pop_mesorreg_interpol!$B$1:$XFD$1, 0), 0)</f>
        <v>768.19859346348267</v>
      </c>
      <c r="E96" s="7">
        <f>VLOOKUP($B96, gdp_tot_mes!$B:$XFD, MATCH(gdp_capita_mesorreg!E$1, gdp_tot_mes!$B$1:$XFD$1, 0), 0)*1000/VLOOKUP($B96, pop_mesorreg_interpol!$B:$XFD, MATCH(gdp_capita_mesorreg!E$1, pop_mesorreg_interpol!$B$1:$XFD$1, 0), 0)</f>
        <v>2562.2403665452912</v>
      </c>
      <c r="F96" s="7">
        <f>VLOOKUP($B96, gdp_tot_mes!$B:$XFD, MATCH(gdp_capita_mesorreg!F$1, gdp_tot_mes!$B$1:$XFD$1, 0), 0)*1000/VLOOKUP($B96, pop_mesorreg_interpol!$B:$XFD, MATCH(gdp_capita_mesorreg!F$1, pop_mesorreg_interpol!$B$1:$XFD$1, 0), 0)</f>
        <v>5770.5046775775436</v>
      </c>
      <c r="G96" s="7">
        <f>VLOOKUP($B96, gdp_tot_mes!$B:$XFD, MATCH(gdp_capita_mesorreg!G$1, gdp_tot_mes!$B$1:$XFD$1, 0), 0)*1000/VLOOKUP($B96, pop_mesorreg_interpol!$B:$XFD, MATCH(gdp_capita_mesorreg!G$1, pop_mesorreg_interpol!$B$1:$XFD$1, 0), 0)</f>
        <v>13165.951212014917</v>
      </c>
      <c r="H96" s="7">
        <f>VLOOKUP($B96, gdp_tot_mes!$B:$XFD, MATCH(gdp_capita_mesorreg!H$1, gdp_tot_mes!$B$1:$XFD$1, 0), 0)*1000/VLOOKUP($B96, pop_mesorreg_interpol!$B:$XFD, MATCH(gdp_capita_mesorreg!H$1, pop_mesorreg_interpol!$B$1:$XFD$1, 0), 0)</f>
        <v>12349.952762958179</v>
      </c>
      <c r="I96" s="7">
        <f>VLOOKUP($B96, gdp_tot_mes!$B:$XFD, MATCH(gdp_capita_mesorreg!I$1, gdp_tot_mes!$B$1:$XFD$1, 0), 0)*1000/VLOOKUP($B96, pop_mesorreg_interpol!$B:$XFD, MATCH(gdp_capita_mesorreg!I$1, pop_mesorreg_interpol!$B$1:$XFD$1, 0), 0)</f>
        <v>18660.649257280689</v>
      </c>
      <c r="J96" s="7">
        <f>VLOOKUP($B96, gdp_tot_mes!$B:$XFD, MATCH(gdp_capita_mesorreg!J$1, gdp_tot_mes!$B$1:$XFD$1, 0), 0)*1000/VLOOKUP($B96, pop_mesorreg_interpol!$B:$XFD, MATCH(gdp_capita_mesorreg!J$1, pop_mesorreg_interpol!$B$1:$XFD$1, 0), 0)</f>
        <v>22652.03605570344</v>
      </c>
      <c r="K96" s="7">
        <f>VLOOKUP($B96, gdp_tot_mes!$B:$XFD, MATCH(gdp_capita_mesorreg!K$1, gdp_tot_mes!$B$1:$XFD$1, 0), 0)*1000/VLOOKUP($B96, pop_mesorreg_interpol!$B:$XFD, MATCH(gdp_capita_mesorreg!K$1, pop_mesorreg_interpol!$B$1:$XFD$1, 0), 0)</f>
        <v>27053.090103879949</v>
      </c>
      <c r="L96" s="8">
        <f>VLOOKUP($B96, gdp_tot_mes!$B:$XFD, MATCH(gdp_capita_mesorreg!L$1, gdp_tot_mes!$B$1:$XFD$1, 0), 0)*1000/VLOOKUP($B96, pop_mesorreg_interpol!$B:$XFD, MATCH(gdp_capita_mesorreg!L$1, pop_mesorreg_interpol!$B$1:$XFD$1, 0), 0)</f>
        <v>23263.27052580893</v>
      </c>
      <c r="M96" s="7">
        <f>VLOOKUP($B96, gdp_tot_mes!$B:$XFD, MATCH(gdp_capita_mesorreg!M$1, gdp_tot_mes!$B$1:$XFD$1, 0), 0)*1000/VLOOKUP($B96, pop_mesorreg_interpol!$B:$XFD, MATCH(gdp_capita_mesorreg!M$1, pop_mesorreg_interpol!$B$1:$XFD$1, 0), 0)</f>
        <v>19377.531072307334</v>
      </c>
      <c r="N96" s="7">
        <f>VLOOKUP($B96, gdp_tot_mes!$B:$XFD, MATCH(gdp_capita_mesorreg!N$1, gdp_tot_mes!$B$1:$XFD$1, 0), 0)*1000/VLOOKUP($B96, pop_mesorreg_interpol!$B:$XFD, MATCH(gdp_capita_mesorreg!N$1, pop_mesorreg_interpol!$B$1:$XFD$1, 0), 0)</f>
        <v>25771.525805675545</v>
      </c>
      <c r="O96" s="7">
        <f>VLOOKUP($B96, gdp_tot_mes!$B:$XFD, MATCH(gdp_capita_mesorreg!O$1, gdp_tot_mes!$B$1:$XFD$1, 0), 0)*1000/VLOOKUP($B96, pop_mesorreg_interpol!$B:$XFD, MATCH(gdp_capita_mesorreg!O$1, pop_mesorreg_interpol!$B$1:$XFD$1, 0), 0)</f>
        <v>25427.406721649386</v>
      </c>
      <c r="P96" s="7">
        <f>VLOOKUP($B96, gdp_tot_mes!$B:$XFD, MATCH(gdp_capita_mesorreg!P$1, gdp_tot_mes!$B$1:$XFD$1, 0), 0)*1000/VLOOKUP($B96, pop_mesorreg_interpol!$B:$XFD, MATCH(gdp_capita_mesorreg!P$1, pop_mesorreg_interpol!$B$1:$XFD$1, 0), 0)</f>
        <v>25255.885879826128</v>
      </c>
      <c r="Q96" s="7">
        <f>VLOOKUP($B96, gdp_tot_mes!$B:$XFD, MATCH(gdp_capita_mesorreg!Q$1, gdp_tot_mes!$B$1:$XFD$1, 0), 0)*1000/VLOOKUP($B96, pop_mesorreg_interpol!$B:$XFD, MATCH(gdp_capita_mesorreg!Q$1, pop_mesorreg_interpol!$B$1:$XFD$1, 0), 0)</f>
        <v>24838.361547893765</v>
      </c>
      <c r="R96" s="7">
        <f>VLOOKUP($B96, gdp_tot_mes!$B:$XFD, MATCH(gdp_capita_mesorreg!R$1, gdp_tot_mes!$B$1:$XFD$1, 0), 0)*1000/VLOOKUP($B96, pop_mesorreg_interpol!$B:$XFD, MATCH(gdp_capita_mesorreg!R$1, pop_mesorreg_interpol!$B$1:$XFD$1, 0), 0)</f>
        <v>25434.943032028423</v>
      </c>
      <c r="S96" s="7">
        <f>VLOOKUP($B96, gdp_tot_mes!$B:$XFD, MATCH(gdp_capita_mesorreg!S$1, gdp_tot_mes!$B$1:$XFD$1, 0), 0)*1000/VLOOKUP($B96, pop_mesorreg_interpol!$B:$XFD, MATCH(gdp_capita_mesorreg!S$1, pop_mesorreg_interpol!$B$1:$XFD$1, 0), 0)</f>
        <v>30959.302933088478</v>
      </c>
      <c r="T96" s="7">
        <f>VLOOKUP($B96, gdp_tot_mes!$B:$XFD, MATCH(gdp_capita_mesorreg!T$1, gdp_tot_mes!$B$1:$XFD$1, 0), 0)*1000/VLOOKUP($B96, pop_mesorreg_interpol!$B:$XFD, MATCH(gdp_capita_mesorreg!T$1, pop_mesorreg_interpol!$B$1:$XFD$1, 0), 0)</f>
        <v>28250.735973309958</v>
      </c>
      <c r="U96" s="7">
        <f>VLOOKUP($B96, gdp_tot_mes!$B:$XFD, MATCH(gdp_capita_mesorreg!U$1, gdp_tot_mes!$B$1:$XFD$1, 0), 0)*1000/VLOOKUP($B96, pop_mesorreg_interpol!$B:$XFD, MATCH(gdp_capita_mesorreg!U$1, pop_mesorreg_interpol!$B$1:$XFD$1, 0), 0)</f>
        <v>26417.641022800861</v>
      </c>
      <c r="V96" s="7">
        <f>VLOOKUP($B96, gdp_tot_mes!$B:$XFD, MATCH(gdp_capita_mesorreg!V$1, gdp_tot_mes!$B$1:$XFD$1, 0), 0)*1000/VLOOKUP($B96, pop_mesorreg_interpol!$B:$XFD, MATCH(gdp_capita_mesorreg!V$1, pop_mesorreg_interpol!$B$1:$XFD$1, 0), 0)</f>
        <v>27790.854102414156</v>
      </c>
      <c r="W96" s="7">
        <f>VLOOKUP($B96, gdp_tot_mes!$B:$XFD, MATCH(gdp_capita_mesorreg!W$1, gdp_tot_mes!$B$1:$XFD$1, 0), 0)*1000/VLOOKUP($B96, pop_mesorreg_interpol!$B:$XFD, MATCH(gdp_capita_mesorreg!W$1, pop_mesorreg_interpol!$B$1:$XFD$1, 0), 0)</f>
        <v>32835.43468850413</v>
      </c>
      <c r="X96" s="7">
        <f>VLOOKUP($B96, gdp_tot_mes!$B:$XFD, MATCH(gdp_capita_mesorreg!X$1, gdp_tot_mes!$B$1:$XFD$1, 0), 0)*1000/VLOOKUP($B96, pop_mesorreg_interpol!$B:$XFD, MATCH(gdp_capita_mesorreg!X$1, pop_mesorreg_interpol!$B$1:$XFD$1, 0), 0)</f>
        <v>33602.684239387287</v>
      </c>
      <c r="Y96" s="7">
        <f>VLOOKUP($B96, gdp_tot_mes!$B:$XFD, MATCH(gdp_capita_mesorreg!Y$1, gdp_tot_mes!$B$1:$XFD$1, 0), 0)*1000/VLOOKUP($B96, pop_mesorreg_interpol!$B:$XFD, MATCH(gdp_capita_mesorreg!Y$1, pop_mesorreg_interpol!$B$1:$XFD$1, 0), 0)</f>
        <v>37824.030103451485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x14ac:dyDescent="0.25">
      <c r="A97" s="1" t="s">
        <v>221</v>
      </c>
      <c r="B97" s="1" t="s">
        <v>232</v>
      </c>
      <c r="C97" s="1" t="s">
        <v>233</v>
      </c>
      <c r="D97" s="7">
        <f>VLOOKUP($B97, gdp_tot_mes!$B:$XFD, MATCH(gdp_capita_mesorreg!D$1, gdp_tot_mes!$B$1:$XFD$1, 0), 0)*1000/VLOOKUP($B97, pop_mesorreg_interpol!$B:$XFD, MATCH(gdp_capita_mesorreg!D$1, pop_mesorreg_interpol!$B$1:$XFD$1, 0), 0)</f>
        <v>2262.3563110415512</v>
      </c>
      <c r="E97" s="7">
        <f>VLOOKUP($B97, gdp_tot_mes!$B:$XFD, MATCH(gdp_capita_mesorreg!E$1, gdp_tot_mes!$B$1:$XFD$1, 0), 0)*1000/VLOOKUP($B97, pop_mesorreg_interpol!$B:$XFD, MATCH(gdp_capita_mesorreg!E$1, pop_mesorreg_interpol!$B$1:$XFD$1, 0), 0)</f>
        <v>7853.8088597475917</v>
      </c>
      <c r="F97" s="7">
        <f>VLOOKUP($B97, gdp_tot_mes!$B:$XFD, MATCH(gdp_capita_mesorreg!F$1, gdp_tot_mes!$B$1:$XFD$1, 0), 0)*1000/VLOOKUP($B97, pop_mesorreg_interpol!$B:$XFD, MATCH(gdp_capita_mesorreg!F$1, pop_mesorreg_interpol!$B$1:$XFD$1, 0), 0)</f>
        <v>9796.5552921804629</v>
      </c>
      <c r="G97" s="7">
        <f>VLOOKUP($B97, gdp_tot_mes!$B:$XFD, MATCH(gdp_capita_mesorreg!G$1, gdp_tot_mes!$B$1:$XFD$1, 0), 0)*1000/VLOOKUP($B97, pop_mesorreg_interpol!$B:$XFD, MATCH(gdp_capita_mesorreg!G$1, pop_mesorreg_interpol!$B$1:$XFD$1, 0), 0)</f>
        <v>10943.067542676494</v>
      </c>
      <c r="H97" s="7">
        <f>VLOOKUP($B97, gdp_tot_mes!$B:$XFD, MATCH(gdp_capita_mesorreg!H$1, gdp_tot_mes!$B$1:$XFD$1, 0), 0)*1000/VLOOKUP($B97, pop_mesorreg_interpol!$B:$XFD, MATCH(gdp_capita_mesorreg!H$1, pop_mesorreg_interpol!$B$1:$XFD$1, 0), 0)</f>
        <v>14422.542275163907</v>
      </c>
      <c r="I97" s="7">
        <f>VLOOKUP($B97, gdp_tot_mes!$B:$XFD, MATCH(gdp_capita_mesorreg!I$1, gdp_tot_mes!$B$1:$XFD$1, 0), 0)*1000/VLOOKUP($B97, pop_mesorreg_interpol!$B:$XFD, MATCH(gdp_capita_mesorreg!I$1, pop_mesorreg_interpol!$B$1:$XFD$1, 0), 0)</f>
        <v>19720.504147299958</v>
      </c>
      <c r="J97" s="7">
        <f>VLOOKUP($B97, gdp_tot_mes!$B:$XFD, MATCH(gdp_capita_mesorreg!J$1, gdp_tot_mes!$B$1:$XFD$1, 0), 0)*1000/VLOOKUP($B97, pop_mesorreg_interpol!$B:$XFD, MATCH(gdp_capita_mesorreg!J$1, pop_mesorreg_interpol!$B$1:$XFD$1, 0), 0)</f>
        <v>22772.410730308355</v>
      </c>
      <c r="K97" s="7">
        <f>VLOOKUP($B97, gdp_tot_mes!$B:$XFD, MATCH(gdp_capita_mesorreg!K$1, gdp_tot_mes!$B$1:$XFD$1, 0), 0)*1000/VLOOKUP($B97, pop_mesorreg_interpol!$B:$XFD, MATCH(gdp_capita_mesorreg!K$1, pop_mesorreg_interpol!$B$1:$XFD$1, 0), 0)</f>
        <v>21127.553584760386</v>
      </c>
      <c r="L97" s="8">
        <f>VLOOKUP($B97, gdp_tot_mes!$B:$XFD, MATCH(gdp_capita_mesorreg!L$1, gdp_tot_mes!$B$1:$XFD$1, 0), 0)*1000/VLOOKUP($B97, pop_mesorreg_interpol!$B:$XFD, MATCH(gdp_capita_mesorreg!L$1, pop_mesorreg_interpol!$B$1:$XFD$1, 0), 0)</f>
        <v>20982.010726752851</v>
      </c>
      <c r="M97" s="7">
        <f>VLOOKUP($B97, gdp_tot_mes!$B:$XFD, MATCH(gdp_capita_mesorreg!M$1, gdp_tot_mes!$B$1:$XFD$1, 0), 0)*1000/VLOOKUP($B97, pop_mesorreg_interpol!$B:$XFD, MATCH(gdp_capita_mesorreg!M$1, pop_mesorreg_interpol!$B$1:$XFD$1, 0), 0)</f>
        <v>20824.24495789886</v>
      </c>
      <c r="N97" s="7">
        <f>VLOOKUP($B97, gdp_tot_mes!$B:$XFD, MATCH(gdp_capita_mesorreg!N$1, gdp_tot_mes!$B$1:$XFD$1, 0), 0)*1000/VLOOKUP($B97, pop_mesorreg_interpol!$B:$XFD, MATCH(gdp_capita_mesorreg!N$1, pop_mesorreg_interpol!$B$1:$XFD$1, 0), 0)</f>
        <v>22198.275462094447</v>
      </c>
      <c r="O97" s="7">
        <f>VLOOKUP($B97, gdp_tot_mes!$B:$XFD, MATCH(gdp_capita_mesorreg!O$1, gdp_tot_mes!$B$1:$XFD$1, 0), 0)*1000/VLOOKUP($B97, pop_mesorreg_interpol!$B:$XFD, MATCH(gdp_capita_mesorreg!O$1, pop_mesorreg_interpol!$B$1:$XFD$1, 0), 0)</f>
        <v>21762.906140781899</v>
      </c>
      <c r="P97" s="7">
        <f>VLOOKUP($B97, gdp_tot_mes!$B:$XFD, MATCH(gdp_capita_mesorreg!P$1, gdp_tot_mes!$B$1:$XFD$1, 0), 0)*1000/VLOOKUP($B97, pop_mesorreg_interpol!$B:$XFD, MATCH(gdp_capita_mesorreg!P$1, pop_mesorreg_interpol!$B$1:$XFD$1, 0), 0)</f>
        <v>21700.737849892779</v>
      </c>
      <c r="Q97" s="7">
        <f>VLOOKUP($B97, gdp_tot_mes!$B:$XFD, MATCH(gdp_capita_mesorreg!Q$1, gdp_tot_mes!$B$1:$XFD$1, 0), 0)*1000/VLOOKUP($B97, pop_mesorreg_interpol!$B:$XFD, MATCH(gdp_capita_mesorreg!Q$1, pop_mesorreg_interpol!$B$1:$XFD$1, 0), 0)</f>
        <v>21724.175661367084</v>
      </c>
      <c r="R97" s="7">
        <f>VLOOKUP($B97, gdp_tot_mes!$B:$XFD, MATCH(gdp_capita_mesorreg!R$1, gdp_tot_mes!$B$1:$XFD$1, 0), 0)*1000/VLOOKUP($B97, pop_mesorreg_interpol!$B:$XFD, MATCH(gdp_capita_mesorreg!R$1, pop_mesorreg_interpol!$B$1:$XFD$1, 0), 0)</f>
        <v>20242.75262998321</v>
      </c>
      <c r="S97" s="7">
        <f>VLOOKUP($B97, gdp_tot_mes!$B:$XFD, MATCH(gdp_capita_mesorreg!S$1, gdp_tot_mes!$B$1:$XFD$1, 0), 0)*1000/VLOOKUP($B97, pop_mesorreg_interpol!$B:$XFD, MATCH(gdp_capita_mesorreg!S$1, pop_mesorreg_interpol!$B$1:$XFD$1, 0), 0)</f>
        <v>21905.35315545015</v>
      </c>
      <c r="T97" s="7">
        <f>VLOOKUP($B97, gdp_tot_mes!$B:$XFD, MATCH(gdp_capita_mesorreg!T$1, gdp_tot_mes!$B$1:$XFD$1, 0), 0)*1000/VLOOKUP($B97, pop_mesorreg_interpol!$B:$XFD, MATCH(gdp_capita_mesorreg!T$1, pop_mesorreg_interpol!$B$1:$XFD$1, 0), 0)</f>
        <v>21672.919399411046</v>
      </c>
      <c r="U97" s="7">
        <f>VLOOKUP($B97, gdp_tot_mes!$B:$XFD, MATCH(gdp_capita_mesorreg!U$1, gdp_tot_mes!$B$1:$XFD$1, 0), 0)*1000/VLOOKUP($B97, pop_mesorreg_interpol!$B:$XFD, MATCH(gdp_capita_mesorreg!U$1, pop_mesorreg_interpol!$B$1:$XFD$1, 0), 0)</f>
        <v>21305.42607858339</v>
      </c>
      <c r="V97" s="7">
        <f>VLOOKUP($B97, gdp_tot_mes!$B:$XFD, MATCH(gdp_capita_mesorreg!V$1, gdp_tot_mes!$B$1:$XFD$1, 0), 0)*1000/VLOOKUP($B97, pop_mesorreg_interpol!$B:$XFD, MATCH(gdp_capita_mesorreg!V$1, pop_mesorreg_interpol!$B$1:$XFD$1, 0), 0)</f>
        <v>22584.20023763441</v>
      </c>
      <c r="W97" s="7">
        <f>VLOOKUP($B97, gdp_tot_mes!$B:$XFD, MATCH(gdp_capita_mesorreg!W$1, gdp_tot_mes!$B$1:$XFD$1, 0), 0)*1000/VLOOKUP($B97, pop_mesorreg_interpol!$B:$XFD, MATCH(gdp_capita_mesorreg!W$1, pop_mesorreg_interpol!$B$1:$XFD$1, 0), 0)</f>
        <v>22092.730012807275</v>
      </c>
      <c r="X97" s="7">
        <f>VLOOKUP($B97, gdp_tot_mes!$B:$XFD, MATCH(gdp_capita_mesorreg!X$1, gdp_tot_mes!$B$1:$XFD$1, 0), 0)*1000/VLOOKUP($B97, pop_mesorreg_interpol!$B:$XFD, MATCH(gdp_capita_mesorreg!X$1, pop_mesorreg_interpol!$B$1:$XFD$1, 0), 0)</f>
        <v>22464.467700079185</v>
      </c>
      <c r="Y97" s="7">
        <f>VLOOKUP($B97, gdp_tot_mes!$B:$XFD, MATCH(gdp_capita_mesorreg!Y$1, gdp_tot_mes!$B$1:$XFD$1, 0), 0)*1000/VLOOKUP($B97, pop_mesorreg_interpol!$B:$XFD, MATCH(gdp_capita_mesorreg!Y$1, pop_mesorreg_interpol!$B$1:$XFD$1, 0), 0)</f>
        <v>23033.051158863727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x14ac:dyDescent="0.25">
      <c r="A98" s="1" t="s">
        <v>234</v>
      </c>
      <c r="B98" s="1" t="s">
        <v>235</v>
      </c>
      <c r="C98" s="1" t="s">
        <v>236</v>
      </c>
      <c r="D98" s="7">
        <f>VLOOKUP($B98, gdp_tot_mes!$B:$XFD, MATCH(gdp_capita_mesorreg!D$1, gdp_tot_mes!$B$1:$XFD$1, 0), 0)*1000/VLOOKUP($B98, pop_mesorreg_interpol!$B:$XFD, MATCH(gdp_capita_mesorreg!D$1, pop_mesorreg_interpol!$B$1:$XFD$1, 0), 0)</f>
        <v>378.42710657755731</v>
      </c>
      <c r="E98" s="7">
        <f>VLOOKUP($B98, gdp_tot_mes!$B:$XFD, MATCH(gdp_capita_mesorreg!E$1, gdp_tot_mes!$B$1:$XFD$1, 0), 0)*1000/VLOOKUP($B98, pop_mesorreg_interpol!$B:$XFD, MATCH(gdp_capita_mesorreg!E$1, pop_mesorreg_interpol!$B$1:$XFD$1, 0), 0)</f>
        <v>1208.5068327840888</v>
      </c>
      <c r="F98" s="7">
        <f>VLOOKUP($B98, gdp_tot_mes!$B:$XFD, MATCH(gdp_capita_mesorreg!F$1, gdp_tot_mes!$B$1:$XFD$1, 0), 0)*1000/VLOOKUP($B98, pop_mesorreg_interpol!$B:$XFD, MATCH(gdp_capita_mesorreg!F$1, pop_mesorreg_interpol!$B$1:$XFD$1, 0), 0)</f>
        <v>1631.0701415760234</v>
      </c>
      <c r="G98" s="7">
        <f>VLOOKUP($B98, gdp_tot_mes!$B:$XFD, MATCH(gdp_capita_mesorreg!G$1, gdp_tot_mes!$B$1:$XFD$1, 0), 0)*1000/VLOOKUP($B98, pop_mesorreg_interpol!$B:$XFD, MATCH(gdp_capita_mesorreg!G$1, pop_mesorreg_interpol!$B$1:$XFD$1, 0), 0)</f>
        <v>2653.6816728167037</v>
      </c>
      <c r="H98" s="7">
        <f>VLOOKUP($B98, gdp_tot_mes!$B:$XFD, MATCH(gdp_capita_mesorreg!H$1, gdp_tot_mes!$B$1:$XFD$1, 0), 0)*1000/VLOOKUP($B98, pop_mesorreg_interpol!$B:$XFD, MATCH(gdp_capita_mesorreg!H$1, pop_mesorreg_interpol!$B$1:$XFD$1, 0), 0)</f>
        <v>1650.7259508960983</v>
      </c>
      <c r="I98" s="7">
        <f>VLOOKUP($B98, gdp_tot_mes!$B:$XFD, MATCH(gdp_capita_mesorreg!I$1, gdp_tot_mes!$B$1:$XFD$1, 0), 0)*1000/VLOOKUP($B98, pop_mesorreg_interpol!$B:$XFD, MATCH(gdp_capita_mesorreg!I$1, pop_mesorreg_interpol!$B$1:$XFD$1, 0), 0)</f>
        <v>3285.3563126383765</v>
      </c>
      <c r="J98" s="7">
        <f>VLOOKUP($B98, gdp_tot_mes!$B:$XFD, MATCH(gdp_capita_mesorreg!J$1, gdp_tot_mes!$B$1:$XFD$1, 0), 0)*1000/VLOOKUP($B98, pop_mesorreg_interpol!$B:$XFD, MATCH(gdp_capita_mesorreg!J$1, pop_mesorreg_interpol!$B$1:$XFD$1, 0), 0)</f>
        <v>4063.9236525614747</v>
      </c>
      <c r="K98" s="7">
        <f>VLOOKUP($B98, gdp_tot_mes!$B:$XFD, MATCH(gdp_capita_mesorreg!K$1, gdp_tot_mes!$B$1:$XFD$1, 0), 0)*1000/VLOOKUP($B98, pop_mesorreg_interpol!$B:$XFD, MATCH(gdp_capita_mesorreg!K$1, pop_mesorreg_interpol!$B$1:$XFD$1, 0), 0)</f>
        <v>6359.2156947893172</v>
      </c>
      <c r="L98" s="8">
        <f>VLOOKUP($B98, gdp_tot_mes!$B:$XFD, MATCH(gdp_capita_mesorreg!L$1, gdp_tot_mes!$B$1:$XFD$1, 0), 0)*1000/VLOOKUP($B98, pop_mesorreg_interpol!$B:$XFD, MATCH(gdp_capita_mesorreg!L$1, pop_mesorreg_interpol!$B$1:$XFD$1, 0), 0)</f>
        <v>5138.611021762782</v>
      </c>
      <c r="M98" s="7">
        <f>VLOOKUP($B98, gdp_tot_mes!$B:$XFD, MATCH(gdp_capita_mesorreg!M$1, gdp_tot_mes!$B$1:$XFD$1, 0), 0)*1000/VLOOKUP($B98, pop_mesorreg_interpol!$B:$XFD, MATCH(gdp_capita_mesorreg!M$1, pop_mesorreg_interpol!$B$1:$XFD$1, 0), 0)</f>
        <v>3875.2480574057986</v>
      </c>
      <c r="N98" s="7">
        <f>VLOOKUP($B98, gdp_tot_mes!$B:$XFD, MATCH(gdp_capita_mesorreg!N$1, gdp_tot_mes!$B$1:$XFD$1, 0), 0)*1000/VLOOKUP($B98, pop_mesorreg_interpol!$B:$XFD, MATCH(gdp_capita_mesorreg!N$1, pop_mesorreg_interpol!$B$1:$XFD$1, 0), 0)</f>
        <v>6121.2024378161932</v>
      </c>
      <c r="O98" s="7">
        <f>VLOOKUP($B98, gdp_tot_mes!$B:$XFD, MATCH(gdp_capita_mesorreg!O$1, gdp_tot_mes!$B$1:$XFD$1, 0), 0)*1000/VLOOKUP($B98, pop_mesorreg_interpol!$B:$XFD, MATCH(gdp_capita_mesorreg!O$1, pop_mesorreg_interpol!$B$1:$XFD$1, 0), 0)</f>
        <v>6899.4280781524458</v>
      </c>
      <c r="P98" s="7">
        <f>VLOOKUP($B98, gdp_tot_mes!$B:$XFD, MATCH(gdp_capita_mesorreg!P$1, gdp_tot_mes!$B$1:$XFD$1, 0), 0)*1000/VLOOKUP($B98, pop_mesorreg_interpol!$B:$XFD, MATCH(gdp_capita_mesorreg!P$1, pop_mesorreg_interpol!$B$1:$XFD$1, 0), 0)</f>
        <v>7020.1493193714441</v>
      </c>
      <c r="Q98" s="7">
        <f>VLOOKUP($B98, gdp_tot_mes!$B:$XFD, MATCH(gdp_capita_mesorreg!Q$1, gdp_tot_mes!$B$1:$XFD$1, 0), 0)*1000/VLOOKUP($B98, pop_mesorreg_interpol!$B:$XFD, MATCH(gdp_capita_mesorreg!Q$1, pop_mesorreg_interpol!$B$1:$XFD$1, 0), 0)</f>
        <v>8177.0052373618018</v>
      </c>
      <c r="R98" s="7">
        <f>VLOOKUP($B98, gdp_tot_mes!$B:$XFD, MATCH(gdp_capita_mesorreg!R$1, gdp_tot_mes!$B$1:$XFD$1, 0), 0)*1000/VLOOKUP($B98, pop_mesorreg_interpol!$B:$XFD, MATCH(gdp_capita_mesorreg!R$1, pop_mesorreg_interpol!$B$1:$XFD$1, 0), 0)</f>
        <v>7496.7866058436894</v>
      </c>
      <c r="S98" s="7">
        <f>VLOOKUP($B98, gdp_tot_mes!$B:$XFD, MATCH(gdp_capita_mesorreg!S$1, gdp_tot_mes!$B$1:$XFD$1, 0), 0)*1000/VLOOKUP($B98, pop_mesorreg_interpol!$B:$XFD, MATCH(gdp_capita_mesorreg!S$1, pop_mesorreg_interpol!$B$1:$XFD$1, 0), 0)</f>
        <v>8084.9522038408631</v>
      </c>
      <c r="T98" s="7">
        <f>VLOOKUP($B98, gdp_tot_mes!$B:$XFD, MATCH(gdp_capita_mesorreg!T$1, gdp_tot_mes!$B$1:$XFD$1, 0), 0)*1000/VLOOKUP($B98, pop_mesorreg_interpol!$B:$XFD, MATCH(gdp_capita_mesorreg!T$1, pop_mesorreg_interpol!$B$1:$XFD$1, 0), 0)</f>
        <v>8623.9100527525788</v>
      </c>
      <c r="U98" s="7">
        <f>VLOOKUP($B98, gdp_tot_mes!$B:$XFD, MATCH(gdp_capita_mesorreg!U$1, gdp_tot_mes!$B$1:$XFD$1, 0), 0)*1000/VLOOKUP($B98, pop_mesorreg_interpol!$B:$XFD, MATCH(gdp_capita_mesorreg!U$1, pop_mesorreg_interpol!$B$1:$XFD$1, 0), 0)</f>
        <v>9203.5420222122175</v>
      </c>
      <c r="V98" s="7">
        <f>VLOOKUP($B98, gdp_tot_mes!$B:$XFD, MATCH(gdp_capita_mesorreg!V$1, gdp_tot_mes!$B$1:$XFD$1, 0), 0)*1000/VLOOKUP($B98, pop_mesorreg_interpol!$B:$XFD, MATCH(gdp_capita_mesorreg!V$1, pop_mesorreg_interpol!$B$1:$XFD$1, 0), 0)</f>
        <v>9649.964147147637</v>
      </c>
      <c r="W98" s="7">
        <f>VLOOKUP($B98, gdp_tot_mes!$B:$XFD, MATCH(gdp_capita_mesorreg!W$1, gdp_tot_mes!$B$1:$XFD$1, 0), 0)*1000/VLOOKUP($B98, pop_mesorreg_interpol!$B:$XFD, MATCH(gdp_capita_mesorreg!W$1, pop_mesorreg_interpol!$B$1:$XFD$1, 0), 0)</f>
        <v>9309.9541933217351</v>
      </c>
      <c r="X98" s="7">
        <f>VLOOKUP($B98, gdp_tot_mes!$B:$XFD, MATCH(gdp_capita_mesorreg!X$1, gdp_tot_mes!$B$1:$XFD$1, 0), 0)*1000/VLOOKUP($B98, pop_mesorreg_interpol!$B:$XFD, MATCH(gdp_capita_mesorreg!X$1, pop_mesorreg_interpol!$B$1:$XFD$1, 0), 0)</f>
        <v>8623.5688249894756</v>
      </c>
      <c r="Y98" s="7">
        <f>VLOOKUP($B98, gdp_tot_mes!$B:$XFD, MATCH(gdp_capita_mesorreg!Y$1, gdp_tot_mes!$B$1:$XFD$1, 0), 0)*1000/VLOOKUP($B98, pop_mesorreg_interpol!$B:$XFD, MATCH(gdp_capita_mesorreg!Y$1, pop_mesorreg_interpol!$B$1:$XFD$1, 0), 0)</f>
        <v>9434.6432545024982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x14ac:dyDescent="0.25">
      <c r="A99" s="1" t="s">
        <v>234</v>
      </c>
      <c r="B99" s="1" t="s">
        <v>237</v>
      </c>
      <c r="C99" s="1" t="s">
        <v>238</v>
      </c>
      <c r="D99" s="7">
        <f>VLOOKUP($B99, gdp_tot_mes!$B:$XFD, MATCH(gdp_capita_mesorreg!D$1, gdp_tot_mes!$B$1:$XFD$1, 0), 0)*1000/VLOOKUP($B99, pop_mesorreg_interpol!$B:$XFD, MATCH(gdp_capita_mesorreg!D$1, pop_mesorreg_interpol!$B$1:$XFD$1, 0), 0)</f>
        <v>332.77664567300405</v>
      </c>
      <c r="E99" s="7">
        <f>VLOOKUP($B99, gdp_tot_mes!$B:$XFD, MATCH(gdp_capita_mesorreg!E$1, gdp_tot_mes!$B$1:$XFD$1, 0), 0)*1000/VLOOKUP($B99, pop_mesorreg_interpol!$B:$XFD, MATCH(gdp_capita_mesorreg!E$1, pop_mesorreg_interpol!$B$1:$XFD$1, 0), 0)</f>
        <v>856.27935735477672</v>
      </c>
      <c r="F99" s="7">
        <f>VLOOKUP($B99, gdp_tot_mes!$B:$XFD, MATCH(gdp_capita_mesorreg!F$1, gdp_tot_mes!$B$1:$XFD$1, 0), 0)*1000/VLOOKUP($B99, pop_mesorreg_interpol!$B:$XFD, MATCH(gdp_capita_mesorreg!F$1, pop_mesorreg_interpol!$B$1:$XFD$1, 0), 0)</f>
        <v>1427.3603687489797</v>
      </c>
      <c r="G99" s="7">
        <f>VLOOKUP($B99, gdp_tot_mes!$B:$XFD, MATCH(gdp_capita_mesorreg!G$1, gdp_tot_mes!$B$1:$XFD$1, 0), 0)*1000/VLOOKUP($B99, pop_mesorreg_interpol!$B:$XFD, MATCH(gdp_capita_mesorreg!G$1, pop_mesorreg_interpol!$B$1:$XFD$1, 0), 0)</f>
        <v>2301.7359307957831</v>
      </c>
      <c r="H99" s="7">
        <f>VLOOKUP($B99, gdp_tot_mes!$B:$XFD, MATCH(gdp_capita_mesorreg!H$1, gdp_tot_mes!$B$1:$XFD$1, 0), 0)*1000/VLOOKUP($B99, pop_mesorreg_interpol!$B:$XFD, MATCH(gdp_capita_mesorreg!H$1, pop_mesorreg_interpol!$B$1:$XFD$1, 0), 0)</f>
        <v>2103.7126938909819</v>
      </c>
      <c r="I99" s="7">
        <f>VLOOKUP($B99, gdp_tot_mes!$B:$XFD, MATCH(gdp_capita_mesorreg!I$1, gdp_tot_mes!$B$1:$XFD$1, 0), 0)*1000/VLOOKUP($B99, pop_mesorreg_interpol!$B:$XFD, MATCH(gdp_capita_mesorreg!I$1, pop_mesorreg_interpol!$B$1:$XFD$1, 0), 0)</f>
        <v>4104.8629561057087</v>
      </c>
      <c r="J99" s="7">
        <f>VLOOKUP($B99, gdp_tot_mes!$B:$XFD, MATCH(gdp_capita_mesorreg!J$1, gdp_tot_mes!$B$1:$XFD$1, 0), 0)*1000/VLOOKUP($B99, pop_mesorreg_interpol!$B:$XFD, MATCH(gdp_capita_mesorreg!J$1, pop_mesorreg_interpol!$B$1:$XFD$1, 0), 0)</f>
        <v>4235.1210179015006</v>
      </c>
      <c r="K99" s="7">
        <f>VLOOKUP($B99, gdp_tot_mes!$B:$XFD, MATCH(gdp_capita_mesorreg!K$1, gdp_tot_mes!$B$1:$XFD$1, 0), 0)*1000/VLOOKUP($B99, pop_mesorreg_interpol!$B:$XFD, MATCH(gdp_capita_mesorreg!K$1, pop_mesorreg_interpol!$B$1:$XFD$1, 0), 0)</f>
        <v>7362.0452755447113</v>
      </c>
      <c r="L99" s="8">
        <f>VLOOKUP($B99, gdp_tot_mes!$B:$XFD, MATCH(gdp_capita_mesorreg!L$1, gdp_tot_mes!$B$1:$XFD$1, 0), 0)*1000/VLOOKUP($B99, pop_mesorreg_interpol!$B:$XFD, MATCH(gdp_capita_mesorreg!L$1, pop_mesorreg_interpol!$B$1:$XFD$1, 0), 0)</f>
        <v>5611.276662074094</v>
      </c>
      <c r="M99" s="7">
        <f>VLOOKUP($B99, gdp_tot_mes!$B:$XFD, MATCH(gdp_capita_mesorreg!M$1, gdp_tot_mes!$B$1:$XFD$1, 0), 0)*1000/VLOOKUP($B99, pop_mesorreg_interpol!$B:$XFD, MATCH(gdp_capita_mesorreg!M$1, pop_mesorreg_interpol!$B$1:$XFD$1, 0), 0)</f>
        <v>3682.6207144879399</v>
      </c>
      <c r="N99" s="7">
        <f>VLOOKUP($B99, gdp_tot_mes!$B:$XFD, MATCH(gdp_capita_mesorreg!N$1, gdp_tot_mes!$B$1:$XFD$1, 0), 0)*1000/VLOOKUP($B99, pop_mesorreg_interpol!$B:$XFD, MATCH(gdp_capita_mesorreg!N$1, pop_mesorreg_interpol!$B$1:$XFD$1, 0), 0)</f>
        <v>5522.468861920267</v>
      </c>
      <c r="O99" s="7">
        <f>VLOOKUP($B99, gdp_tot_mes!$B:$XFD, MATCH(gdp_capita_mesorreg!O$1, gdp_tot_mes!$B$1:$XFD$1, 0), 0)*1000/VLOOKUP($B99, pop_mesorreg_interpol!$B:$XFD, MATCH(gdp_capita_mesorreg!O$1, pop_mesorreg_interpol!$B$1:$XFD$1, 0), 0)</f>
        <v>5865.998133936786</v>
      </c>
      <c r="P99" s="7">
        <f>VLOOKUP($B99, gdp_tot_mes!$B:$XFD, MATCH(gdp_capita_mesorreg!P$1, gdp_tot_mes!$B$1:$XFD$1, 0), 0)*1000/VLOOKUP($B99, pop_mesorreg_interpol!$B:$XFD, MATCH(gdp_capita_mesorreg!P$1, pop_mesorreg_interpol!$B$1:$XFD$1, 0), 0)</f>
        <v>6090.4313972660229</v>
      </c>
      <c r="Q99" s="7">
        <f>VLOOKUP($B99, gdp_tot_mes!$B:$XFD, MATCH(gdp_capita_mesorreg!Q$1, gdp_tot_mes!$B$1:$XFD$1, 0), 0)*1000/VLOOKUP($B99, pop_mesorreg_interpol!$B:$XFD, MATCH(gdp_capita_mesorreg!Q$1, pop_mesorreg_interpol!$B$1:$XFD$1, 0), 0)</f>
        <v>6728.3067984244835</v>
      </c>
      <c r="R99" s="7">
        <f>VLOOKUP($B99, gdp_tot_mes!$B:$XFD, MATCH(gdp_capita_mesorreg!R$1, gdp_tot_mes!$B$1:$XFD$1, 0), 0)*1000/VLOOKUP($B99, pop_mesorreg_interpol!$B:$XFD, MATCH(gdp_capita_mesorreg!R$1, pop_mesorreg_interpol!$B$1:$XFD$1, 0), 0)</f>
        <v>6148.8751201162668</v>
      </c>
      <c r="S99" s="7">
        <f>VLOOKUP($B99, gdp_tot_mes!$B:$XFD, MATCH(gdp_capita_mesorreg!S$1, gdp_tot_mes!$B$1:$XFD$1, 0), 0)*1000/VLOOKUP($B99, pop_mesorreg_interpol!$B:$XFD, MATCH(gdp_capita_mesorreg!S$1, pop_mesorreg_interpol!$B$1:$XFD$1, 0), 0)</f>
        <v>6573.7282818924914</v>
      </c>
      <c r="T99" s="7">
        <f>VLOOKUP($B99, gdp_tot_mes!$B:$XFD, MATCH(gdp_capita_mesorreg!T$1, gdp_tot_mes!$B$1:$XFD$1, 0), 0)*1000/VLOOKUP($B99, pop_mesorreg_interpol!$B:$XFD, MATCH(gdp_capita_mesorreg!T$1, pop_mesorreg_interpol!$B$1:$XFD$1, 0), 0)</f>
        <v>7405.1142314793296</v>
      </c>
      <c r="U99" s="7">
        <f>VLOOKUP($B99, gdp_tot_mes!$B:$XFD, MATCH(gdp_capita_mesorreg!U$1, gdp_tot_mes!$B$1:$XFD$1, 0), 0)*1000/VLOOKUP($B99, pop_mesorreg_interpol!$B:$XFD, MATCH(gdp_capita_mesorreg!U$1, pop_mesorreg_interpol!$B$1:$XFD$1, 0), 0)</f>
        <v>8209.6251605323723</v>
      </c>
      <c r="V99" s="7">
        <f>VLOOKUP($B99, gdp_tot_mes!$B:$XFD, MATCH(gdp_capita_mesorreg!V$1, gdp_tot_mes!$B$1:$XFD$1, 0), 0)*1000/VLOOKUP($B99, pop_mesorreg_interpol!$B:$XFD, MATCH(gdp_capita_mesorreg!V$1, pop_mesorreg_interpol!$B$1:$XFD$1, 0), 0)</f>
        <v>9649.5469664927678</v>
      </c>
      <c r="W99" s="7">
        <f>VLOOKUP($B99, gdp_tot_mes!$B:$XFD, MATCH(gdp_capita_mesorreg!W$1, gdp_tot_mes!$B$1:$XFD$1, 0), 0)*1000/VLOOKUP($B99, pop_mesorreg_interpol!$B:$XFD, MATCH(gdp_capita_mesorreg!W$1, pop_mesorreg_interpol!$B$1:$XFD$1, 0), 0)</f>
        <v>10908.066042665265</v>
      </c>
      <c r="X99" s="7">
        <f>VLOOKUP($B99, gdp_tot_mes!$B:$XFD, MATCH(gdp_capita_mesorreg!X$1, gdp_tot_mes!$B$1:$XFD$1, 0), 0)*1000/VLOOKUP($B99, pop_mesorreg_interpol!$B:$XFD, MATCH(gdp_capita_mesorreg!X$1, pop_mesorreg_interpol!$B$1:$XFD$1, 0), 0)</f>
        <v>9946.5386526913971</v>
      </c>
      <c r="Y99" s="7">
        <f>VLOOKUP($B99, gdp_tot_mes!$B:$XFD, MATCH(gdp_capita_mesorreg!Y$1, gdp_tot_mes!$B$1:$XFD$1, 0), 0)*1000/VLOOKUP($B99, pop_mesorreg_interpol!$B:$XFD, MATCH(gdp_capita_mesorreg!Y$1, pop_mesorreg_interpol!$B$1:$XFD$1, 0), 0)</f>
        <v>10249.367755587331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x14ac:dyDescent="0.25">
      <c r="A100" s="1" t="s">
        <v>234</v>
      </c>
      <c r="B100" s="1" t="s">
        <v>239</v>
      </c>
      <c r="C100" s="1" t="s">
        <v>240</v>
      </c>
      <c r="D100" s="7">
        <f>VLOOKUP($B100, gdp_tot_mes!$B:$XFD, MATCH(gdp_capita_mesorreg!D$1, gdp_tot_mes!$B$1:$XFD$1, 0), 0)*1000/VLOOKUP($B100, pop_mesorreg_interpol!$B:$XFD, MATCH(gdp_capita_mesorreg!D$1, pop_mesorreg_interpol!$B$1:$XFD$1, 0), 0)</f>
        <v>280.62102303716625</v>
      </c>
      <c r="E100" s="7">
        <f>VLOOKUP($B100, gdp_tot_mes!$B:$XFD, MATCH(gdp_capita_mesorreg!E$1, gdp_tot_mes!$B$1:$XFD$1, 0), 0)*1000/VLOOKUP($B100, pop_mesorreg_interpol!$B:$XFD, MATCH(gdp_capita_mesorreg!E$1, pop_mesorreg_interpol!$B$1:$XFD$1, 0), 0)</f>
        <v>499.22171268850832</v>
      </c>
      <c r="F100" s="7">
        <f>VLOOKUP($B100, gdp_tot_mes!$B:$XFD, MATCH(gdp_capita_mesorreg!F$1, gdp_tot_mes!$B$1:$XFD$1, 0), 0)*1000/VLOOKUP($B100, pop_mesorreg_interpol!$B:$XFD, MATCH(gdp_capita_mesorreg!F$1, pop_mesorreg_interpol!$B$1:$XFD$1, 0), 0)</f>
        <v>669.7694039552897</v>
      </c>
      <c r="G100" s="7">
        <f>VLOOKUP($B100, gdp_tot_mes!$B:$XFD, MATCH(gdp_capita_mesorreg!G$1, gdp_tot_mes!$B$1:$XFD$1, 0), 0)*1000/VLOOKUP($B100, pop_mesorreg_interpol!$B:$XFD, MATCH(gdp_capita_mesorreg!G$1, pop_mesorreg_interpol!$B$1:$XFD$1, 0), 0)</f>
        <v>1698.8409066909135</v>
      </c>
      <c r="H100" s="7">
        <f>VLOOKUP($B100, gdp_tot_mes!$B:$XFD, MATCH(gdp_capita_mesorreg!H$1, gdp_tot_mes!$B$1:$XFD$1, 0), 0)*1000/VLOOKUP($B100, pop_mesorreg_interpol!$B:$XFD, MATCH(gdp_capita_mesorreg!H$1, pop_mesorreg_interpol!$B$1:$XFD$1, 0), 0)</f>
        <v>1251.9172871104633</v>
      </c>
      <c r="I100" s="7">
        <f>VLOOKUP($B100, gdp_tot_mes!$B:$XFD, MATCH(gdp_capita_mesorreg!I$1, gdp_tot_mes!$B$1:$XFD$1, 0), 0)*1000/VLOOKUP($B100, pop_mesorreg_interpol!$B:$XFD, MATCH(gdp_capita_mesorreg!I$1, pop_mesorreg_interpol!$B$1:$XFD$1, 0), 0)</f>
        <v>2296.3110544062561</v>
      </c>
      <c r="J100" s="7">
        <f>VLOOKUP($B100, gdp_tot_mes!$B:$XFD, MATCH(gdp_capita_mesorreg!J$1, gdp_tot_mes!$B$1:$XFD$1, 0), 0)*1000/VLOOKUP($B100, pop_mesorreg_interpol!$B:$XFD, MATCH(gdp_capita_mesorreg!J$1, pop_mesorreg_interpol!$B$1:$XFD$1, 0), 0)</f>
        <v>2591.7629894907886</v>
      </c>
      <c r="K100" s="7">
        <f>VLOOKUP($B100, gdp_tot_mes!$B:$XFD, MATCH(gdp_capita_mesorreg!K$1, gdp_tot_mes!$B$1:$XFD$1, 0), 0)*1000/VLOOKUP($B100, pop_mesorreg_interpol!$B:$XFD, MATCH(gdp_capita_mesorreg!K$1, pop_mesorreg_interpol!$B$1:$XFD$1, 0), 0)</f>
        <v>2477.5122668612948</v>
      </c>
      <c r="L100" s="8">
        <f>VLOOKUP($B100, gdp_tot_mes!$B:$XFD, MATCH(gdp_capita_mesorreg!L$1, gdp_tot_mes!$B$1:$XFD$1, 0), 0)*1000/VLOOKUP($B100, pop_mesorreg_interpol!$B:$XFD, MATCH(gdp_capita_mesorreg!L$1, pop_mesorreg_interpol!$B$1:$XFD$1, 0), 0)</f>
        <v>2202.9426690399455</v>
      </c>
      <c r="M100" s="7">
        <f>VLOOKUP($B100, gdp_tot_mes!$B:$XFD, MATCH(gdp_capita_mesorreg!M$1, gdp_tot_mes!$B$1:$XFD$1, 0), 0)*1000/VLOOKUP($B100, pop_mesorreg_interpol!$B:$XFD, MATCH(gdp_capita_mesorreg!M$1, pop_mesorreg_interpol!$B$1:$XFD$1, 0), 0)</f>
        <v>1907.0510585762099</v>
      </c>
      <c r="N100" s="7">
        <f>VLOOKUP($B100, gdp_tot_mes!$B:$XFD, MATCH(gdp_capita_mesorreg!N$1, gdp_tot_mes!$B$1:$XFD$1, 0), 0)*1000/VLOOKUP($B100, pop_mesorreg_interpol!$B:$XFD, MATCH(gdp_capita_mesorreg!N$1, pop_mesorreg_interpol!$B$1:$XFD$1, 0), 0)</f>
        <v>3656.6234399621717</v>
      </c>
      <c r="O100" s="7">
        <f>VLOOKUP($B100, gdp_tot_mes!$B:$XFD, MATCH(gdp_capita_mesorreg!O$1, gdp_tot_mes!$B$1:$XFD$1, 0), 0)*1000/VLOOKUP($B100, pop_mesorreg_interpol!$B:$XFD, MATCH(gdp_capita_mesorreg!O$1, pop_mesorreg_interpol!$B$1:$XFD$1, 0), 0)</f>
        <v>3581.8613810977508</v>
      </c>
      <c r="P100" s="7">
        <f>VLOOKUP($B100, gdp_tot_mes!$B:$XFD, MATCH(gdp_capita_mesorreg!P$1, gdp_tot_mes!$B$1:$XFD$1, 0), 0)*1000/VLOOKUP($B100, pop_mesorreg_interpol!$B:$XFD, MATCH(gdp_capita_mesorreg!P$1, pop_mesorreg_interpol!$B$1:$XFD$1, 0), 0)</f>
        <v>3801.10922187907</v>
      </c>
      <c r="Q100" s="7">
        <f>VLOOKUP($B100, gdp_tot_mes!$B:$XFD, MATCH(gdp_capita_mesorreg!Q$1, gdp_tot_mes!$B$1:$XFD$1, 0), 0)*1000/VLOOKUP($B100, pop_mesorreg_interpol!$B:$XFD, MATCH(gdp_capita_mesorreg!Q$1, pop_mesorreg_interpol!$B$1:$XFD$1, 0), 0)</f>
        <v>4183.7141392858084</v>
      </c>
      <c r="R100" s="7">
        <f>VLOOKUP($B100, gdp_tot_mes!$B:$XFD, MATCH(gdp_capita_mesorreg!R$1, gdp_tot_mes!$B$1:$XFD$1, 0), 0)*1000/VLOOKUP($B100, pop_mesorreg_interpol!$B:$XFD, MATCH(gdp_capita_mesorreg!R$1, pop_mesorreg_interpol!$B$1:$XFD$1, 0), 0)</f>
        <v>3888.7700081372654</v>
      </c>
      <c r="S100" s="7">
        <f>VLOOKUP($B100, gdp_tot_mes!$B:$XFD, MATCH(gdp_capita_mesorreg!S$1, gdp_tot_mes!$B$1:$XFD$1, 0), 0)*1000/VLOOKUP($B100, pop_mesorreg_interpol!$B:$XFD, MATCH(gdp_capita_mesorreg!S$1, pop_mesorreg_interpol!$B$1:$XFD$1, 0), 0)</f>
        <v>4143.0637919167229</v>
      </c>
      <c r="T100" s="7">
        <f>VLOOKUP($B100, gdp_tot_mes!$B:$XFD, MATCH(gdp_capita_mesorreg!T$1, gdp_tot_mes!$B$1:$XFD$1, 0), 0)*1000/VLOOKUP($B100, pop_mesorreg_interpol!$B:$XFD, MATCH(gdp_capita_mesorreg!T$1, pop_mesorreg_interpol!$B$1:$XFD$1, 0), 0)</f>
        <v>4191.8821304075354</v>
      </c>
      <c r="U100" s="7">
        <f>VLOOKUP($B100, gdp_tot_mes!$B:$XFD, MATCH(gdp_capita_mesorreg!U$1, gdp_tot_mes!$B$1:$XFD$1, 0), 0)*1000/VLOOKUP($B100, pop_mesorreg_interpol!$B:$XFD, MATCH(gdp_capita_mesorreg!U$1, pop_mesorreg_interpol!$B$1:$XFD$1, 0), 0)</f>
        <v>4378.9458892774619</v>
      </c>
      <c r="V100" s="7">
        <f>VLOOKUP($B100, gdp_tot_mes!$B:$XFD, MATCH(gdp_capita_mesorreg!V$1, gdp_tot_mes!$B$1:$XFD$1, 0), 0)*1000/VLOOKUP($B100, pop_mesorreg_interpol!$B:$XFD, MATCH(gdp_capita_mesorreg!V$1, pop_mesorreg_interpol!$B$1:$XFD$1, 0), 0)</f>
        <v>4825.1957985011359</v>
      </c>
      <c r="W100" s="7">
        <f>VLOOKUP($B100, gdp_tot_mes!$B:$XFD, MATCH(gdp_capita_mesorreg!W$1, gdp_tot_mes!$B$1:$XFD$1, 0), 0)*1000/VLOOKUP($B100, pop_mesorreg_interpol!$B:$XFD, MATCH(gdp_capita_mesorreg!W$1, pop_mesorreg_interpol!$B$1:$XFD$1, 0), 0)</f>
        <v>4750.7223407625843</v>
      </c>
      <c r="X100" s="7">
        <f>VLOOKUP($B100, gdp_tot_mes!$B:$XFD, MATCH(gdp_capita_mesorreg!X$1, gdp_tot_mes!$B$1:$XFD$1, 0), 0)*1000/VLOOKUP($B100, pop_mesorreg_interpol!$B:$XFD, MATCH(gdp_capita_mesorreg!X$1, pop_mesorreg_interpol!$B$1:$XFD$1, 0), 0)</f>
        <v>4990.1779181697593</v>
      </c>
      <c r="Y100" s="7">
        <f>VLOOKUP($B100, gdp_tot_mes!$B:$XFD, MATCH(gdp_capita_mesorreg!Y$1, gdp_tot_mes!$B$1:$XFD$1, 0), 0)*1000/VLOOKUP($B100, pop_mesorreg_interpol!$B:$XFD, MATCH(gdp_capita_mesorreg!Y$1, pop_mesorreg_interpol!$B$1:$XFD$1, 0), 0)</f>
        <v>5083.4151988133763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x14ac:dyDescent="0.25">
      <c r="A101" s="1" t="s">
        <v>234</v>
      </c>
      <c r="B101" s="1" t="s">
        <v>241</v>
      </c>
      <c r="C101" s="1" t="s">
        <v>242</v>
      </c>
      <c r="D101" s="7">
        <f>VLOOKUP($B101, gdp_tot_mes!$B:$XFD, MATCH(gdp_capita_mesorreg!D$1, gdp_tot_mes!$B$1:$XFD$1, 0), 0)*1000/VLOOKUP($B101, pop_mesorreg_interpol!$B:$XFD, MATCH(gdp_capita_mesorreg!D$1, pop_mesorreg_interpol!$B$1:$XFD$1, 0), 0)</f>
        <v>359.29575031182856</v>
      </c>
      <c r="E101" s="7">
        <f>VLOOKUP($B101, gdp_tot_mes!$B:$XFD, MATCH(gdp_capita_mesorreg!E$1, gdp_tot_mes!$B$1:$XFD$1, 0), 0)*1000/VLOOKUP($B101, pop_mesorreg_interpol!$B:$XFD, MATCH(gdp_capita_mesorreg!E$1, pop_mesorreg_interpol!$B$1:$XFD$1, 0), 0)</f>
        <v>1349.7508645193993</v>
      </c>
      <c r="F101" s="7">
        <f>VLOOKUP($B101, gdp_tot_mes!$B:$XFD, MATCH(gdp_capita_mesorreg!F$1, gdp_tot_mes!$B$1:$XFD$1, 0), 0)*1000/VLOOKUP($B101, pop_mesorreg_interpol!$B:$XFD, MATCH(gdp_capita_mesorreg!F$1, pop_mesorreg_interpol!$B$1:$XFD$1, 0), 0)</f>
        <v>2191.8152333019834</v>
      </c>
      <c r="G101" s="7">
        <f>VLOOKUP($B101, gdp_tot_mes!$B:$XFD, MATCH(gdp_capita_mesorreg!G$1, gdp_tot_mes!$B$1:$XFD$1, 0), 0)*1000/VLOOKUP($B101, pop_mesorreg_interpol!$B:$XFD, MATCH(gdp_capita_mesorreg!G$1, pop_mesorreg_interpol!$B$1:$XFD$1, 0), 0)</f>
        <v>2353.2717447329851</v>
      </c>
      <c r="H101" s="7">
        <f>VLOOKUP($B101, gdp_tot_mes!$B:$XFD, MATCH(gdp_capita_mesorreg!H$1, gdp_tot_mes!$B$1:$XFD$1, 0), 0)*1000/VLOOKUP($B101, pop_mesorreg_interpol!$B:$XFD, MATCH(gdp_capita_mesorreg!H$1, pop_mesorreg_interpol!$B$1:$XFD$1, 0), 0)</f>
        <v>3977.0521532552275</v>
      </c>
      <c r="I101" s="7">
        <f>VLOOKUP($B101, gdp_tot_mes!$B:$XFD, MATCH(gdp_capita_mesorreg!I$1, gdp_tot_mes!$B$1:$XFD$1, 0), 0)*1000/VLOOKUP($B101, pop_mesorreg_interpol!$B:$XFD, MATCH(gdp_capita_mesorreg!I$1, pop_mesorreg_interpol!$B$1:$XFD$1, 0), 0)</f>
        <v>5627.3780661935643</v>
      </c>
      <c r="J101" s="7">
        <f>VLOOKUP($B101, gdp_tot_mes!$B:$XFD, MATCH(gdp_capita_mesorreg!J$1, gdp_tot_mes!$B$1:$XFD$1, 0), 0)*1000/VLOOKUP($B101, pop_mesorreg_interpol!$B:$XFD, MATCH(gdp_capita_mesorreg!J$1, pop_mesorreg_interpol!$B$1:$XFD$1, 0), 0)</f>
        <v>9323.7146046742819</v>
      </c>
      <c r="K101" s="7">
        <f>VLOOKUP($B101, gdp_tot_mes!$B:$XFD, MATCH(gdp_capita_mesorreg!K$1, gdp_tot_mes!$B$1:$XFD$1, 0), 0)*1000/VLOOKUP($B101, pop_mesorreg_interpol!$B:$XFD, MATCH(gdp_capita_mesorreg!K$1, pop_mesorreg_interpol!$B$1:$XFD$1, 0), 0)</f>
        <v>11669.797569906814</v>
      </c>
      <c r="L101" s="8">
        <f>VLOOKUP($B101, gdp_tot_mes!$B:$XFD, MATCH(gdp_capita_mesorreg!L$1, gdp_tot_mes!$B$1:$XFD$1, 0), 0)*1000/VLOOKUP($B101, pop_mesorreg_interpol!$B:$XFD, MATCH(gdp_capita_mesorreg!L$1, pop_mesorreg_interpol!$B$1:$XFD$1, 0), 0)</f>
        <v>10844.364582621676</v>
      </c>
      <c r="M101" s="7">
        <f>VLOOKUP($B101, gdp_tot_mes!$B:$XFD, MATCH(gdp_capita_mesorreg!M$1, gdp_tot_mes!$B$1:$XFD$1, 0), 0)*1000/VLOOKUP($B101, pop_mesorreg_interpol!$B:$XFD, MATCH(gdp_capita_mesorreg!M$1, pop_mesorreg_interpol!$B$1:$XFD$1, 0), 0)</f>
        <v>10106.957925798559</v>
      </c>
      <c r="N101" s="7">
        <f>VLOOKUP($B101, gdp_tot_mes!$B:$XFD, MATCH(gdp_capita_mesorreg!N$1, gdp_tot_mes!$B$1:$XFD$1, 0), 0)*1000/VLOOKUP($B101, pop_mesorreg_interpol!$B:$XFD, MATCH(gdp_capita_mesorreg!N$1, pop_mesorreg_interpol!$B$1:$XFD$1, 0), 0)</f>
        <v>9564.2093881123055</v>
      </c>
      <c r="O101" s="7">
        <f>VLOOKUP($B101, gdp_tot_mes!$B:$XFD, MATCH(gdp_capita_mesorreg!O$1, gdp_tot_mes!$B$1:$XFD$1, 0), 0)*1000/VLOOKUP($B101, pop_mesorreg_interpol!$B:$XFD, MATCH(gdp_capita_mesorreg!O$1, pop_mesorreg_interpol!$B$1:$XFD$1, 0), 0)</f>
        <v>9299.6582636524272</v>
      </c>
      <c r="P101" s="7">
        <f>VLOOKUP($B101, gdp_tot_mes!$B:$XFD, MATCH(gdp_capita_mesorreg!P$1, gdp_tot_mes!$B$1:$XFD$1, 0), 0)*1000/VLOOKUP($B101, pop_mesorreg_interpol!$B:$XFD, MATCH(gdp_capita_mesorreg!P$1, pop_mesorreg_interpol!$B$1:$XFD$1, 0), 0)</f>
        <v>9649.2354342066919</v>
      </c>
      <c r="Q101" s="7">
        <f>VLOOKUP($B101, gdp_tot_mes!$B:$XFD, MATCH(gdp_capita_mesorreg!Q$1, gdp_tot_mes!$B$1:$XFD$1, 0), 0)*1000/VLOOKUP($B101, pop_mesorreg_interpol!$B:$XFD, MATCH(gdp_capita_mesorreg!Q$1, pop_mesorreg_interpol!$B$1:$XFD$1, 0), 0)</f>
        <v>9692.2280178547353</v>
      </c>
      <c r="R101" s="7">
        <f>VLOOKUP($B101, gdp_tot_mes!$B:$XFD, MATCH(gdp_capita_mesorreg!R$1, gdp_tot_mes!$B$1:$XFD$1, 0), 0)*1000/VLOOKUP($B101, pop_mesorreg_interpol!$B:$XFD, MATCH(gdp_capita_mesorreg!R$1, pop_mesorreg_interpol!$B$1:$XFD$1, 0), 0)</f>
        <v>9608.4284318621885</v>
      </c>
      <c r="S101" s="7">
        <f>VLOOKUP($B101, gdp_tot_mes!$B:$XFD, MATCH(gdp_capita_mesorreg!S$1, gdp_tot_mes!$B$1:$XFD$1, 0), 0)*1000/VLOOKUP($B101, pop_mesorreg_interpol!$B:$XFD, MATCH(gdp_capita_mesorreg!S$1, pop_mesorreg_interpol!$B$1:$XFD$1, 0), 0)</f>
        <v>10028.333776232532</v>
      </c>
      <c r="T101" s="7">
        <f>VLOOKUP($B101, gdp_tot_mes!$B:$XFD, MATCH(gdp_capita_mesorreg!T$1, gdp_tot_mes!$B$1:$XFD$1, 0), 0)*1000/VLOOKUP($B101, pop_mesorreg_interpol!$B:$XFD, MATCH(gdp_capita_mesorreg!T$1, pop_mesorreg_interpol!$B$1:$XFD$1, 0), 0)</f>
        <v>10445.383272002131</v>
      </c>
      <c r="U101" s="7">
        <f>VLOOKUP($B101, gdp_tot_mes!$B:$XFD, MATCH(gdp_capita_mesorreg!U$1, gdp_tot_mes!$B$1:$XFD$1, 0), 0)*1000/VLOOKUP($B101, pop_mesorreg_interpol!$B:$XFD, MATCH(gdp_capita_mesorreg!U$1, pop_mesorreg_interpol!$B$1:$XFD$1, 0), 0)</f>
        <v>10702.756279858548</v>
      </c>
      <c r="V101" s="7">
        <f>VLOOKUP($B101, gdp_tot_mes!$B:$XFD, MATCH(gdp_capita_mesorreg!V$1, gdp_tot_mes!$B$1:$XFD$1, 0), 0)*1000/VLOOKUP($B101, pop_mesorreg_interpol!$B:$XFD, MATCH(gdp_capita_mesorreg!V$1, pop_mesorreg_interpol!$B$1:$XFD$1, 0), 0)</f>
        <v>10983.476757046001</v>
      </c>
      <c r="W101" s="7">
        <f>VLOOKUP($B101, gdp_tot_mes!$B:$XFD, MATCH(gdp_capita_mesorreg!W$1, gdp_tot_mes!$B$1:$XFD$1, 0), 0)*1000/VLOOKUP($B101, pop_mesorreg_interpol!$B:$XFD, MATCH(gdp_capita_mesorreg!W$1, pop_mesorreg_interpol!$B$1:$XFD$1, 0), 0)</f>
        <v>10948.567446787934</v>
      </c>
      <c r="X101" s="7">
        <f>VLOOKUP($B101, gdp_tot_mes!$B:$XFD, MATCH(gdp_capita_mesorreg!X$1, gdp_tot_mes!$B$1:$XFD$1, 0), 0)*1000/VLOOKUP($B101, pop_mesorreg_interpol!$B:$XFD, MATCH(gdp_capita_mesorreg!X$1, pop_mesorreg_interpol!$B$1:$XFD$1, 0), 0)</f>
        <v>11560.329455935722</v>
      </c>
      <c r="Y101" s="7">
        <f>VLOOKUP($B101, gdp_tot_mes!$B:$XFD, MATCH(gdp_capita_mesorreg!Y$1, gdp_tot_mes!$B$1:$XFD$1, 0), 0)*1000/VLOOKUP($B101, pop_mesorreg_interpol!$B:$XFD, MATCH(gdp_capita_mesorreg!Y$1, pop_mesorreg_interpol!$B$1:$XFD$1, 0), 0)</f>
        <v>12041.457094819203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x14ac:dyDescent="0.25">
      <c r="A102" s="1" t="s">
        <v>243</v>
      </c>
      <c r="B102" s="1" t="s">
        <v>244</v>
      </c>
      <c r="C102" s="1" t="s">
        <v>245</v>
      </c>
      <c r="D102" s="7">
        <f>VLOOKUP($B102, gdp_tot_mes!$B:$XFD, MATCH(gdp_capita_mesorreg!D$1, gdp_tot_mes!$B$1:$XFD$1, 0), 0)*1000/VLOOKUP($B102, pop_mesorreg_interpol!$B:$XFD, MATCH(gdp_capita_mesorreg!D$1, pop_mesorreg_interpol!$B$1:$XFD$1, 0), 0)</f>
        <v>817.02231597954517</v>
      </c>
      <c r="E102" s="7">
        <f>VLOOKUP($B102, gdp_tot_mes!$B:$XFD, MATCH(gdp_capita_mesorreg!E$1, gdp_tot_mes!$B$1:$XFD$1, 0), 0)*1000/VLOOKUP($B102, pop_mesorreg_interpol!$B:$XFD, MATCH(gdp_capita_mesorreg!E$1, pop_mesorreg_interpol!$B$1:$XFD$1, 0), 0)</f>
        <v>2185.2301119666022</v>
      </c>
      <c r="F102" s="7">
        <f>VLOOKUP($B102, gdp_tot_mes!$B:$XFD, MATCH(gdp_capita_mesorreg!F$1, gdp_tot_mes!$B$1:$XFD$1, 0), 0)*1000/VLOOKUP($B102, pop_mesorreg_interpol!$B:$XFD, MATCH(gdp_capita_mesorreg!F$1, pop_mesorreg_interpol!$B$1:$XFD$1, 0), 0)</f>
        <v>3437.3434690572844</v>
      </c>
      <c r="G102" s="7">
        <f>VLOOKUP($B102, gdp_tot_mes!$B:$XFD, MATCH(gdp_capita_mesorreg!G$1, gdp_tot_mes!$B$1:$XFD$1, 0), 0)*1000/VLOOKUP($B102, pop_mesorreg_interpol!$B:$XFD, MATCH(gdp_capita_mesorreg!G$1, pop_mesorreg_interpol!$B$1:$XFD$1, 0), 0)</f>
        <v>2670.2435850820025</v>
      </c>
      <c r="H102" s="7">
        <f>VLOOKUP($B102, gdp_tot_mes!$B:$XFD, MATCH(gdp_capita_mesorreg!H$1, gdp_tot_mes!$B$1:$XFD$1, 0), 0)*1000/VLOOKUP($B102, pop_mesorreg_interpol!$B:$XFD, MATCH(gdp_capita_mesorreg!H$1, pop_mesorreg_interpol!$B$1:$XFD$1, 0), 0)</f>
        <v>6571.4616928486021</v>
      </c>
      <c r="I102" s="7">
        <f>VLOOKUP($B102, gdp_tot_mes!$B:$XFD, MATCH(gdp_capita_mesorreg!I$1, gdp_tot_mes!$B$1:$XFD$1, 0), 0)*1000/VLOOKUP($B102, pop_mesorreg_interpol!$B:$XFD, MATCH(gdp_capita_mesorreg!I$1, pop_mesorreg_interpol!$B$1:$XFD$1, 0), 0)</f>
        <v>10059.634450531516</v>
      </c>
      <c r="J102" s="7">
        <f>VLOOKUP($B102, gdp_tot_mes!$B:$XFD, MATCH(gdp_capita_mesorreg!J$1, gdp_tot_mes!$B$1:$XFD$1, 0), 0)*1000/VLOOKUP($B102, pop_mesorreg_interpol!$B:$XFD, MATCH(gdp_capita_mesorreg!J$1, pop_mesorreg_interpol!$B$1:$XFD$1, 0), 0)</f>
        <v>16687.388406167978</v>
      </c>
      <c r="K102" s="7">
        <f>VLOOKUP($B102, gdp_tot_mes!$B:$XFD, MATCH(gdp_capita_mesorreg!K$1, gdp_tot_mes!$B$1:$XFD$1, 0), 0)*1000/VLOOKUP($B102, pop_mesorreg_interpol!$B:$XFD, MATCH(gdp_capita_mesorreg!K$1, pop_mesorreg_interpol!$B$1:$XFD$1, 0), 0)</f>
        <v>19195.548135289257</v>
      </c>
      <c r="L102" s="8">
        <f>VLOOKUP($B102, gdp_tot_mes!$B:$XFD, MATCH(gdp_capita_mesorreg!L$1, gdp_tot_mes!$B$1:$XFD$1, 0), 0)*1000/VLOOKUP($B102, pop_mesorreg_interpol!$B:$XFD, MATCH(gdp_capita_mesorreg!L$1, pop_mesorreg_interpol!$B$1:$XFD$1, 0), 0)</f>
        <v>14178.902496030021</v>
      </c>
      <c r="M102" s="7">
        <f>VLOOKUP($B102, gdp_tot_mes!$B:$XFD, MATCH(gdp_capita_mesorreg!M$1, gdp_tot_mes!$B$1:$XFD$1, 0), 0)*1000/VLOOKUP($B102, pop_mesorreg_interpol!$B:$XFD, MATCH(gdp_capita_mesorreg!M$1, pop_mesorreg_interpol!$B$1:$XFD$1, 0), 0)</f>
        <v>10506.896258110404</v>
      </c>
      <c r="N102" s="7">
        <f>VLOOKUP($B102, gdp_tot_mes!$B:$XFD, MATCH(gdp_capita_mesorreg!N$1, gdp_tot_mes!$B$1:$XFD$1, 0), 0)*1000/VLOOKUP($B102, pop_mesorreg_interpol!$B:$XFD, MATCH(gdp_capita_mesorreg!N$1, pop_mesorreg_interpol!$B$1:$XFD$1, 0), 0)</f>
        <v>9661.3899980877304</v>
      </c>
      <c r="O102" s="7">
        <f>VLOOKUP($B102, gdp_tot_mes!$B:$XFD, MATCH(gdp_capita_mesorreg!O$1, gdp_tot_mes!$B$1:$XFD$1, 0), 0)*1000/VLOOKUP($B102, pop_mesorreg_interpol!$B:$XFD, MATCH(gdp_capita_mesorreg!O$1, pop_mesorreg_interpol!$B$1:$XFD$1, 0), 0)</f>
        <v>9018.1356394945396</v>
      </c>
      <c r="P102" s="7">
        <f>VLOOKUP($B102, gdp_tot_mes!$B:$XFD, MATCH(gdp_capita_mesorreg!P$1, gdp_tot_mes!$B$1:$XFD$1, 0), 0)*1000/VLOOKUP($B102, pop_mesorreg_interpol!$B:$XFD, MATCH(gdp_capita_mesorreg!P$1, pop_mesorreg_interpol!$B$1:$XFD$1, 0), 0)</f>
        <v>9794.047922781685</v>
      </c>
      <c r="Q102" s="7">
        <f>VLOOKUP($B102, gdp_tot_mes!$B:$XFD, MATCH(gdp_capita_mesorreg!Q$1, gdp_tot_mes!$B$1:$XFD$1, 0), 0)*1000/VLOOKUP($B102, pop_mesorreg_interpol!$B:$XFD, MATCH(gdp_capita_mesorreg!Q$1, pop_mesorreg_interpol!$B$1:$XFD$1, 0), 0)</f>
        <v>10718.121463027803</v>
      </c>
      <c r="R102" s="7">
        <f>VLOOKUP($B102, gdp_tot_mes!$B:$XFD, MATCH(gdp_capita_mesorreg!R$1, gdp_tot_mes!$B$1:$XFD$1, 0), 0)*1000/VLOOKUP($B102, pop_mesorreg_interpol!$B:$XFD, MATCH(gdp_capita_mesorreg!R$1, pop_mesorreg_interpol!$B$1:$XFD$1, 0), 0)</f>
        <v>11629.169320186229</v>
      </c>
      <c r="S102" s="7">
        <f>VLOOKUP($B102, gdp_tot_mes!$B:$XFD, MATCH(gdp_capita_mesorreg!S$1, gdp_tot_mes!$B$1:$XFD$1, 0), 0)*1000/VLOOKUP($B102, pop_mesorreg_interpol!$B:$XFD, MATCH(gdp_capita_mesorreg!S$1, pop_mesorreg_interpol!$B$1:$XFD$1, 0), 0)</f>
        <v>12638.972255932664</v>
      </c>
      <c r="T102" s="7">
        <f>VLOOKUP($B102, gdp_tot_mes!$B:$XFD, MATCH(gdp_capita_mesorreg!T$1, gdp_tot_mes!$B$1:$XFD$1, 0), 0)*1000/VLOOKUP($B102, pop_mesorreg_interpol!$B:$XFD, MATCH(gdp_capita_mesorreg!T$1, pop_mesorreg_interpol!$B$1:$XFD$1, 0), 0)</f>
        <v>13372.776088478291</v>
      </c>
      <c r="U102" s="7">
        <f>VLOOKUP($B102, gdp_tot_mes!$B:$XFD, MATCH(gdp_capita_mesorreg!U$1, gdp_tot_mes!$B$1:$XFD$1, 0), 0)*1000/VLOOKUP($B102, pop_mesorreg_interpol!$B:$XFD, MATCH(gdp_capita_mesorreg!U$1, pop_mesorreg_interpol!$B$1:$XFD$1, 0), 0)</f>
        <v>12595.689831948273</v>
      </c>
      <c r="V102" s="7">
        <f>VLOOKUP($B102, gdp_tot_mes!$B:$XFD, MATCH(gdp_capita_mesorreg!V$1, gdp_tot_mes!$B$1:$XFD$1, 0), 0)*1000/VLOOKUP($B102, pop_mesorreg_interpol!$B:$XFD, MATCH(gdp_capita_mesorreg!V$1, pop_mesorreg_interpol!$B$1:$XFD$1, 0), 0)</f>
        <v>13575.528349677166</v>
      </c>
      <c r="W102" s="7">
        <f>VLOOKUP($B102, gdp_tot_mes!$B:$XFD, MATCH(gdp_capita_mesorreg!W$1, gdp_tot_mes!$B$1:$XFD$1, 0), 0)*1000/VLOOKUP($B102, pop_mesorreg_interpol!$B:$XFD, MATCH(gdp_capita_mesorreg!W$1, pop_mesorreg_interpol!$B$1:$XFD$1, 0), 0)</f>
        <v>14192.908900671295</v>
      </c>
      <c r="X102" s="7">
        <f>VLOOKUP($B102, gdp_tot_mes!$B:$XFD, MATCH(gdp_capita_mesorreg!X$1, gdp_tot_mes!$B$1:$XFD$1, 0), 0)*1000/VLOOKUP($B102, pop_mesorreg_interpol!$B:$XFD, MATCH(gdp_capita_mesorreg!X$1, pop_mesorreg_interpol!$B$1:$XFD$1, 0), 0)</f>
        <v>15864.990470339062</v>
      </c>
      <c r="Y102" s="7">
        <f>VLOOKUP($B102, gdp_tot_mes!$B:$XFD, MATCH(gdp_capita_mesorreg!Y$1, gdp_tot_mes!$B$1:$XFD$1, 0), 0)*1000/VLOOKUP($B102, pop_mesorreg_interpol!$B:$XFD, MATCH(gdp_capita_mesorreg!Y$1, pop_mesorreg_interpol!$B$1:$XFD$1, 0), 0)</f>
        <v>16128.108332829264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x14ac:dyDescent="0.25">
      <c r="A103" s="1" t="s">
        <v>243</v>
      </c>
      <c r="B103" s="1" t="s">
        <v>246</v>
      </c>
      <c r="C103" s="1" t="s">
        <v>247</v>
      </c>
      <c r="D103" s="7" t="e">
        <f>NA()</f>
        <v>#N/A</v>
      </c>
      <c r="E103" s="7" t="e">
        <f>NA()</f>
        <v>#N/A</v>
      </c>
      <c r="F103" s="7" t="e">
        <f>NA()</f>
        <v>#N/A</v>
      </c>
      <c r="G103" s="7" t="e">
        <f>NA()</f>
        <v>#N/A</v>
      </c>
      <c r="H103" s="7" t="e">
        <f>NA()</f>
        <v>#N/A</v>
      </c>
      <c r="I103" s="7" t="e">
        <f>NA()</f>
        <v>#N/A</v>
      </c>
      <c r="J103" s="7">
        <f>VLOOKUP($B103, gdp_tot_mes!$B:$XFD, MATCH(gdp_capita_mesorreg!J$1, gdp_tot_mes!$B$1:$XFD$1, 0), 0)*1000/VLOOKUP($B103, pop_mesorreg_interpol!$B:$XFD, MATCH(gdp_capita_mesorreg!J$1, pop_mesorreg_interpol!$B$1:$XFD$1, 0), 0)</f>
        <v>5856.7943247246394</v>
      </c>
      <c r="K103" s="7">
        <f>VLOOKUP($B103, gdp_tot_mes!$B:$XFD, MATCH(gdp_capita_mesorreg!K$1, gdp_tot_mes!$B$1:$XFD$1, 0), 0)*1000/VLOOKUP($B103, pop_mesorreg_interpol!$B:$XFD, MATCH(gdp_capita_mesorreg!K$1, pop_mesorreg_interpol!$B$1:$XFD$1, 0), 0)</f>
        <v>10395.405449905647</v>
      </c>
      <c r="L103" s="8">
        <f>VLOOKUP($B103, gdp_tot_mes!$B:$XFD, MATCH(gdp_capita_mesorreg!L$1, gdp_tot_mes!$B$1:$XFD$1, 0), 0)*1000/VLOOKUP($B103, pop_mesorreg_interpol!$B:$XFD, MATCH(gdp_capita_mesorreg!L$1, pop_mesorreg_interpol!$B$1:$XFD$1, 0), 0)</f>
        <v>7727.3832139764145</v>
      </c>
      <c r="M103" s="7">
        <f>VLOOKUP($B103, gdp_tot_mes!$B:$XFD, MATCH(gdp_capita_mesorreg!M$1, gdp_tot_mes!$B$1:$XFD$1, 0), 0)*1000/VLOOKUP($B103, pop_mesorreg_interpol!$B:$XFD, MATCH(gdp_capita_mesorreg!M$1, pop_mesorreg_interpol!$B$1:$XFD$1, 0), 0)</f>
        <v>5881.6550241914729</v>
      </c>
      <c r="N103" s="7">
        <f>VLOOKUP($B103, gdp_tot_mes!$B:$XFD, MATCH(gdp_capita_mesorreg!N$1, gdp_tot_mes!$B$1:$XFD$1, 0), 0)*1000/VLOOKUP($B103, pop_mesorreg_interpol!$B:$XFD, MATCH(gdp_capita_mesorreg!N$1, pop_mesorreg_interpol!$B$1:$XFD$1, 0), 0)</f>
        <v>9962.6891838136635</v>
      </c>
      <c r="O103" s="7">
        <f>VLOOKUP($B103, gdp_tot_mes!$B:$XFD, MATCH(gdp_capita_mesorreg!O$1, gdp_tot_mes!$B$1:$XFD$1, 0), 0)*1000/VLOOKUP($B103, pop_mesorreg_interpol!$B:$XFD, MATCH(gdp_capita_mesorreg!O$1, pop_mesorreg_interpol!$B$1:$XFD$1, 0), 0)</f>
        <v>10085.188900373831</v>
      </c>
      <c r="P103" s="7">
        <f>VLOOKUP($B103, gdp_tot_mes!$B:$XFD, MATCH(gdp_capita_mesorreg!P$1, gdp_tot_mes!$B$1:$XFD$1, 0), 0)*1000/VLOOKUP($B103, pop_mesorreg_interpol!$B:$XFD, MATCH(gdp_capita_mesorreg!P$1, pop_mesorreg_interpol!$B$1:$XFD$1, 0), 0)</f>
        <v>9830.4453607467494</v>
      </c>
      <c r="Q103" s="7">
        <f>VLOOKUP($B103, gdp_tot_mes!$B:$XFD, MATCH(gdp_capita_mesorreg!Q$1, gdp_tot_mes!$B$1:$XFD$1, 0), 0)*1000/VLOOKUP($B103, pop_mesorreg_interpol!$B:$XFD, MATCH(gdp_capita_mesorreg!Q$1, pop_mesorreg_interpol!$B$1:$XFD$1, 0), 0)</f>
        <v>10449.310928945095</v>
      </c>
      <c r="R103" s="7">
        <f>VLOOKUP($B103, gdp_tot_mes!$B:$XFD, MATCH(gdp_capita_mesorreg!R$1, gdp_tot_mes!$B$1:$XFD$1, 0), 0)*1000/VLOOKUP($B103, pop_mesorreg_interpol!$B:$XFD, MATCH(gdp_capita_mesorreg!R$1, pop_mesorreg_interpol!$B$1:$XFD$1, 0), 0)</f>
        <v>11424.669839584547</v>
      </c>
      <c r="S103" s="7">
        <f>VLOOKUP($B103, gdp_tot_mes!$B:$XFD, MATCH(gdp_capita_mesorreg!S$1, gdp_tot_mes!$B$1:$XFD$1, 0), 0)*1000/VLOOKUP($B103, pop_mesorreg_interpol!$B:$XFD, MATCH(gdp_capita_mesorreg!S$1, pop_mesorreg_interpol!$B$1:$XFD$1, 0), 0)</f>
        <v>12002.785487710633</v>
      </c>
      <c r="T103" s="7">
        <f>VLOOKUP($B103, gdp_tot_mes!$B:$XFD, MATCH(gdp_capita_mesorreg!T$1, gdp_tot_mes!$B$1:$XFD$1, 0), 0)*1000/VLOOKUP($B103, pop_mesorreg_interpol!$B:$XFD, MATCH(gdp_capita_mesorreg!T$1, pop_mesorreg_interpol!$B$1:$XFD$1, 0), 0)</f>
        <v>12680.542717438331</v>
      </c>
      <c r="U103" s="7">
        <f>VLOOKUP($B103, gdp_tot_mes!$B:$XFD, MATCH(gdp_capita_mesorreg!U$1, gdp_tot_mes!$B$1:$XFD$1, 0), 0)*1000/VLOOKUP($B103, pop_mesorreg_interpol!$B:$XFD, MATCH(gdp_capita_mesorreg!U$1, pop_mesorreg_interpol!$B$1:$XFD$1, 0), 0)</f>
        <v>11686.754939404547</v>
      </c>
      <c r="V103" s="7">
        <f>VLOOKUP($B103, gdp_tot_mes!$B:$XFD, MATCH(gdp_capita_mesorreg!V$1, gdp_tot_mes!$B$1:$XFD$1, 0), 0)*1000/VLOOKUP($B103, pop_mesorreg_interpol!$B:$XFD, MATCH(gdp_capita_mesorreg!V$1, pop_mesorreg_interpol!$B$1:$XFD$1, 0), 0)</f>
        <v>12755.007148095514</v>
      </c>
      <c r="W103" s="7">
        <f>VLOOKUP($B103, gdp_tot_mes!$B:$XFD, MATCH(gdp_capita_mesorreg!W$1, gdp_tot_mes!$B$1:$XFD$1, 0), 0)*1000/VLOOKUP($B103, pop_mesorreg_interpol!$B:$XFD, MATCH(gdp_capita_mesorreg!W$1, pop_mesorreg_interpol!$B$1:$XFD$1, 0), 0)</f>
        <v>13831.282002287706</v>
      </c>
      <c r="X103" s="7">
        <f>VLOOKUP($B103, gdp_tot_mes!$B:$XFD, MATCH(gdp_capita_mesorreg!X$1, gdp_tot_mes!$B$1:$XFD$1, 0), 0)*1000/VLOOKUP($B103, pop_mesorreg_interpol!$B:$XFD, MATCH(gdp_capita_mesorreg!X$1, pop_mesorreg_interpol!$B$1:$XFD$1, 0), 0)</f>
        <v>13440.703740259001</v>
      </c>
      <c r="Y103" s="7">
        <f>VLOOKUP($B103, gdp_tot_mes!$B:$XFD, MATCH(gdp_capita_mesorreg!Y$1, gdp_tot_mes!$B$1:$XFD$1, 0), 0)*1000/VLOOKUP($B103, pop_mesorreg_interpol!$B:$XFD, MATCH(gdp_capita_mesorreg!Y$1, pop_mesorreg_interpol!$B$1:$XFD$1, 0), 0)</f>
        <v>14405.1426981656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x14ac:dyDescent="0.25">
      <c r="A104" s="1" t="s">
        <v>248</v>
      </c>
      <c r="B104" s="1" t="s">
        <v>249</v>
      </c>
      <c r="C104" s="1" t="s">
        <v>250</v>
      </c>
      <c r="D104" s="7">
        <f>VLOOKUP($B104, gdp_tot_mes!$B:$XFD, MATCH(gdp_capita_mesorreg!D$1, gdp_tot_mes!$B$1:$XFD$1, 0), 0)*1000/VLOOKUP($B104, pop_mesorreg_interpol!$B:$XFD, MATCH(gdp_capita_mesorreg!D$1, pop_mesorreg_interpol!$B$1:$XFD$1, 0), 0)</f>
        <v>802.34214504542024</v>
      </c>
      <c r="E104" s="7">
        <f>VLOOKUP($B104, gdp_tot_mes!$B:$XFD, MATCH(gdp_capita_mesorreg!E$1, gdp_tot_mes!$B$1:$XFD$1, 0), 0)*1000/VLOOKUP($B104, pop_mesorreg_interpol!$B:$XFD, MATCH(gdp_capita_mesorreg!E$1, pop_mesorreg_interpol!$B$1:$XFD$1, 0), 0)</f>
        <v>1903.17576710157</v>
      </c>
      <c r="F104" s="7">
        <f>VLOOKUP($B104, gdp_tot_mes!$B:$XFD, MATCH(gdp_capita_mesorreg!F$1, gdp_tot_mes!$B$1:$XFD$1, 0), 0)*1000/VLOOKUP($B104, pop_mesorreg_interpol!$B:$XFD, MATCH(gdp_capita_mesorreg!F$1, pop_mesorreg_interpol!$B$1:$XFD$1, 0), 0)</f>
        <v>6180.0760600314261</v>
      </c>
      <c r="G104" s="7">
        <f>VLOOKUP($B104, gdp_tot_mes!$B:$XFD, MATCH(gdp_capita_mesorreg!G$1, gdp_tot_mes!$B$1:$XFD$1, 0), 0)*1000/VLOOKUP($B104, pop_mesorreg_interpol!$B:$XFD, MATCH(gdp_capita_mesorreg!G$1, pop_mesorreg_interpol!$B$1:$XFD$1, 0), 0)</f>
        <v>4223.9220821913641</v>
      </c>
      <c r="H104" s="7">
        <f>VLOOKUP($B104, gdp_tot_mes!$B:$XFD, MATCH(gdp_capita_mesorreg!H$1, gdp_tot_mes!$B$1:$XFD$1, 0), 0)*1000/VLOOKUP($B104, pop_mesorreg_interpol!$B:$XFD, MATCH(gdp_capita_mesorreg!H$1, pop_mesorreg_interpol!$B$1:$XFD$1, 0), 0)</f>
        <v>5697.4276423739848</v>
      </c>
      <c r="I104" s="7">
        <f>VLOOKUP($B104, gdp_tot_mes!$B:$XFD, MATCH(gdp_capita_mesorreg!I$1, gdp_tot_mes!$B$1:$XFD$1, 0), 0)*1000/VLOOKUP($B104, pop_mesorreg_interpol!$B:$XFD, MATCH(gdp_capita_mesorreg!I$1, pop_mesorreg_interpol!$B$1:$XFD$1, 0), 0)</f>
        <v>6246.0468690467715</v>
      </c>
      <c r="J104" s="7">
        <f>VLOOKUP($B104, gdp_tot_mes!$B:$XFD, MATCH(gdp_capita_mesorreg!J$1, gdp_tot_mes!$B$1:$XFD$1, 0), 0)*1000/VLOOKUP($B104, pop_mesorreg_interpol!$B:$XFD, MATCH(gdp_capita_mesorreg!J$1, pop_mesorreg_interpol!$B$1:$XFD$1, 0), 0)</f>
        <v>8895.0596911191205</v>
      </c>
      <c r="K104" s="7">
        <f>VLOOKUP($B104, gdp_tot_mes!$B:$XFD, MATCH(gdp_capita_mesorreg!K$1, gdp_tot_mes!$B$1:$XFD$1, 0), 0)*1000/VLOOKUP($B104, pop_mesorreg_interpol!$B:$XFD, MATCH(gdp_capita_mesorreg!K$1, pop_mesorreg_interpol!$B$1:$XFD$1, 0), 0)</f>
        <v>9767.980090062576</v>
      </c>
      <c r="L104" s="8">
        <f>VLOOKUP($B104, gdp_tot_mes!$B:$XFD, MATCH(gdp_capita_mesorreg!L$1, gdp_tot_mes!$B$1:$XFD$1, 0), 0)*1000/VLOOKUP($B104, pop_mesorreg_interpol!$B:$XFD, MATCH(gdp_capita_mesorreg!L$1, pop_mesorreg_interpol!$B$1:$XFD$1, 0), 0)</f>
        <v>11709.007235689864</v>
      </c>
      <c r="M104" s="7">
        <f>VLOOKUP($B104, gdp_tot_mes!$B:$XFD, MATCH(gdp_capita_mesorreg!M$1, gdp_tot_mes!$B$1:$XFD$1, 0), 0)*1000/VLOOKUP($B104, pop_mesorreg_interpol!$B:$XFD, MATCH(gdp_capita_mesorreg!M$1, pop_mesorreg_interpol!$B$1:$XFD$1, 0), 0)</f>
        <v>12966.168749658213</v>
      </c>
      <c r="N104" s="7">
        <f>VLOOKUP($B104, gdp_tot_mes!$B:$XFD, MATCH(gdp_capita_mesorreg!N$1, gdp_tot_mes!$B$1:$XFD$1, 0), 0)*1000/VLOOKUP($B104, pop_mesorreg_interpol!$B:$XFD, MATCH(gdp_capita_mesorreg!N$1, pop_mesorreg_interpol!$B$1:$XFD$1, 0), 0)</f>
        <v>13895.750088396664</v>
      </c>
      <c r="O104" s="7">
        <f>VLOOKUP($B104, gdp_tot_mes!$B:$XFD, MATCH(gdp_capita_mesorreg!O$1, gdp_tot_mes!$B$1:$XFD$1, 0), 0)*1000/VLOOKUP($B104, pop_mesorreg_interpol!$B:$XFD, MATCH(gdp_capita_mesorreg!O$1, pop_mesorreg_interpol!$B$1:$XFD$1, 0), 0)</f>
        <v>13045.676244055796</v>
      </c>
      <c r="P104" s="7">
        <f>VLOOKUP($B104, gdp_tot_mes!$B:$XFD, MATCH(gdp_capita_mesorreg!P$1, gdp_tot_mes!$B$1:$XFD$1, 0), 0)*1000/VLOOKUP($B104, pop_mesorreg_interpol!$B:$XFD, MATCH(gdp_capita_mesorreg!P$1, pop_mesorreg_interpol!$B$1:$XFD$1, 0), 0)</f>
        <v>13235.526436873422</v>
      </c>
      <c r="Q104" s="7">
        <f>VLOOKUP($B104, gdp_tot_mes!$B:$XFD, MATCH(gdp_capita_mesorreg!Q$1, gdp_tot_mes!$B$1:$XFD$1, 0), 0)*1000/VLOOKUP($B104, pop_mesorreg_interpol!$B:$XFD, MATCH(gdp_capita_mesorreg!Q$1, pop_mesorreg_interpol!$B$1:$XFD$1, 0), 0)</f>
        <v>13296.201133221371</v>
      </c>
      <c r="R104" s="7">
        <f>VLOOKUP($B104, gdp_tot_mes!$B:$XFD, MATCH(gdp_capita_mesorreg!R$1, gdp_tot_mes!$B$1:$XFD$1, 0), 0)*1000/VLOOKUP($B104, pop_mesorreg_interpol!$B:$XFD, MATCH(gdp_capita_mesorreg!R$1, pop_mesorreg_interpol!$B$1:$XFD$1, 0), 0)</f>
        <v>13488.389132404458</v>
      </c>
      <c r="S104" s="7">
        <f>VLOOKUP($B104, gdp_tot_mes!$B:$XFD, MATCH(gdp_capita_mesorreg!S$1, gdp_tot_mes!$B$1:$XFD$1, 0), 0)*1000/VLOOKUP($B104, pop_mesorreg_interpol!$B:$XFD, MATCH(gdp_capita_mesorreg!S$1, pop_mesorreg_interpol!$B$1:$XFD$1, 0), 0)</f>
        <v>12511.427001698574</v>
      </c>
      <c r="T104" s="7">
        <f>VLOOKUP($B104, gdp_tot_mes!$B:$XFD, MATCH(gdp_capita_mesorreg!T$1, gdp_tot_mes!$B$1:$XFD$1, 0), 0)*1000/VLOOKUP($B104, pop_mesorreg_interpol!$B:$XFD, MATCH(gdp_capita_mesorreg!T$1, pop_mesorreg_interpol!$B$1:$XFD$1, 0), 0)</f>
        <v>12905.333711302812</v>
      </c>
      <c r="U104" s="7">
        <f>VLOOKUP($B104, gdp_tot_mes!$B:$XFD, MATCH(gdp_capita_mesorreg!U$1, gdp_tot_mes!$B$1:$XFD$1, 0), 0)*1000/VLOOKUP($B104, pop_mesorreg_interpol!$B:$XFD, MATCH(gdp_capita_mesorreg!U$1, pop_mesorreg_interpol!$B$1:$XFD$1, 0), 0)</f>
        <v>13331.889319879563</v>
      </c>
      <c r="V104" s="7">
        <f>VLOOKUP($B104, gdp_tot_mes!$B:$XFD, MATCH(gdp_capita_mesorreg!V$1, gdp_tot_mes!$B$1:$XFD$1, 0), 0)*1000/VLOOKUP($B104, pop_mesorreg_interpol!$B:$XFD, MATCH(gdp_capita_mesorreg!V$1, pop_mesorreg_interpol!$B$1:$XFD$1, 0), 0)</f>
        <v>14265.191700194853</v>
      </c>
      <c r="W104" s="7">
        <f>VLOOKUP($B104, gdp_tot_mes!$B:$XFD, MATCH(gdp_capita_mesorreg!W$1, gdp_tot_mes!$B$1:$XFD$1, 0), 0)*1000/VLOOKUP($B104, pop_mesorreg_interpol!$B:$XFD, MATCH(gdp_capita_mesorreg!W$1, pop_mesorreg_interpol!$B$1:$XFD$1, 0), 0)</f>
        <v>14712.470857923883</v>
      </c>
      <c r="X104" s="7">
        <f>VLOOKUP($B104, gdp_tot_mes!$B:$XFD, MATCH(gdp_capita_mesorreg!X$1, gdp_tot_mes!$B$1:$XFD$1, 0), 0)*1000/VLOOKUP($B104, pop_mesorreg_interpol!$B:$XFD, MATCH(gdp_capita_mesorreg!X$1, pop_mesorreg_interpol!$B$1:$XFD$1, 0), 0)</f>
        <v>14931.905918010505</v>
      </c>
      <c r="Y104" s="7">
        <f>VLOOKUP($B104, gdp_tot_mes!$B:$XFD, MATCH(gdp_capita_mesorreg!Y$1, gdp_tot_mes!$B$1:$XFD$1, 0), 0)*1000/VLOOKUP($B104, pop_mesorreg_interpol!$B:$XFD, MATCH(gdp_capita_mesorreg!Y$1, pop_mesorreg_interpol!$B$1:$XFD$1, 0), 0)</f>
        <v>15047.020116851994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x14ac:dyDescent="0.25">
      <c r="A105" s="1" t="s">
        <v>248</v>
      </c>
      <c r="B105" s="1" t="s">
        <v>251</v>
      </c>
      <c r="C105" s="1" t="s">
        <v>252</v>
      </c>
      <c r="D105" s="7">
        <f>VLOOKUP($B105, gdp_tot_mes!$B:$XFD, MATCH(gdp_capita_mesorreg!D$1, gdp_tot_mes!$B$1:$XFD$1, 0), 0)*1000/VLOOKUP($B105, pop_mesorreg_interpol!$B:$XFD, MATCH(gdp_capita_mesorreg!D$1, pop_mesorreg_interpol!$B$1:$XFD$1, 0), 0)</f>
        <v>438.53796033483223</v>
      </c>
      <c r="E105" s="7">
        <f>VLOOKUP($B105, gdp_tot_mes!$B:$XFD, MATCH(gdp_capita_mesorreg!E$1, gdp_tot_mes!$B$1:$XFD$1, 0), 0)*1000/VLOOKUP($B105, pop_mesorreg_interpol!$B:$XFD, MATCH(gdp_capita_mesorreg!E$1, pop_mesorreg_interpol!$B$1:$XFD$1, 0), 0)</f>
        <v>257.21143269652777</v>
      </c>
      <c r="F105" s="7">
        <f>VLOOKUP($B105, gdp_tot_mes!$B:$XFD, MATCH(gdp_capita_mesorreg!F$1, gdp_tot_mes!$B$1:$XFD$1, 0), 0)*1000/VLOOKUP($B105, pop_mesorreg_interpol!$B:$XFD, MATCH(gdp_capita_mesorreg!F$1, pop_mesorreg_interpol!$B$1:$XFD$1, 0), 0)</f>
        <v>106.64582230713465</v>
      </c>
      <c r="G105" s="7">
        <f>VLOOKUP($B105, gdp_tot_mes!$B:$XFD, MATCH(gdp_capita_mesorreg!G$1, gdp_tot_mes!$B$1:$XFD$1, 0), 0)*1000/VLOOKUP($B105, pop_mesorreg_interpol!$B:$XFD, MATCH(gdp_capita_mesorreg!G$1, pop_mesorreg_interpol!$B$1:$XFD$1, 0), 0)</f>
        <v>1051.0752140135501</v>
      </c>
      <c r="H105" s="7">
        <f>VLOOKUP($B105, gdp_tot_mes!$B:$XFD, MATCH(gdp_capita_mesorreg!H$1, gdp_tot_mes!$B$1:$XFD$1, 0), 0)*1000/VLOOKUP($B105, pop_mesorreg_interpol!$B:$XFD, MATCH(gdp_capita_mesorreg!H$1, pop_mesorreg_interpol!$B$1:$XFD$1, 0), 0)</f>
        <v>5402.3596172272109</v>
      </c>
      <c r="I105" s="7">
        <f>VLOOKUP($B105, gdp_tot_mes!$B:$XFD, MATCH(gdp_capita_mesorreg!I$1, gdp_tot_mes!$B$1:$XFD$1, 0), 0)*1000/VLOOKUP($B105, pop_mesorreg_interpol!$B:$XFD, MATCH(gdp_capita_mesorreg!I$1, pop_mesorreg_interpol!$B$1:$XFD$1, 0), 0)</f>
        <v>7757.069573859615</v>
      </c>
      <c r="J105" s="7">
        <f>VLOOKUP($B105, gdp_tot_mes!$B:$XFD, MATCH(gdp_capita_mesorreg!J$1, gdp_tot_mes!$B$1:$XFD$1, 0), 0)*1000/VLOOKUP($B105, pop_mesorreg_interpol!$B:$XFD, MATCH(gdp_capita_mesorreg!J$1, pop_mesorreg_interpol!$B$1:$XFD$1, 0), 0)</f>
        <v>10583.76975666127</v>
      </c>
      <c r="K105" s="7">
        <f>VLOOKUP($B105, gdp_tot_mes!$B:$XFD, MATCH(gdp_capita_mesorreg!K$1, gdp_tot_mes!$B$1:$XFD$1, 0), 0)*1000/VLOOKUP($B105, pop_mesorreg_interpol!$B:$XFD, MATCH(gdp_capita_mesorreg!K$1, pop_mesorreg_interpol!$B$1:$XFD$1, 0), 0)</f>
        <v>8219.4750546523028</v>
      </c>
      <c r="L105" s="8">
        <f>VLOOKUP($B105, gdp_tot_mes!$B:$XFD, MATCH(gdp_capita_mesorreg!L$1, gdp_tot_mes!$B$1:$XFD$1, 0), 0)*1000/VLOOKUP($B105, pop_mesorreg_interpol!$B:$XFD, MATCH(gdp_capita_mesorreg!L$1, pop_mesorreg_interpol!$B$1:$XFD$1, 0), 0)</f>
        <v>5905.3912957003959</v>
      </c>
      <c r="M105" s="7">
        <f>VLOOKUP($B105, gdp_tot_mes!$B:$XFD, MATCH(gdp_capita_mesorreg!M$1, gdp_tot_mes!$B$1:$XFD$1, 0), 0)*1000/VLOOKUP($B105, pop_mesorreg_interpol!$B:$XFD, MATCH(gdp_capita_mesorreg!M$1, pop_mesorreg_interpol!$B$1:$XFD$1, 0), 0)</f>
        <v>4516.8205519911789</v>
      </c>
      <c r="N105" s="7">
        <f>VLOOKUP($B105, gdp_tot_mes!$B:$XFD, MATCH(gdp_capita_mesorreg!N$1, gdp_tot_mes!$B$1:$XFD$1, 0), 0)*1000/VLOOKUP($B105, pop_mesorreg_interpol!$B:$XFD, MATCH(gdp_capita_mesorreg!N$1, pop_mesorreg_interpol!$B$1:$XFD$1, 0), 0)</f>
        <v>9662.2242982625739</v>
      </c>
      <c r="O105" s="7">
        <f>VLOOKUP($B105, gdp_tot_mes!$B:$XFD, MATCH(gdp_capita_mesorreg!O$1, gdp_tot_mes!$B$1:$XFD$1, 0), 0)*1000/VLOOKUP($B105, pop_mesorreg_interpol!$B:$XFD, MATCH(gdp_capita_mesorreg!O$1, pop_mesorreg_interpol!$B$1:$XFD$1, 0), 0)</f>
        <v>9577.6222819172872</v>
      </c>
      <c r="P105" s="7">
        <f>VLOOKUP($B105, gdp_tot_mes!$B:$XFD, MATCH(gdp_capita_mesorreg!P$1, gdp_tot_mes!$B$1:$XFD$1, 0), 0)*1000/VLOOKUP($B105, pop_mesorreg_interpol!$B:$XFD, MATCH(gdp_capita_mesorreg!P$1, pop_mesorreg_interpol!$B$1:$XFD$1, 0), 0)</f>
        <v>10395.231175465677</v>
      </c>
      <c r="Q105" s="7">
        <f>VLOOKUP($B105, gdp_tot_mes!$B:$XFD, MATCH(gdp_capita_mesorreg!Q$1, gdp_tot_mes!$B$1:$XFD$1, 0), 0)*1000/VLOOKUP($B105, pop_mesorreg_interpol!$B:$XFD, MATCH(gdp_capita_mesorreg!Q$1, pop_mesorreg_interpol!$B$1:$XFD$1, 0), 0)</f>
        <v>10501.027686810769</v>
      </c>
      <c r="R105" s="7">
        <f>VLOOKUP($B105, gdp_tot_mes!$B:$XFD, MATCH(gdp_capita_mesorreg!R$1, gdp_tot_mes!$B$1:$XFD$1, 0), 0)*1000/VLOOKUP($B105, pop_mesorreg_interpol!$B:$XFD, MATCH(gdp_capita_mesorreg!R$1, pop_mesorreg_interpol!$B$1:$XFD$1, 0), 0)</f>
        <v>10217.903712428613</v>
      </c>
      <c r="S105" s="7">
        <f>VLOOKUP($B105, gdp_tot_mes!$B:$XFD, MATCH(gdp_capita_mesorreg!S$1, gdp_tot_mes!$B$1:$XFD$1, 0), 0)*1000/VLOOKUP($B105, pop_mesorreg_interpol!$B:$XFD, MATCH(gdp_capita_mesorreg!S$1, pop_mesorreg_interpol!$B$1:$XFD$1, 0), 0)</f>
        <v>9422.1515141911295</v>
      </c>
      <c r="T105" s="7">
        <f>VLOOKUP($B105, gdp_tot_mes!$B:$XFD, MATCH(gdp_capita_mesorreg!T$1, gdp_tot_mes!$B$1:$XFD$1, 0), 0)*1000/VLOOKUP($B105, pop_mesorreg_interpol!$B:$XFD, MATCH(gdp_capita_mesorreg!T$1, pop_mesorreg_interpol!$B$1:$XFD$1, 0), 0)</f>
        <v>9291.5171695749559</v>
      </c>
      <c r="U105" s="7">
        <f>VLOOKUP($B105, gdp_tot_mes!$B:$XFD, MATCH(gdp_capita_mesorreg!U$1, gdp_tot_mes!$B$1:$XFD$1, 0), 0)*1000/VLOOKUP($B105, pop_mesorreg_interpol!$B:$XFD, MATCH(gdp_capita_mesorreg!U$1, pop_mesorreg_interpol!$B$1:$XFD$1, 0), 0)</f>
        <v>9516.8092646753248</v>
      </c>
      <c r="V105" s="7">
        <f>VLOOKUP($B105, gdp_tot_mes!$B:$XFD, MATCH(gdp_capita_mesorreg!V$1, gdp_tot_mes!$B$1:$XFD$1, 0), 0)*1000/VLOOKUP($B105, pop_mesorreg_interpol!$B:$XFD, MATCH(gdp_capita_mesorreg!V$1, pop_mesorreg_interpol!$B$1:$XFD$1, 0), 0)</f>
        <v>9616.8826262730636</v>
      </c>
      <c r="W105" s="7">
        <f>VLOOKUP($B105, gdp_tot_mes!$B:$XFD, MATCH(gdp_capita_mesorreg!W$1, gdp_tot_mes!$B$1:$XFD$1, 0), 0)*1000/VLOOKUP($B105, pop_mesorreg_interpol!$B:$XFD, MATCH(gdp_capita_mesorreg!W$1, pop_mesorreg_interpol!$B$1:$XFD$1, 0), 0)</f>
        <v>9824.2967244323627</v>
      </c>
      <c r="X105" s="7">
        <f>VLOOKUP($B105, gdp_tot_mes!$B:$XFD, MATCH(gdp_capita_mesorreg!X$1, gdp_tot_mes!$B$1:$XFD$1, 0), 0)*1000/VLOOKUP($B105, pop_mesorreg_interpol!$B:$XFD, MATCH(gdp_capita_mesorreg!X$1, pop_mesorreg_interpol!$B$1:$XFD$1, 0), 0)</f>
        <v>10351.363962230991</v>
      </c>
      <c r="Y105" s="7">
        <f>VLOOKUP($B105, gdp_tot_mes!$B:$XFD, MATCH(gdp_capita_mesorreg!Y$1, gdp_tot_mes!$B$1:$XFD$1, 0), 0)*1000/VLOOKUP($B105, pop_mesorreg_interpol!$B:$XFD, MATCH(gdp_capita_mesorreg!Y$1, pop_mesorreg_interpol!$B$1:$XFD$1, 0), 0)</f>
        <v>10060.969019795439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x14ac:dyDescent="0.25">
      <c r="A106" s="1" t="s">
        <v>253</v>
      </c>
      <c r="B106" s="1" t="s">
        <v>254</v>
      </c>
      <c r="C106" s="1" t="s">
        <v>255</v>
      </c>
      <c r="D106" s="7">
        <f>VLOOKUP($B106, gdp_tot_mes!$B:$XFD, MATCH(gdp_capita_mesorreg!D$1, gdp_tot_mes!$B$1:$XFD$1, 0), 0)*1000/VLOOKUP($B106, pop_mesorreg_interpol!$B:$XFD, MATCH(gdp_capita_mesorreg!D$1, pop_mesorreg_interpol!$B$1:$XFD$1, 0), 0)</f>
        <v>933.83421514552708</v>
      </c>
      <c r="E106" s="7">
        <f>VLOOKUP($B106, gdp_tot_mes!$B:$XFD, MATCH(gdp_capita_mesorreg!E$1, gdp_tot_mes!$B$1:$XFD$1, 0), 0)*1000/VLOOKUP($B106, pop_mesorreg_interpol!$B:$XFD, MATCH(gdp_capita_mesorreg!E$1, pop_mesorreg_interpol!$B$1:$XFD$1, 0), 0)</f>
        <v>1944.3067172237363</v>
      </c>
      <c r="F106" s="7">
        <f>VLOOKUP($B106, gdp_tot_mes!$B:$XFD, MATCH(gdp_capita_mesorreg!F$1, gdp_tot_mes!$B$1:$XFD$1, 0), 0)*1000/VLOOKUP($B106, pop_mesorreg_interpol!$B:$XFD, MATCH(gdp_capita_mesorreg!F$1, pop_mesorreg_interpol!$B$1:$XFD$1, 0), 0)</f>
        <v>2796.9014602098318</v>
      </c>
      <c r="G106" s="7">
        <f>VLOOKUP($B106, gdp_tot_mes!$B:$XFD, MATCH(gdp_capita_mesorreg!G$1, gdp_tot_mes!$B$1:$XFD$1, 0), 0)*1000/VLOOKUP($B106, pop_mesorreg_interpol!$B:$XFD, MATCH(gdp_capita_mesorreg!G$1, pop_mesorreg_interpol!$B$1:$XFD$1, 0), 0)</f>
        <v>3942.2476247117106</v>
      </c>
      <c r="H106" s="7">
        <f>VLOOKUP($B106, gdp_tot_mes!$B:$XFD, MATCH(gdp_capita_mesorreg!H$1, gdp_tot_mes!$B$1:$XFD$1, 0), 0)*1000/VLOOKUP($B106, pop_mesorreg_interpol!$B:$XFD, MATCH(gdp_capita_mesorreg!H$1, pop_mesorreg_interpol!$B$1:$XFD$1, 0), 0)</f>
        <v>6604.0090908182665</v>
      </c>
      <c r="I106" s="7">
        <f>VLOOKUP($B106, gdp_tot_mes!$B:$XFD, MATCH(gdp_capita_mesorreg!I$1, gdp_tot_mes!$B$1:$XFD$1, 0), 0)*1000/VLOOKUP($B106, pop_mesorreg_interpol!$B:$XFD, MATCH(gdp_capita_mesorreg!I$1, pop_mesorreg_interpol!$B$1:$XFD$1, 0), 0)</f>
        <v>10513.366104650166</v>
      </c>
      <c r="J106" s="7">
        <f>VLOOKUP($B106, gdp_tot_mes!$B:$XFD, MATCH(gdp_capita_mesorreg!J$1, gdp_tot_mes!$B$1:$XFD$1, 0), 0)*1000/VLOOKUP($B106, pop_mesorreg_interpol!$B:$XFD, MATCH(gdp_capita_mesorreg!J$1, pop_mesorreg_interpol!$B$1:$XFD$1, 0), 0)</f>
        <v>11263.562613983226</v>
      </c>
      <c r="K106" s="7">
        <f>VLOOKUP($B106, gdp_tot_mes!$B:$XFD, MATCH(gdp_capita_mesorreg!K$1, gdp_tot_mes!$B$1:$XFD$1, 0), 0)*1000/VLOOKUP($B106, pop_mesorreg_interpol!$B:$XFD, MATCH(gdp_capita_mesorreg!K$1, pop_mesorreg_interpol!$B$1:$XFD$1, 0), 0)</f>
        <v>12677.951790561663</v>
      </c>
      <c r="L106" s="8">
        <f>VLOOKUP($B106, gdp_tot_mes!$B:$XFD, MATCH(gdp_capita_mesorreg!L$1, gdp_tot_mes!$B$1:$XFD$1, 0), 0)*1000/VLOOKUP($B106, pop_mesorreg_interpol!$B:$XFD, MATCH(gdp_capita_mesorreg!L$1, pop_mesorreg_interpol!$B$1:$XFD$1, 0), 0)</f>
        <v>12163.485631498648</v>
      </c>
      <c r="M106" s="7">
        <f>VLOOKUP($B106, gdp_tot_mes!$B:$XFD, MATCH(gdp_capita_mesorreg!M$1, gdp_tot_mes!$B$1:$XFD$1, 0), 0)*1000/VLOOKUP($B106, pop_mesorreg_interpol!$B:$XFD, MATCH(gdp_capita_mesorreg!M$1, pop_mesorreg_interpol!$B$1:$XFD$1, 0), 0)</f>
        <v>11556.935214418207</v>
      </c>
      <c r="N106" s="7">
        <f>VLOOKUP($B106, gdp_tot_mes!$B:$XFD, MATCH(gdp_capita_mesorreg!N$1, gdp_tot_mes!$B$1:$XFD$1, 0), 0)*1000/VLOOKUP($B106, pop_mesorreg_interpol!$B:$XFD, MATCH(gdp_capita_mesorreg!N$1, pop_mesorreg_interpol!$B$1:$XFD$1, 0), 0)</f>
        <v>13701.697123370053</v>
      </c>
      <c r="O106" s="7">
        <f>VLOOKUP($B106, gdp_tot_mes!$B:$XFD, MATCH(gdp_capita_mesorreg!O$1, gdp_tot_mes!$B$1:$XFD$1, 0), 0)*1000/VLOOKUP($B106, pop_mesorreg_interpol!$B:$XFD, MATCH(gdp_capita_mesorreg!O$1, pop_mesorreg_interpol!$B$1:$XFD$1, 0), 0)</f>
        <v>14134.423328910354</v>
      </c>
      <c r="P106" s="7">
        <f>VLOOKUP($B106, gdp_tot_mes!$B:$XFD, MATCH(gdp_capita_mesorreg!P$1, gdp_tot_mes!$B$1:$XFD$1, 0), 0)*1000/VLOOKUP($B106, pop_mesorreg_interpol!$B:$XFD, MATCH(gdp_capita_mesorreg!P$1, pop_mesorreg_interpol!$B$1:$XFD$1, 0), 0)</f>
        <v>15575.883378674671</v>
      </c>
      <c r="Q106" s="7">
        <f>VLOOKUP($B106, gdp_tot_mes!$B:$XFD, MATCH(gdp_capita_mesorreg!Q$1, gdp_tot_mes!$B$1:$XFD$1, 0), 0)*1000/VLOOKUP($B106, pop_mesorreg_interpol!$B:$XFD, MATCH(gdp_capita_mesorreg!Q$1, pop_mesorreg_interpol!$B$1:$XFD$1, 0), 0)</f>
        <v>15999.64367130479</v>
      </c>
      <c r="R106" s="7">
        <f>VLOOKUP($B106, gdp_tot_mes!$B:$XFD, MATCH(gdp_capita_mesorreg!R$1, gdp_tot_mes!$B$1:$XFD$1, 0), 0)*1000/VLOOKUP($B106, pop_mesorreg_interpol!$B:$XFD, MATCH(gdp_capita_mesorreg!R$1, pop_mesorreg_interpol!$B$1:$XFD$1, 0), 0)</f>
        <v>19300.367548527691</v>
      </c>
      <c r="S106" s="7">
        <f>VLOOKUP($B106, gdp_tot_mes!$B:$XFD, MATCH(gdp_capita_mesorreg!S$1, gdp_tot_mes!$B$1:$XFD$1, 0), 0)*1000/VLOOKUP($B106, pop_mesorreg_interpol!$B:$XFD, MATCH(gdp_capita_mesorreg!S$1, pop_mesorreg_interpol!$B$1:$XFD$1, 0), 0)</f>
        <v>17460.05619594565</v>
      </c>
      <c r="T106" s="7">
        <f>VLOOKUP($B106, gdp_tot_mes!$B:$XFD, MATCH(gdp_capita_mesorreg!T$1, gdp_tot_mes!$B$1:$XFD$1, 0), 0)*1000/VLOOKUP($B106, pop_mesorreg_interpol!$B:$XFD, MATCH(gdp_capita_mesorreg!T$1, pop_mesorreg_interpol!$B$1:$XFD$1, 0), 0)</f>
        <v>14863.797159338314</v>
      </c>
      <c r="U106" s="7">
        <f>VLOOKUP($B106, gdp_tot_mes!$B:$XFD, MATCH(gdp_capita_mesorreg!U$1, gdp_tot_mes!$B$1:$XFD$1, 0), 0)*1000/VLOOKUP($B106, pop_mesorreg_interpol!$B:$XFD, MATCH(gdp_capita_mesorreg!U$1, pop_mesorreg_interpol!$B$1:$XFD$1, 0), 0)</f>
        <v>16213.010432022222</v>
      </c>
      <c r="V106" s="7">
        <f>VLOOKUP($B106, gdp_tot_mes!$B:$XFD, MATCH(gdp_capita_mesorreg!V$1, gdp_tot_mes!$B$1:$XFD$1, 0), 0)*1000/VLOOKUP($B106, pop_mesorreg_interpol!$B:$XFD, MATCH(gdp_capita_mesorreg!V$1, pop_mesorreg_interpol!$B$1:$XFD$1, 0), 0)</f>
        <v>19049.892899364077</v>
      </c>
      <c r="W106" s="7">
        <f>VLOOKUP($B106, gdp_tot_mes!$B:$XFD, MATCH(gdp_capita_mesorreg!W$1, gdp_tot_mes!$B$1:$XFD$1, 0), 0)*1000/VLOOKUP($B106, pop_mesorreg_interpol!$B:$XFD, MATCH(gdp_capita_mesorreg!W$1, pop_mesorreg_interpol!$B$1:$XFD$1, 0), 0)</f>
        <v>19704.020927238427</v>
      </c>
      <c r="X106" s="7">
        <f>VLOOKUP($B106, gdp_tot_mes!$B:$XFD, MATCH(gdp_capita_mesorreg!X$1, gdp_tot_mes!$B$1:$XFD$1, 0), 0)*1000/VLOOKUP($B106, pop_mesorreg_interpol!$B:$XFD, MATCH(gdp_capita_mesorreg!X$1, pop_mesorreg_interpol!$B$1:$XFD$1, 0), 0)</f>
        <v>19339.148473149464</v>
      </c>
      <c r="Y106" s="7">
        <f>VLOOKUP($B106, gdp_tot_mes!$B:$XFD, MATCH(gdp_capita_mesorreg!Y$1, gdp_tot_mes!$B$1:$XFD$1, 0), 0)*1000/VLOOKUP($B106, pop_mesorreg_interpol!$B:$XFD, MATCH(gdp_capita_mesorreg!Y$1, pop_mesorreg_interpol!$B$1:$XFD$1, 0), 0)</f>
        <v>20692.042256140485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x14ac:dyDescent="0.25">
      <c r="A107" s="1" t="s">
        <v>253</v>
      </c>
      <c r="B107" s="1" t="s">
        <v>256</v>
      </c>
      <c r="C107" s="1" t="s">
        <v>257</v>
      </c>
      <c r="D107" s="7">
        <f>VLOOKUP($B107, gdp_tot_mes!$B:$XFD, MATCH(gdp_capita_mesorreg!D$1, gdp_tot_mes!$B$1:$XFD$1, 0), 0)*1000/VLOOKUP($B107, pop_mesorreg_interpol!$B:$XFD, MATCH(gdp_capita_mesorreg!D$1, pop_mesorreg_interpol!$B$1:$XFD$1, 0), 0)</f>
        <v>1315.8253795218882</v>
      </c>
      <c r="E107" s="7">
        <f>VLOOKUP($B107, gdp_tot_mes!$B:$XFD, MATCH(gdp_capita_mesorreg!E$1, gdp_tot_mes!$B$1:$XFD$1, 0), 0)*1000/VLOOKUP($B107, pop_mesorreg_interpol!$B:$XFD, MATCH(gdp_capita_mesorreg!E$1, pop_mesorreg_interpol!$B$1:$XFD$1, 0), 0)</f>
        <v>2231.321806255251</v>
      </c>
      <c r="F107" s="7">
        <f>VLOOKUP($B107, gdp_tot_mes!$B:$XFD, MATCH(gdp_capita_mesorreg!F$1, gdp_tot_mes!$B$1:$XFD$1, 0), 0)*1000/VLOOKUP($B107, pop_mesorreg_interpol!$B:$XFD, MATCH(gdp_capita_mesorreg!F$1, pop_mesorreg_interpol!$B$1:$XFD$1, 0), 0)</f>
        <v>4105.6321306056889</v>
      </c>
      <c r="G107" s="7">
        <f>VLOOKUP($B107, gdp_tot_mes!$B:$XFD, MATCH(gdp_capita_mesorreg!G$1, gdp_tot_mes!$B$1:$XFD$1, 0), 0)*1000/VLOOKUP($B107, pop_mesorreg_interpol!$B:$XFD, MATCH(gdp_capita_mesorreg!G$1, pop_mesorreg_interpol!$B$1:$XFD$1, 0), 0)</f>
        <v>5560.4525290727297</v>
      </c>
      <c r="H107" s="7">
        <f>VLOOKUP($B107, gdp_tot_mes!$B:$XFD, MATCH(gdp_capita_mesorreg!H$1, gdp_tot_mes!$B$1:$XFD$1, 0), 0)*1000/VLOOKUP($B107, pop_mesorreg_interpol!$B:$XFD, MATCH(gdp_capita_mesorreg!H$1, pop_mesorreg_interpol!$B$1:$XFD$1, 0), 0)</f>
        <v>8980.7287500554939</v>
      </c>
      <c r="I107" s="7">
        <f>VLOOKUP($B107, gdp_tot_mes!$B:$XFD, MATCH(gdp_capita_mesorreg!I$1, gdp_tot_mes!$B$1:$XFD$1, 0), 0)*1000/VLOOKUP($B107, pop_mesorreg_interpol!$B:$XFD, MATCH(gdp_capita_mesorreg!I$1, pop_mesorreg_interpol!$B$1:$XFD$1, 0), 0)</f>
        <v>16047.36941630701</v>
      </c>
      <c r="J107" s="7">
        <f>VLOOKUP($B107, gdp_tot_mes!$B:$XFD, MATCH(gdp_capita_mesorreg!J$1, gdp_tot_mes!$B$1:$XFD$1, 0), 0)*1000/VLOOKUP($B107, pop_mesorreg_interpol!$B:$XFD, MATCH(gdp_capita_mesorreg!J$1, pop_mesorreg_interpol!$B$1:$XFD$1, 0), 0)</f>
        <v>20301.856262742673</v>
      </c>
      <c r="K107" s="7">
        <f>VLOOKUP($B107, gdp_tot_mes!$B:$XFD, MATCH(gdp_capita_mesorreg!K$1, gdp_tot_mes!$B$1:$XFD$1, 0), 0)*1000/VLOOKUP($B107, pop_mesorreg_interpol!$B:$XFD, MATCH(gdp_capita_mesorreg!K$1, pop_mesorreg_interpol!$B$1:$XFD$1, 0), 0)</f>
        <v>22834.437128765472</v>
      </c>
      <c r="L107" s="8">
        <f>VLOOKUP($B107, gdp_tot_mes!$B:$XFD, MATCH(gdp_capita_mesorreg!L$1, gdp_tot_mes!$B$1:$XFD$1, 0), 0)*1000/VLOOKUP($B107, pop_mesorreg_interpol!$B:$XFD, MATCH(gdp_capita_mesorreg!L$1, pop_mesorreg_interpol!$B$1:$XFD$1, 0), 0)</f>
        <v>21895.802560701064</v>
      </c>
      <c r="M107" s="7">
        <f>VLOOKUP($B107, gdp_tot_mes!$B:$XFD, MATCH(gdp_capita_mesorreg!M$1, gdp_tot_mes!$B$1:$XFD$1, 0), 0)*1000/VLOOKUP($B107, pop_mesorreg_interpol!$B:$XFD, MATCH(gdp_capita_mesorreg!M$1, pop_mesorreg_interpol!$B$1:$XFD$1, 0), 0)</f>
        <v>20956.968213753029</v>
      </c>
      <c r="N107" s="7">
        <f>VLOOKUP($B107, gdp_tot_mes!$B:$XFD, MATCH(gdp_capita_mesorreg!N$1, gdp_tot_mes!$B$1:$XFD$1, 0), 0)*1000/VLOOKUP($B107, pop_mesorreg_interpol!$B:$XFD, MATCH(gdp_capita_mesorreg!N$1, pop_mesorreg_interpol!$B$1:$XFD$1, 0), 0)</f>
        <v>22419.088749775456</v>
      </c>
      <c r="O107" s="7">
        <f>VLOOKUP($B107, gdp_tot_mes!$B:$XFD, MATCH(gdp_capita_mesorreg!O$1, gdp_tot_mes!$B$1:$XFD$1, 0), 0)*1000/VLOOKUP($B107, pop_mesorreg_interpol!$B:$XFD, MATCH(gdp_capita_mesorreg!O$1, pop_mesorreg_interpol!$B$1:$XFD$1, 0), 0)</f>
        <v>23277.030185147418</v>
      </c>
      <c r="P107" s="7">
        <f>VLOOKUP($B107, gdp_tot_mes!$B:$XFD, MATCH(gdp_capita_mesorreg!P$1, gdp_tot_mes!$B$1:$XFD$1, 0), 0)*1000/VLOOKUP($B107, pop_mesorreg_interpol!$B:$XFD, MATCH(gdp_capita_mesorreg!P$1, pop_mesorreg_interpol!$B$1:$XFD$1, 0), 0)</f>
        <v>23477.201503268741</v>
      </c>
      <c r="Q107" s="7">
        <f>VLOOKUP($B107, gdp_tot_mes!$B:$XFD, MATCH(gdp_capita_mesorreg!Q$1, gdp_tot_mes!$B$1:$XFD$1, 0), 0)*1000/VLOOKUP($B107, pop_mesorreg_interpol!$B:$XFD, MATCH(gdp_capita_mesorreg!Q$1, pop_mesorreg_interpol!$B$1:$XFD$1, 0), 0)</f>
        <v>24437.210852238459</v>
      </c>
      <c r="R107" s="7">
        <f>VLOOKUP($B107, gdp_tot_mes!$B:$XFD, MATCH(gdp_capita_mesorreg!R$1, gdp_tot_mes!$B$1:$XFD$1, 0), 0)*1000/VLOOKUP($B107, pop_mesorreg_interpol!$B:$XFD, MATCH(gdp_capita_mesorreg!R$1, pop_mesorreg_interpol!$B$1:$XFD$1, 0), 0)</f>
        <v>24615.453202610755</v>
      </c>
      <c r="S107" s="7">
        <f>VLOOKUP($B107, gdp_tot_mes!$B:$XFD, MATCH(gdp_capita_mesorreg!S$1, gdp_tot_mes!$B$1:$XFD$1, 0), 0)*1000/VLOOKUP($B107, pop_mesorreg_interpol!$B:$XFD, MATCH(gdp_capita_mesorreg!S$1, pop_mesorreg_interpol!$B$1:$XFD$1, 0), 0)</f>
        <v>25895.020814670912</v>
      </c>
      <c r="T107" s="7">
        <f>VLOOKUP($B107, gdp_tot_mes!$B:$XFD, MATCH(gdp_capita_mesorreg!T$1, gdp_tot_mes!$B$1:$XFD$1, 0), 0)*1000/VLOOKUP($B107, pop_mesorreg_interpol!$B:$XFD, MATCH(gdp_capita_mesorreg!T$1, pop_mesorreg_interpol!$B$1:$XFD$1, 0), 0)</f>
        <v>25729.328258259469</v>
      </c>
      <c r="U107" s="7">
        <f>VLOOKUP($B107, gdp_tot_mes!$B:$XFD, MATCH(gdp_capita_mesorreg!U$1, gdp_tot_mes!$B$1:$XFD$1, 0), 0)*1000/VLOOKUP($B107, pop_mesorreg_interpol!$B:$XFD, MATCH(gdp_capita_mesorreg!U$1, pop_mesorreg_interpol!$B$1:$XFD$1, 0), 0)</f>
        <v>25022.577196692146</v>
      </c>
      <c r="V107" s="7">
        <f>VLOOKUP($B107, gdp_tot_mes!$B:$XFD, MATCH(gdp_capita_mesorreg!V$1, gdp_tot_mes!$B$1:$XFD$1, 0), 0)*1000/VLOOKUP($B107, pop_mesorreg_interpol!$B:$XFD, MATCH(gdp_capita_mesorreg!V$1, pop_mesorreg_interpol!$B$1:$XFD$1, 0), 0)</f>
        <v>26340.46732699635</v>
      </c>
      <c r="W107" s="7">
        <f>VLOOKUP($B107, gdp_tot_mes!$B:$XFD, MATCH(gdp_capita_mesorreg!W$1, gdp_tot_mes!$B$1:$XFD$1, 0), 0)*1000/VLOOKUP($B107, pop_mesorreg_interpol!$B:$XFD, MATCH(gdp_capita_mesorreg!W$1, pop_mesorreg_interpol!$B$1:$XFD$1, 0), 0)</f>
        <v>26793.317658414944</v>
      </c>
      <c r="X107" s="7">
        <f>VLOOKUP($B107, gdp_tot_mes!$B:$XFD, MATCH(gdp_capita_mesorreg!X$1, gdp_tot_mes!$B$1:$XFD$1, 0), 0)*1000/VLOOKUP($B107, pop_mesorreg_interpol!$B:$XFD, MATCH(gdp_capita_mesorreg!X$1, pop_mesorreg_interpol!$B$1:$XFD$1, 0), 0)</f>
        <v>26716.837731167157</v>
      </c>
      <c r="Y107" s="7">
        <f>VLOOKUP($B107, gdp_tot_mes!$B:$XFD, MATCH(gdp_capita_mesorreg!Y$1, gdp_tot_mes!$B$1:$XFD$1, 0), 0)*1000/VLOOKUP($B107, pop_mesorreg_interpol!$B:$XFD, MATCH(gdp_capita_mesorreg!Y$1, pop_mesorreg_interpol!$B$1:$XFD$1, 0), 0)</f>
        <v>29955.635887964654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x14ac:dyDescent="0.25">
      <c r="A108" s="1" t="s">
        <v>253</v>
      </c>
      <c r="B108" s="1" t="s">
        <v>258</v>
      </c>
      <c r="C108" s="1" t="s">
        <v>259</v>
      </c>
      <c r="D108" s="7">
        <f>VLOOKUP($B108, gdp_tot_mes!$B:$XFD, MATCH(gdp_capita_mesorreg!D$1, gdp_tot_mes!$B$1:$XFD$1, 0), 0)*1000/VLOOKUP($B108, pop_mesorreg_interpol!$B:$XFD, MATCH(gdp_capita_mesorreg!D$1, pop_mesorreg_interpol!$B$1:$XFD$1, 0), 0)</f>
        <v>1009.4691320828824</v>
      </c>
      <c r="E108" s="7">
        <f>VLOOKUP($B108, gdp_tot_mes!$B:$XFD, MATCH(gdp_capita_mesorreg!E$1, gdp_tot_mes!$B$1:$XFD$1, 0), 0)*1000/VLOOKUP($B108, pop_mesorreg_interpol!$B:$XFD, MATCH(gdp_capita_mesorreg!E$1, pop_mesorreg_interpol!$B$1:$XFD$1, 0), 0)</f>
        <v>2559.2379188440336</v>
      </c>
      <c r="F108" s="7">
        <f>VLOOKUP($B108, gdp_tot_mes!$B:$XFD, MATCH(gdp_capita_mesorreg!F$1, gdp_tot_mes!$B$1:$XFD$1, 0), 0)*1000/VLOOKUP($B108, pop_mesorreg_interpol!$B:$XFD, MATCH(gdp_capita_mesorreg!F$1, pop_mesorreg_interpol!$B$1:$XFD$1, 0), 0)</f>
        <v>3029.3117234966844</v>
      </c>
      <c r="G108" s="7">
        <f>VLOOKUP($B108, gdp_tot_mes!$B:$XFD, MATCH(gdp_capita_mesorreg!G$1, gdp_tot_mes!$B$1:$XFD$1, 0), 0)*1000/VLOOKUP($B108, pop_mesorreg_interpol!$B:$XFD, MATCH(gdp_capita_mesorreg!G$1, pop_mesorreg_interpol!$B$1:$XFD$1, 0), 0)</f>
        <v>4608.843206915848</v>
      </c>
      <c r="H108" s="7">
        <f>VLOOKUP($B108, gdp_tot_mes!$B:$XFD, MATCH(gdp_capita_mesorreg!H$1, gdp_tot_mes!$B$1:$XFD$1, 0), 0)*1000/VLOOKUP($B108, pop_mesorreg_interpol!$B:$XFD, MATCH(gdp_capita_mesorreg!H$1, pop_mesorreg_interpol!$B$1:$XFD$1, 0), 0)</f>
        <v>6742.7895694184117</v>
      </c>
      <c r="I108" s="7">
        <f>VLOOKUP($B108, gdp_tot_mes!$B:$XFD, MATCH(gdp_capita_mesorreg!I$1, gdp_tot_mes!$B$1:$XFD$1, 0), 0)*1000/VLOOKUP($B108, pop_mesorreg_interpol!$B:$XFD, MATCH(gdp_capita_mesorreg!I$1, pop_mesorreg_interpol!$B$1:$XFD$1, 0), 0)</f>
        <v>9284.5608440030956</v>
      </c>
      <c r="J108" s="7">
        <f>VLOOKUP($B108, gdp_tot_mes!$B:$XFD, MATCH(gdp_capita_mesorreg!J$1, gdp_tot_mes!$B$1:$XFD$1, 0), 0)*1000/VLOOKUP($B108, pop_mesorreg_interpol!$B:$XFD, MATCH(gdp_capita_mesorreg!J$1, pop_mesorreg_interpol!$B$1:$XFD$1, 0), 0)</f>
        <v>10993.373765466135</v>
      </c>
      <c r="K108" s="7">
        <f>VLOOKUP($B108, gdp_tot_mes!$B:$XFD, MATCH(gdp_capita_mesorreg!K$1, gdp_tot_mes!$B$1:$XFD$1, 0), 0)*1000/VLOOKUP($B108, pop_mesorreg_interpol!$B:$XFD, MATCH(gdp_capita_mesorreg!K$1, pop_mesorreg_interpol!$B$1:$XFD$1, 0), 0)</f>
        <v>11904.364688501921</v>
      </c>
      <c r="L108" s="8">
        <f>VLOOKUP($B108, gdp_tot_mes!$B:$XFD, MATCH(gdp_capita_mesorreg!L$1, gdp_tot_mes!$B$1:$XFD$1, 0), 0)*1000/VLOOKUP($B108, pop_mesorreg_interpol!$B:$XFD, MATCH(gdp_capita_mesorreg!L$1, pop_mesorreg_interpol!$B$1:$XFD$1, 0), 0)</f>
        <v>11895.719144891145</v>
      </c>
      <c r="M108" s="7">
        <f>VLOOKUP($B108, gdp_tot_mes!$B:$XFD, MATCH(gdp_capita_mesorreg!M$1, gdp_tot_mes!$B$1:$XFD$1, 0), 0)*1000/VLOOKUP($B108, pop_mesorreg_interpol!$B:$XFD, MATCH(gdp_capita_mesorreg!M$1, pop_mesorreg_interpol!$B$1:$XFD$1, 0), 0)</f>
        <v>11886.364604570879</v>
      </c>
      <c r="N108" s="7">
        <f>VLOOKUP($B108, gdp_tot_mes!$B:$XFD, MATCH(gdp_capita_mesorreg!N$1, gdp_tot_mes!$B$1:$XFD$1, 0), 0)*1000/VLOOKUP($B108, pop_mesorreg_interpol!$B:$XFD, MATCH(gdp_capita_mesorreg!N$1, pop_mesorreg_interpol!$B$1:$XFD$1, 0), 0)</f>
        <v>12055.011418009024</v>
      </c>
      <c r="O108" s="7">
        <f>VLOOKUP($B108, gdp_tot_mes!$B:$XFD, MATCH(gdp_capita_mesorreg!O$1, gdp_tot_mes!$B$1:$XFD$1, 0), 0)*1000/VLOOKUP($B108, pop_mesorreg_interpol!$B:$XFD, MATCH(gdp_capita_mesorreg!O$1, pop_mesorreg_interpol!$B$1:$XFD$1, 0), 0)</f>
        <v>11806.465443666833</v>
      </c>
      <c r="P108" s="7">
        <f>VLOOKUP($B108, gdp_tot_mes!$B:$XFD, MATCH(gdp_capita_mesorreg!P$1, gdp_tot_mes!$B$1:$XFD$1, 0), 0)*1000/VLOOKUP($B108, pop_mesorreg_interpol!$B:$XFD, MATCH(gdp_capita_mesorreg!P$1, pop_mesorreg_interpol!$B$1:$XFD$1, 0), 0)</f>
        <v>12408.9555017398</v>
      </c>
      <c r="Q108" s="7">
        <f>VLOOKUP($B108, gdp_tot_mes!$B:$XFD, MATCH(gdp_capita_mesorreg!Q$1, gdp_tot_mes!$B$1:$XFD$1, 0), 0)*1000/VLOOKUP($B108, pop_mesorreg_interpol!$B:$XFD, MATCH(gdp_capita_mesorreg!Q$1, pop_mesorreg_interpol!$B$1:$XFD$1, 0), 0)</f>
        <v>13318.497337857829</v>
      </c>
      <c r="R108" s="7">
        <f>VLOOKUP($B108, gdp_tot_mes!$B:$XFD, MATCH(gdp_capita_mesorreg!R$1, gdp_tot_mes!$B$1:$XFD$1, 0), 0)*1000/VLOOKUP($B108, pop_mesorreg_interpol!$B:$XFD, MATCH(gdp_capita_mesorreg!R$1, pop_mesorreg_interpol!$B$1:$XFD$1, 0), 0)</f>
        <v>14745.34356908156</v>
      </c>
      <c r="S108" s="7">
        <f>VLOOKUP($B108, gdp_tot_mes!$B:$XFD, MATCH(gdp_capita_mesorreg!S$1, gdp_tot_mes!$B$1:$XFD$1, 0), 0)*1000/VLOOKUP($B108, pop_mesorreg_interpol!$B:$XFD, MATCH(gdp_capita_mesorreg!S$1, pop_mesorreg_interpol!$B$1:$XFD$1, 0), 0)</f>
        <v>13875.162054053802</v>
      </c>
      <c r="T108" s="7">
        <f>VLOOKUP($B108, gdp_tot_mes!$B:$XFD, MATCH(gdp_capita_mesorreg!T$1, gdp_tot_mes!$B$1:$XFD$1, 0), 0)*1000/VLOOKUP($B108, pop_mesorreg_interpol!$B:$XFD, MATCH(gdp_capita_mesorreg!T$1, pop_mesorreg_interpol!$B$1:$XFD$1, 0), 0)</f>
        <v>12503.449355360586</v>
      </c>
      <c r="U108" s="7">
        <f>VLOOKUP($B108, gdp_tot_mes!$B:$XFD, MATCH(gdp_capita_mesorreg!U$1, gdp_tot_mes!$B$1:$XFD$1, 0), 0)*1000/VLOOKUP($B108, pop_mesorreg_interpol!$B:$XFD, MATCH(gdp_capita_mesorreg!U$1, pop_mesorreg_interpol!$B$1:$XFD$1, 0), 0)</f>
        <v>13611.188289527325</v>
      </c>
      <c r="V108" s="7">
        <f>VLOOKUP($B108, gdp_tot_mes!$B:$XFD, MATCH(gdp_capita_mesorreg!V$1, gdp_tot_mes!$B$1:$XFD$1, 0), 0)*1000/VLOOKUP($B108, pop_mesorreg_interpol!$B:$XFD, MATCH(gdp_capita_mesorreg!V$1, pop_mesorreg_interpol!$B$1:$XFD$1, 0), 0)</f>
        <v>14832.457816686556</v>
      </c>
      <c r="W108" s="7">
        <f>VLOOKUP($B108, gdp_tot_mes!$B:$XFD, MATCH(gdp_capita_mesorreg!W$1, gdp_tot_mes!$B$1:$XFD$1, 0), 0)*1000/VLOOKUP($B108, pop_mesorreg_interpol!$B:$XFD, MATCH(gdp_capita_mesorreg!W$1, pop_mesorreg_interpol!$B$1:$XFD$1, 0), 0)</f>
        <v>15358.639247510648</v>
      </c>
      <c r="X108" s="7">
        <f>VLOOKUP($B108, gdp_tot_mes!$B:$XFD, MATCH(gdp_capita_mesorreg!X$1, gdp_tot_mes!$B$1:$XFD$1, 0), 0)*1000/VLOOKUP($B108, pop_mesorreg_interpol!$B:$XFD, MATCH(gdp_capita_mesorreg!X$1, pop_mesorreg_interpol!$B$1:$XFD$1, 0), 0)</f>
        <v>15457.632874378703</v>
      </c>
      <c r="Y108" s="7">
        <f>VLOOKUP($B108, gdp_tot_mes!$B:$XFD, MATCH(gdp_capita_mesorreg!Y$1, gdp_tot_mes!$B$1:$XFD$1, 0), 0)*1000/VLOOKUP($B108, pop_mesorreg_interpol!$B:$XFD, MATCH(gdp_capita_mesorreg!Y$1, pop_mesorreg_interpol!$B$1:$XFD$1, 0), 0)</f>
        <v>16020.64795562988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x14ac:dyDescent="0.25">
      <c r="A109" s="1" t="s">
        <v>253</v>
      </c>
      <c r="B109" s="1" t="s">
        <v>260</v>
      </c>
      <c r="C109" s="1" t="s">
        <v>261</v>
      </c>
      <c r="D109" s="7">
        <f>VLOOKUP($B109, gdp_tot_mes!$B:$XFD, MATCH(gdp_capita_mesorreg!D$1, gdp_tot_mes!$B$1:$XFD$1, 0), 0)*1000/VLOOKUP($B109, pop_mesorreg_interpol!$B:$XFD, MATCH(gdp_capita_mesorreg!D$1, pop_mesorreg_interpol!$B$1:$XFD$1, 0), 0)</f>
        <v>1436.3291433039572</v>
      </c>
      <c r="E109" s="7">
        <f>VLOOKUP($B109, gdp_tot_mes!$B:$XFD, MATCH(gdp_capita_mesorreg!E$1, gdp_tot_mes!$B$1:$XFD$1, 0), 0)*1000/VLOOKUP($B109, pop_mesorreg_interpol!$B:$XFD, MATCH(gdp_capita_mesorreg!E$1, pop_mesorreg_interpol!$B$1:$XFD$1, 0), 0)</f>
        <v>2691.9316891092785</v>
      </c>
      <c r="F109" s="7">
        <f>VLOOKUP($B109, gdp_tot_mes!$B:$XFD, MATCH(gdp_capita_mesorreg!F$1, gdp_tot_mes!$B$1:$XFD$1, 0), 0)*1000/VLOOKUP($B109, pop_mesorreg_interpol!$B:$XFD, MATCH(gdp_capita_mesorreg!F$1, pop_mesorreg_interpol!$B$1:$XFD$1, 0), 0)</f>
        <v>4043.6123469087402</v>
      </c>
      <c r="G109" s="7">
        <f>VLOOKUP($B109, gdp_tot_mes!$B:$XFD, MATCH(gdp_capita_mesorreg!G$1, gdp_tot_mes!$B$1:$XFD$1, 0), 0)*1000/VLOOKUP($B109, pop_mesorreg_interpol!$B:$XFD, MATCH(gdp_capita_mesorreg!G$1, pop_mesorreg_interpol!$B$1:$XFD$1, 0), 0)</f>
        <v>4796.3616877991844</v>
      </c>
      <c r="H109" s="7">
        <f>VLOOKUP($B109, gdp_tot_mes!$B:$XFD, MATCH(gdp_capita_mesorreg!H$1, gdp_tot_mes!$B$1:$XFD$1, 0), 0)*1000/VLOOKUP($B109, pop_mesorreg_interpol!$B:$XFD, MATCH(gdp_capita_mesorreg!H$1, pop_mesorreg_interpol!$B$1:$XFD$1, 0), 0)</f>
        <v>7805.7709087134153</v>
      </c>
      <c r="I109" s="7">
        <f>VLOOKUP($B109, gdp_tot_mes!$B:$XFD, MATCH(gdp_capita_mesorreg!I$1, gdp_tot_mes!$B$1:$XFD$1, 0), 0)*1000/VLOOKUP($B109, pop_mesorreg_interpol!$B:$XFD, MATCH(gdp_capita_mesorreg!I$1, pop_mesorreg_interpol!$B$1:$XFD$1, 0), 0)</f>
        <v>11507.530462793473</v>
      </c>
      <c r="J109" s="7">
        <f>VLOOKUP($B109, gdp_tot_mes!$B:$XFD, MATCH(gdp_capita_mesorreg!J$1, gdp_tot_mes!$B$1:$XFD$1, 0), 0)*1000/VLOOKUP($B109, pop_mesorreg_interpol!$B:$XFD, MATCH(gdp_capita_mesorreg!J$1, pop_mesorreg_interpol!$B$1:$XFD$1, 0), 0)</f>
        <v>14288.053278946054</v>
      </c>
      <c r="K109" s="7">
        <f>VLOOKUP($B109, gdp_tot_mes!$B:$XFD, MATCH(gdp_capita_mesorreg!K$1, gdp_tot_mes!$B$1:$XFD$1, 0), 0)*1000/VLOOKUP($B109, pop_mesorreg_interpol!$B:$XFD, MATCH(gdp_capita_mesorreg!K$1, pop_mesorreg_interpol!$B$1:$XFD$1, 0), 0)</f>
        <v>16668.800868147457</v>
      </c>
      <c r="L109" s="8">
        <f>VLOOKUP($B109, gdp_tot_mes!$B:$XFD, MATCH(gdp_capita_mesorreg!L$1, gdp_tot_mes!$B$1:$XFD$1, 0), 0)*1000/VLOOKUP($B109, pop_mesorreg_interpol!$B:$XFD, MATCH(gdp_capita_mesorreg!L$1, pop_mesorreg_interpol!$B$1:$XFD$1, 0), 0)</f>
        <v>15922.379443691349</v>
      </c>
      <c r="M109" s="7">
        <f>VLOOKUP($B109, gdp_tot_mes!$B:$XFD, MATCH(gdp_capita_mesorreg!M$1, gdp_tot_mes!$B$1:$XFD$1, 0), 0)*1000/VLOOKUP($B109, pop_mesorreg_interpol!$B:$XFD, MATCH(gdp_capita_mesorreg!M$1, pop_mesorreg_interpol!$B$1:$XFD$1, 0), 0)</f>
        <v>15125.616570759166</v>
      </c>
      <c r="N109" s="7">
        <f>VLOOKUP($B109, gdp_tot_mes!$B:$XFD, MATCH(gdp_capita_mesorreg!N$1, gdp_tot_mes!$B$1:$XFD$1, 0), 0)*1000/VLOOKUP($B109, pop_mesorreg_interpol!$B:$XFD, MATCH(gdp_capita_mesorreg!N$1, pop_mesorreg_interpol!$B$1:$XFD$1, 0), 0)</f>
        <v>18228.026744688683</v>
      </c>
      <c r="O109" s="7">
        <f>VLOOKUP($B109, gdp_tot_mes!$B:$XFD, MATCH(gdp_capita_mesorreg!O$1, gdp_tot_mes!$B$1:$XFD$1, 0), 0)*1000/VLOOKUP($B109, pop_mesorreg_interpol!$B:$XFD, MATCH(gdp_capita_mesorreg!O$1, pop_mesorreg_interpol!$B$1:$XFD$1, 0), 0)</f>
        <v>17830.240813743636</v>
      </c>
      <c r="P109" s="7">
        <f>VLOOKUP($B109, gdp_tot_mes!$B:$XFD, MATCH(gdp_capita_mesorreg!P$1, gdp_tot_mes!$B$1:$XFD$1, 0), 0)*1000/VLOOKUP($B109, pop_mesorreg_interpol!$B:$XFD, MATCH(gdp_capita_mesorreg!P$1, pop_mesorreg_interpol!$B$1:$XFD$1, 0), 0)</f>
        <v>18746.622260466287</v>
      </c>
      <c r="Q109" s="7">
        <f>VLOOKUP($B109, gdp_tot_mes!$B:$XFD, MATCH(gdp_capita_mesorreg!Q$1, gdp_tot_mes!$B$1:$XFD$1, 0), 0)*1000/VLOOKUP($B109, pop_mesorreg_interpol!$B:$XFD, MATCH(gdp_capita_mesorreg!Q$1, pop_mesorreg_interpol!$B$1:$XFD$1, 0), 0)</f>
        <v>20106.757393669595</v>
      </c>
      <c r="R109" s="7">
        <f>VLOOKUP($B109, gdp_tot_mes!$B:$XFD, MATCH(gdp_capita_mesorreg!R$1, gdp_tot_mes!$B$1:$XFD$1, 0), 0)*1000/VLOOKUP($B109, pop_mesorreg_interpol!$B:$XFD, MATCH(gdp_capita_mesorreg!R$1, pop_mesorreg_interpol!$B$1:$XFD$1, 0), 0)</f>
        <v>20526.038159273121</v>
      </c>
      <c r="S109" s="7">
        <f>VLOOKUP($B109, gdp_tot_mes!$B:$XFD, MATCH(gdp_capita_mesorreg!S$1, gdp_tot_mes!$B$1:$XFD$1, 0), 0)*1000/VLOOKUP($B109, pop_mesorreg_interpol!$B:$XFD, MATCH(gdp_capita_mesorreg!S$1, pop_mesorreg_interpol!$B$1:$XFD$1, 0), 0)</f>
        <v>21671.957310067894</v>
      </c>
      <c r="T109" s="7">
        <f>VLOOKUP($B109, gdp_tot_mes!$B:$XFD, MATCH(gdp_capita_mesorreg!T$1, gdp_tot_mes!$B$1:$XFD$1, 0), 0)*1000/VLOOKUP($B109, pop_mesorreg_interpol!$B:$XFD, MATCH(gdp_capita_mesorreg!T$1, pop_mesorreg_interpol!$B$1:$XFD$1, 0), 0)</f>
        <v>20350.409209842255</v>
      </c>
      <c r="U109" s="7">
        <f>VLOOKUP($B109, gdp_tot_mes!$B:$XFD, MATCH(gdp_capita_mesorreg!U$1, gdp_tot_mes!$B$1:$XFD$1, 0), 0)*1000/VLOOKUP($B109, pop_mesorreg_interpol!$B:$XFD, MATCH(gdp_capita_mesorreg!U$1, pop_mesorreg_interpol!$B$1:$XFD$1, 0), 0)</f>
        <v>19888.819876021495</v>
      </c>
      <c r="V109" s="7">
        <f>VLOOKUP($B109, gdp_tot_mes!$B:$XFD, MATCH(gdp_capita_mesorreg!V$1, gdp_tot_mes!$B$1:$XFD$1, 0), 0)*1000/VLOOKUP($B109, pop_mesorreg_interpol!$B:$XFD, MATCH(gdp_capita_mesorreg!V$1, pop_mesorreg_interpol!$B$1:$XFD$1, 0), 0)</f>
        <v>20570.427055887983</v>
      </c>
      <c r="W109" s="7">
        <f>VLOOKUP($B109, gdp_tot_mes!$B:$XFD, MATCH(gdp_capita_mesorreg!W$1, gdp_tot_mes!$B$1:$XFD$1, 0), 0)*1000/VLOOKUP($B109, pop_mesorreg_interpol!$B:$XFD, MATCH(gdp_capita_mesorreg!W$1, pop_mesorreg_interpol!$B$1:$XFD$1, 0), 0)</f>
        <v>20891.145200581006</v>
      </c>
      <c r="X109" s="7">
        <f>VLOOKUP($B109, gdp_tot_mes!$B:$XFD, MATCH(gdp_capita_mesorreg!X$1, gdp_tot_mes!$B$1:$XFD$1, 0), 0)*1000/VLOOKUP($B109, pop_mesorreg_interpol!$B:$XFD, MATCH(gdp_capita_mesorreg!X$1, pop_mesorreg_interpol!$B$1:$XFD$1, 0), 0)</f>
        <v>23040.848228623403</v>
      </c>
      <c r="Y109" s="7">
        <f>VLOOKUP($B109, gdp_tot_mes!$B:$XFD, MATCH(gdp_capita_mesorreg!Y$1, gdp_tot_mes!$B$1:$XFD$1, 0), 0)*1000/VLOOKUP($B109, pop_mesorreg_interpol!$B:$XFD, MATCH(gdp_capita_mesorreg!Y$1, pop_mesorreg_interpol!$B$1:$XFD$1, 0), 0)</f>
        <v>23766.442326482549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x14ac:dyDescent="0.25">
      <c r="A110" s="1" t="s">
        <v>253</v>
      </c>
      <c r="B110" s="1" t="s">
        <v>262</v>
      </c>
      <c r="C110" s="1" t="s">
        <v>263</v>
      </c>
      <c r="D110" s="7">
        <f>VLOOKUP($B110, gdp_tot_mes!$B:$XFD, MATCH(gdp_capita_mesorreg!D$1, gdp_tot_mes!$B$1:$XFD$1, 0), 0)*1000/VLOOKUP($B110, pop_mesorreg_interpol!$B:$XFD, MATCH(gdp_capita_mesorreg!D$1, pop_mesorreg_interpol!$B$1:$XFD$1, 0), 0)</f>
        <v>1405.3031650611817</v>
      </c>
      <c r="E110" s="7">
        <f>VLOOKUP($B110, gdp_tot_mes!$B:$XFD, MATCH(gdp_capita_mesorreg!E$1, gdp_tot_mes!$B$1:$XFD$1, 0), 0)*1000/VLOOKUP($B110, pop_mesorreg_interpol!$B:$XFD, MATCH(gdp_capita_mesorreg!E$1, pop_mesorreg_interpol!$B$1:$XFD$1, 0), 0)</f>
        <v>4629.2408824838794</v>
      </c>
      <c r="F110" s="7">
        <f>VLOOKUP($B110, gdp_tot_mes!$B:$XFD, MATCH(gdp_capita_mesorreg!F$1, gdp_tot_mes!$B$1:$XFD$1, 0), 0)*1000/VLOOKUP($B110, pop_mesorreg_interpol!$B:$XFD, MATCH(gdp_capita_mesorreg!F$1, pop_mesorreg_interpol!$B$1:$XFD$1, 0), 0)</f>
        <v>5886.223244144835</v>
      </c>
      <c r="G110" s="7">
        <f>VLOOKUP($B110, gdp_tot_mes!$B:$XFD, MATCH(gdp_capita_mesorreg!G$1, gdp_tot_mes!$B$1:$XFD$1, 0), 0)*1000/VLOOKUP($B110, pop_mesorreg_interpol!$B:$XFD, MATCH(gdp_capita_mesorreg!G$1, pop_mesorreg_interpol!$B$1:$XFD$1, 0), 0)</f>
        <v>7633.075986591688</v>
      </c>
      <c r="H110" s="7">
        <f>VLOOKUP($B110, gdp_tot_mes!$B:$XFD, MATCH(gdp_capita_mesorreg!H$1, gdp_tot_mes!$B$1:$XFD$1, 0), 0)*1000/VLOOKUP($B110, pop_mesorreg_interpol!$B:$XFD, MATCH(gdp_capita_mesorreg!H$1, pop_mesorreg_interpol!$B$1:$XFD$1, 0), 0)</f>
        <v>12687.744947948344</v>
      </c>
      <c r="I110" s="7">
        <f>VLOOKUP($B110, gdp_tot_mes!$B:$XFD, MATCH(gdp_capita_mesorreg!I$1, gdp_tot_mes!$B$1:$XFD$1, 0), 0)*1000/VLOOKUP($B110, pop_mesorreg_interpol!$B:$XFD, MATCH(gdp_capita_mesorreg!I$1, pop_mesorreg_interpol!$B$1:$XFD$1, 0), 0)</f>
        <v>19296.184395159387</v>
      </c>
      <c r="J110" s="7">
        <f>VLOOKUP($B110, gdp_tot_mes!$B:$XFD, MATCH(gdp_capita_mesorreg!J$1, gdp_tot_mes!$B$1:$XFD$1, 0), 0)*1000/VLOOKUP($B110, pop_mesorreg_interpol!$B:$XFD, MATCH(gdp_capita_mesorreg!J$1, pop_mesorreg_interpol!$B$1:$XFD$1, 0), 0)</f>
        <v>24514.381303259062</v>
      </c>
      <c r="K110" s="7">
        <f>VLOOKUP($B110, gdp_tot_mes!$B:$XFD, MATCH(gdp_capita_mesorreg!K$1, gdp_tot_mes!$B$1:$XFD$1, 0), 0)*1000/VLOOKUP($B110, pop_mesorreg_interpol!$B:$XFD, MATCH(gdp_capita_mesorreg!K$1, pop_mesorreg_interpol!$B$1:$XFD$1, 0), 0)</f>
        <v>23527.906560992473</v>
      </c>
      <c r="L110" s="8">
        <f>VLOOKUP($B110, gdp_tot_mes!$B:$XFD, MATCH(gdp_capita_mesorreg!L$1, gdp_tot_mes!$B$1:$XFD$1, 0), 0)*1000/VLOOKUP($B110, pop_mesorreg_interpol!$B:$XFD, MATCH(gdp_capita_mesorreg!L$1, pop_mesorreg_interpol!$B$1:$XFD$1, 0), 0)</f>
        <v>23002.478740444287</v>
      </c>
      <c r="M110" s="7">
        <f>VLOOKUP($B110, gdp_tot_mes!$B:$XFD, MATCH(gdp_capita_mesorreg!M$1, gdp_tot_mes!$B$1:$XFD$1, 0), 0)*1000/VLOOKUP($B110, pop_mesorreg_interpol!$B:$XFD, MATCH(gdp_capita_mesorreg!M$1, pop_mesorreg_interpol!$B$1:$XFD$1, 0), 0)</f>
        <v>22497.602877974616</v>
      </c>
      <c r="N110" s="7">
        <f>VLOOKUP($B110, gdp_tot_mes!$B:$XFD, MATCH(gdp_capita_mesorreg!N$1, gdp_tot_mes!$B$1:$XFD$1, 0), 0)*1000/VLOOKUP($B110, pop_mesorreg_interpol!$B:$XFD, MATCH(gdp_capita_mesorreg!N$1, pop_mesorreg_interpol!$B$1:$XFD$1, 0), 0)</f>
        <v>21220.551156043071</v>
      </c>
      <c r="O110" s="7">
        <f>VLOOKUP($B110, gdp_tot_mes!$B:$XFD, MATCH(gdp_capita_mesorreg!O$1, gdp_tot_mes!$B$1:$XFD$1, 0), 0)*1000/VLOOKUP($B110, pop_mesorreg_interpol!$B:$XFD, MATCH(gdp_capita_mesorreg!O$1, pop_mesorreg_interpol!$B$1:$XFD$1, 0), 0)</f>
        <v>21772.571341727366</v>
      </c>
      <c r="P110" s="7">
        <f>VLOOKUP($B110, gdp_tot_mes!$B:$XFD, MATCH(gdp_capita_mesorreg!P$1, gdp_tot_mes!$B$1:$XFD$1, 0), 0)*1000/VLOOKUP($B110, pop_mesorreg_interpol!$B:$XFD, MATCH(gdp_capita_mesorreg!P$1, pop_mesorreg_interpol!$B$1:$XFD$1, 0), 0)</f>
        <v>21979.830135429238</v>
      </c>
      <c r="Q110" s="7">
        <f>VLOOKUP($B110, gdp_tot_mes!$B:$XFD, MATCH(gdp_capita_mesorreg!Q$1, gdp_tot_mes!$B$1:$XFD$1, 0), 0)*1000/VLOOKUP($B110, pop_mesorreg_interpol!$B:$XFD, MATCH(gdp_capita_mesorreg!Q$1, pop_mesorreg_interpol!$B$1:$XFD$1, 0), 0)</f>
        <v>22454.222455125313</v>
      </c>
      <c r="R110" s="7">
        <f>VLOOKUP($B110, gdp_tot_mes!$B:$XFD, MATCH(gdp_capita_mesorreg!R$1, gdp_tot_mes!$B$1:$XFD$1, 0), 0)*1000/VLOOKUP($B110, pop_mesorreg_interpol!$B:$XFD, MATCH(gdp_capita_mesorreg!R$1, pop_mesorreg_interpol!$B$1:$XFD$1, 0), 0)</f>
        <v>21964.199006766201</v>
      </c>
      <c r="S110" s="7">
        <f>VLOOKUP($B110, gdp_tot_mes!$B:$XFD, MATCH(gdp_capita_mesorreg!S$1, gdp_tot_mes!$B$1:$XFD$1, 0), 0)*1000/VLOOKUP($B110, pop_mesorreg_interpol!$B:$XFD, MATCH(gdp_capita_mesorreg!S$1, pop_mesorreg_interpol!$B$1:$XFD$1, 0), 0)</f>
        <v>23134.464062662537</v>
      </c>
      <c r="T110" s="7">
        <f>VLOOKUP($B110, gdp_tot_mes!$B:$XFD, MATCH(gdp_capita_mesorreg!T$1, gdp_tot_mes!$B$1:$XFD$1, 0), 0)*1000/VLOOKUP($B110, pop_mesorreg_interpol!$B:$XFD, MATCH(gdp_capita_mesorreg!T$1, pop_mesorreg_interpol!$B$1:$XFD$1, 0), 0)</f>
        <v>23454.503316832648</v>
      </c>
      <c r="U110" s="7">
        <f>VLOOKUP($B110, gdp_tot_mes!$B:$XFD, MATCH(gdp_capita_mesorreg!U$1, gdp_tot_mes!$B$1:$XFD$1, 0), 0)*1000/VLOOKUP($B110, pop_mesorreg_interpol!$B:$XFD, MATCH(gdp_capita_mesorreg!U$1, pop_mesorreg_interpol!$B$1:$XFD$1, 0), 0)</f>
        <v>22574.88817250956</v>
      </c>
      <c r="V110" s="7">
        <f>VLOOKUP($B110, gdp_tot_mes!$B:$XFD, MATCH(gdp_capita_mesorreg!V$1, gdp_tot_mes!$B$1:$XFD$1, 0), 0)*1000/VLOOKUP($B110, pop_mesorreg_interpol!$B:$XFD, MATCH(gdp_capita_mesorreg!V$1, pop_mesorreg_interpol!$B$1:$XFD$1, 0), 0)</f>
        <v>23606.992731275652</v>
      </c>
      <c r="W110" s="7">
        <f>VLOOKUP($B110, gdp_tot_mes!$B:$XFD, MATCH(gdp_capita_mesorreg!W$1, gdp_tot_mes!$B$1:$XFD$1, 0), 0)*1000/VLOOKUP($B110, pop_mesorreg_interpol!$B:$XFD, MATCH(gdp_capita_mesorreg!W$1, pop_mesorreg_interpol!$B$1:$XFD$1, 0), 0)</f>
        <v>24156.673956849343</v>
      </c>
      <c r="X110" s="7">
        <f>VLOOKUP($B110, gdp_tot_mes!$B:$XFD, MATCH(gdp_capita_mesorreg!X$1, gdp_tot_mes!$B$1:$XFD$1, 0), 0)*1000/VLOOKUP($B110, pop_mesorreg_interpol!$B:$XFD, MATCH(gdp_capita_mesorreg!X$1, pop_mesorreg_interpol!$B$1:$XFD$1, 0), 0)</f>
        <v>24215.113057621893</v>
      </c>
      <c r="Y110" s="7">
        <f>VLOOKUP($B110, gdp_tot_mes!$B:$XFD, MATCH(gdp_capita_mesorreg!Y$1, gdp_tot_mes!$B$1:$XFD$1, 0), 0)*1000/VLOOKUP($B110, pop_mesorreg_interpol!$B:$XFD, MATCH(gdp_capita_mesorreg!Y$1, pop_mesorreg_interpol!$B$1:$XFD$1, 0), 0)</f>
        <v>25963.010629436929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x14ac:dyDescent="0.25">
      <c r="A111" s="1" t="s">
        <v>253</v>
      </c>
      <c r="B111" s="1" t="s">
        <v>264</v>
      </c>
      <c r="C111" s="1" t="s">
        <v>265</v>
      </c>
      <c r="D111" s="7">
        <f>VLOOKUP($B111, gdp_tot_mes!$B:$XFD, MATCH(gdp_capita_mesorreg!D$1, gdp_tot_mes!$B$1:$XFD$1, 0), 0)*1000/VLOOKUP($B111, pop_mesorreg_interpol!$B:$XFD, MATCH(gdp_capita_mesorreg!D$1, pop_mesorreg_interpol!$B$1:$XFD$1, 0), 0)</f>
        <v>1347.9457515852619</v>
      </c>
      <c r="E111" s="7">
        <f>VLOOKUP($B111, gdp_tot_mes!$B:$XFD, MATCH(gdp_capita_mesorreg!E$1, gdp_tot_mes!$B$1:$XFD$1, 0), 0)*1000/VLOOKUP($B111, pop_mesorreg_interpol!$B:$XFD, MATCH(gdp_capita_mesorreg!E$1, pop_mesorreg_interpol!$B$1:$XFD$1, 0), 0)</f>
        <v>3334.1466883399557</v>
      </c>
      <c r="F111" s="7">
        <f>VLOOKUP($B111, gdp_tot_mes!$B:$XFD, MATCH(gdp_capita_mesorreg!F$1, gdp_tot_mes!$B$1:$XFD$1, 0), 0)*1000/VLOOKUP($B111, pop_mesorreg_interpol!$B:$XFD, MATCH(gdp_capita_mesorreg!F$1, pop_mesorreg_interpol!$B$1:$XFD$1, 0), 0)</f>
        <v>3107.997514391016</v>
      </c>
      <c r="G111" s="7">
        <f>VLOOKUP($B111, gdp_tot_mes!$B:$XFD, MATCH(gdp_capita_mesorreg!G$1, gdp_tot_mes!$B$1:$XFD$1, 0), 0)*1000/VLOOKUP($B111, pop_mesorreg_interpol!$B:$XFD, MATCH(gdp_capita_mesorreg!G$1, pop_mesorreg_interpol!$B$1:$XFD$1, 0), 0)</f>
        <v>4507.782401681804</v>
      </c>
      <c r="H111" s="7">
        <f>VLOOKUP($B111, gdp_tot_mes!$B:$XFD, MATCH(gdp_capita_mesorreg!H$1, gdp_tot_mes!$B$1:$XFD$1, 0), 0)*1000/VLOOKUP($B111, pop_mesorreg_interpol!$B:$XFD, MATCH(gdp_capita_mesorreg!H$1, pop_mesorreg_interpol!$B$1:$XFD$1, 0), 0)</f>
        <v>8210.8832143559175</v>
      </c>
      <c r="I111" s="7">
        <f>VLOOKUP($B111, gdp_tot_mes!$B:$XFD, MATCH(gdp_capita_mesorreg!I$1, gdp_tot_mes!$B$1:$XFD$1, 0), 0)*1000/VLOOKUP($B111, pop_mesorreg_interpol!$B:$XFD, MATCH(gdp_capita_mesorreg!I$1, pop_mesorreg_interpol!$B$1:$XFD$1, 0), 0)</f>
        <v>11750.556480342349</v>
      </c>
      <c r="J111" s="7">
        <f>VLOOKUP($B111, gdp_tot_mes!$B:$XFD, MATCH(gdp_capita_mesorreg!J$1, gdp_tot_mes!$B$1:$XFD$1, 0), 0)*1000/VLOOKUP($B111, pop_mesorreg_interpol!$B:$XFD, MATCH(gdp_capita_mesorreg!J$1, pop_mesorreg_interpol!$B$1:$XFD$1, 0), 0)</f>
        <v>14463.303222709163</v>
      </c>
      <c r="K111" s="7">
        <f>VLOOKUP($B111, gdp_tot_mes!$B:$XFD, MATCH(gdp_capita_mesorreg!K$1, gdp_tot_mes!$B$1:$XFD$1, 0), 0)*1000/VLOOKUP($B111, pop_mesorreg_interpol!$B:$XFD, MATCH(gdp_capita_mesorreg!K$1, pop_mesorreg_interpol!$B$1:$XFD$1, 0), 0)</f>
        <v>15475.835469622638</v>
      </c>
      <c r="L111" s="8">
        <f>VLOOKUP($B111, gdp_tot_mes!$B:$XFD, MATCH(gdp_capita_mesorreg!L$1, gdp_tot_mes!$B$1:$XFD$1, 0), 0)*1000/VLOOKUP($B111, pop_mesorreg_interpol!$B:$XFD, MATCH(gdp_capita_mesorreg!L$1, pop_mesorreg_interpol!$B$1:$XFD$1, 0), 0)</f>
        <v>13508.344277857123</v>
      </c>
      <c r="M111" s="7">
        <f>VLOOKUP($B111, gdp_tot_mes!$B:$XFD, MATCH(gdp_capita_mesorreg!M$1, gdp_tot_mes!$B$1:$XFD$1, 0), 0)*1000/VLOOKUP($B111, pop_mesorreg_interpol!$B:$XFD, MATCH(gdp_capita_mesorreg!M$1, pop_mesorreg_interpol!$B$1:$XFD$1, 0), 0)</f>
        <v>11406.365912836292</v>
      </c>
      <c r="N111" s="7">
        <f>VLOOKUP($B111, gdp_tot_mes!$B:$XFD, MATCH(gdp_capita_mesorreg!N$1, gdp_tot_mes!$B$1:$XFD$1, 0), 0)*1000/VLOOKUP($B111, pop_mesorreg_interpol!$B:$XFD, MATCH(gdp_capita_mesorreg!N$1, pop_mesorreg_interpol!$B$1:$XFD$1, 0), 0)</f>
        <v>12337.540581454128</v>
      </c>
      <c r="O111" s="7">
        <f>VLOOKUP($B111, gdp_tot_mes!$B:$XFD, MATCH(gdp_capita_mesorreg!O$1, gdp_tot_mes!$B$1:$XFD$1, 0), 0)*1000/VLOOKUP($B111, pop_mesorreg_interpol!$B:$XFD, MATCH(gdp_capita_mesorreg!O$1, pop_mesorreg_interpol!$B$1:$XFD$1, 0), 0)</f>
        <v>11422.94264831912</v>
      </c>
      <c r="P111" s="7">
        <f>VLOOKUP($B111, gdp_tot_mes!$B:$XFD, MATCH(gdp_capita_mesorreg!P$1, gdp_tot_mes!$B$1:$XFD$1, 0), 0)*1000/VLOOKUP($B111, pop_mesorreg_interpol!$B:$XFD, MATCH(gdp_capita_mesorreg!P$1, pop_mesorreg_interpol!$B$1:$XFD$1, 0), 0)</f>
        <v>12676.453260869872</v>
      </c>
      <c r="Q111" s="7">
        <f>VLOOKUP($B111, gdp_tot_mes!$B:$XFD, MATCH(gdp_capita_mesorreg!Q$1, gdp_tot_mes!$B$1:$XFD$1, 0), 0)*1000/VLOOKUP($B111, pop_mesorreg_interpol!$B:$XFD, MATCH(gdp_capita_mesorreg!Q$1, pop_mesorreg_interpol!$B$1:$XFD$1, 0), 0)</f>
        <v>13843.96010017854</v>
      </c>
      <c r="R111" s="7">
        <f>VLOOKUP($B111, gdp_tot_mes!$B:$XFD, MATCH(gdp_capita_mesorreg!R$1, gdp_tot_mes!$B$1:$XFD$1, 0), 0)*1000/VLOOKUP($B111, pop_mesorreg_interpol!$B:$XFD, MATCH(gdp_capita_mesorreg!R$1, pop_mesorreg_interpol!$B$1:$XFD$1, 0), 0)</f>
        <v>13983.278647157806</v>
      </c>
      <c r="S111" s="7">
        <f>VLOOKUP($B111, gdp_tot_mes!$B:$XFD, MATCH(gdp_capita_mesorreg!S$1, gdp_tot_mes!$B$1:$XFD$1, 0), 0)*1000/VLOOKUP($B111, pop_mesorreg_interpol!$B:$XFD, MATCH(gdp_capita_mesorreg!S$1, pop_mesorreg_interpol!$B$1:$XFD$1, 0), 0)</f>
        <v>14543.617772696634</v>
      </c>
      <c r="T111" s="7">
        <f>VLOOKUP($B111, gdp_tot_mes!$B:$XFD, MATCH(gdp_capita_mesorreg!T$1, gdp_tot_mes!$B$1:$XFD$1, 0), 0)*1000/VLOOKUP($B111, pop_mesorreg_interpol!$B:$XFD, MATCH(gdp_capita_mesorreg!T$1, pop_mesorreg_interpol!$B$1:$XFD$1, 0), 0)</f>
        <v>14231.018088803086</v>
      </c>
      <c r="U111" s="7">
        <f>VLOOKUP($B111, gdp_tot_mes!$B:$XFD, MATCH(gdp_capita_mesorreg!U$1, gdp_tot_mes!$B$1:$XFD$1, 0), 0)*1000/VLOOKUP($B111, pop_mesorreg_interpol!$B:$XFD, MATCH(gdp_capita_mesorreg!U$1, pop_mesorreg_interpol!$B$1:$XFD$1, 0), 0)</f>
        <v>15072.477545330186</v>
      </c>
      <c r="V111" s="7">
        <f>VLOOKUP($B111, gdp_tot_mes!$B:$XFD, MATCH(gdp_capita_mesorreg!V$1, gdp_tot_mes!$B$1:$XFD$1, 0), 0)*1000/VLOOKUP($B111, pop_mesorreg_interpol!$B:$XFD, MATCH(gdp_capita_mesorreg!V$1, pop_mesorreg_interpol!$B$1:$XFD$1, 0), 0)</f>
        <v>15410.041227585582</v>
      </c>
      <c r="W111" s="7">
        <f>VLOOKUP($B111, gdp_tot_mes!$B:$XFD, MATCH(gdp_capita_mesorreg!W$1, gdp_tot_mes!$B$1:$XFD$1, 0), 0)*1000/VLOOKUP($B111, pop_mesorreg_interpol!$B:$XFD, MATCH(gdp_capita_mesorreg!W$1, pop_mesorreg_interpol!$B$1:$XFD$1, 0), 0)</f>
        <v>16575.860839302797</v>
      </c>
      <c r="X111" s="7">
        <f>VLOOKUP($B111, gdp_tot_mes!$B:$XFD, MATCH(gdp_capita_mesorreg!X$1, gdp_tot_mes!$B$1:$XFD$1, 0), 0)*1000/VLOOKUP($B111, pop_mesorreg_interpol!$B:$XFD, MATCH(gdp_capita_mesorreg!X$1, pop_mesorreg_interpol!$B$1:$XFD$1, 0), 0)</f>
        <v>16480.333590957398</v>
      </c>
      <c r="Y111" s="7">
        <f>VLOOKUP($B111, gdp_tot_mes!$B:$XFD, MATCH(gdp_capita_mesorreg!Y$1, gdp_tot_mes!$B$1:$XFD$1, 0), 0)*1000/VLOOKUP($B111, pop_mesorreg_interpol!$B:$XFD, MATCH(gdp_capita_mesorreg!Y$1, pop_mesorreg_interpol!$B$1:$XFD$1, 0), 0)</f>
        <v>17568.021496393525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x14ac:dyDescent="0.25">
      <c r="A112" s="1" t="s">
        <v>253</v>
      </c>
      <c r="B112" s="1" t="s">
        <v>266</v>
      </c>
      <c r="C112" s="1" t="s">
        <v>267</v>
      </c>
      <c r="D112" s="7">
        <f>VLOOKUP($B112, gdp_tot_mes!$B:$XFD, MATCH(gdp_capita_mesorreg!D$1, gdp_tot_mes!$B$1:$XFD$1, 0), 0)*1000/VLOOKUP($B112, pop_mesorreg_interpol!$B:$XFD, MATCH(gdp_capita_mesorreg!D$1, pop_mesorreg_interpol!$B$1:$XFD$1, 0), 0)</f>
        <v>1540.2373800182052</v>
      </c>
      <c r="E112" s="7">
        <f>VLOOKUP($B112, gdp_tot_mes!$B:$XFD, MATCH(gdp_capita_mesorreg!E$1, gdp_tot_mes!$B$1:$XFD$1, 0), 0)*1000/VLOOKUP($B112, pop_mesorreg_interpol!$B:$XFD, MATCH(gdp_capita_mesorreg!E$1, pop_mesorreg_interpol!$B$1:$XFD$1, 0), 0)</f>
        <v>3906.1618459607384</v>
      </c>
      <c r="F112" s="7">
        <f>VLOOKUP($B112, gdp_tot_mes!$B:$XFD, MATCH(gdp_capita_mesorreg!F$1, gdp_tot_mes!$B$1:$XFD$1, 0), 0)*1000/VLOOKUP($B112, pop_mesorreg_interpol!$B:$XFD, MATCH(gdp_capita_mesorreg!F$1, pop_mesorreg_interpol!$B$1:$XFD$1, 0), 0)</f>
        <v>3637.95555440107</v>
      </c>
      <c r="G112" s="7">
        <f>VLOOKUP($B112, gdp_tot_mes!$B:$XFD, MATCH(gdp_capita_mesorreg!G$1, gdp_tot_mes!$B$1:$XFD$1, 0), 0)*1000/VLOOKUP($B112, pop_mesorreg_interpol!$B:$XFD, MATCH(gdp_capita_mesorreg!G$1, pop_mesorreg_interpol!$B$1:$XFD$1, 0), 0)</f>
        <v>6334.4600554925346</v>
      </c>
      <c r="H112" s="7">
        <f>VLOOKUP($B112, gdp_tot_mes!$B:$XFD, MATCH(gdp_capita_mesorreg!H$1, gdp_tot_mes!$B$1:$XFD$1, 0), 0)*1000/VLOOKUP($B112, pop_mesorreg_interpol!$B:$XFD, MATCH(gdp_capita_mesorreg!H$1, pop_mesorreg_interpol!$B$1:$XFD$1, 0), 0)</f>
        <v>7337.9860258783601</v>
      </c>
      <c r="I112" s="7">
        <f>VLOOKUP($B112, gdp_tot_mes!$B:$XFD, MATCH(gdp_capita_mesorreg!I$1, gdp_tot_mes!$B$1:$XFD$1, 0), 0)*1000/VLOOKUP($B112, pop_mesorreg_interpol!$B:$XFD, MATCH(gdp_capita_mesorreg!I$1, pop_mesorreg_interpol!$B$1:$XFD$1, 0), 0)</f>
        <v>11305.1033150943</v>
      </c>
      <c r="J112" s="7">
        <f>VLOOKUP($B112, gdp_tot_mes!$B:$XFD, MATCH(gdp_capita_mesorreg!J$1, gdp_tot_mes!$B$1:$XFD$1, 0), 0)*1000/VLOOKUP($B112, pop_mesorreg_interpol!$B:$XFD, MATCH(gdp_capita_mesorreg!J$1, pop_mesorreg_interpol!$B$1:$XFD$1, 0), 0)</f>
        <v>15546.483231732032</v>
      </c>
      <c r="K112" s="7">
        <f>VLOOKUP($B112, gdp_tot_mes!$B:$XFD, MATCH(gdp_capita_mesorreg!K$1, gdp_tot_mes!$B$1:$XFD$1, 0), 0)*1000/VLOOKUP($B112, pop_mesorreg_interpol!$B:$XFD, MATCH(gdp_capita_mesorreg!K$1, pop_mesorreg_interpol!$B$1:$XFD$1, 0), 0)</f>
        <v>14856.889509910217</v>
      </c>
      <c r="L112" s="8">
        <f>VLOOKUP($B112, gdp_tot_mes!$B:$XFD, MATCH(gdp_capita_mesorreg!L$1, gdp_tot_mes!$B$1:$XFD$1, 0), 0)*1000/VLOOKUP($B112, pop_mesorreg_interpol!$B:$XFD, MATCH(gdp_capita_mesorreg!L$1, pop_mesorreg_interpol!$B$1:$XFD$1, 0), 0)</f>
        <v>13525.478380847773</v>
      </c>
      <c r="M112" s="7">
        <f>VLOOKUP($B112, gdp_tot_mes!$B:$XFD, MATCH(gdp_capita_mesorreg!M$1, gdp_tot_mes!$B$1:$XFD$1, 0), 0)*1000/VLOOKUP($B112, pop_mesorreg_interpol!$B:$XFD, MATCH(gdp_capita_mesorreg!M$1, pop_mesorreg_interpol!$B$1:$XFD$1, 0), 0)</f>
        <v>12094.888321257244</v>
      </c>
      <c r="N112" s="7">
        <f>VLOOKUP($B112, gdp_tot_mes!$B:$XFD, MATCH(gdp_capita_mesorreg!N$1, gdp_tot_mes!$B$1:$XFD$1, 0), 0)*1000/VLOOKUP($B112, pop_mesorreg_interpol!$B:$XFD, MATCH(gdp_capita_mesorreg!N$1, pop_mesorreg_interpol!$B$1:$XFD$1, 0), 0)</f>
        <v>13381.574662456798</v>
      </c>
      <c r="O112" s="7">
        <f>VLOOKUP($B112, gdp_tot_mes!$B:$XFD, MATCH(gdp_capita_mesorreg!O$1, gdp_tot_mes!$B$1:$XFD$1, 0), 0)*1000/VLOOKUP($B112, pop_mesorreg_interpol!$B:$XFD, MATCH(gdp_capita_mesorreg!O$1, pop_mesorreg_interpol!$B$1:$XFD$1, 0), 0)</f>
        <v>13197.880396506429</v>
      </c>
      <c r="P112" s="7">
        <f>VLOOKUP($B112, gdp_tot_mes!$B:$XFD, MATCH(gdp_capita_mesorreg!P$1, gdp_tot_mes!$B$1:$XFD$1, 0), 0)*1000/VLOOKUP($B112, pop_mesorreg_interpol!$B:$XFD, MATCH(gdp_capita_mesorreg!P$1, pop_mesorreg_interpol!$B$1:$XFD$1, 0), 0)</f>
        <v>14030.55197267838</v>
      </c>
      <c r="Q112" s="7">
        <f>VLOOKUP($B112, gdp_tot_mes!$B:$XFD, MATCH(gdp_capita_mesorreg!Q$1, gdp_tot_mes!$B$1:$XFD$1, 0), 0)*1000/VLOOKUP($B112, pop_mesorreg_interpol!$B:$XFD, MATCH(gdp_capita_mesorreg!Q$1, pop_mesorreg_interpol!$B$1:$XFD$1, 0), 0)</f>
        <v>14440.53991058419</v>
      </c>
      <c r="R112" s="7">
        <f>VLOOKUP($B112, gdp_tot_mes!$B:$XFD, MATCH(gdp_capita_mesorreg!R$1, gdp_tot_mes!$B$1:$XFD$1, 0), 0)*1000/VLOOKUP($B112, pop_mesorreg_interpol!$B:$XFD, MATCH(gdp_capita_mesorreg!R$1, pop_mesorreg_interpol!$B$1:$XFD$1, 0), 0)</f>
        <v>14593.371622931403</v>
      </c>
      <c r="S112" s="7">
        <f>VLOOKUP($B112, gdp_tot_mes!$B:$XFD, MATCH(gdp_capita_mesorreg!S$1, gdp_tot_mes!$B$1:$XFD$1, 0), 0)*1000/VLOOKUP($B112, pop_mesorreg_interpol!$B:$XFD, MATCH(gdp_capita_mesorreg!S$1, pop_mesorreg_interpol!$B$1:$XFD$1, 0), 0)</f>
        <v>15160.65399401654</v>
      </c>
      <c r="T112" s="7">
        <f>VLOOKUP($B112, gdp_tot_mes!$B:$XFD, MATCH(gdp_capita_mesorreg!T$1, gdp_tot_mes!$B$1:$XFD$1, 0), 0)*1000/VLOOKUP($B112, pop_mesorreg_interpol!$B:$XFD, MATCH(gdp_capita_mesorreg!T$1, pop_mesorreg_interpol!$B$1:$XFD$1, 0), 0)</f>
        <v>13841.997305968278</v>
      </c>
      <c r="U112" s="7">
        <f>VLOOKUP($B112, gdp_tot_mes!$B:$XFD, MATCH(gdp_capita_mesorreg!U$1, gdp_tot_mes!$B$1:$XFD$1, 0), 0)*1000/VLOOKUP($B112, pop_mesorreg_interpol!$B:$XFD, MATCH(gdp_capita_mesorreg!U$1, pop_mesorreg_interpol!$B$1:$XFD$1, 0), 0)</f>
        <v>14011.613641765573</v>
      </c>
      <c r="V112" s="7">
        <f>VLOOKUP($B112, gdp_tot_mes!$B:$XFD, MATCH(gdp_capita_mesorreg!V$1, gdp_tot_mes!$B$1:$XFD$1, 0), 0)*1000/VLOOKUP($B112, pop_mesorreg_interpol!$B:$XFD, MATCH(gdp_capita_mesorreg!V$1, pop_mesorreg_interpol!$B$1:$XFD$1, 0), 0)</f>
        <v>15664.379096400839</v>
      </c>
      <c r="W112" s="7">
        <f>VLOOKUP($B112, gdp_tot_mes!$B:$XFD, MATCH(gdp_capita_mesorreg!W$1, gdp_tot_mes!$B$1:$XFD$1, 0), 0)*1000/VLOOKUP($B112, pop_mesorreg_interpol!$B:$XFD, MATCH(gdp_capita_mesorreg!W$1, pop_mesorreg_interpol!$B$1:$XFD$1, 0), 0)</f>
        <v>17843.630078759055</v>
      </c>
      <c r="X112" s="7">
        <f>VLOOKUP($B112, gdp_tot_mes!$B:$XFD, MATCH(gdp_capita_mesorreg!X$1, gdp_tot_mes!$B$1:$XFD$1, 0), 0)*1000/VLOOKUP($B112, pop_mesorreg_interpol!$B:$XFD, MATCH(gdp_capita_mesorreg!X$1, pop_mesorreg_interpol!$B$1:$XFD$1, 0), 0)</f>
        <v>17719.21551749529</v>
      </c>
      <c r="Y112" s="7">
        <f>VLOOKUP($B112, gdp_tot_mes!$B:$XFD, MATCH(gdp_capita_mesorreg!Y$1, gdp_tot_mes!$B$1:$XFD$1, 0), 0)*1000/VLOOKUP($B112, pop_mesorreg_interpol!$B:$XFD, MATCH(gdp_capita_mesorreg!Y$1, pop_mesorreg_interpol!$B$1:$XFD$1, 0), 0)</f>
        <v>19391.34709635688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x14ac:dyDescent="0.25">
      <c r="A113" s="1" t="s">
        <v>268</v>
      </c>
      <c r="B113" s="1" t="s">
        <v>269</v>
      </c>
      <c r="C113" s="1" t="s">
        <v>270</v>
      </c>
      <c r="D113" s="7">
        <f>VLOOKUP($B113, gdp_tot_mes!$B:$XFD, MATCH(gdp_capita_mesorreg!D$1, gdp_tot_mes!$B$1:$XFD$1, 0), 0)*1000/VLOOKUP($B113, pop_mesorreg_interpol!$B:$XFD, MATCH(gdp_capita_mesorreg!D$1, pop_mesorreg_interpol!$B$1:$XFD$1, 0), 0)</f>
        <v>662.56324143059635</v>
      </c>
      <c r="E113" s="7">
        <f>VLOOKUP($B113, gdp_tot_mes!$B:$XFD, MATCH(gdp_capita_mesorreg!E$1, gdp_tot_mes!$B$1:$XFD$1, 0), 0)*1000/VLOOKUP($B113, pop_mesorreg_interpol!$B:$XFD, MATCH(gdp_capita_mesorreg!E$1, pop_mesorreg_interpol!$B$1:$XFD$1, 0), 0)</f>
        <v>1541.7911969580719</v>
      </c>
      <c r="F113" s="7">
        <f>VLOOKUP($B113, gdp_tot_mes!$B:$XFD, MATCH(gdp_capita_mesorreg!F$1, gdp_tot_mes!$B$1:$XFD$1, 0), 0)*1000/VLOOKUP($B113, pop_mesorreg_interpol!$B:$XFD, MATCH(gdp_capita_mesorreg!F$1, pop_mesorreg_interpol!$B$1:$XFD$1, 0), 0)</f>
        <v>3477.6116871744152</v>
      </c>
      <c r="G113" s="7">
        <f>VLOOKUP($B113, gdp_tot_mes!$B:$XFD, MATCH(gdp_capita_mesorreg!G$1, gdp_tot_mes!$B$1:$XFD$1, 0), 0)*1000/VLOOKUP($B113, pop_mesorreg_interpol!$B:$XFD, MATCH(gdp_capita_mesorreg!G$1, pop_mesorreg_interpol!$B$1:$XFD$1, 0), 0)</f>
        <v>3773.1914465196305</v>
      </c>
      <c r="H113" s="7">
        <f>VLOOKUP($B113, gdp_tot_mes!$B:$XFD, MATCH(gdp_capita_mesorreg!H$1, gdp_tot_mes!$B$1:$XFD$1, 0), 0)*1000/VLOOKUP($B113, pop_mesorreg_interpol!$B:$XFD, MATCH(gdp_capita_mesorreg!H$1, pop_mesorreg_interpol!$B$1:$XFD$1, 0), 0)</f>
        <v>5363.0326073204296</v>
      </c>
      <c r="I113" s="7">
        <f>VLOOKUP($B113, gdp_tot_mes!$B:$XFD, MATCH(gdp_capita_mesorreg!I$1, gdp_tot_mes!$B$1:$XFD$1, 0), 0)*1000/VLOOKUP($B113, pop_mesorreg_interpol!$B:$XFD, MATCH(gdp_capita_mesorreg!I$1, pop_mesorreg_interpol!$B$1:$XFD$1, 0), 0)</f>
        <v>8872.3504297149157</v>
      </c>
      <c r="J113" s="7">
        <f>VLOOKUP($B113, gdp_tot_mes!$B:$XFD, MATCH(gdp_capita_mesorreg!J$1, gdp_tot_mes!$B$1:$XFD$1, 0), 0)*1000/VLOOKUP($B113, pop_mesorreg_interpol!$B:$XFD, MATCH(gdp_capita_mesorreg!J$1, pop_mesorreg_interpol!$B$1:$XFD$1, 0), 0)</f>
        <v>12702.958490118897</v>
      </c>
      <c r="K113" s="7">
        <f>VLOOKUP($B113, gdp_tot_mes!$B:$XFD, MATCH(gdp_capita_mesorreg!K$1, gdp_tot_mes!$B$1:$XFD$1, 0), 0)*1000/VLOOKUP($B113, pop_mesorreg_interpol!$B:$XFD, MATCH(gdp_capita_mesorreg!K$1, pop_mesorreg_interpol!$B$1:$XFD$1, 0), 0)</f>
        <v>13807.940134460156</v>
      </c>
      <c r="L113" s="8">
        <f>VLOOKUP($B113, gdp_tot_mes!$B:$XFD, MATCH(gdp_capita_mesorreg!L$1, gdp_tot_mes!$B$1:$XFD$1, 0), 0)*1000/VLOOKUP($B113, pop_mesorreg_interpol!$B:$XFD, MATCH(gdp_capita_mesorreg!L$1, pop_mesorreg_interpol!$B$1:$XFD$1, 0), 0)</f>
        <v>16694.969207954346</v>
      </c>
      <c r="M113" s="7">
        <f>VLOOKUP($B113, gdp_tot_mes!$B:$XFD, MATCH(gdp_capita_mesorreg!M$1, gdp_tot_mes!$B$1:$XFD$1, 0), 0)*1000/VLOOKUP($B113, pop_mesorreg_interpol!$B:$XFD, MATCH(gdp_capita_mesorreg!M$1, pop_mesorreg_interpol!$B$1:$XFD$1, 0), 0)</f>
        <v>19835.542425327814</v>
      </c>
      <c r="N113" s="7">
        <f>VLOOKUP($B113, gdp_tot_mes!$B:$XFD, MATCH(gdp_capita_mesorreg!N$1, gdp_tot_mes!$B$1:$XFD$1, 0), 0)*1000/VLOOKUP($B113, pop_mesorreg_interpol!$B:$XFD, MATCH(gdp_capita_mesorreg!N$1, pop_mesorreg_interpol!$B$1:$XFD$1, 0), 0)</f>
        <v>16910.849726966058</v>
      </c>
      <c r="O113" s="7">
        <f>VLOOKUP($B113, gdp_tot_mes!$B:$XFD, MATCH(gdp_capita_mesorreg!O$1, gdp_tot_mes!$B$1:$XFD$1, 0), 0)*1000/VLOOKUP($B113, pop_mesorreg_interpol!$B:$XFD, MATCH(gdp_capita_mesorreg!O$1, pop_mesorreg_interpol!$B$1:$XFD$1, 0), 0)</f>
        <v>17576.247187641231</v>
      </c>
      <c r="P113" s="7">
        <f>VLOOKUP($B113, gdp_tot_mes!$B:$XFD, MATCH(gdp_capita_mesorreg!P$1, gdp_tot_mes!$B$1:$XFD$1, 0), 0)*1000/VLOOKUP($B113, pop_mesorreg_interpol!$B:$XFD, MATCH(gdp_capita_mesorreg!P$1, pop_mesorreg_interpol!$B$1:$XFD$1, 0), 0)</f>
        <v>18510.330407571324</v>
      </c>
      <c r="Q113" s="7">
        <f>VLOOKUP($B113, gdp_tot_mes!$B:$XFD, MATCH(gdp_capita_mesorreg!Q$1, gdp_tot_mes!$B$1:$XFD$1, 0), 0)*1000/VLOOKUP($B113, pop_mesorreg_interpol!$B:$XFD, MATCH(gdp_capita_mesorreg!Q$1, pop_mesorreg_interpol!$B$1:$XFD$1, 0), 0)</f>
        <v>19388.330774813752</v>
      </c>
      <c r="R113" s="7">
        <f>VLOOKUP($B113, gdp_tot_mes!$B:$XFD, MATCH(gdp_capita_mesorreg!R$1, gdp_tot_mes!$B$1:$XFD$1, 0), 0)*1000/VLOOKUP($B113, pop_mesorreg_interpol!$B:$XFD, MATCH(gdp_capita_mesorreg!R$1, pop_mesorreg_interpol!$B$1:$XFD$1, 0), 0)</f>
        <v>20725.192537685256</v>
      </c>
      <c r="S113" s="7">
        <f>VLOOKUP($B113, gdp_tot_mes!$B:$XFD, MATCH(gdp_capita_mesorreg!S$1, gdp_tot_mes!$B$1:$XFD$1, 0), 0)*1000/VLOOKUP($B113, pop_mesorreg_interpol!$B:$XFD, MATCH(gdp_capita_mesorreg!S$1, pop_mesorreg_interpol!$B$1:$XFD$1, 0), 0)</f>
        <v>21960.193115029524</v>
      </c>
      <c r="T113" s="7">
        <f>VLOOKUP($B113, gdp_tot_mes!$B:$XFD, MATCH(gdp_capita_mesorreg!T$1, gdp_tot_mes!$B$1:$XFD$1, 0), 0)*1000/VLOOKUP($B113, pop_mesorreg_interpol!$B:$XFD, MATCH(gdp_capita_mesorreg!T$1, pop_mesorreg_interpol!$B$1:$XFD$1, 0), 0)</f>
        <v>21175.984796716904</v>
      </c>
      <c r="U113" s="7">
        <f>VLOOKUP($B113, gdp_tot_mes!$B:$XFD, MATCH(gdp_capita_mesorreg!U$1, gdp_tot_mes!$B$1:$XFD$1, 0), 0)*1000/VLOOKUP($B113, pop_mesorreg_interpol!$B:$XFD, MATCH(gdp_capita_mesorreg!U$1, pop_mesorreg_interpol!$B$1:$XFD$1, 0), 0)</f>
        <v>20029.138355505362</v>
      </c>
      <c r="V113" s="7">
        <f>VLOOKUP($B113, gdp_tot_mes!$B:$XFD, MATCH(gdp_capita_mesorreg!V$1, gdp_tot_mes!$B$1:$XFD$1, 0), 0)*1000/VLOOKUP($B113, pop_mesorreg_interpol!$B:$XFD, MATCH(gdp_capita_mesorreg!V$1, pop_mesorreg_interpol!$B$1:$XFD$1, 0), 0)</f>
        <v>22041.872868013681</v>
      </c>
      <c r="W113" s="7">
        <f>VLOOKUP($B113, gdp_tot_mes!$B:$XFD, MATCH(gdp_capita_mesorreg!W$1, gdp_tot_mes!$B$1:$XFD$1, 0), 0)*1000/VLOOKUP($B113, pop_mesorreg_interpol!$B:$XFD, MATCH(gdp_capita_mesorreg!W$1, pop_mesorreg_interpol!$B$1:$XFD$1, 0), 0)</f>
        <v>24320.329292884569</v>
      </c>
      <c r="X113" s="7">
        <f>VLOOKUP($B113, gdp_tot_mes!$B:$XFD, MATCH(gdp_capita_mesorreg!X$1, gdp_tot_mes!$B$1:$XFD$1, 0), 0)*1000/VLOOKUP($B113, pop_mesorreg_interpol!$B:$XFD, MATCH(gdp_capita_mesorreg!X$1, pop_mesorreg_interpol!$B$1:$XFD$1, 0), 0)</f>
        <v>22792.691027043315</v>
      </c>
      <c r="Y113" s="7">
        <f>VLOOKUP($B113, gdp_tot_mes!$B:$XFD, MATCH(gdp_capita_mesorreg!Y$1, gdp_tot_mes!$B$1:$XFD$1, 0), 0)*1000/VLOOKUP($B113, pop_mesorreg_interpol!$B:$XFD, MATCH(gdp_capita_mesorreg!Y$1, pop_mesorreg_interpol!$B$1:$XFD$1, 0), 0)</f>
        <v>21300.134975747722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x14ac:dyDescent="0.25">
      <c r="A114" s="1" t="s">
        <v>268</v>
      </c>
      <c r="B114" s="1" t="s">
        <v>271</v>
      </c>
      <c r="C114" s="1" t="s">
        <v>272</v>
      </c>
      <c r="D114" s="7">
        <f>VLOOKUP($B114, gdp_tot_mes!$B:$XFD, MATCH(gdp_capita_mesorreg!D$1, gdp_tot_mes!$B$1:$XFD$1, 0), 0)*1000/VLOOKUP($B114, pop_mesorreg_interpol!$B:$XFD, MATCH(gdp_capita_mesorreg!D$1, pop_mesorreg_interpol!$B$1:$XFD$1, 0), 0)</f>
        <v>890.25751364506925</v>
      </c>
      <c r="E114" s="7">
        <f>VLOOKUP($B114, gdp_tot_mes!$B:$XFD, MATCH(gdp_capita_mesorreg!E$1, gdp_tot_mes!$B$1:$XFD$1, 0), 0)*1000/VLOOKUP($B114, pop_mesorreg_interpol!$B:$XFD, MATCH(gdp_capita_mesorreg!E$1, pop_mesorreg_interpol!$B$1:$XFD$1, 0), 0)</f>
        <v>2395.0091306812642</v>
      </c>
      <c r="F114" s="7">
        <f>VLOOKUP($B114, gdp_tot_mes!$B:$XFD, MATCH(gdp_capita_mesorreg!F$1, gdp_tot_mes!$B$1:$XFD$1, 0), 0)*1000/VLOOKUP($B114, pop_mesorreg_interpol!$B:$XFD, MATCH(gdp_capita_mesorreg!F$1, pop_mesorreg_interpol!$B$1:$XFD$1, 0), 0)</f>
        <v>3615.9197066098741</v>
      </c>
      <c r="G114" s="7">
        <f>VLOOKUP($B114, gdp_tot_mes!$B:$XFD, MATCH(gdp_capita_mesorreg!G$1, gdp_tot_mes!$B$1:$XFD$1, 0), 0)*1000/VLOOKUP($B114, pop_mesorreg_interpol!$B:$XFD, MATCH(gdp_capita_mesorreg!G$1, pop_mesorreg_interpol!$B$1:$XFD$1, 0), 0)</f>
        <v>4902.4350630614254</v>
      </c>
      <c r="H114" s="7">
        <f>VLOOKUP($B114, gdp_tot_mes!$B:$XFD, MATCH(gdp_capita_mesorreg!H$1, gdp_tot_mes!$B$1:$XFD$1, 0), 0)*1000/VLOOKUP($B114, pop_mesorreg_interpol!$B:$XFD, MATCH(gdp_capita_mesorreg!H$1, pop_mesorreg_interpol!$B$1:$XFD$1, 0), 0)</f>
        <v>8850.7802553332003</v>
      </c>
      <c r="I114" s="7">
        <f>VLOOKUP($B114, gdp_tot_mes!$B:$XFD, MATCH(gdp_capita_mesorreg!I$1, gdp_tot_mes!$B$1:$XFD$1, 0), 0)*1000/VLOOKUP($B114, pop_mesorreg_interpol!$B:$XFD, MATCH(gdp_capita_mesorreg!I$1, pop_mesorreg_interpol!$B$1:$XFD$1, 0), 0)</f>
        <v>14929.673164450003</v>
      </c>
      <c r="J114" s="7">
        <f>VLOOKUP($B114, gdp_tot_mes!$B:$XFD, MATCH(gdp_capita_mesorreg!J$1, gdp_tot_mes!$B$1:$XFD$1, 0), 0)*1000/VLOOKUP($B114, pop_mesorreg_interpol!$B:$XFD, MATCH(gdp_capita_mesorreg!J$1, pop_mesorreg_interpol!$B$1:$XFD$1, 0), 0)</f>
        <v>21534.391937574077</v>
      </c>
      <c r="K114" s="7">
        <f>VLOOKUP($B114, gdp_tot_mes!$B:$XFD, MATCH(gdp_capita_mesorreg!K$1, gdp_tot_mes!$B$1:$XFD$1, 0), 0)*1000/VLOOKUP($B114, pop_mesorreg_interpol!$B:$XFD, MATCH(gdp_capita_mesorreg!K$1, pop_mesorreg_interpol!$B$1:$XFD$1, 0), 0)</f>
        <v>18277.780605516065</v>
      </c>
      <c r="L114" s="8">
        <f>VLOOKUP($B114, gdp_tot_mes!$B:$XFD, MATCH(gdp_capita_mesorreg!L$1, gdp_tot_mes!$B$1:$XFD$1, 0), 0)*1000/VLOOKUP($B114, pop_mesorreg_interpol!$B:$XFD, MATCH(gdp_capita_mesorreg!L$1, pop_mesorreg_interpol!$B$1:$XFD$1, 0), 0)</f>
        <v>19037.167830236875</v>
      </c>
      <c r="M114" s="7">
        <f>VLOOKUP($B114, gdp_tot_mes!$B:$XFD, MATCH(gdp_capita_mesorreg!M$1, gdp_tot_mes!$B$1:$XFD$1, 0), 0)*1000/VLOOKUP($B114, pop_mesorreg_interpol!$B:$XFD, MATCH(gdp_capita_mesorreg!M$1, pop_mesorreg_interpol!$B$1:$XFD$1, 0), 0)</f>
        <v>19730.836806371932</v>
      </c>
      <c r="N114" s="7">
        <f>VLOOKUP($B114, gdp_tot_mes!$B:$XFD, MATCH(gdp_capita_mesorreg!N$1, gdp_tot_mes!$B$1:$XFD$1, 0), 0)*1000/VLOOKUP($B114, pop_mesorreg_interpol!$B:$XFD, MATCH(gdp_capita_mesorreg!N$1, pop_mesorreg_interpol!$B$1:$XFD$1, 0), 0)</f>
        <v>20630.657422951535</v>
      </c>
      <c r="O114" s="7">
        <f>VLOOKUP($B114, gdp_tot_mes!$B:$XFD, MATCH(gdp_capita_mesorreg!O$1, gdp_tot_mes!$B$1:$XFD$1, 0), 0)*1000/VLOOKUP($B114, pop_mesorreg_interpol!$B:$XFD, MATCH(gdp_capita_mesorreg!O$1, pop_mesorreg_interpol!$B$1:$XFD$1, 0), 0)</f>
        <v>21930.613149254434</v>
      </c>
      <c r="P114" s="7">
        <f>VLOOKUP($B114, gdp_tot_mes!$B:$XFD, MATCH(gdp_capita_mesorreg!P$1, gdp_tot_mes!$B$1:$XFD$1, 0), 0)*1000/VLOOKUP($B114, pop_mesorreg_interpol!$B:$XFD, MATCH(gdp_capita_mesorreg!P$1, pop_mesorreg_interpol!$B$1:$XFD$1, 0), 0)</f>
        <v>22535.157580662722</v>
      </c>
      <c r="Q114" s="7">
        <f>VLOOKUP($B114, gdp_tot_mes!$B:$XFD, MATCH(gdp_capita_mesorreg!Q$1, gdp_tot_mes!$B$1:$XFD$1, 0), 0)*1000/VLOOKUP($B114, pop_mesorreg_interpol!$B:$XFD, MATCH(gdp_capita_mesorreg!Q$1, pop_mesorreg_interpol!$B$1:$XFD$1, 0), 0)</f>
        <v>23594.203996384102</v>
      </c>
      <c r="R114" s="7">
        <f>VLOOKUP($B114, gdp_tot_mes!$B:$XFD, MATCH(gdp_capita_mesorreg!R$1, gdp_tot_mes!$B$1:$XFD$1, 0), 0)*1000/VLOOKUP($B114, pop_mesorreg_interpol!$B:$XFD, MATCH(gdp_capita_mesorreg!R$1, pop_mesorreg_interpol!$B$1:$XFD$1, 0), 0)</f>
        <v>24467.316456121647</v>
      </c>
      <c r="S114" s="7">
        <f>VLOOKUP($B114, gdp_tot_mes!$B:$XFD, MATCH(gdp_capita_mesorreg!S$1, gdp_tot_mes!$B$1:$XFD$1, 0), 0)*1000/VLOOKUP($B114, pop_mesorreg_interpol!$B:$XFD, MATCH(gdp_capita_mesorreg!S$1, pop_mesorreg_interpol!$B$1:$XFD$1, 0), 0)</f>
        <v>25979.566216519579</v>
      </c>
      <c r="T114" s="7">
        <f>VLOOKUP($B114, gdp_tot_mes!$B:$XFD, MATCH(gdp_capita_mesorreg!T$1, gdp_tot_mes!$B$1:$XFD$1, 0), 0)*1000/VLOOKUP($B114, pop_mesorreg_interpol!$B:$XFD, MATCH(gdp_capita_mesorreg!T$1, pop_mesorreg_interpol!$B$1:$XFD$1, 0), 0)</f>
        <v>26950.383262936692</v>
      </c>
      <c r="U114" s="7">
        <f>VLOOKUP($B114, gdp_tot_mes!$B:$XFD, MATCH(gdp_capita_mesorreg!U$1, gdp_tot_mes!$B$1:$XFD$1, 0), 0)*1000/VLOOKUP($B114, pop_mesorreg_interpol!$B:$XFD, MATCH(gdp_capita_mesorreg!U$1, pop_mesorreg_interpol!$B$1:$XFD$1, 0), 0)</f>
        <v>26809.234417042251</v>
      </c>
      <c r="V114" s="7">
        <f>VLOOKUP($B114, gdp_tot_mes!$B:$XFD, MATCH(gdp_capita_mesorreg!V$1, gdp_tot_mes!$B$1:$XFD$1, 0), 0)*1000/VLOOKUP($B114, pop_mesorreg_interpol!$B:$XFD, MATCH(gdp_capita_mesorreg!V$1, pop_mesorreg_interpol!$B$1:$XFD$1, 0), 0)</f>
        <v>28380.927938654633</v>
      </c>
      <c r="W114" s="7">
        <f>VLOOKUP($B114, gdp_tot_mes!$B:$XFD, MATCH(gdp_capita_mesorreg!W$1, gdp_tot_mes!$B$1:$XFD$1, 0), 0)*1000/VLOOKUP($B114, pop_mesorreg_interpol!$B:$XFD, MATCH(gdp_capita_mesorreg!W$1, pop_mesorreg_interpol!$B$1:$XFD$1, 0), 0)</f>
        <v>29390.259166056883</v>
      </c>
      <c r="X114" s="7">
        <f>VLOOKUP($B114, gdp_tot_mes!$B:$XFD, MATCH(gdp_capita_mesorreg!X$1, gdp_tot_mes!$B$1:$XFD$1, 0), 0)*1000/VLOOKUP($B114, pop_mesorreg_interpol!$B:$XFD, MATCH(gdp_capita_mesorreg!X$1, pop_mesorreg_interpol!$B$1:$XFD$1, 0), 0)</f>
        <v>27492.027305859061</v>
      </c>
      <c r="Y114" s="7">
        <f>VLOOKUP($B114, gdp_tot_mes!$B:$XFD, MATCH(gdp_capita_mesorreg!Y$1, gdp_tot_mes!$B$1:$XFD$1, 0), 0)*1000/VLOOKUP($B114, pop_mesorreg_interpol!$B:$XFD, MATCH(gdp_capita_mesorreg!Y$1, pop_mesorreg_interpol!$B$1:$XFD$1, 0), 0)</f>
        <v>31158.056102067621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x14ac:dyDescent="0.25">
      <c r="A115" s="1" t="s">
        <v>268</v>
      </c>
      <c r="B115" s="1" t="s">
        <v>273</v>
      </c>
      <c r="C115" s="1" t="s">
        <v>274</v>
      </c>
      <c r="D115" s="7">
        <f>VLOOKUP($B115, gdp_tot_mes!$B:$XFD, MATCH(gdp_capita_mesorreg!D$1, gdp_tot_mes!$B$1:$XFD$1, 0), 0)*1000/VLOOKUP($B115, pop_mesorreg_interpol!$B:$XFD, MATCH(gdp_capita_mesorreg!D$1, pop_mesorreg_interpol!$B$1:$XFD$1, 0), 0)</f>
        <v>487.38148720971486</v>
      </c>
      <c r="E115" s="7">
        <f>VLOOKUP($B115, gdp_tot_mes!$B:$XFD, MATCH(gdp_capita_mesorreg!E$1, gdp_tot_mes!$B$1:$XFD$1, 0), 0)*1000/VLOOKUP($B115, pop_mesorreg_interpol!$B:$XFD, MATCH(gdp_capita_mesorreg!E$1, pop_mesorreg_interpol!$B$1:$XFD$1, 0), 0)</f>
        <v>1502.5485896919918</v>
      </c>
      <c r="F115" s="7">
        <f>VLOOKUP($B115, gdp_tot_mes!$B:$XFD, MATCH(gdp_capita_mesorreg!F$1, gdp_tot_mes!$B$1:$XFD$1, 0), 0)*1000/VLOOKUP($B115, pop_mesorreg_interpol!$B:$XFD, MATCH(gdp_capita_mesorreg!F$1, pop_mesorreg_interpol!$B$1:$XFD$1, 0), 0)</f>
        <v>2105.6486442273444</v>
      </c>
      <c r="G115" s="7">
        <f>VLOOKUP($B115, gdp_tot_mes!$B:$XFD, MATCH(gdp_capita_mesorreg!G$1, gdp_tot_mes!$B$1:$XFD$1, 0), 0)*1000/VLOOKUP($B115, pop_mesorreg_interpol!$B:$XFD, MATCH(gdp_capita_mesorreg!G$1, pop_mesorreg_interpol!$B$1:$XFD$1, 0), 0)</f>
        <v>3520.7434730538976</v>
      </c>
      <c r="H115" s="7">
        <f>VLOOKUP($B115, gdp_tot_mes!$B:$XFD, MATCH(gdp_capita_mesorreg!H$1, gdp_tot_mes!$B$1:$XFD$1, 0), 0)*1000/VLOOKUP($B115, pop_mesorreg_interpol!$B:$XFD, MATCH(gdp_capita_mesorreg!H$1, pop_mesorreg_interpol!$B$1:$XFD$1, 0), 0)</f>
        <v>6621.6256769095053</v>
      </c>
      <c r="I115" s="7">
        <f>VLOOKUP($B115, gdp_tot_mes!$B:$XFD, MATCH(gdp_capita_mesorreg!I$1, gdp_tot_mes!$B$1:$XFD$1, 0), 0)*1000/VLOOKUP($B115, pop_mesorreg_interpol!$B:$XFD, MATCH(gdp_capita_mesorreg!I$1, pop_mesorreg_interpol!$B$1:$XFD$1, 0), 0)</f>
        <v>8517.7202803187338</v>
      </c>
      <c r="J115" s="7">
        <f>VLOOKUP($B115, gdp_tot_mes!$B:$XFD, MATCH(gdp_capita_mesorreg!J$1, gdp_tot_mes!$B$1:$XFD$1, 0), 0)*1000/VLOOKUP($B115, pop_mesorreg_interpol!$B:$XFD, MATCH(gdp_capita_mesorreg!J$1, pop_mesorreg_interpol!$B$1:$XFD$1, 0), 0)</f>
        <v>11427.959257907052</v>
      </c>
      <c r="K115" s="7">
        <f>VLOOKUP($B115, gdp_tot_mes!$B:$XFD, MATCH(gdp_capita_mesorreg!K$1, gdp_tot_mes!$B$1:$XFD$1, 0), 0)*1000/VLOOKUP($B115, pop_mesorreg_interpol!$B:$XFD, MATCH(gdp_capita_mesorreg!K$1, pop_mesorreg_interpol!$B$1:$XFD$1, 0), 0)</f>
        <v>10241.659838268011</v>
      </c>
      <c r="L115" s="8">
        <f>VLOOKUP($B115, gdp_tot_mes!$B:$XFD, MATCH(gdp_capita_mesorreg!L$1, gdp_tot_mes!$B$1:$XFD$1, 0), 0)*1000/VLOOKUP($B115, pop_mesorreg_interpol!$B:$XFD, MATCH(gdp_capita_mesorreg!L$1, pop_mesorreg_interpol!$B$1:$XFD$1, 0), 0)</f>
        <v>10584.074029331323</v>
      </c>
      <c r="M115" s="7">
        <f>VLOOKUP($B115, gdp_tot_mes!$B:$XFD, MATCH(gdp_capita_mesorreg!M$1, gdp_tot_mes!$B$1:$XFD$1, 0), 0)*1000/VLOOKUP($B115, pop_mesorreg_interpol!$B:$XFD, MATCH(gdp_capita_mesorreg!M$1, pop_mesorreg_interpol!$B$1:$XFD$1, 0), 0)</f>
        <v>10977.802794338158</v>
      </c>
      <c r="N115" s="7">
        <f>VLOOKUP($B115, gdp_tot_mes!$B:$XFD, MATCH(gdp_capita_mesorreg!N$1, gdp_tot_mes!$B$1:$XFD$1, 0), 0)*1000/VLOOKUP($B115, pop_mesorreg_interpol!$B:$XFD, MATCH(gdp_capita_mesorreg!N$1, pop_mesorreg_interpol!$B$1:$XFD$1, 0), 0)</f>
        <v>12463.911918617054</v>
      </c>
      <c r="O115" s="7">
        <f>VLOOKUP($B115, gdp_tot_mes!$B:$XFD, MATCH(gdp_capita_mesorreg!O$1, gdp_tot_mes!$B$1:$XFD$1, 0), 0)*1000/VLOOKUP($B115, pop_mesorreg_interpol!$B:$XFD, MATCH(gdp_capita_mesorreg!O$1, pop_mesorreg_interpol!$B$1:$XFD$1, 0), 0)</f>
        <v>13139.290482614801</v>
      </c>
      <c r="P115" s="7">
        <f>VLOOKUP($B115, gdp_tot_mes!$B:$XFD, MATCH(gdp_capita_mesorreg!P$1, gdp_tot_mes!$B$1:$XFD$1, 0), 0)*1000/VLOOKUP($B115, pop_mesorreg_interpol!$B:$XFD, MATCH(gdp_capita_mesorreg!P$1, pop_mesorreg_interpol!$B$1:$XFD$1, 0), 0)</f>
        <v>13989.259502023724</v>
      </c>
      <c r="Q115" s="7">
        <f>VLOOKUP($B115, gdp_tot_mes!$B:$XFD, MATCH(gdp_capita_mesorreg!Q$1, gdp_tot_mes!$B$1:$XFD$1, 0), 0)*1000/VLOOKUP($B115, pop_mesorreg_interpol!$B:$XFD, MATCH(gdp_capita_mesorreg!Q$1, pop_mesorreg_interpol!$B$1:$XFD$1, 0), 0)</f>
        <v>14513.293090017076</v>
      </c>
      <c r="R115" s="7">
        <f>VLOOKUP($B115, gdp_tot_mes!$B:$XFD, MATCH(gdp_capita_mesorreg!R$1, gdp_tot_mes!$B$1:$XFD$1, 0), 0)*1000/VLOOKUP($B115, pop_mesorreg_interpol!$B:$XFD, MATCH(gdp_capita_mesorreg!R$1, pop_mesorreg_interpol!$B$1:$XFD$1, 0), 0)</f>
        <v>15474.701206071155</v>
      </c>
      <c r="S115" s="7">
        <f>VLOOKUP($B115, gdp_tot_mes!$B:$XFD, MATCH(gdp_capita_mesorreg!S$1, gdp_tot_mes!$B$1:$XFD$1, 0), 0)*1000/VLOOKUP($B115, pop_mesorreg_interpol!$B:$XFD, MATCH(gdp_capita_mesorreg!S$1, pop_mesorreg_interpol!$B$1:$XFD$1, 0), 0)</f>
        <v>15473.033275569056</v>
      </c>
      <c r="T115" s="7">
        <f>VLOOKUP($B115, gdp_tot_mes!$B:$XFD, MATCH(gdp_capita_mesorreg!T$1, gdp_tot_mes!$B$1:$XFD$1, 0), 0)*1000/VLOOKUP($B115, pop_mesorreg_interpol!$B:$XFD, MATCH(gdp_capita_mesorreg!T$1, pop_mesorreg_interpol!$B$1:$XFD$1, 0), 0)</f>
        <v>15298.916459126807</v>
      </c>
      <c r="U115" s="7">
        <f>VLOOKUP($B115, gdp_tot_mes!$B:$XFD, MATCH(gdp_capita_mesorreg!U$1, gdp_tot_mes!$B$1:$XFD$1, 0), 0)*1000/VLOOKUP($B115, pop_mesorreg_interpol!$B:$XFD, MATCH(gdp_capita_mesorreg!U$1, pop_mesorreg_interpol!$B$1:$XFD$1, 0), 0)</f>
        <v>15636.355669235754</v>
      </c>
      <c r="V115" s="7">
        <f>VLOOKUP($B115, gdp_tot_mes!$B:$XFD, MATCH(gdp_capita_mesorreg!V$1, gdp_tot_mes!$B$1:$XFD$1, 0), 0)*1000/VLOOKUP($B115, pop_mesorreg_interpol!$B:$XFD, MATCH(gdp_capita_mesorreg!V$1, pop_mesorreg_interpol!$B$1:$XFD$1, 0), 0)</f>
        <v>15633.234597229643</v>
      </c>
      <c r="W115" s="7">
        <f>VLOOKUP($B115, gdp_tot_mes!$B:$XFD, MATCH(gdp_capita_mesorreg!W$1, gdp_tot_mes!$B$1:$XFD$1, 0), 0)*1000/VLOOKUP($B115, pop_mesorreg_interpol!$B:$XFD, MATCH(gdp_capita_mesorreg!W$1, pop_mesorreg_interpol!$B$1:$XFD$1, 0), 0)</f>
        <v>16753.460021955532</v>
      </c>
      <c r="X115" s="7">
        <f>VLOOKUP($B115, gdp_tot_mes!$B:$XFD, MATCH(gdp_capita_mesorreg!X$1, gdp_tot_mes!$B$1:$XFD$1, 0), 0)*1000/VLOOKUP($B115, pop_mesorreg_interpol!$B:$XFD, MATCH(gdp_capita_mesorreg!X$1, pop_mesorreg_interpol!$B$1:$XFD$1, 0), 0)</f>
        <v>16609.579698214613</v>
      </c>
      <c r="Y115" s="7">
        <f>VLOOKUP($B115, gdp_tot_mes!$B:$XFD, MATCH(gdp_capita_mesorreg!Y$1, gdp_tot_mes!$B$1:$XFD$1, 0), 0)*1000/VLOOKUP($B115, pop_mesorreg_interpol!$B:$XFD, MATCH(gdp_capita_mesorreg!Y$1, pop_mesorreg_interpol!$B$1:$XFD$1, 0), 0)</f>
        <v>17584.775579545705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x14ac:dyDescent="0.25">
      <c r="A116" s="1" t="s">
        <v>268</v>
      </c>
      <c r="B116" s="1" t="s">
        <v>275</v>
      </c>
      <c r="C116" s="1" t="s">
        <v>276</v>
      </c>
      <c r="D116" s="7">
        <f>VLOOKUP($B116, gdp_tot_mes!$B:$XFD, MATCH(gdp_capita_mesorreg!D$1, gdp_tot_mes!$B$1:$XFD$1, 0), 0)*1000/VLOOKUP($B116, pop_mesorreg_interpol!$B:$XFD, MATCH(gdp_capita_mesorreg!D$1, pop_mesorreg_interpol!$B$1:$XFD$1, 0), 0)</f>
        <v>757.87902225931168</v>
      </c>
      <c r="E116" s="7">
        <f>VLOOKUP($B116, gdp_tot_mes!$B:$XFD, MATCH(gdp_capita_mesorreg!E$1, gdp_tot_mes!$B$1:$XFD$1, 0), 0)*1000/VLOOKUP($B116, pop_mesorreg_interpol!$B:$XFD, MATCH(gdp_capita_mesorreg!E$1, pop_mesorreg_interpol!$B$1:$XFD$1, 0), 0)</f>
        <v>2570.4381673866906</v>
      </c>
      <c r="F116" s="7">
        <f>VLOOKUP($B116, gdp_tot_mes!$B:$XFD, MATCH(gdp_capita_mesorreg!F$1, gdp_tot_mes!$B$1:$XFD$1, 0), 0)*1000/VLOOKUP($B116, pop_mesorreg_interpol!$B:$XFD, MATCH(gdp_capita_mesorreg!F$1, pop_mesorreg_interpol!$B$1:$XFD$1, 0), 0)</f>
        <v>3669.4423184149477</v>
      </c>
      <c r="G116" s="7">
        <f>VLOOKUP($B116, gdp_tot_mes!$B:$XFD, MATCH(gdp_capita_mesorreg!G$1, gdp_tot_mes!$B$1:$XFD$1, 0), 0)*1000/VLOOKUP($B116, pop_mesorreg_interpol!$B:$XFD, MATCH(gdp_capita_mesorreg!G$1, pop_mesorreg_interpol!$B$1:$XFD$1, 0), 0)</f>
        <v>5276.6462850788985</v>
      </c>
      <c r="H116" s="7">
        <f>VLOOKUP($B116, gdp_tot_mes!$B:$XFD, MATCH(gdp_capita_mesorreg!H$1, gdp_tot_mes!$B$1:$XFD$1, 0), 0)*1000/VLOOKUP($B116, pop_mesorreg_interpol!$B:$XFD, MATCH(gdp_capita_mesorreg!H$1, pop_mesorreg_interpol!$B$1:$XFD$1, 0), 0)</f>
        <v>7831.8020806224649</v>
      </c>
      <c r="I116" s="7">
        <f>VLOOKUP($B116, gdp_tot_mes!$B:$XFD, MATCH(gdp_capita_mesorreg!I$1, gdp_tot_mes!$B$1:$XFD$1, 0), 0)*1000/VLOOKUP($B116, pop_mesorreg_interpol!$B:$XFD, MATCH(gdp_capita_mesorreg!I$1, pop_mesorreg_interpol!$B$1:$XFD$1, 0), 0)</f>
        <v>13109.300470633989</v>
      </c>
      <c r="J116" s="7">
        <f>VLOOKUP($B116, gdp_tot_mes!$B:$XFD, MATCH(gdp_capita_mesorreg!J$1, gdp_tot_mes!$B$1:$XFD$1, 0), 0)*1000/VLOOKUP($B116, pop_mesorreg_interpol!$B:$XFD, MATCH(gdp_capita_mesorreg!J$1, pop_mesorreg_interpol!$B$1:$XFD$1, 0), 0)</f>
        <v>20183.665627282888</v>
      </c>
      <c r="K116" s="7">
        <f>VLOOKUP($B116, gdp_tot_mes!$B:$XFD, MATCH(gdp_capita_mesorreg!K$1, gdp_tot_mes!$B$1:$XFD$1, 0), 0)*1000/VLOOKUP($B116, pop_mesorreg_interpol!$B:$XFD, MATCH(gdp_capita_mesorreg!K$1, pop_mesorreg_interpol!$B$1:$XFD$1, 0), 0)</f>
        <v>18879.71255682037</v>
      </c>
      <c r="L116" s="8">
        <f>VLOOKUP($B116, gdp_tot_mes!$B:$XFD, MATCH(gdp_capita_mesorreg!L$1, gdp_tot_mes!$B$1:$XFD$1, 0), 0)*1000/VLOOKUP($B116, pop_mesorreg_interpol!$B:$XFD, MATCH(gdp_capita_mesorreg!L$1, pop_mesorreg_interpol!$B$1:$XFD$1, 0), 0)</f>
        <v>17926.020198909195</v>
      </c>
      <c r="M116" s="7">
        <f>VLOOKUP($B116, gdp_tot_mes!$B:$XFD, MATCH(gdp_capita_mesorreg!M$1, gdp_tot_mes!$B$1:$XFD$1, 0), 0)*1000/VLOOKUP($B116, pop_mesorreg_interpol!$B:$XFD, MATCH(gdp_capita_mesorreg!M$1, pop_mesorreg_interpol!$B$1:$XFD$1, 0), 0)</f>
        <v>17030.100778898901</v>
      </c>
      <c r="N116" s="7">
        <f>VLOOKUP($B116, gdp_tot_mes!$B:$XFD, MATCH(gdp_capita_mesorreg!N$1, gdp_tot_mes!$B$1:$XFD$1, 0), 0)*1000/VLOOKUP($B116, pop_mesorreg_interpol!$B:$XFD, MATCH(gdp_capita_mesorreg!N$1, pop_mesorreg_interpol!$B$1:$XFD$1, 0), 0)</f>
        <v>19331.395215268294</v>
      </c>
      <c r="O116" s="7">
        <f>VLOOKUP($B116, gdp_tot_mes!$B:$XFD, MATCH(gdp_capita_mesorreg!O$1, gdp_tot_mes!$B$1:$XFD$1, 0), 0)*1000/VLOOKUP($B116, pop_mesorreg_interpol!$B:$XFD, MATCH(gdp_capita_mesorreg!O$1, pop_mesorreg_interpol!$B$1:$XFD$1, 0), 0)</f>
        <v>20684.609747291619</v>
      </c>
      <c r="P116" s="7">
        <f>VLOOKUP($B116, gdp_tot_mes!$B:$XFD, MATCH(gdp_capita_mesorreg!P$1, gdp_tot_mes!$B$1:$XFD$1, 0), 0)*1000/VLOOKUP($B116, pop_mesorreg_interpol!$B:$XFD, MATCH(gdp_capita_mesorreg!P$1, pop_mesorreg_interpol!$B$1:$XFD$1, 0), 0)</f>
        <v>20914.934915853173</v>
      </c>
      <c r="Q116" s="7">
        <f>VLOOKUP($B116, gdp_tot_mes!$B:$XFD, MATCH(gdp_capita_mesorreg!Q$1, gdp_tot_mes!$B$1:$XFD$1, 0), 0)*1000/VLOOKUP($B116, pop_mesorreg_interpol!$B:$XFD, MATCH(gdp_capita_mesorreg!Q$1, pop_mesorreg_interpol!$B$1:$XFD$1, 0), 0)</f>
        <v>21487.282283917997</v>
      </c>
      <c r="R116" s="7">
        <f>VLOOKUP($B116, gdp_tot_mes!$B:$XFD, MATCH(gdp_capita_mesorreg!R$1, gdp_tot_mes!$B$1:$XFD$1, 0), 0)*1000/VLOOKUP($B116, pop_mesorreg_interpol!$B:$XFD, MATCH(gdp_capita_mesorreg!R$1, pop_mesorreg_interpol!$B$1:$XFD$1, 0), 0)</f>
        <v>22033.46050886764</v>
      </c>
      <c r="S116" s="7">
        <f>VLOOKUP($B116, gdp_tot_mes!$B:$XFD, MATCH(gdp_capita_mesorreg!S$1, gdp_tot_mes!$B$1:$XFD$1, 0), 0)*1000/VLOOKUP($B116, pop_mesorreg_interpol!$B:$XFD, MATCH(gdp_capita_mesorreg!S$1, pop_mesorreg_interpol!$B$1:$XFD$1, 0), 0)</f>
        <v>23748.144078295052</v>
      </c>
      <c r="T116" s="7">
        <f>VLOOKUP($B116, gdp_tot_mes!$B:$XFD, MATCH(gdp_capita_mesorreg!T$1, gdp_tot_mes!$B$1:$XFD$1, 0), 0)*1000/VLOOKUP($B116, pop_mesorreg_interpol!$B:$XFD, MATCH(gdp_capita_mesorreg!T$1, pop_mesorreg_interpol!$B$1:$XFD$1, 0), 0)</f>
        <v>24443.449958575497</v>
      </c>
      <c r="U116" s="7">
        <f>VLOOKUP($B116, gdp_tot_mes!$B:$XFD, MATCH(gdp_capita_mesorreg!U$1, gdp_tot_mes!$B$1:$XFD$1, 0), 0)*1000/VLOOKUP($B116, pop_mesorreg_interpol!$B:$XFD, MATCH(gdp_capita_mesorreg!U$1, pop_mesorreg_interpol!$B$1:$XFD$1, 0), 0)</f>
        <v>24403.068534302798</v>
      </c>
      <c r="V116" s="7">
        <f>VLOOKUP($B116, gdp_tot_mes!$B:$XFD, MATCH(gdp_capita_mesorreg!V$1, gdp_tot_mes!$B$1:$XFD$1, 0), 0)*1000/VLOOKUP($B116, pop_mesorreg_interpol!$B:$XFD, MATCH(gdp_capita_mesorreg!V$1, pop_mesorreg_interpol!$B$1:$XFD$1, 0), 0)</f>
        <v>26232.871355928128</v>
      </c>
      <c r="W116" s="7">
        <f>VLOOKUP($B116, gdp_tot_mes!$B:$XFD, MATCH(gdp_capita_mesorreg!W$1, gdp_tot_mes!$B$1:$XFD$1, 0), 0)*1000/VLOOKUP($B116, pop_mesorreg_interpol!$B:$XFD, MATCH(gdp_capita_mesorreg!W$1, pop_mesorreg_interpol!$B$1:$XFD$1, 0), 0)</f>
        <v>27341.720839925267</v>
      </c>
      <c r="X116" s="7">
        <f>VLOOKUP($B116, gdp_tot_mes!$B:$XFD, MATCH(gdp_capita_mesorreg!X$1, gdp_tot_mes!$B$1:$XFD$1, 0), 0)*1000/VLOOKUP($B116, pop_mesorreg_interpol!$B:$XFD, MATCH(gdp_capita_mesorreg!X$1, pop_mesorreg_interpol!$B$1:$XFD$1, 0), 0)</f>
        <v>26626.966774037879</v>
      </c>
      <c r="Y116" s="7">
        <f>VLOOKUP($B116, gdp_tot_mes!$B:$XFD, MATCH(gdp_capita_mesorreg!Y$1, gdp_tot_mes!$B$1:$XFD$1, 0), 0)*1000/VLOOKUP($B116, pop_mesorreg_interpol!$B:$XFD, MATCH(gdp_capita_mesorreg!Y$1, pop_mesorreg_interpol!$B$1:$XFD$1, 0), 0)</f>
        <v>29708.447284258251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x14ac:dyDescent="0.25">
      <c r="A117" s="1" t="s">
        <v>268</v>
      </c>
      <c r="B117" s="1" t="s">
        <v>277</v>
      </c>
      <c r="C117" s="1" t="s">
        <v>278</v>
      </c>
      <c r="D117" s="7">
        <f>VLOOKUP($B117, gdp_tot_mes!$B:$XFD, MATCH(gdp_capita_mesorreg!D$1, gdp_tot_mes!$B$1:$XFD$1, 0), 0)*1000/VLOOKUP($B117, pop_mesorreg_interpol!$B:$XFD, MATCH(gdp_capita_mesorreg!D$1, pop_mesorreg_interpol!$B$1:$XFD$1, 0), 0)</f>
        <v>684.18846441383891</v>
      </c>
      <c r="E117" s="7">
        <f>VLOOKUP($B117, gdp_tot_mes!$B:$XFD, MATCH(gdp_capita_mesorreg!E$1, gdp_tot_mes!$B$1:$XFD$1, 0), 0)*1000/VLOOKUP($B117, pop_mesorreg_interpol!$B:$XFD, MATCH(gdp_capita_mesorreg!E$1, pop_mesorreg_interpol!$B$1:$XFD$1, 0), 0)</f>
        <v>1862.8691264402119</v>
      </c>
      <c r="F117" s="7">
        <f>VLOOKUP($B117, gdp_tot_mes!$B:$XFD, MATCH(gdp_capita_mesorreg!F$1, gdp_tot_mes!$B$1:$XFD$1, 0), 0)*1000/VLOOKUP($B117, pop_mesorreg_interpol!$B:$XFD, MATCH(gdp_capita_mesorreg!F$1, pop_mesorreg_interpol!$B$1:$XFD$1, 0), 0)</f>
        <v>1743.3383308689631</v>
      </c>
      <c r="G117" s="7">
        <f>VLOOKUP($B117, gdp_tot_mes!$B:$XFD, MATCH(gdp_capita_mesorreg!G$1, gdp_tot_mes!$B$1:$XFD$1, 0), 0)*1000/VLOOKUP($B117, pop_mesorreg_interpol!$B:$XFD, MATCH(gdp_capita_mesorreg!G$1, pop_mesorreg_interpol!$B$1:$XFD$1, 0), 0)</f>
        <v>2108.5916781766377</v>
      </c>
      <c r="H117" s="7">
        <f>VLOOKUP($B117, gdp_tot_mes!$B:$XFD, MATCH(gdp_capita_mesorreg!H$1, gdp_tot_mes!$B$1:$XFD$1, 0), 0)*1000/VLOOKUP($B117, pop_mesorreg_interpol!$B:$XFD, MATCH(gdp_capita_mesorreg!H$1, pop_mesorreg_interpol!$B$1:$XFD$1, 0), 0)</f>
        <v>6194.6149933509041</v>
      </c>
      <c r="I117" s="7">
        <f>VLOOKUP($B117, gdp_tot_mes!$B:$XFD, MATCH(gdp_capita_mesorreg!I$1, gdp_tot_mes!$B$1:$XFD$1, 0), 0)*1000/VLOOKUP($B117, pop_mesorreg_interpol!$B:$XFD, MATCH(gdp_capita_mesorreg!I$1, pop_mesorreg_interpol!$B$1:$XFD$1, 0), 0)</f>
        <v>8912.3398075593832</v>
      </c>
      <c r="J117" s="7">
        <f>VLOOKUP($B117, gdp_tot_mes!$B:$XFD, MATCH(gdp_capita_mesorreg!J$1, gdp_tot_mes!$B$1:$XFD$1, 0), 0)*1000/VLOOKUP($B117, pop_mesorreg_interpol!$B:$XFD, MATCH(gdp_capita_mesorreg!J$1, pop_mesorreg_interpol!$B$1:$XFD$1, 0), 0)</f>
        <v>14904.716788386628</v>
      </c>
      <c r="K117" s="7">
        <f>VLOOKUP($B117, gdp_tot_mes!$B:$XFD, MATCH(gdp_capita_mesorreg!K$1, gdp_tot_mes!$B$1:$XFD$1, 0), 0)*1000/VLOOKUP($B117, pop_mesorreg_interpol!$B:$XFD, MATCH(gdp_capita_mesorreg!K$1, pop_mesorreg_interpol!$B$1:$XFD$1, 0), 0)</f>
        <v>17152.109113226903</v>
      </c>
      <c r="L117" s="8">
        <f>VLOOKUP($B117, gdp_tot_mes!$B:$XFD, MATCH(gdp_capita_mesorreg!L$1, gdp_tot_mes!$B$1:$XFD$1, 0), 0)*1000/VLOOKUP($B117, pop_mesorreg_interpol!$B:$XFD, MATCH(gdp_capita_mesorreg!L$1, pop_mesorreg_interpol!$B$1:$XFD$1, 0), 0)</f>
        <v>19151.401822277894</v>
      </c>
      <c r="M117" s="7">
        <f>VLOOKUP($B117, gdp_tot_mes!$B:$XFD, MATCH(gdp_capita_mesorreg!M$1, gdp_tot_mes!$B$1:$XFD$1, 0), 0)*1000/VLOOKUP($B117, pop_mesorreg_interpol!$B:$XFD, MATCH(gdp_capita_mesorreg!M$1, pop_mesorreg_interpol!$B$1:$XFD$1, 0), 0)</f>
        <v>21002.14748629817</v>
      </c>
      <c r="N117" s="7">
        <f>VLOOKUP($B117, gdp_tot_mes!$B:$XFD, MATCH(gdp_capita_mesorreg!N$1, gdp_tot_mes!$B$1:$XFD$1, 0), 0)*1000/VLOOKUP($B117, pop_mesorreg_interpol!$B:$XFD, MATCH(gdp_capita_mesorreg!N$1, pop_mesorreg_interpol!$B$1:$XFD$1, 0), 0)</f>
        <v>16492.701097732985</v>
      </c>
      <c r="O117" s="7">
        <f>VLOOKUP($B117, gdp_tot_mes!$B:$XFD, MATCH(gdp_capita_mesorreg!O$1, gdp_tot_mes!$B$1:$XFD$1, 0), 0)*1000/VLOOKUP($B117, pop_mesorreg_interpol!$B:$XFD, MATCH(gdp_capita_mesorreg!O$1, pop_mesorreg_interpol!$B$1:$XFD$1, 0), 0)</f>
        <v>16544.367716071047</v>
      </c>
      <c r="P117" s="7">
        <f>VLOOKUP($B117, gdp_tot_mes!$B:$XFD, MATCH(gdp_capita_mesorreg!P$1, gdp_tot_mes!$B$1:$XFD$1, 0), 0)*1000/VLOOKUP($B117, pop_mesorreg_interpol!$B:$XFD, MATCH(gdp_capita_mesorreg!P$1, pop_mesorreg_interpol!$B$1:$XFD$1, 0), 0)</f>
        <v>16697.207118238694</v>
      </c>
      <c r="Q117" s="7">
        <f>VLOOKUP($B117, gdp_tot_mes!$B:$XFD, MATCH(gdp_capita_mesorreg!Q$1, gdp_tot_mes!$B$1:$XFD$1, 0), 0)*1000/VLOOKUP($B117, pop_mesorreg_interpol!$B:$XFD, MATCH(gdp_capita_mesorreg!Q$1, pop_mesorreg_interpol!$B$1:$XFD$1, 0), 0)</f>
        <v>17212.526628686679</v>
      </c>
      <c r="R117" s="7">
        <f>VLOOKUP($B117, gdp_tot_mes!$B:$XFD, MATCH(gdp_capita_mesorreg!R$1, gdp_tot_mes!$B$1:$XFD$1, 0), 0)*1000/VLOOKUP($B117, pop_mesorreg_interpol!$B:$XFD, MATCH(gdp_capita_mesorreg!R$1, pop_mesorreg_interpol!$B$1:$XFD$1, 0), 0)</f>
        <v>17199.152502202091</v>
      </c>
      <c r="S117" s="7">
        <f>VLOOKUP($B117, gdp_tot_mes!$B:$XFD, MATCH(gdp_capita_mesorreg!S$1, gdp_tot_mes!$B$1:$XFD$1, 0), 0)*1000/VLOOKUP($B117, pop_mesorreg_interpol!$B:$XFD, MATCH(gdp_capita_mesorreg!S$1, pop_mesorreg_interpol!$B$1:$XFD$1, 0), 0)</f>
        <v>17890.683615694223</v>
      </c>
      <c r="T117" s="7">
        <f>VLOOKUP($B117, gdp_tot_mes!$B:$XFD, MATCH(gdp_capita_mesorreg!T$1, gdp_tot_mes!$B$1:$XFD$1, 0), 0)*1000/VLOOKUP($B117, pop_mesorreg_interpol!$B:$XFD, MATCH(gdp_capita_mesorreg!T$1, pop_mesorreg_interpol!$B$1:$XFD$1, 0), 0)</f>
        <v>18680.740924650585</v>
      </c>
      <c r="U117" s="7">
        <f>VLOOKUP($B117, gdp_tot_mes!$B:$XFD, MATCH(gdp_capita_mesorreg!U$1, gdp_tot_mes!$B$1:$XFD$1, 0), 0)*1000/VLOOKUP($B117, pop_mesorreg_interpol!$B:$XFD, MATCH(gdp_capita_mesorreg!U$1, pop_mesorreg_interpol!$B$1:$XFD$1, 0), 0)</f>
        <v>19194.496606045352</v>
      </c>
      <c r="V117" s="7">
        <f>VLOOKUP($B117, gdp_tot_mes!$B:$XFD, MATCH(gdp_capita_mesorreg!V$1, gdp_tot_mes!$B$1:$XFD$1, 0), 0)*1000/VLOOKUP($B117, pop_mesorreg_interpol!$B:$XFD, MATCH(gdp_capita_mesorreg!V$1, pop_mesorreg_interpol!$B$1:$XFD$1, 0), 0)</f>
        <v>19481.4721748251</v>
      </c>
      <c r="W117" s="7">
        <f>VLOOKUP($B117, gdp_tot_mes!$B:$XFD, MATCH(gdp_capita_mesorreg!W$1, gdp_tot_mes!$B$1:$XFD$1, 0), 0)*1000/VLOOKUP($B117, pop_mesorreg_interpol!$B:$XFD, MATCH(gdp_capita_mesorreg!W$1, pop_mesorreg_interpol!$B$1:$XFD$1, 0), 0)</f>
        <v>20705.713748016511</v>
      </c>
      <c r="X117" s="7">
        <f>VLOOKUP($B117, gdp_tot_mes!$B:$XFD, MATCH(gdp_capita_mesorreg!X$1, gdp_tot_mes!$B$1:$XFD$1, 0), 0)*1000/VLOOKUP($B117, pop_mesorreg_interpol!$B:$XFD, MATCH(gdp_capita_mesorreg!X$1, pop_mesorreg_interpol!$B$1:$XFD$1, 0), 0)</f>
        <v>19793.45082979494</v>
      </c>
      <c r="Y117" s="7">
        <f>VLOOKUP($B117, gdp_tot_mes!$B:$XFD, MATCH(gdp_capita_mesorreg!Y$1, gdp_tot_mes!$B$1:$XFD$1, 0), 0)*1000/VLOOKUP($B117, pop_mesorreg_interpol!$B:$XFD, MATCH(gdp_capita_mesorreg!Y$1, pop_mesorreg_interpol!$B$1:$XFD$1, 0), 0)</f>
        <v>20802.42028478163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x14ac:dyDescent="0.25">
      <c r="A118" s="1" t="s">
        <v>268</v>
      </c>
      <c r="B118" s="1" t="s">
        <v>279</v>
      </c>
      <c r="C118" s="1" t="s">
        <v>280</v>
      </c>
      <c r="D118" s="7">
        <f>VLOOKUP($B118, gdp_tot_mes!$B:$XFD, MATCH(gdp_capita_mesorreg!D$1, gdp_tot_mes!$B$1:$XFD$1, 0), 0)*1000/VLOOKUP($B118, pop_mesorreg_interpol!$B:$XFD, MATCH(gdp_capita_mesorreg!D$1, pop_mesorreg_interpol!$B$1:$XFD$1, 0), 0)</f>
        <v>689.34836056716244</v>
      </c>
      <c r="E118" s="7">
        <f>VLOOKUP($B118, gdp_tot_mes!$B:$XFD, MATCH(gdp_capita_mesorreg!E$1, gdp_tot_mes!$B$1:$XFD$1, 0), 0)*1000/VLOOKUP($B118, pop_mesorreg_interpol!$B:$XFD, MATCH(gdp_capita_mesorreg!E$1, pop_mesorreg_interpol!$B$1:$XFD$1, 0), 0)</f>
        <v>1411.814329053728</v>
      </c>
      <c r="F118" s="7">
        <f>VLOOKUP($B118, gdp_tot_mes!$B:$XFD, MATCH(gdp_capita_mesorreg!F$1, gdp_tot_mes!$B$1:$XFD$1, 0), 0)*1000/VLOOKUP($B118, pop_mesorreg_interpol!$B:$XFD, MATCH(gdp_capita_mesorreg!F$1, pop_mesorreg_interpol!$B$1:$XFD$1, 0), 0)</f>
        <v>2227.4013947743515</v>
      </c>
      <c r="G118" s="7">
        <f>VLOOKUP($B118, gdp_tot_mes!$B:$XFD, MATCH(gdp_capita_mesorreg!G$1, gdp_tot_mes!$B$1:$XFD$1, 0), 0)*1000/VLOOKUP($B118, pop_mesorreg_interpol!$B:$XFD, MATCH(gdp_capita_mesorreg!G$1, pop_mesorreg_interpol!$B$1:$XFD$1, 0), 0)</f>
        <v>3282.8168457429224</v>
      </c>
      <c r="H118" s="7">
        <f>VLOOKUP($B118, gdp_tot_mes!$B:$XFD, MATCH(gdp_capita_mesorreg!H$1, gdp_tot_mes!$B$1:$XFD$1, 0), 0)*1000/VLOOKUP($B118, pop_mesorreg_interpol!$B:$XFD, MATCH(gdp_capita_mesorreg!H$1, pop_mesorreg_interpol!$B$1:$XFD$1, 0), 0)</f>
        <v>4727.406273900262</v>
      </c>
      <c r="I118" s="7">
        <f>VLOOKUP($B118, gdp_tot_mes!$B:$XFD, MATCH(gdp_capita_mesorreg!I$1, gdp_tot_mes!$B$1:$XFD$1, 0), 0)*1000/VLOOKUP($B118, pop_mesorreg_interpol!$B:$XFD, MATCH(gdp_capita_mesorreg!I$1, pop_mesorreg_interpol!$B$1:$XFD$1, 0), 0)</f>
        <v>7337.411719677576</v>
      </c>
      <c r="J118" s="7">
        <f>VLOOKUP($B118, gdp_tot_mes!$B:$XFD, MATCH(gdp_capita_mesorreg!J$1, gdp_tot_mes!$B$1:$XFD$1, 0), 0)*1000/VLOOKUP($B118, pop_mesorreg_interpol!$B:$XFD, MATCH(gdp_capita_mesorreg!J$1, pop_mesorreg_interpol!$B$1:$XFD$1, 0), 0)</f>
        <v>12533.442695624857</v>
      </c>
      <c r="K118" s="7">
        <f>VLOOKUP($B118, gdp_tot_mes!$B:$XFD, MATCH(gdp_capita_mesorreg!K$1, gdp_tot_mes!$B$1:$XFD$1, 0), 0)*1000/VLOOKUP($B118, pop_mesorreg_interpol!$B:$XFD, MATCH(gdp_capita_mesorreg!K$1, pop_mesorreg_interpol!$B$1:$XFD$1, 0), 0)</f>
        <v>12891.898637316543</v>
      </c>
      <c r="L118" s="8">
        <f>VLOOKUP($B118, gdp_tot_mes!$B:$XFD, MATCH(gdp_capita_mesorreg!L$1, gdp_tot_mes!$B$1:$XFD$1, 0), 0)*1000/VLOOKUP($B118, pop_mesorreg_interpol!$B:$XFD, MATCH(gdp_capita_mesorreg!L$1, pop_mesorreg_interpol!$B$1:$XFD$1, 0), 0)</f>
        <v>12307.861850274719</v>
      </c>
      <c r="M118" s="7">
        <f>VLOOKUP($B118, gdp_tot_mes!$B:$XFD, MATCH(gdp_capita_mesorreg!M$1, gdp_tot_mes!$B$1:$XFD$1, 0), 0)*1000/VLOOKUP($B118, pop_mesorreg_interpol!$B:$XFD, MATCH(gdp_capita_mesorreg!M$1, pop_mesorreg_interpol!$B$1:$XFD$1, 0), 0)</f>
        <v>11731.030014034533</v>
      </c>
      <c r="N118" s="7">
        <f>VLOOKUP($B118, gdp_tot_mes!$B:$XFD, MATCH(gdp_capita_mesorreg!N$1, gdp_tot_mes!$B$1:$XFD$1, 0), 0)*1000/VLOOKUP($B118, pop_mesorreg_interpol!$B:$XFD, MATCH(gdp_capita_mesorreg!N$1, pop_mesorreg_interpol!$B$1:$XFD$1, 0), 0)</f>
        <v>14017.324722330393</v>
      </c>
      <c r="O118" s="7">
        <f>VLOOKUP($B118, gdp_tot_mes!$B:$XFD, MATCH(gdp_capita_mesorreg!O$1, gdp_tot_mes!$B$1:$XFD$1, 0), 0)*1000/VLOOKUP($B118, pop_mesorreg_interpol!$B:$XFD, MATCH(gdp_capita_mesorreg!O$1, pop_mesorreg_interpol!$B$1:$XFD$1, 0), 0)</f>
        <v>15208.232961993283</v>
      </c>
      <c r="P118" s="7">
        <f>VLOOKUP($B118, gdp_tot_mes!$B:$XFD, MATCH(gdp_capita_mesorreg!P$1, gdp_tot_mes!$B$1:$XFD$1, 0), 0)*1000/VLOOKUP($B118, pop_mesorreg_interpol!$B:$XFD, MATCH(gdp_capita_mesorreg!P$1, pop_mesorreg_interpol!$B$1:$XFD$1, 0), 0)</f>
        <v>15324.434220550384</v>
      </c>
      <c r="Q118" s="7">
        <f>VLOOKUP($B118, gdp_tot_mes!$B:$XFD, MATCH(gdp_capita_mesorreg!Q$1, gdp_tot_mes!$B$1:$XFD$1, 0), 0)*1000/VLOOKUP($B118, pop_mesorreg_interpol!$B:$XFD, MATCH(gdp_capita_mesorreg!Q$1, pop_mesorreg_interpol!$B$1:$XFD$1, 0), 0)</f>
        <v>14510.987727806632</v>
      </c>
      <c r="R118" s="7">
        <f>VLOOKUP($B118, gdp_tot_mes!$B:$XFD, MATCH(gdp_capita_mesorreg!R$1, gdp_tot_mes!$B$1:$XFD$1, 0), 0)*1000/VLOOKUP($B118, pop_mesorreg_interpol!$B:$XFD, MATCH(gdp_capita_mesorreg!R$1, pop_mesorreg_interpol!$B$1:$XFD$1, 0), 0)</f>
        <v>15058.618494061169</v>
      </c>
      <c r="S118" s="7">
        <f>VLOOKUP($B118, gdp_tot_mes!$B:$XFD, MATCH(gdp_capita_mesorreg!S$1, gdp_tot_mes!$B$1:$XFD$1, 0), 0)*1000/VLOOKUP($B118, pop_mesorreg_interpol!$B:$XFD, MATCH(gdp_capita_mesorreg!S$1, pop_mesorreg_interpol!$B$1:$XFD$1, 0), 0)</f>
        <v>16144.468862888498</v>
      </c>
      <c r="T118" s="7">
        <f>VLOOKUP($B118, gdp_tot_mes!$B:$XFD, MATCH(gdp_capita_mesorreg!T$1, gdp_tot_mes!$B$1:$XFD$1, 0), 0)*1000/VLOOKUP($B118, pop_mesorreg_interpol!$B:$XFD, MATCH(gdp_capita_mesorreg!T$1, pop_mesorreg_interpol!$B$1:$XFD$1, 0), 0)</f>
        <v>15926.398422075988</v>
      </c>
      <c r="U118" s="7">
        <f>VLOOKUP($B118, gdp_tot_mes!$B:$XFD, MATCH(gdp_capita_mesorreg!U$1, gdp_tot_mes!$B$1:$XFD$1, 0), 0)*1000/VLOOKUP($B118, pop_mesorreg_interpol!$B:$XFD, MATCH(gdp_capita_mesorreg!U$1, pop_mesorreg_interpol!$B$1:$XFD$1, 0), 0)</f>
        <v>15804.154409277962</v>
      </c>
      <c r="V118" s="7">
        <f>VLOOKUP($B118, gdp_tot_mes!$B:$XFD, MATCH(gdp_capita_mesorreg!V$1, gdp_tot_mes!$B$1:$XFD$1, 0), 0)*1000/VLOOKUP($B118, pop_mesorreg_interpol!$B:$XFD, MATCH(gdp_capita_mesorreg!V$1, pop_mesorreg_interpol!$B$1:$XFD$1, 0), 0)</f>
        <v>16488.766385659557</v>
      </c>
      <c r="W118" s="7">
        <f>VLOOKUP($B118, gdp_tot_mes!$B:$XFD, MATCH(gdp_capita_mesorreg!W$1, gdp_tot_mes!$B$1:$XFD$1, 0), 0)*1000/VLOOKUP($B118, pop_mesorreg_interpol!$B:$XFD, MATCH(gdp_capita_mesorreg!W$1, pop_mesorreg_interpol!$B$1:$XFD$1, 0), 0)</f>
        <v>17600.385108738199</v>
      </c>
      <c r="X118" s="7">
        <f>VLOOKUP($B118, gdp_tot_mes!$B:$XFD, MATCH(gdp_capita_mesorreg!X$1, gdp_tot_mes!$B$1:$XFD$1, 0), 0)*1000/VLOOKUP($B118, pop_mesorreg_interpol!$B:$XFD, MATCH(gdp_capita_mesorreg!X$1, pop_mesorreg_interpol!$B$1:$XFD$1, 0), 0)</f>
        <v>17800.209728133494</v>
      </c>
      <c r="Y118" s="7">
        <f>VLOOKUP($B118, gdp_tot_mes!$B:$XFD, MATCH(gdp_capita_mesorreg!Y$1, gdp_tot_mes!$B$1:$XFD$1, 0), 0)*1000/VLOOKUP($B118, pop_mesorreg_interpol!$B:$XFD, MATCH(gdp_capita_mesorreg!Y$1, pop_mesorreg_interpol!$B$1:$XFD$1, 0), 0)</f>
        <v>17788.691848680901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x14ac:dyDescent="0.25">
      <c r="A119" s="1" t="s">
        <v>281</v>
      </c>
      <c r="B119" s="1" t="s">
        <v>282</v>
      </c>
      <c r="C119" s="1" t="s">
        <v>283</v>
      </c>
      <c r="D119" s="7">
        <f>VLOOKUP($B119, gdp_tot_mes!$B:$XFD, MATCH(gdp_capita_mesorreg!D$1, gdp_tot_mes!$B$1:$XFD$1, 0), 0)*1000/VLOOKUP($B119, pop_mesorreg_interpol!$B:$XFD, MATCH(gdp_capita_mesorreg!D$1, pop_mesorreg_interpol!$B$1:$XFD$1, 0), 0)</f>
        <v>515.0886136983745</v>
      </c>
      <c r="E119" s="7">
        <f>VLOOKUP($B119, gdp_tot_mes!$B:$XFD, MATCH(gdp_capita_mesorreg!E$1, gdp_tot_mes!$B$1:$XFD$1, 0), 0)*1000/VLOOKUP($B119, pop_mesorreg_interpol!$B:$XFD, MATCH(gdp_capita_mesorreg!E$1, pop_mesorreg_interpol!$B$1:$XFD$1, 0), 0)</f>
        <v>572.51473073323916</v>
      </c>
      <c r="F119" s="7">
        <f>VLOOKUP($B119, gdp_tot_mes!$B:$XFD, MATCH(gdp_capita_mesorreg!F$1, gdp_tot_mes!$B$1:$XFD$1, 0), 0)*1000/VLOOKUP($B119, pop_mesorreg_interpol!$B:$XFD, MATCH(gdp_capita_mesorreg!F$1, pop_mesorreg_interpol!$B$1:$XFD$1, 0), 0)</f>
        <v>868.91067646121746</v>
      </c>
      <c r="G119" s="7">
        <f>VLOOKUP($B119, gdp_tot_mes!$B:$XFD, MATCH(gdp_capita_mesorreg!G$1, gdp_tot_mes!$B$1:$XFD$1, 0), 0)*1000/VLOOKUP($B119, pop_mesorreg_interpol!$B:$XFD, MATCH(gdp_capita_mesorreg!G$1, pop_mesorreg_interpol!$B$1:$XFD$1, 0), 0)</f>
        <v>1233.8020625533709</v>
      </c>
      <c r="H119" s="7">
        <f>VLOOKUP($B119, gdp_tot_mes!$B:$XFD, MATCH(gdp_capita_mesorreg!H$1, gdp_tot_mes!$B$1:$XFD$1, 0), 0)*1000/VLOOKUP($B119, pop_mesorreg_interpol!$B:$XFD, MATCH(gdp_capita_mesorreg!H$1, pop_mesorreg_interpol!$B$1:$XFD$1, 0), 0)</f>
        <v>1791.7787318408389</v>
      </c>
      <c r="I119" s="7">
        <f>VLOOKUP($B119, gdp_tot_mes!$B:$XFD, MATCH(gdp_capita_mesorreg!I$1, gdp_tot_mes!$B$1:$XFD$1, 0), 0)*1000/VLOOKUP($B119, pop_mesorreg_interpol!$B:$XFD, MATCH(gdp_capita_mesorreg!I$1, pop_mesorreg_interpol!$B$1:$XFD$1, 0), 0)</f>
        <v>2302.7671392136449</v>
      </c>
      <c r="J119" s="7">
        <f>VLOOKUP($B119, gdp_tot_mes!$B:$XFD, MATCH(gdp_capita_mesorreg!J$1, gdp_tot_mes!$B$1:$XFD$1, 0), 0)*1000/VLOOKUP($B119, pop_mesorreg_interpol!$B:$XFD, MATCH(gdp_capita_mesorreg!J$1, pop_mesorreg_interpol!$B$1:$XFD$1, 0), 0)</f>
        <v>2866.1350275303093</v>
      </c>
      <c r="K119" s="7">
        <f>VLOOKUP($B119, gdp_tot_mes!$B:$XFD, MATCH(gdp_capita_mesorreg!K$1, gdp_tot_mes!$B$1:$XFD$1, 0), 0)*1000/VLOOKUP($B119, pop_mesorreg_interpol!$B:$XFD, MATCH(gdp_capita_mesorreg!K$1, pop_mesorreg_interpol!$B$1:$XFD$1, 0), 0)</f>
        <v>4149.7679384835128</v>
      </c>
      <c r="L119" s="8">
        <f>VLOOKUP($B119, gdp_tot_mes!$B:$XFD, MATCH(gdp_capita_mesorreg!L$1, gdp_tot_mes!$B$1:$XFD$1, 0), 0)*1000/VLOOKUP($B119, pop_mesorreg_interpol!$B:$XFD, MATCH(gdp_capita_mesorreg!L$1, pop_mesorreg_interpol!$B$1:$XFD$1, 0), 0)</f>
        <v>4087.8915368361286</v>
      </c>
      <c r="M119" s="7">
        <f>VLOOKUP($B119, gdp_tot_mes!$B:$XFD, MATCH(gdp_capita_mesorreg!M$1, gdp_tot_mes!$B$1:$XFD$1, 0), 0)*1000/VLOOKUP($B119, pop_mesorreg_interpol!$B:$XFD, MATCH(gdp_capita_mesorreg!M$1, pop_mesorreg_interpol!$B$1:$XFD$1, 0), 0)</f>
        <v>4019.8410360420653</v>
      </c>
      <c r="N119" s="7">
        <f>VLOOKUP($B119, gdp_tot_mes!$B:$XFD, MATCH(gdp_capita_mesorreg!N$1, gdp_tot_mes!$B$1:$XFD$1, 0), 0)*1000/VLOOKUP($B119, pop_mesorreg_interpol!$B:$XFD, MATCH(gdp_capita_mesorreg!N$1, pop_mesorreg_interpol!$B$1:$XFD$1, 0), 0)</f>
        <v>5002.3957324925432</v>
      </c>
      <c r="O119" s="7">
        <f>VLOOKUP($B119, gdp_tot_mes!$B:$XFD, MATCH(gdp_capita_mesorreg!O$1, gdp_tot_mes!$B$1:$XFD$1, 0), 0)*1000/VLOOKUP($B119, pop_mesorreg_interpol!$B:$XFD, MATCH(gdp_capita_mesorreg!O$1, pop_mesorreg_interpol!$B$1:$XFD$1, 0), 0)</f>
        <v>4847.2255630952013</v>
      </c>
      <c r="P119" s="7">
        <f>VLOOKUP($B119, gdp_tot_mes!$B:$XFD, MATCH(gdp_capita_mesorreg!P$1, gdp_tot_mes!$B$1:$XFD$1, 0), 0)*1000/VLOOKUP($B119, pop_mesorreg_interpol!$B:$XFD, MATCH(gdp_capita_mesorreg!P$1, pop_mesorreg_interpol!$B$1:$XFD$1, 0), 0)</f>
        <v>10156.306143344804</v>
      </c>
      <c r="Q119" s="7">
        <f>VLOOKUP($B119, gdp_tot_mes!$B:$XFD, MATCH(gdp_capita_mesorreg!Q$1, gdp_tot_mes!$B$1:$XFD$1, 0), 0)*1000/VLOOKUP($B119, pop_mesorreg_interpol!$B:$XFD, MATCH(gdp_capita_mesorreg!Q$1, pop_mesorreg_interpol!$B$1:$XFD$1, 0), 0)</f>
        <v>11477.376424926533</v>
      </c>
      <c r="R119" s="7">
        <f>VLOOKUP($B119, gdp_tot_mes!$B:$XFD, MATCH(gdp_capita_mesorreg!R$1, gdp_tot_mes!$B$1:$XFD$1, 0), 0)*1000/VLOOKUP($B119, pop_mesorreg_interpol!$B:$XFD, MATCH(gdp_capita_mesorreg!R$1, pop_mesorreg_interpol!$B$1:$XFD$1, 0), 0)</f>
        <v>12222.480890640983</v>
      </c>
      <c r="S119" s="7">
        <f>VLOOKUP($B119, gdp_tot_mes!$B:$XFD, MATCH(gdp_capita_mesorreg!S$1, gdp_tot_mes!$B$1:$XFD$1, 0), 0)*1000/VLOOKUP($B119, pop_mesorreg_interpol!$B:$XFD, MATCH(gdp_capita_mesorreg!S$1, pop_mesorreg_interpol!$B$1:$XFD$1, 0), 0)</f>
        <v>12558.390065017062</v>
      </c>
      <c r="T119" s="7">
        <f>VLOOKUP($B119, gdp_tot_mes!$B:$XFD, MATCH(gdp_capita_mesorreg!T$1, gdp_tot_mes!$B$1:$XFD$1, 0), 0)*1000/VLOOKUP($B119, pop_mesorreg_interpol!$B:$XFD, MATCH(gdp_capita_mesorreg!T$1, pop_mesorreg_interpol!$B$1:$XFD$1, 0), 0)</f>
        <v>11051.324386169419</v>
      </c>
      <c r="U119" s="7">
        <f>VLOOKUP($B119, gdp_tot_mes!$B:$XFD, MATCH(gdp_capita_mesorreg!U$1, gdp_tot_mes!$B$1:$XFD$1, 0), 0)*1000/VLOOKUP($B119, pop_mesorreg_interpol!$B:$XFD, MATCH(gdp_capita_mesorreg!U$1, pop_mesorreg_interpol!$B$1:$XFD$1, 0), 0)</f>
        <v>10378.488544046995</v>
      </c>
      <c r="V119" s="7">
        <f>VLOOKUP($B119, gdp_tot_mes!$B:$XFD, MATCH(gdp_capita_mesorreg!V$1, gdp_tot_mes!$B$1:$XFD$1, 0), 0)*1000/VLOOKUP($B119, pop_mesorreg_interpol!$B:$XFD, MATCH(gdp_capita_mesorreg!V$1, pop_mesorreg_interpol!$B$1:$XFD$1, 0), 0)</f>
        <v>11196.214132494681</v>
      </c>
      <c r="W119" s="7">
        <f>VLOOKUP($B119, gdp_tot_mes!$B:$XFD, MATCH(gdp_capita_mesorreg!W$1, gdp_tot_mes!$B$1:$XFD$1, 0), 0)*1000/VLOOKUP($B119, pop_mesorreg_interpol!$B:$XFD, MATCH(gdp_capita_mesorreg!W$1, pop_mesorreg_interpol!$B$1:$XFD$1, 0), 0)</f>
        <v>12488.339464770366</v>
      </c>
      <c r="X119" s="7">
        <f>VLOOKUP($B119, gdp_tot_mes!$B:$XFD, MATCH(gdp_capita_mesorreg!X$1, gdp_tot_mes!$B$1:$XFD$1, 0), 0)*1000/VLOOKUP($B119, pop_mesorreg_interpol!$B:$XFD, MATCH(gdp_capita_mesorreg!X$1, pop_mesorreg_interpol!$B$1:$XFD$1, 0), 0)</f>
        <v>10886.817097162228</v>
      </c>
      <c r="Y119" s="7">
        <f>VLOOKUP($B119, gdp_tot_mes!$B:$XFD, MATCH(gdp_capita_mesorreg!Y$1, gdp_tot_mes!$B$1:$XFD$1, 0), 0)*1000/VLOOKUP($B119, pop_mesorreg_interpol!$B:$XFD, MATCH(gdp_capita_mesorreg!Y$1, pop_mesorreg_interpol!$B$1:$XFD$1, 0), 0)</f>
        <v>12802.038955721415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x14ac:dyDescent="0.25">
      <c r="A120" s="1" t="s">
        <v>281</v>
      </c>
      <c r="B120" s="1" t="s">
        <v>284</v>
      </c>
      <c r="C120" s="1" t="s">
        <v>285</v>
      </c>
      <c r="D120" s="7">
        <f>VLOOKUP($B120, gdp_tot_mes!$B:$XFD, MATCH(gdp_capita_mesorreg!D$1, gdp_tot_mes!$B$1:$XFD$1, 0), 0)*1000/VLOOKUP($B120, pop_mesorreg_interpol!$B:$XFD, MATCH(gdp_capita_mesorreg!D$1, pop_mesorreg_interpol!$B$1:$XFD$1, 0), 0)</f>
        <v>439.30663356606095</v>
      </c>
      <c r="E120" s="7">
        <f>VLOOKUP($B120, gdp_tot_mes!$B:$XFD, MATCH(gdp_capita_mesorreg!E$1, gdp_tot_mes!$B$1:$XFD$1, 0), 0)*1000/VLOOKUP($B120, pop_mesorreg_interpol!$B:$XFD, MATCH(gdp_capita_mesorreg!E$1, pop_mesorreg_interpol!$B$1:$XFD$1, 0), 0)</f>
        <v>518.09950617196182</v>
      </c>
      <c r="F120" s="7">
        <f>VLOOKUP($B120, gdp_tot_mes!$B:$XFD, MATCH(gdp_capita_mesorreg!F$1, gdp_tot_mes!$B$1:$XFD$1, 0), 0)*1000/VLOOKUP($B120, pop_mesorreg_interpol!$B:$XFD, MATCH(gdp_capita_mesorreg!F$1, pop_mesorreg_interpol!$B$1:$XFD$1, 0), 0)</f>
        <v>1070.0742375418311</v>
      </c>
      <c r="G120" s="7">
        <f>VLOOKUP($B120, gdp_tot_mes!$B:$XFD, MATCH(gdp_capita_mesorreg!G$1, gdp_tot_mes!$B$1:$XFD$1, 0), 0)*1000/VLOOKUP($B120, pop_mesorreg_interpol!$B:$XFD, MATCH(gdp_capita_mesorreg!G$1, pop_mesorreg_interpol!$B$1:$XFD$1, 0), 0)</f>
        <v>1683.2540052259815</v>
      </c>
      <c r="H120" s="7">
        <f>VLOOKUP($B120, gdp_tot_mes!$B:$XFD, MATCH(gdp_capita_mesorreg!H$1, gdp_tot_mes!$B$1:$XFD$1, 0), 0)*1000/VLOOKUP($B120, pop_mesorreg_interpol!$B:$XFD, MATCH(gdp_capita_mesorreg!H$1, pop_mesorreg_interpol!$B$1:$XFD$1, 0), 0)</f>
        <v>1948.0714159482663</v>
      </c>
      <c r="I120" s="7">
        <f>VLOOKUP($B120, gdp_tot_mes!$B:$XFD, MATCH(gdp_capita_mesorreg!I$1, gdp_tot_mes!$B$1:$XFD$1, 0), 0)*1000/VLOOKUP($B120, pop_mesorreg_interpol!$B:$XFD, MATCH(gdp_capita_mesorreg!I$1, pop_mesorreg_interpol!$B$1:$XFD$1, 0), 0)</f>
        <v>2582.7091790460895</v>
      </c>
      <c r="J120" s="7">
        <f>VLOOKUP($B120, gdp_tot_mes!$B:$XFD, MATCH(gdp_capita_mesorreg!J$1, gdp_tot_mes!$B$1:$XFD$1, 0), 0)*1000/VLOOKUP($B120, pop_mesorreg_interpol!$B:$XFD, MATCH(gdp_capita_mesorreg!J$1, pop_mesorreg_interpol!$B$1:$XFD$1, 0), 0)</f>
        <v>3633.9406847415034</v>
      </c>
      <c r="K120" s="7">
        <f>VLOOKUP($B120, gdp_tot_mes!$B:$XFD, MATCH(gdp_capita_mesorreg!K$1, gdp_tot_mes!$B$1:$XFD$1, 0), 0)*1000/VLOOKUP($B120, pop_mesorreg_interpol!$B:$XFD, MATCH(gdp_capita_mesorreg!K$1, pop_mesorreg_interpol!$B$1:$XFD$1, 0), 0)</f>
        <v>4358.233462412808</v>
      </c>
      <c r="L120" s="8">
        <f>VLOOKUP($B120, gdp_tot_mes!$B:$XFD, MATCH(gdp_capita_mesorreg!L$1, gdp_tot_mes!$B$1:$XFD$1, 0), 0)*1000/VLOOKUP($B120, pop_mesorreg_interpol!$B:$XFD, MATCH(gdp_capita_mesorreg!L$1, pop_mesorreg_interpol!$B$1:$XFD$1, 0), 0)</f>
        <v>3807.4634422339614</v>
      </c>
      <c r="M120" s="7">
        <f>VLOOKUP($B120, gdp_tot_mes!$B:$XFD, MATCH(gdp_capita_mesorreg!M$1, gdp_tot_mes!$B$1:$XFD$1, 0), 0)*1000/VLOOKUP($B120, pop_mesorreg_interpol!$B:$XFD, MATCH(gdp_capita_mesorreg!M$1, pop_mesorreg_interpol!$B$1:$XFD$1, 0), 0)</f>
        <v>3242.9659013524874</v>
      </c>
      <c r="N120" s="7">
        <f>VLOOKUP($B120, gdp_tot_mes!$B:$XFD, MATCH(gdp_capita_mesorreg!N$1, gdp_tot_mes!$B$1:$XFD$1, 0), 0)*1000/VLOOKUP($B120, pop_mesorreg_interpol!$B:$XFD, MATCH(gdp_capita_mesorreg!N$1, pop_mesorreg_interpol!$B$1:$XFD$1, 0), 0)</f>
        <v>5313.5443652371905</v>
      </c>
      <c r="O120" s="7">
        <f>VLOOKUP($B120, gdp_tot_mes!$B:$XFD, MATCH(gdp_capita_mesorreg!O$1, gdp_tot_mes!$B$1:$XFD$1, 0), 0)*1000/VLOOKUP($B120, pop_mesorreg_interpol!$B:$XFD, MATCH(gdp_capita_mesorreg!O$1, pop_mesorreg_interpol!$B$1:$XFD$1, 0), 0)</f>
        <v>5228.0714844886816</v>
      </c>
      <c r="P120" s="7">
        <f>VLOOKUP($B120, gdp_tot_mes!$B:$XFD, MATCH(gdp_capita_mesorreg!P$1, gdp_tot_mes!$B$1:$XFD$1, 0), 0)*1000/VLOOKUP($B120, pop_mesorreg_interpol!$B:$XFD, MATCH(gdp_capita_mesorreg!P$1, pop_mesorreg_interpol!$B$1:$XFD$1, 0), 0)</f>
        <v>5477.0970345832202</v>
      </c>
      <c r="Q120" s="7">
        <f>VLOOKUP($B120, gdp_tot_mes!$B:$XFD, MATCH(gdp_capita_mesorreg!Q$1, gdp_tot_mes!$B$1:$XFD$1, 0), 0)*1000/VLOOKUP($B120, pop_mesorreg_interpol!$B:$XFD, MATCH(gdp_capita_mesorreg!Q$1, pop_mesorreg_interpol!$B$1:$XFD$1, 0), 0)</f>
        <v>5709.3558974629286</v>
      </c>
      <c r="R120" s="7">
        <f>VLOOKUP($B120, gdp_tot_mes!$B:$XFD, MATCH(gdp_capita_mesorreg!R$1, gdp_tot_mes!$B$1:$XFD$1, 0), 0)*1000/VLOOKUP($B120, pop_mesorreg_interpol!$B:$XFD, MATCH(gdp_capita_mesorreg!R$1, pop_mesorreg_interpol!$B$1:$XFD$1, 0), 0)</f>
        <v>5915.4162114428773</v>
      </c>
      <c r="S120" s="7">
        <f>VLOOKUP($B120, gdp_tot_mes!$B:$XFD, MATCH(gdp_capita_mesorreg!S$1, gdp_tot_mes!$B$1:$XFD$1, 0), 0)*1000/VLOOKUP($B120, pop_mesorreg_interpol!$B:$XFD, MATCH(gdp_capita_mesorreg!S$1, pop_mesorreg_interpol!$B$1:$XFD$1, 0), 0)</f>
        <v>5784.8499065536143</v>
      </c>
      <c r="T120" s="7">
        <f>VLOOKUP($B120, gdp_tot_mes!$B:$XFD, MATCH(gdp_capita_mesorreg!T$1, gdp_tot_mes!$B$1:$XFD$1, 0), 0)*1000/VLOOKUP($B120, pop_mesorreg_interpol!$B:$XFD, MATCH(gdp_capita_mesorreg!T$1, pop_mesorreg_interpol!$B$1:$XFD$1, 0), 0)</f>
        <v>5798.4487608342142</v>
      </c>
      <c r="U120" s="7">
        <f>VLOOKUP($B120, gdp_tot_mes!$B:$XFD, MATCH(gdp_capita_mesorreg!U$1, gdp_tot_mes!$B$1:$XFD$1, 0), 0)*1000/VLOOKUP($B120, pop_mesorreg_interpol!$B:$XFD, MATCH(gdp_capita_mesorreg!U$1, pop_mesorreg_interpol!$B$1:$XFD$1, 0), 0)</f>
        <v>6097.6840824303181</v>
      </c>
      <c r="V120" s="7">
        <f>VLOOKUP($B120, gdp_tot_mes!$B:$XFD, MATCH(gdp_capita_mesorreg!V$1, gdp_tot_mes!$B$1:$XFD$1, 0), 0)*1000/VLOOKUP($B120, pop_mesorreg_interpol!$B:$XFD, MATCH(gdp_capita_mesorreg!V$1, pop_mesorreg_interpol!$B$1:$XFD$1, 0), 0)</f>
        <v>6463.995042565326</v>
      </c>
      <c r="W120" s="7">
        <f>VLOOKUP($B120, gdp_tot_mes!$B:$XFD, MATCH(gdp_capita_mesorreg!W$1, gdp_tot_mes!$B$1:$XFD$1, 0), 0)*1000/VLOOKUP($B120, pop_mesorreg_interpol!$B:$XFD, MATCH(gdp_capita_mesorreg!W$1, pop_mesorreg_interpol!$B$1:$XFD$1, 0), 0)</f>
        <v>6626.8052687255595</v>
      </c>
      <c r="X120" s="7">
        <f>VLOOKUP($B120, gdp_tot_mes!$B:$XFD, MATCH(gdp_capita_mesorreg!X$1, gdp_tot_mes!$B$1:$XFD$1, 0), 0)*1000/VLOOKUP($B120, pop_mesorreg_interpol!$B:$XFD, MATCH(gdp_capita_mesorreg!X$1, pop_mesorreg_interpol!$B$1:$XFD$1, 0), 0)</f>
        <v>6608.3637423647879</v>
      </c>
      <c r="Y120" s="7">
        <f>VLOOKUP($B120, gdp_tot_mes!$B:$XFD, MATCH(gdp_capita_mesorreg!Y$1, gdp_tot_mes!$B$1:$XFD$1, 0), 0)*1000/VLOOKUP($B120, pop_mesorreg_interpol!$B:$XFD, MATCH(gdp_capita_mesorreg!Y$1, pop_mesorreg_interpol!$B$1:$XFD$1, 0), 0)</f>
        <v>6954.6929541670115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x14ac:dyDescent="0.25">
      <c r="A121" s="1" t="s">
        <v>281</v>
      </c>
      <c r="B121" s="1" t="s">
        <v>286</v>
      </c>
      <c r="C121" s="1" t="s">
        <v>287</v>
      </c>
      <c r="D121" s="7">
        <f>VLOOKUP($B121, gdp_tot_mes!$B:$XFD, MATCH(gdp_capita_mesorreg!D$1, gdp_tot_mes!$B$1:$XFD$1, 0), 0)*1000/VLOOKUP($B121, pop_mesorreg_interpol!$B:$XFD, MATCH(gdp_capita_mesorreg!D$1, pop_mesorreg_interpol!$B$1:$XFD$1, 0), 0)</f>
        <v>616.50010782951358</v>
      </c>
      <c r="E121" s="7">
        <f>VLOOKUP($B121, gdp_tot_mes!$B:$XFD, MATCH(gdp_capita_mesorreg!E$1, gdp_tot_mes!$B$1:$XFD$1, 0), 0)*1000/VLOOKUP($B121, pop_mesorreg_interpol!$B:$XFD, MATCH(gdp_capita_mesorreg!E$1, pop_mesorreg_interpol!$B$1:$XFD$1, 0), 0)</f>
        <v>1642.1185582743046</v>
      </c>
      <c r="F121" s="7">
        <f>VLOOKUP($B121, gdp_tot_mes!$B:$XFD, MATCH(gdp_capita_mesorreg!F$1, gdp_tot_mes!$B$1:$XFD$1, 0), 0)*1000/VLOOKUP($B121, pop_mesorreg_interpol!$B:$XFD, MATCH(gdp_capita_mesorreg!F$1, pop_mesorreg_interpol!$B$1:$XFD$1, 0), 0)</f>
        <v>1932.3949581082163</v>
      </c>
      <c r="G121" s="7">
        <f>VLOOKUP($B121, gdp_tot_mes!$B:$XFD, MATCH(gdp_capita_mesorreg!G$1, gdp_tot_mes!$B$1:$XFD$1, 0), 0)*1000/VLOOKUP($B121, pop_mesorreg_interpol!$B:$XFD, MATCH(gdp_capita_mesorreg!G$1, pop_mesorreg_interpol!$B$1:$XFD$1, 0), 0)</f>
        <v>2610.3656368856282</v>
      </c>
      <c r="H121" s="7">
        <f>VLOOKUP($B121, gdp_tot_mes!$B:$XFD, MATCH(gdp_capita_mesorreg!H$1, gdp_tot_mes!$B$1:$XFD$1, 0), 0)*1000/VLOOKUP($B121, pop_mesorreg_interpol!$B:$XFD, MATCH(gdp_capita_mesorreg!H$1, pop_mesorreg_interpol!$B$1:$XFD$1, 0), 0)</f>
        <v>4427.300334990332</v>
      </c>
      <c r="I121" s="7">
        <f>VLOOKUP($B121, gdp_tot_mes!$B:$XFD, MATCH(gdp_capita_mesorreg!I$1, gdp_tot_mes!$B$1:$XFD$1, 0), 0)*1000/VLOOKUP($B121, pop_mesorreg_interpol!$B:$XFD, MATCH(gdp_capita_mesorreg!I$1, pop_mesorreg_interpol!$B$1:$XFD$1, 0), 0)</f>
        <v>6199.7631495158039</v>
      </c>
      <c r="J121" s="7">
        <f>VLOOKUP($B121, gdp_tot_mes!$B:$XFD, MATCH(gdp_capita_mesorreg!J$1, gdp_tot_mes!$B$1:$XFD$1, 0), 0)*1000/VLOOKUP($B121, pop_mesorreg_interpol!$B:$XFD, MATCH(gdp_capita_mesorreg!J$1, pop_mesorreg_interpol!$B$1:$XFD$1, 0), 0)</f>
        <v>7608.9446876081356</v>
      </c>
      <c r="K121" s="7">
        <f>VLOOKUP($B121, gdp_tot_mes!$B:$XFD, MATCH(gdp_capita_mesorreg!K$1, gdp_tot_mes!$B$1:$XFD$1, 0), 0)*1000/VLOOKUP($B121, pop_mesorreg_interpol!$B:$XFD, MATCH(gdp_capita_mesorreg!K$1, pop_mesorreg_interpol!$B$1:$XFD$1, 0), 0)</f>
        <v>13520.334261483325</v>
      </c>
      <c r="L121" s="8">
        <f>VLOOKUP($B121, gdp_tot_mes!$B:$XFD, MATCH(gdp_capita_mesorreg!L$1, gdp_tot_mes!$B$1:$XFD$1, 0), 0)*1000/VLOOKUP($B121, pop_mesorreg_interpol!$B:$XFD, MATCH(gdp_capita_mesorreg!L$1, pop_mesorreg_interpol!$B$1:$XFD$1, 0), 0)</f>
        <v>11504.500415362072</v>
      </c>
      <c r="M121" s="7">
        <f>VLOOKUP($B121, gdp_tot_mes!$B:$XFD, MATCH(gdp_capita_mesorreg!M$1, gdp_tot_mes!$B$1:$XFD$1, 0), 0)*1000/VLOOKUP($B121, pop_mesorreg_interpol!$B:$XFD, MATCH(gdp_capita_mesorreg!M$1, pop_mesorreg_interpol!$B$1:$XFD$1, 0), 0)</f>
        <v>9677.4486370526047</v>
      </c>
      <c r="N121" s="7">
        <f>VLOOKUP($B121, gdp_tot_mes!$B:$XFD, MATCH(gdp_capita_mesorreg!N$1, gdp_tot_mes!$B$1:$XFD$1, 0), 0)*1000/VLOOKUP($B121, pop_mesorreg_interpol!$B:$XFD, MATCH(gdp_capita_mesorreg!N$1, pop_mesorreg_interpol!$B$1:$XFD$1, 0), 0)</f>
        <v>9887.4718628211467</v>
      </c>
      <c r="O121" s="7">
        <f>VLOOKUP($B121, gdp_tot_mes!$B:$XFD, MATCH(gdp_capita_mesorreg!O$1, gdp_tot_mes!$B$1:$XFD$1, 0), 0)*1000/VLOOKUP($B121, pop_mesorreg_interpol!$B:$XFD, MATCH(gdp_capita_mesorreg!O$1, pop_mesorreg_interpol!$B$1:$XFD$1, 0), 0)</f>
        <v>9880.9756083446009</v>
      </c>
      <c r="P121" s="7">
        <f>VLOOKUP($B121, gdp_tot_mes!$B:$XFD, MATCH(gdp_capita_mesorreg!P$1, gdp_tot_mes!$B$1:$XFD$1, 0), 0)*1000/VLOOKUP($B121, pop_mesorreg_interpol!$B:$XFD, MATCH(gdp_capita_mesorreg!P$1, pop_mesorreg_interpol!$B$1:$XFD$1, 0), 0)</f>
        <v>10394.614061092199</v>
      </c>
      <c r="Q121" s="7">
        <f>VLOOKUP($B121, gdp_tot_mes!$B:$XFD, MATCH(gdp_capita_mesorreg!Q$1, gdp_tot_mes!$B$1:$XFD$1, 0), 0)*1000/VLOOKUP($B121, pop_mesorreg_interpol!$B:$XFD, MATCH(gdp_capita_mesorreg!Q$1, pop_mesorreg_interpol!$B$1:$XFD$1, 0), 0)</f>
        <v>10938.547873419329</v>
      </c>
      <c r="R121" s="7">
        <f>VLOOKUP($B121, gdp_tot_mes!$B:$XFD, MATCH(gdp_capita_mesorreg!R$1, gdp_tot_mes!$B$1:$XFD$1, 0), 0)*1000/VLOOKUP($B121, pop_mesorreg_interpol!$B:$XFD, MATCH(gdp_capita_mesorreg!R$1, pop_mesorreg_interpol!$B$1:$XFD$1, 0), 0)</f>
        <v>10681.996663467889</v>
      </c>
      <c r="S121" s="7">
        <f>VLOOKUP($B121, gdp_tot_mes!$B:$XFD, MATCH(gdp_capita_mesorreg!S$1, gdp_tot_mes!$B$1:$XFD$1, 0), 0)*1000/VLOOKUP($B121, pop_mesorreg_interpol!$B:$XFD, MATCH(gdp_capita_mesorreg!S$1, pop_mesorreg_interpol!$B$1:$XFD$1, 0), 0)</f>
        <v>11049.743210628088</v>
      </c>
      <c r="T121" s="7">
        <f>VLOOKUP($B121, gdp_tot_mes!$B:$XFD, MATCH(gdp_capita_mesorreg!T$1, gdp_tot_mes!$B$1:$XFD$1, 0), 0)*1000/VLOOKUP($B121, pop_mesorreg_interpol!$B:$XFD, MATCH(gdp_capita_mesorreg!T$1, pop_mesorreg_interpol!$B$1:$XFD$1, 0), 0)</f>
        <v>11515.41553225071</v>
      </c>
      <c r="U121" s="7">
        <f>VLOOKUP($B121, gdp_tot_mes!$B:$XFD, MATCH(gdp_capita_mesorreg!U$1, gdp_tot_mes!$B$1:$XFD$1, 0), 0)*1000/VLOOKUP($B121, pop_mesorreg_interpol!$B:$XFD, MATCH(gdp_capita_mesorreg!U$1, pop_mesorreg_interpol!$B$1:$XFD$1, 0), 0)</f>
        <v>11896.475291768158</v>
      </c>
      <c r="V121" s="7">
        <f>VLOOKUP($B121, gdp_tot_mes!$B:$XFD, MATCH(gdp_capita_mesorreg!V$1, gdp_tot_mes!$B$1:$XFD$1, 0), 0)*1000/VLOOKUP($B121, pop_mesorreg_interpol!$B:$XFD, MATCH(gdp_capita_mesorreg!V$1, pop_mesorreg_interpol!$B$1:$XFD$1, 0), 0)</f>
        <v>12506.230293414495</v>
      </c>
      <c r="W121" s="7">
        <f>VLOOKUP($B121, gdp_tot_mes!$B:$XFD, MATCH(gdp_capita_mesorreg!W$1, gdp_tot_mes!$B$1:$XFD$1, 0), 0)*1000/VLOOKUP($B121, pop_mesorreg_interpol!$B:$XFD, MATCH(gdp_capita_mesorreg!W$1, pop_mesorreg_interpol!$B$1:$XFD$1, 0), 0)</f>
        <v>12895.813864760017</v>
      </c>
      <c r="X121" s="7">
        <f>VLOOKUP($B121, gdp_tot_mes!$B:$XFD, MATCH(gdp_capita_mesorreg!X$1, gdp_tot_mes!$B$1:$XFD$1, 0), 0)*1000/VLOOKUP($B121, pop_mesorreg_interpol!$B:$XFD, MATCH(gdp_capita_mesorreg!X$1, pop_mesorreg_interpol!$B$1:$XFD$1, 0), 0)</f>
        <v>11817.338274243042</v>
      </c>
      <c r="Y121" s="7">
        <f>VLOOKUP($B121, gdp_tot_mes!$B:$XFD, MATCH(gdp_capita_mesorreg!Y$1, gdp_tot_mes!$B$1:$XFD$1, 0), 0)*1000/VLOOKUP($B121, pop_mesorreg_interpol!$B:$XFD, MATCH(gdp_capita_mesorreg!Y$1, pop_mesorreg_interpol!$B$1:$XFD$1, 0), 0)</f>
        <v>12849.599578847614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x14ac:dyDescent="0.25">
      <c r="A122" s="1" t="s">
        <v>288</v>
      </c>
      <c r="B122" s="1" t="s">
        <v>289</v>
      </c>
      <c r="C122" s="1" t="s">
        <v>290</v>
      </c>
      <c r="D122" s="7">
        <f>VLOOKUP($B122, gdp_tot_mes!$B:$XFD, MATCH(gdp_capita_mesorreg!D$1, gdp_tot_mes!$B$1:$XFD$1, 0), 0)*1000/VLOOKUP($B122, pop_mesorreg_interpol!$B:$XFD, MATCH(gdp_capita_mesorreg!D$1, pop_mesorreg_interpol!$B$1:$XFD$1, 0), 0)</f>
        <v>1317.9982527770101</v>
      </c>
      <c r="E122" s="7">
        <f>VLOOKUP($B122, gdp_tot_mes!$B:$XFD, MATCH(gdp_capita_mesorreg!E$1, gdp_tot_mes!$B$1:$XFD$1, 0), 0)*1000/VLOOKUP($B122, pop_mesorreg_interpol!$B:$XFD, MATCH(gdp_capita_mesorreg!E$1, pop_mesorreg_interpol!$B$1:$XFD$1, 0), 0)</f>
        <v>2174.6930768758875</v>
      </c>
      <c r="F122" s="7">
        <f>VLOOKUP($B122, gdp_tot_mes!$B:$XFD, MATCH(gdp_capita_mesorreg!F$1, gdp_tot_mes!$B$1:$XFD$1, 0), 0)*1000/VLOOKUP($B122, pop_mesorreg_interpol!$B:$XFD, MATCH(gdp_capita_mesorreg!F$1, pop_mesorreg_interpol!$B$1:$XFD$1, 0), 0)</f>
        <v>4104.2656050828018</v>
      </c>
      <c r="G122" s="7">
        <f>VLOOKUP($B122, gdp_tot_mes!$B:$XFD, MATCH(gdp_capita_mesorreg!G$1, gdp_tot_mes!$B$1:$XFD$1, 0), 0)*1000/VLOOKUP($B122, pop_mesorreg_interpol!$B:$XFD, MATCH(gdp_capita_mesorreg!G$1, pop_mesorreg_interpol!$B$1:$XFD$1, 0), 0)</f>
        <v>4486.8517565455268</v>
      </c>
      <c r="H122" s="7">
        <f>VLOOKUP($B122, gdp_tot_mes!$B:$XFD, MATCH(gdp_capita_mesorreg!H$1, gdp_tot_mes!$B$1:$XFD$1, 0), 0)*1000/VLOOKUP($B122, pop_mesorreg_interpol!$B:$XFD, MATCH(gdp_capita_mesorreg!H$1, pop_mesorreg_interpol!$B$1:$XFD$1, 0), 0)</f>
        <v>5584.3417918257765</v>
      </c>
      <c r="I122" s="7">
        <f>VLOOKUP($B122, gdp_tot_mes!$B:$XFD, MATCH(gdp_capita_mesorreg!I$1, gdp_tot_mes!$B$1:$XFD$1, 0), 0)*1000/VLOOKUP($B122, pop_mesorreg_interpol!$B:$XFD, MATCH(gdp_capita_mesorreg!I$1, pop_mesorreg_interpol!$B$1:$XFD$1, 0), 0)</f>
        <v>8863.1230650945217</v>
      </c>
      <c r="J122" s="7">
        <f>VLOOKUP($B122, gdp_tot_mes!$B:$XFD, MATCH(gdp_capita_mesorreg!J$1, gdp_tot_mes!$B$1:$XFD$1, 0), 0)*1000/VLOOKUP($B122, pop_mesorreg_interpol!$B:$XFD, MATCH(gdp_capita_mesorreg!J$1, pop_mesorreg_interpol!$B$1:$XFD$1, 0), 0)</f>
        <v>11983.459591731929</v>
      </c>
      <c r="K122" s="7">
        <f>VLOOKUP($B122, gdp_tot_mes!$B:$XFD, MATCH(gdp_capita_mesorreg!K$1, gdp_tot_mes!$B$1:$XFD$1, 0), 0)*1000/VLOOKUP($B122, pop_mesorreg_interpol!$B:$XFD, MATCH(gdp_capita_mesorreg!K$1, pop_mesorreg_interpol!$B$1:$XFD$1, 0), 0)</f>
        <v>14102.131993628449</v>
      </c>
      <c r="L122" s="8">
        <f>VLOOKUP($B122, gdp_tot_mes!$B:$XFD, MATCH(gdp_capita_mesorreg!L$1, gdp_tot_mes!$B$1:$XFD$1, 0), 0)*1000/VLOOKUP($B122, pop_mesorreg_interpol!$B:$XFD, MATCH(gdp_capita_mesorreg!L$1, pop_mesorreg_interpol!$B$1:$XFD$1, 0), 0)</f>
        <v>13505.266626805498</v>
      </c>
      <c r="M122" s="7">
        <f>VLOOKUP($B122, gdp_tot_mes!$B:$XFD, MATCH(gdp_capita_mesorreg!M$1, gdp_tot_mes!$B$1:$XFD$1, 0), 0)*1000/VLOOKUP($B122, pop_mesorreg_interpol!$B:$XFD, MATCH(gdp_capita_mesorreg!M$1, pop_mesorreg_interpol!$B$1:$XFD$1, 0), 0)</f>
        <v>12898.498261226487</v>
      </c>
      <c r="N122" s="7">
        <f>VLOOKUP($B122, gdp_tot_mes!$B:$XFD, MATCH(gdp_capita_mesorreg!N$1, gdp_tot_mes!$B$1:$XFD$1, 0), 0)*1000/VLOOKUP($B122, pop_mesorreg_interpol!$B:$XFD, MATCH(gdp_capita_mesorreg!N$1, pop_mesorreg_interpol!$B$1:$XFD$1, 0), 0)</f>
        <v>16459.091940390164</v>
      </c>
      <c r="O122" s="7">
        <f>VLOOKUP($B122, gdp_tot_mes!$B:$XFD, MATCH(gdp_capita_mesorreg!O$1, gdp_tot_mes!$B$1:$XFD$1, 0), 0)*1000/VLOOKUP($B122, pop_mesorreg_interpol!$B:$XFD, MATCH(gdp_capita_mesorreg!O$1, pop_mesorreg_interpol!$B$1:$XFD$1, 0), 0)</f>
        <v>16271.23768594389</v>
      </c>
      <c r="P122" s="7">
        <f>VLOOKUP($B122, gdp_tot_mes!$B:$XFD, MATCH(gdp_capita_mesorreg!P$1, gdp_tot_mes!$B$1:$XFD$1, 0), 0)*1000/VLOOKUP($B122, pop_mesorreg_interpol!$B:$XFD, MATCH(gdp_capita_mesorreg!P$1, pop_mesorreg_interpol!$B$1:$XFD$1, 0), 0)</f>
        <v>16556.367178909004</v>
      </c>
      <c r="Q122" s="7">
        <f>VLOOKUP($B122, gdp_tot_mes!$B:$XFD, MATCH(gdp_capita_mesorreg!Q$1, gdp_tot_mes!$B$1:$XFD$1, 0), 0)*1000/VLOOKUP($B122, pop_mesorreg_interpol!$B:$XFD, MATCH(gdp_capita_mesorreg!Q$1, pop_mesorreg_interpol!$B$1:$XFD$1, 0), 0)</f>
        <v>17795.158610894709</v>
      </c>
      <c r="R122" s="7">
        <f>VLOOKUP($B122, gdp_tot_mes!$B:$XFD, MATCH(gdp_capita_mesorreg!R$1, gdp_tot_mes!$B$1:$XFD$1, 0), 0)*1000/VLOOKUP($B122, pop_mesorreg_interpol!$B:$XFD, MATCH(gdp_capita_mesorreg!R$1, pop_mesorreg_interpol!$B$1:$XFD$1, 0), 0)</f>
        <v>16858.315131441293</v>
      </c>
      <c r="S122" s="7">
        <f>VLOOKUP($B122, gdp_tot_mes!$B:$XFD, MATCH(gdp_capita_mesorreg!S$1, gdp_tot_mes!$B$1:$XFD$1, 0), 0)*1000/VLOOKUP($B122, pop_mesorreg_interpol!$B:$XFD, MATCH(gdp_capita_mesorreg!S$1, pop_mesorreg_interpol!$B$1:$XFD$1, 0), 0)</f>
        <v>16587.796183062921</v>
      </c>
      <c r="T122" s="7">
        <f>VLOOKUP($B122, gdp_tot_mes!$B:$XFD, MATCH(gdp_capita_mesorreg!T$1, gdp_tot_mes!$B$1:$XFD$1, 0), 0)*1000/VLOOKUP($B122, pop_mesorreg_interpol!$B:$XFD, MATCH(gdp_capita_mesorreg!T$1, pop_mesorreg_interpol!$B$1:$XFD$1, 0), 0)</f>
        <v>17343.575611420365</v>
      </c>
      <c r="U122" s="7">
        <f>VLOOKUP($B122, gdp_tot_mes!$B:$XFD, MATCH(gdp_capita_mesorreg!U$1, gdp_tot_mes!$B$1:$XFD$1, 0), 0)*1000/VLOOKUP($B122, pop_mesorreg_interpol!$B:$XFD, MATCH(gdp_capita_mesorreg!U$1, pop_mesorreg_interpol!$B$1:$XFD$1, 0), 0)</f>
        <v>18296.649036346371</v>
      </c>
      <c r="V122" s="7">
        <f>VLOOKUP($B122, gdp_tot_mes!$B:$XFD, MATCH(gdp_capita_mesorreg!V$1, gdp_tot_mes!$B$1:$XFD$1, 0), 0)*1000/VLOOKUP($B122, pop_mesorreg_interpol!$B:$XFD, MATCH(gdp_capita_mesorreg!V$1, pop_mesorreg_interpol!$B$1:$XFD$1, 0), 0)</f>
        <v>18647.628664414431</v>
      </c>
      <c r="W122" s="7">
        <f>VLOOKUP($B122, gdp_tot_mes!$B:$XFD, MATCH(gdp_capita_mesorreg!W$1, gdp_tot_mes!$B$1:$XFD$1, 0), 0)*1000/VLOOKUP($B122, pop_mesorreg_interpol!$B:$XFD, MATCH(gdp_capita_mesorreg!W$1, pop_mesorreg_interpol!$B$1:$XFD$1, 0), 0)</f>
        <v>18106.365513668225</v>
      </c>
      <c r="X122" s="7">
        <f>VLOOKUP($B122, gdp_tot_mes!$B:$XFD, MATCH(gdp_capita_mesorreg!X$1, gdp_tot_mes!$B$1:$XFD$1, 0), 0)*1000/VLOOKUP($B122, pop_mesorreg_interpol!$B:$XFD, MATCH(gdp_capita_mesorreg!X$1, pop_mesorreg_interpol!$B$1:$XFD$1, 0), 0)</f>
        <v>18764.146975449305</v>
      </c>
      <c r="Y122" s="7">
        <f>VLOOKUP($B122, gdp_tot_mes!$B:$XFD, MATCH(gdp_capita_mesorreg!Y$1, gdp_tot_mes!$B$1:$XFD$1, 0), 0)*1000/VLOOKUP($B122, pop_mesorreg_interpol!$B:$XFD, MATCH(gdp_capita_mesorreg!Y$1, pop_mesorreg_interpol!$B$1:$XFD$1, 0), 0)</f>
        <v>19998.238927620085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x14ac:dyDescent="0.25">
      <c r="A123" s="1" t="s">
        <v>288</v>
      </c>
      <c r="B123" s="1" t="s">
        <v>291</v>
      </c>
      <c r="C123" s="1" t="s">
        <v>292</v>
      </c>
      <c r="D123" s="7">
        <f>VLOOKUP($B123, gdp_tot_mes!$B:$XFD, MATCH(gdp_capita_mesorreg!D$1, gdp_tot_mes!$B$1:$XFD$1, 0), 0)*1000/VLOOKUP($B123, pop_mesorreg_interpol!$B:$XFD, MATCH(gdp_capita_mesorreg!D$1, pop_mesorreg_interpol!$B$1:$XFD$1, 0), 0)</f>
        <v>1339.236974600612</v>
      </c>
      <c r="E123" s="7">
        <f>VLOOKUP($B123, gdp_tot_mes!$B:$XFD, MATCH(gdp_capita_mesorreg!E$1, gdp_tot_mes!$B$1:$XFD$1, 0), 0)*1000/VLOOKUP($B123, pop_mesorreg_interpol!$B:$XFD, MATCH(gdp_capita_mesorreg!E$1, pop_mesorreg_interpol!$B$1:$XFD$1, 0), 0)</f>
        <v>2925.3558169265575</v>
      </c>
      <c r="F123" s="7">
        <f>VLOOKUP($B123, gdp_tot_mes!$B:$XFD, MATCH(gdp_capita_mesorreg!F$1, gdp_tot_mes!$B$1:$XFD$1, 0), 0)*1000/VLOOKUP($B123, pop_mesorreg_interpol!$B:$XFD, MATCH(gdp_capita_mesorreg!F$1, pop_mesorreg_interpol!$B$1:$XFD$1, 0), 0)</f>
        <v>5290.516459682186</v>
      </c>
      <c r="G123" s="7">
        <f>VLOOKUP($B123, gdp_tot_mes!$B:$XFD, MATCH(gdp_capita_mesorreg!G$1, gdp_tot_mes!$B$1:$XFD$1, 0), 0)*1000/VLOOKUP($B123, pop_mesorreg_interpol!$B:$XFD, MATCH(gdp_capita_mesorreg!G$1, pop_mesorreg_interpol!$B$1:$XFD$1, 0), 0)</f>
        <v>6448.9164617238584</v>
      </c>
      <c r="H123" s="7">
        <f>VLOOKUP($B123, gdp_tot_mes!$B:$XFD, MATCH(gdp_capita_mesorreg!H$1, gdp_tot_mes!$B$1:$XFD$1, 0), 0)*1000/VLOOKUP($B123, pop_mesorreg_interpol!$B:$XFD, MATCH(gdp_capita_mesorreg!H$1, pop_mesorreg_interpol!$B$1:$XFD$1, 0), 0)</f>
        <v>8458.2649312495505</v>
      </c>
      <c r="I123" s="7">
        <f>VLOOKUP($B123, gdp_tot_mes!$B:$XFD, MATCH(gdp_capita_mesorreg!I$1, gdp_tot_mes!$B$1:$XFD$1, 0), 0)*1000/VLOOKUP($B123, pop_mesorreg_interpol!$B:$XFD, MATCH(gdp_capita_mesorreg!I$1, pop_mesorreg_interpol!$B$1:$XFD$1, 0), 0)</f>
        <v>11849.306778451813</v>
      </c>
      <c r="J123" s="7">
        <f>VLOOKUP($B123, gdp_tot_mes!$B:$XFD, MATCH(gdp_capita_mesorreg!J$1, gdp_tot_mes!$B$1:$XFD$1, 0), 0)*1000/VLOOKUP($B123, pop_mesorreg_interpol!$B:$XFD, MATCH(gdp_capita_mesorreg!J$1, pop_mesorreg_interpol!$B$1:$XFD$1, 0), 0)</f>
        <v>17122.817020771919</v>
      </c>
      <c r="K123" s="7">
        <f>VLOOKUP($B123, gdp_tot_mes!$B:$XFD, MATCH(gdp_capita_mesorreg!K$1, gdp_tot_mes!$B$1:$XFD$1, 0), 0)*1000/VLOOKUP($B123, pop_mesorreg_interpol!$B:$XFD, MATCH(gdp_capita_mesorreg!K$1, pop_mesorreg_interpol!$B$1:$XFD$1, 0), 0)</f>
        <v>19924.120657262632</v>
      </c>
      <c r="L123" s="8">
        <f>VLOOKUP($B123, gdp_tot_mes!$B:$XFD, MATCH(gdp_capita_mesorreg!L$1, gdp_tot_mes!$B$1:$XFD$1, 0), 0)*1000/VLOOKUP($B123, pop_mesorreg_interpol!$B:$XFD, MATCH(gdp_capita_mesorreg!L$1, pop_mesorreg_interpol!$B$1:$XFD$1, 0), 0)</f>
        <v>17555.079669456118</v>
      </c>
      <c r="M123" s="7">
        <f>VLOOKUP($B123, gdp_tot_mes!$B:$XFD, MATCH(gdp_capita_mesorreg!M$1, gdp_tot_mes!$B$1:$XFD$1, 0), 0)*1000/VLOOKUP($B123, pop_mesorreg_interpol!$B:$XFD, MATCH(gdp_capita_mesorreg!M$1, pop_mesorreg_interpol!$B$1:$XFD$1, 0), 0)</f>
        <v>15320.254882596078</v>
      </c>
      <c r="N123" s="7">
        <f>VLOOKUP($B123, gdp_tot_mes!$B:$XFD, MATCH(gdp_capita_mesorreg!N$1, gdp_tot_mes!$B$1:$XFD$1, 0), 0)*1000/VLOOKUP($B123, pop_mesorreg_interpol!$B:$XFD, MATCH(gdp_capita_mesorreg!N$1, pop_mesorreg_interpol!$B$1:$XFD$1, 0), 0)</f>
        <v>19950.749593392942</v>
      </c>
      <c r="O123" s="7">
        <f>VLOOKUP($B123, gdp_tot_mes!$B:$XFD, MATCH(gdp_capita_mesorreg!O$1, gdp_tot_mes!$B$1:$XFD$1, 0), 0)*1000/VLOOKUP($B123, pop_mesorreg_interpol!$B:$XFD, MATCH(gdp_capita_mesorreg!O$1, pop_mesorreg_interpol!$B$1:$XFD$1, 0), 0)</f>
        <v>19976.989756086521</v>
      </c>
      <c r="P123" s="7">
        <f>VLOOKUP($B123, gdp_tot_mes!$B:$XFD, MATCH(gdp_capita_mesorreg!P$1, gdp_tot_mes!$B$1:$XFD$1, 0), 0)*1000/VLOOKUP($B123, pop_mesorreg_interpol!$B:$XFD, MATCH(gdp_capita_mesorreg!P$1, pop_mesorreg_interpol!$B$1:$XFD$1, 0), 0)</f>
        <v>19906.165717153701</v>
      </c>
      <c r="Q123" s="7">
        <f>VLOOKUP($B123, gdp_tot_mes!$B:$XFD, MATCH(gdp_capita_mesorreg!Q$1, gdp_tot_mes!$B$1:$XFD$1, 0), 0)*1000/VLOOKUP($B123, pop_mesorreg_interpol!$B:$XFD, MATCH(gdp_capita_mesorreg!Q$1, pop_mesorreg_interpol!$B$1:$XFD$1, 0), 0)</f>
        <v>21957.470211580621</v>
      </c>
      <c r="R123" s="7">
        <f>VLOOKUP($B123, gdp_tot_mes!$B:$XFD, MATCH(gdp_capita_mesorreg!R$1, gdp_tot_mes!$B$1:$XFD$1, 0), 0)*1000/VLOOKUP($B123, pop_mesorreg_interpol!$B:$XFD, MATCH(gdp_capita_mesorreg!R$1, pop_mesorreg_interpol!$B$1:$XFD$1, 0), 0)</f>
        <v>22174.978339974848</v>
      </c>
      <c r="S123" s="7">
        <f>VLOOKUP($B123, gdp_tot_mes!$B:$XFD, MATCH(gdp_capita_mesorreg!S$1, gdp_tot_mes!$B$1:$XFD$1, 0), 0)*1000/VLOOKUP($B123, pop_mesorreg_interpol!$B:$XFD, MATCH(gdp_capita_mesorreg!S$1, pop_mesorreg_interpol!$B$1:$XFD$1, 0), 0)</f>
        <v>22132.30908680629</v>
      </c>
      <c r="T123" s="7">
        <f>VLOOKUP($B123, gdp_tot_mes!$B:$XFD, MATCH(gdp_capita_mesorreg!T$1, gdp_tot_mes!$B$1:$XFD$1, 0), 0)*1000/VLOOKUP($B123, pop_mesorreg_interpol!$B:$XFD, MATCH(gdp_capita_mesorreg!T$1, pop_mesorreg_interpol!$B$1:$XFD$1, 0), 0)</f>
        <v>21034.406331483384</v>
      </c>
      <c r="U123" s="7">
        <f>VLOOKUP($B123, gdp_tot_mes!$B:$XFD, MATCH(gdp_capita_mesorreg!U$1, gdp_tot_mes!$B$1:$XFD$1, 0), 0)*1000/VLOOKUP($B123, pop_mesorreg_interpol!$B:$XFD, MATCH(gdp_capita_mesorreg!U$1, pop_mesorreg_interpol!$B$1:$XFD$1, 0), 0)</f>
        <v>22642.434518427639</v>
      </c>
      <c r="V123" s="7">
        <f>VLOOKUP($B123, gdp_tot_mes!$B:$XFD, MATCH(gdp_capita_mesorreg!V$1, gdp_tot_mes!$B$1:$XFD$1, 0), 0)*1000/VLOOKUP($B123, pop_mesorreg_interpol!$B:$XFD, MATCH(gdp_capita_mesorreg!V$1, pop_mesorreg_interpol!$B$1:$XFD$1, 0), 0)</f>
        <v>22293.885771335099</v>
      </c>
      <c r="W123" s="7">
        <f>VLOOKUP($B123, gdp_tot_mes!$B:$XFD, MATCH(gdp_capita_mesorreg!W$1, gdp_tot_mes!$B$1:$XFD$1, 0), 0)*1000/VLOOKUP($B123, pop_mesorreg_interpol!$B:$XFD, MATCH(gdp_capita_mesorreg!W$1, pop_mesorreg_interpol!$B$1:$XFD$1, 0), 0)</f>
        <v>21218.54140149587</v>
      </c>
      <c r="X123" s="7">
        <f>VLOOKUP($B123, gdp_tot_mes!$B:$XFD, MATCH(gdp_capita_mesorreg!X$1, gdp_tot_mes!$B$1:$XFD$1, 0), 0)*1000/VLOOKUP($B123, pop_mesorreg_interpol!$B:$XFD, MATCH(gdp_capita_mesorreg!X$1, pop_mesorreg_interpol!$B$1:$XFD$1, 0), 0)</f>
        <v>21469.018631209532</v>
      </c>
      <c r="Y123" s="7">
        <f>VLOOKUP($B123, gdp_tot_mes!$B:$XFD, MATCH(gdp_capita_mesorreg!Y$1, gdp_tot_mes!$B$1:$XFD$1, 0), 0)*1000/VLOOKUP($B123, pop_mesorreg_interpol!$B:$XFD, MATCH(gdp_capita_mesorreg!Y$1, pop_mesorreg_interpol!$B$1:$XFD$1, 0), 0)</f>
        <v>22717.401883132185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x14ac:dyDescent="0.25">
      <c r="A124" s="1" t="s">
        <v>288</v>
      </c>
      <c r="B124" s="1" t="s">
        <v>293</v>
      </c>
      <c r="C124" s="1" t="s">
        <v>294</v>
      </c>
      <c r="D124" s="7">
        <f>VLOOKUP($B124, gdp_tot_mes!$B:$XFD, MATCH(gdp_capita_mesorreg!D$1, gdp_tot_mes!$B$1:$XFD$1, 0), 0)*1000/VLOOKUP($B124, pop_mesorreg_interpol!$B:$XFD, MATCH(gdp_capita_mesorreg!D$1, pop_mesorreg_interpol!$B$1:$XFD$1, 0), 0)</f>
        <v>1575.2136946348271</v>
      </c>
      <c r="E124" s="7">
        <f>VLOOKUP($B124, gdp_tot_mes!$B:$XFD, MATCH(gdp_capita_mesorreg!E$1, gdp_tot_mes!$B$1:$XFD$1, 0), 0)*1000/VLOOKUP($B124, pop_mesorreg_interpol!$B:$XFD, MATCH(gdp_capita_mesorreg!E$1, pop_mesorreg_interpol!$B$1:$XFD$1, 0), 0)</f>
        <v>2886.0366358170686</v>
      </c>
      <c r="F124" s="7">
        <f>VLOOKUP($B124, gdp_tot_mes!$B:$XFD, MATCH(gdp_capita_mesorreg!F$1, gdp_tot_mes!$B$1:$XFD$1, 0), 0)*1000/VLOOKUP($B124, pop_mesorreg_interpol!$B:$XFD, MATCH(gdp_capita_mesorreg!F$1, pop_mesorreg_interpol!$B$1:$XFD$1, 0), 0)</f>
        <v>4923.8783178639833</v>
      </c>
      <c r="G124" s="7">
        <f>VLOOKUP($B124, gdp_tot_mes!$B:$XFD, MATCH(gdp_capita_mesorreg!G$1, gdp_tot_mes!$B$1:$XFD$1, 0), 0)*1000/VLOOKUP($B124, pop_mesorreg_interpol!$B:$XFD, MATCH(gdp_capita_mesorreg!G$1, pop_mesorreg_interpol!$B$1:$XFD$1, 0), 0)</f>
        <v>5515.7030568949276</v>
      </c>
      <c r="H124" s="7">
        <f>VLOOKUP($B124, gdp_tot_mes!$B:$XFD, MATCH(gdp_capita_mesorreg!H$1, gdp_tot_mes!$B$1:$XFD$1, 0), 0)*1000/VLOOKUP($B124, pop_mesorreg_interpol!$B:$XFD, MATCH(gdp_capita_mesorreg!H$1, pop_mesorreg_interpol!$B$1:$XFD$1, 0), 0)</f>
        <v>8318.6592760568456</v>
      </c>
      <c r="I124" s="7">
        <f>VLOOKUP($B124, gdp_tot_mes!$B:$XFD, MATCH(gdp_capita_mesorreg!I$1, gdp_tot_mes!$B$1:$XFD$1, 0), 0)*1000/VLOOKUP($B124, pop_mesorreg_interpol!$B:$XFD, MATCH(gdp_capita_mesorreg!I$1, pop_mesorreg_interpol!$B$1:$XFD$1, 0), 0)</f>
        <v>10523.602086810886</v>
      </c>
      <c r="J124" s="7">
        <f>VLOOKUP($B124, gdp_tot_mes!$B:$XFD, MATCH(gdp_capita_mesorreg!J$1, gdp_tot_mes!$B$1:$XFD$1, 0), 0)*1000/VLOOKUP($B124, pop_mesorreg_interpol!$B:$XFD, MATCH(gdp_capita_mesorreg!J$1, pop_mesorreg_interpol!$B$1:$XFD$1, 0), 0)</f>
        <v>12263.458821723349</v>
      </c>
      <c r="K124" s="7">
        <f>VLOOKUP($B124, gdp_tot_mes!$B:$XFD, MATCH(gdp_capita_mesorreg!K$1, gdp_tot_mes!$B$1:$XFD$1, 0), 0)*1000/VLOOKUP($B124, pop_mesorreg_interpol!$B:$XFD, MATCH(gdp_capita_mesorreg!K$1, pop_mesorreg_interpol!$B$1:$XFD$1, 0), 0)</f>
        <v>14317.972274075688</v>
      </c>
      <c r="L124" s="8">
        <f>VLOOKUP($B124, gdp_tot_mes!$B:$XFD, MATCH(gdp_capita_mesorreg!L$1, gdp_tot_mes!$B$1:$XFD$1, 0), 0)*1000/VLOOKUP($B124, pop_mesorreg_interpol!$B:$XFD, MATCH(gdp_capita_mesorreg!L$1, pop_mesorreg_interpol!$B$1:$XFD$1, 0), 0)</f>
        <v>13610.207620948013</v>
      </c>
      <c r="M124" s="7">
        <f>VLOOKUP($B124, gdp_tot_mes!$B:$XFD, MATCH(gdp_capita_mesorreg!M$1, gdp_tot_mes!$B$1:$XFD$1, 0), 0)*1000/VLOOKUP($B124, pop_mesorreg_interpol!$B:$XFD, MATCH(gdp_capita_mesorreg!M$1, pop_mesorreg_interpol!$B$1:$XFD$1, 0), 0)</f>
        <v>12873.358445721064</v>
      </c>
      <c r="N124" s="7">
        <f>VLOOKUP($B124, gdp_tot_mes!$B:$XFD, MATCH(gdp_capita_mesorreg!N$1, gdp_tot_mes!$B$1:$XFD$1, 0), 0)*1000/VLOOKUP($B124, pop_mesorreg_interpol!$B:$XFD, MATCH(gdp_capita_mesorreg!N$1, pop_mesorreg_interpol!$B$1:$XFD$1, 0), 0)</f>
        <v>17315.298341653081</v>
      </c>
      <c r="O124" s="7">
        <f>VLOOKUP($B124, gdp_tot_mes!$B:$XFD, MATCH(gdp_capita_mesorreg!O$1, gdp_tot_mes!$B$1:$XFD$1, 0), 0)*1000/VLOOKUP($B124, pop_mesorreg_interpol!$B:$XFD, MATCH(gdp_capita_mesorreg!O$1, pop_mesorreg_interpol!$B$1:$XFD$1, 0), 0)</f>
        <v>18061.855736193356</v>
      </c>
      <c r="P124" s="7">
        <f>VLOOKUP($B124, gdp_tot_mes!$B:$XFD, MATCH(gdp_capita_mesorreg!P$1, gdp_tot_mes!$B$1:$XFD$1, 0), 0)*1000/VLOOKUP($B124, pop_mesorreg_interpol!$B:$XFD, MATCH(gdp_capita_mesorreg!P$1, pop_mesorreg_interpol!$B$1:$XFD$1, 0), 0)</f>
        <v>16981.553193760144</v>
      </c>
      <c r="Q124" s="7">
        <f>VLOOKUP($B124, gdp_tot_mes!$B:$XFD, MATCH(gdp_capita_mesorreg!Q$1, gdp_tot_mes!$B$1:$XFD$1, 0), 0)*1000/VLOOKUP($B124, pop_mesorreg_interpol!$B:$XFD, MATCH(gdp_capita_mesorreg!Q$1, pop_mesorreg_interpol!$B$1:$XFD$1, 0), 0)</f>
        <v>18299.886848251641</v>
      </c>
      <c r="R124" s="7">
        <f>VLOOKUP($B124, gdp_tot_mes!$B:$XFD, MATCH(gdp_capita_mesorreg!R$1, gdp_tot_mes!$B$1:$XFD$1, 0), 0)*1000/VLOOKUP($B124, pop_mesorreg_interpol!$B:$XFD, MATCH(gdp_capita_mesorreg!R$1, pop_mesorreg_interpol!$B$1:$XFD$1, 0), 0)</f>
        <v>17162.366577874182</v>
      </c>
      <c r="S124" s="7">
        <f>VLOOKUP($B124, gdp_tot_mes!$B:$XFD, MATCH(gdp_capita_mesorreg!S$1, gdp_tot_mes!$B$1:$XFD$1, 0), 0)*1000/VLOOKUP($B124, pop_mesorreg_interpol!$B:$XFD, MATCH(gdp_capita_mesorreg!S$1, pop_mesorreg_interpol!$B$1:$XFD$1, 0), 0)</f>
        <v>17676.270101877173</v>
      </c>
      <c r="T124" s="7">
        <f>VLOOKUP($B124, gdp_tot_mes!$B:$XFD, MATCH(gdp_capita_mesorreg!T$1, gdp_tot_mes!$B$1:$XFD$1, 0), 0)*1000/VLOOKUP($B124, pop_mesorreg_interpol!$B:$XFD, MATCH(gdp_capita_mesorreg!T$1, pop_mesorreg_interpol!$B$1:$XFD$1, 0), 0)</f>
        <v>17772.398429173987</v>
      </c>
      <c r="U124" s="7">
        <f>VLOOKUP($B124, gdp_tot_mes!$B:$XFD, MATCH(gdp_capita_mesorreg!U$1, gdp_tot_mes!$B$1:$XFD$1, 0), 0)*1000/VLOOKUP($B124, pop_mesorreg_interpol!$B:$XFD, MATCH(gdp_capita_mesorreg!U$1, pop_mesorreg_interpol!$B$1:$XFD$1, 0), 0)</f>
        <v>18344.502167125524</v>
      </c>
      <c r="V124" s="7">
        <f>VLOOKUP($B124, gdp_tot_mes!$B:$XFD, MATCH(gdp_capita_mesorreg!V$1, gdp_tot_mes!$B$1:$XFD$1, 0), 0)*1000/VLOOKUP($B124, pop_mesorreg_interpol!$B:$XFD, MATCH(gdp_capita_mesorreg!V$1, pop_mesorreg_interpol!$B$1:$XFD$1, 0), 0)</f>
        <v>18527.744353374444</v>
      </c>
      <c r="W124" s="7">
        <f>VLOOKUP($B124, gdp_tot_mes!$B:$XFD, MATCH(gdp_capita_mesorreg!W$1, gdp_tot_mes!$B$1:$XFD$1, 0), 0)*1000/VLOOKUP($B124, pop_mesorreg_interpol!$B:$XFD, MATCH(gdp_capita_mesorreg!W$1, pop_mesorreg_interpol!$B$1:$XFD$1, 0), 0)</f>
        <v>17856.838608090427</v>
      </c>
      <c r="X124" s="7">
        <f>VLOOKUP($B124, gdp_tot_mes!$B:$XFD, MATCH(gdp_capita_mesorreg!X$1, gdp_tot_mes!$B$1:$XFD$1, 0), 0)*1000/VLOOKUP($B124, pop_mesorreg_interpol!$B:$XFD, MATCH(gdp_capita_mesorreg!X$1, pop_mesorreg_interpol!$B$1:$XFD$1, 0), 0)</f>
        <v>18918.989592192233</v>
      </c>
      <c r="Y124" s="7">
        <f>VLOOKUP($B124, gdp_tot_mes!$B:$XFD, MATCH(gdp_capita_mesorreg!Y$1, gdp_tot_mes!$B$1:$XFD$1, 0), 0)*1000/VLOOKUP($B124, pop_mesorreg_interpol!$B:$XFD, MATCH(gdp_capita_mesorreg!Y$1, pop_mesorreg_interpol!$B$1:$XFD$1, 0), 0)</f>
        <v>20419.704337878211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x14ac:dyDescent="0.25">
      <c r="A125" s="1" t="s">
        <v>288</v>
      </c>
      <c r="B125" s="1" t="s">
        <v>295</v>
      </c>
      <c r="C125" s="1" t="s">
        <v>296</v>
      </c>
      <c r="D125" s="7">
        <f>VLOOKUP($B125, gdp_tot_mes!$B:$XFD, MATCH(gdp_capita_mesorreg!D$1, gdp_tot_mes!$B$1:$XFD$1, 0), 0)*1000/VLOOKUP($B125, pop_mesorreg_interpol!$B:$XFD, MATCH(gdp_capita_mesorreg!D$1, pop_mesorreg_interpol!$B$1:$XFD$1, 0), 0)</f>
        <v>1340.3262762839606</v>
      </c>
      <c r="E125" s="7">
        <f>VLOOKUP($B125, gdp_tot_mes!$B:$XFD, MATCH(gdp_capita_mesorreg!E$1, gdp_tot_mes!$B$1:$XFD$1, 0), 0)*1000/VLOOKUP($B125, pop_mesorreg_interpol!$B:$XFD, MATCH(gdp_capita_mesorreg!E$1, pop_mesorreg_interpol!$B$1:$XFD$1, 0), 0)</f>
        <v>3004.2522282182722</v>
      </c>
      <c r="F125" s="7">
        <f>VLOOKUP($B125, gdp_tot_mes!$B:$XFD, MATCH(gdp_capita_mesorreg!F$1, gdp_tot_mes!$B$1:$XFD$1, 0), 0)*1000/VLOOKUP($B125, pop_mesorreg_interpol!$B:$XFD, MATCH(gdp_capita_mesorreg!F$1, pop_mesorreg_interpol!$B$1:$XFD$1, 0), 0)</f>
        <v>5779.3879296725154</v>
      </c>
      <c r="G125" s="7">
        <f>VLOOKUP($B125, gdp_tot_mes!$B:$XFD, MATCH(gdp_capita_mesorreg!G$1, gdp_tot_mes!$B$1:$XFD$1, 0), 0)*1000/VLOOKUP($B125, pop_mesorreg_interpol!$B:$XFD, MATCH(gdp_capita_mesorreg!G$1, pop_mesorreg_interpol!$B$1:$XFD$1, 0), 0)</f>
        <v>5896.4280180861651</v>
      </c>
      <c r="H125" s="7">
        <f>VLOOKUP($B125, gdp_tot_mes!$B:$XFD, MATCH(gdp_capita_mesorreg!H$1, gdp_tot_mes!$B$1:$XFD$1, 0), 0)*1000/VLOOKUP($B125, pop_mesorreg_interpol!$B:$XFD, MATCH(gdp_capita_mesorreg!H$1, pop_mesorreg_interpol!$B$1:$XFD$1, 0), 0)</f>
        <v>8453.500559542239</v>
      </c>
      <c r="I125" s="7">
        <f>VLOOKUP($B125, gdp_tot_mes!$B:$XFD, MATCH(gdp_capita_mesorreg!I$1, gdp_tot_mes!$B$1:$XFD$1, 0), 0)*1000/VLOOKUP($B125, pop_mesorreg_interpol!$B:$XFD, MATCH(gdp_capita_mesorreg!I$1, pop_mesorreg_interpol!$B$1:$XFD$1, 0), 0)</f>
        <v>11719.829139560668</v>
      </c>
      <c r="J125" s="7">
        <f>VLOOKUP($B125, gdp_tot_mes!$B:$XFD, MATCH(gdp_capita_mesorreg!J$1, gdp_tot_mes!$B$1:$XFD$1, 0), 0)*1000/VLOOKUP($B125, pop_mesorreg_interpol!$B:$XFD, MATCH(gdp_capita_mesorreg!J$1, pop_mesorreg_interpol!$B$1:$XFD$1, 0), 0)</f>
        <v>15760.402190206685</v>
      </c>
      <c r="K125" s="7">
        <f>VLOOKUP($B125, gdp_tot_mes!$B:$XFD, MATCH(gdp_capita_mesorreg!K$1, gdp_tot_mes!$B$1:$XFD$1, 0), 0)*1000/VLOOKUP($B125, pop_mesorreg_interpol!$B:$XFD, MATCH(gdp_capita_mesorreg!K$1, pop_mesorreg_interpol!$B$1:$XFD$1, 0), 0)</f>
        <v>17554.365376196678</v>
      </c>
      <c r="L125" s="8">
        <f>VLOOKUP($B125, gdp_tot_mes!$B:$XFD, MATCH(gdp_capita_mesorreg!L$1, gdp_tot_mes!$B$1:$XFD$1, 0), 0)*1000/VLOOKUP($B125, pop_mesorreg_interpol!$B:$XFD, MATCH(gdp_capita_mesorreg!L$1, pop_mesorreg_interpol!$B$1:$XFD$1, 0), 0)</f>
        <v>16433.429568654257</v>
      </c>
      <c r="M125" s="7">
        <f>VLOOKUP($B125, gdp_tot_mes!$B:$XFD, MATCH(gdp_capita_mesorreg!M$1, gdp_tot_mes!$B$1:$XFD$1, 0), 0)*1000/VLOOKUP($B125, pop_mesorreg_interpol!$B:$XFD, MATCH(gdp_capita_mesorreg!M$1, pop_mesorreg_interpol!$B$1:$XFD$1, 0), 0)</f>
        <v>15336.815918416363</v>
      </c>
      <c r="N125" s="7">
        <f>VLOOKUP($B125, gdp_tot_mes!$B:$XFD, MATCH(gdp_capita_mesorreg!N$1, gdp_tot_mes!$B$1:$XFD$1, 0), 0)*1000/VLOOKUP($B125, pop_mesorreg_interpol!$B:$XFD, MATCH(gdp_capita_mesorreg!N$1, pop_mesorreg_interpol!$B$1:$XFD$1, 0), 0)</f>
        <v>15643.544817702243</v>
      </c>
      <c r="O125" s="7">
        <f>VLOOKUP($B125, gdp_tot_mes!$B:$XFD, MATCH(gdp_capita_mesorreg!O$1, gdp_tot_mes!$B$1:$XFD$1, 0), 0)*1000/VLOOKUP($B125, pop_mesorreg_interpol!$B:$XFD, MATCH(gdp_capita_mesorreg!O$1, pop_mesorreg_interpol!$B$1:$XFD$1, 0), 0)</f>
        <v>15648.022882539235</v>
      </c>
      <c r="P125" s="7">
        <f>VLOOKUP($B125, gdp_tot_mes!$B:$XFD, MATCH(gdp_capita_mesorreg!P$1, gdp_tot_mes!$B$1:$XFD$1, 0), 0)*1000/VLOOKUP($B125, pop_mesorreg_interpol!$B:$XFD, MATCH(gdp_capita_mesorreg!P$1, pop_mesorreg_interpol!$B$1:$XFD$1, 0), 0)</f>
        <v>15561.285019982561</v>
      </c>
      <c r="Q125" s="7">
        <f>VLOOKUP($B125, gdp_tot_mes!$B:$XFD, MATCH(gdp_capita_mesorreg!Q$1, gdp_tot_mes!$B$1:$XFD$1, 0), 0)*1000/VLOOKUP($B125, pop_mesorreg_interpol!$B:$XFD, MATCH(gdp_capita_mesorreg!Q$1, pop_mesorreg_interpol!$B$1:$XFD$1, 0), 0)</f>
        <v>16322.84149698281</v>
      </c>
      <c r="R125" s="7">
        <f>VLOOKUP($B125, gdp_tot_mes!$B:$XFD, MATCH(gdp_capita_mesorreg!R$1, gdp_tot_mes!$B$1:$XFD$1, 0), 0)*1000/VLOOKUP($B125, pop_mesorreg_interpol!$B:$XFD, MATCH(gdp_capita_mesorreg!R$1, pop_mesorreg_interpol!$B$1:$XFD$1, 0), 0)</f>
        <v>16119.567574395634</v>
      </c>
      <c r="S125" s="7">
        <f>VLOOKUP($B125, gdp_tot_mes!$B:$XFD, MATCH(gdp_capita_mesorreg!S$1, gdp_tot_mes!$B$1:$XFD$1, 0), 0)*1000/VLOOKUP($B125, pop_mesorreg_interpol!$B:$XFD, MATCH(gdp_capita_mesorreg!S$1, pop_mesorreg_interpol!$B$1:$XFD$1, 0), 0)</f>
        <v>16604.760584342515</v>
      </c>
      <c r="T125" s="7">
        <f>VLOOKUP($B125, gdp_tot_mes!$B:$XFD, MATCH(gdp_capita_mesorreg!T$1, gdp_tot_mes!$B$1:$XFD$1, 0), 0)*1000/VLOOKUP($B125, pop_mesorreg_interpol!$B:$XFD, MATCH(gdp_capita_mesorreg!T$1, pop_mesorreg_interpol!$B$1:$XFD$1, 0), 0)</f>
        <v>17228.805264413881</v>
      </c>
      <c r="U125" s="7">
        <f>VLOOKUP($B125, gdp_tot_mes!$B:$XFD, MATCH(gdp_capita_mesorreg!U$1, gdp_tot_mes!$B$1:$XFD$1, 0), 0)*1000/VLOOKUP($B125, pop_mesorreg_interpol!$B:$XFD, MATCH(gdp_capita_mesorreg!U$1, pop_mesorreg_interpol!$B$1:$XFD$1, 0), 0)</f>
        <v>18303.196145311646</v>
      </c>
      <c r="V125" s="7">
        <f>VLOOKUP($B125, gdp_tot_mes!$B:$XFD, MATCH(gdp_capita_mesorreg!V$1, gdp_tot_mes!$B$1:$XFD$1, 0), 0)*1000/VLOOKUP($B125, pop_mesorreg_interpol!$B:$XFD, MATCH(gdp_capita_mesorreg!V$1, pop_mesorreg_interpol!$B$1:$XFD$1, 0), 0)</f>
        <v>18432.462285035672</v>
      </c>
      <c r="W125" s="7">
        <f>VLOOKUP($B125, gdp_tot_mes!$B:$XFD, MATCH(gdp_capita_mesorreg!W$1, gdp_tot_mes!$B$1:$XFD$1, 0), 0)*1000/VLOOKUP($B125, pop_mesorreg_interpol!$B:$XFD, MATCH(gdp_capita_mesorreg!W$1, pop_mesorreg_interpol!$B$1:$XFD$1, 0), 0)</f>
        <v>18160.875755895286</v>
      </c>
      <c r="X125" s="7">
        <f>VLOOKUP($B125, gdp_tot_mes!$B:$XFD, MATCH(gdp_capita_mesorreg!X$1, gdp_tot_mes!$B$1:$XFD$1, 0), 0)*1000/VLOOKUP($B125, pop_mesorreg_interpol!$B:$XFD, MATCH(gdp_capita_mesorreg!X$1, pop_mesorreg_interpol!$B$1:$XFD$1, 0), 0)</f>
        <v>19431.682458133986</v>
      </c>
      <c r="Y125" s="7">
        <f>VLOOKUP($B125, gdp_tot_mes!$B:$XFD, MATCH(gdp_capita_mesorreg!Y$1, gdp_tot_mes!$B$1:$XFD$1, 0), 0)*1000/VLOOKUP($B125, pop_mesorreg_interpol!$B:$XFD, MATCH(gdp_capita_mesorreg!Y$1, pop_mesorreg_interpol!$B$1:$XFD$1, 0), 0)</f>
        <v>20632.783691891476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x14ac:dyDescent="0.25">
      <c r="A126" s="1" t="s">
        <v>288</v>
      </c>
      <c r="B126" s="1" t="s">
        <v>297</v>
      </c>
      <c r="C126" s="1" t="s">
        <v>298</v>
      </c>
      <c r="D126" s="7">
        <f>VLOOKUP($B126, gdp_tot_mes!$B:$XFD, MATCH(gdp_capita_mesorreg!D$1, gdp_tot_mes!$B$1:$XFD$1, 0), 0)*1000/VLOOKUP($B126, pop_mesorreg_interpol!$B:$XFD, MATCH(gdp_capita_mesorreg!D$1, pop_mesorreg_interpol!$B$1:$XFD$1, 0), 0)</f>
        <v>1435.6240041259009</v>
      </c>
      <c r="E126" s="7">
        <f>VLOOKUP($B126, gdp_tot_mes!$B:$XFD, MATCH(gdp_capita_mesorreg!E$1, gdp_tot_mes!$B$1:$XFD$1, 0), 0)*1000/VLOOKUP($B126, pop_mesorreg_interpol!$B:$XFD, MATCH(gdp_capita_mesorreg!E$1, pop_mesorreg_interpol!$B$1:$XFD$1, 0), 0)</f>
        <v>3123.0913960591133</v>
      </c>
      <c r="F126" s="7">
        <f>VLOOKUP($B126, gdp_tot_mes!$B:$XFD, MATCH(gdp_capita_mesorreg!F$1, gdp_tot_mes!$B$1:$XFD$1, 0), 0)*1000/VLOOKUP($B126, pop_mesorreg_interpol!$B:$XFD, MATCH(gdp_capita_mesorreg!F$1, pop_mesorreg_interpol!$B$1:$XFD$1, 0), 0)</f>
        <v>5290.0600870346034</v>
      </c>
      <c r="G126" s="7">
        <f>VLOOKUP($B126, gdp_tot_mes!$B:$XFD, MATCH(gdp_capita_mesorreg!G$1, gdp_tot_mes!$B$1:$XFD$1, 0), 0)*1000/VLOOKUP($B126, pop_mesorreg_interpol!$B:$XFD, MATCH(gdp_capita_mesorreg!G$1, pop_mesorreg_interpol!$B$1:$XFD$1, 0), 0)</f>
        <v>6675.5781594059308</v>
      </c>
      <c r="H126" s="7">
        <f>VLOOKUP($B126, gdp_tot_mes!$B:$XFD, MATCH(gdp_capita_mesorreg!H$1, gdp_tot_mes!$B$1:$XFD$1, 0), 0)*1000/VLOOKUP($B126, pop_mesorreg_interpol!$B:$XFD, MATCH(gdp_capita_mesorreg!H$1, pop_mesorreg_interpol!$B$1:$XFD$1, 0), 0)</f>
        <v>9950.2880662217121</v>
      </c>
      <c r="I126" s="7">
        <f>VLOOKUP($B126, gdp_tot_mes!$B:$XFD, MATCH(gdp_capita_mesorreg!I$1, gdp_tot_mes!$B$1:$XFD$1, 0), 0)*1000/VLOOKUP($B126, pop_mesorreg_interpol!$B:$XFD, MATCH(gdp_capita_mesorreg!I$1, pop_mesorreg_interpol!$B$1:$XFD$1, 0), 0)</f>
        <v>15477.267896632371</v>
      </c>
      <c r="J126" s="7">
        <f>VLOOKUP($B126, gdp_tot_mes!$B:$XFD, MATCH(gdp_capita_mesorreg!J$1, gdp_tot_mes!$B$1:$XFD$1, 0), 0)*1000/VLOOKUP($B126, pop_mesorreg_interpol!$B:$XFD, MATCH(gdp_capita_mesorreg!J$1, pop_mesorreg_interpol!$B$1:$XFD$1, 0), 0)</f>
        <v>21747.828514313165</v>
      </c>
      <c r="K126" s="7">
        <f>VLOOKUP($B126, gdp_tot_mes!$B:$XFD, MATCH(gdp_capita_mesorreg!K$1, gdp_tot_mes!$B$1:$XFD$1, 0), 0)*1000/VLOOKUP($B126, pop_mesorreg_interpol!$B:$XFD, MATCH(gdp_capita_mesorreg!K$1, pop_mesorreg_interpol!$B$1:$XFD$1, 0), 0)</f>
        <v>25481.393722247194</v>
      </c>
      <c r="L126" s="8">
        <f>VLOOKUP($B126, gdp_tot_mes!$B:$XFD, MATCH(gdp_capita_mesorreg!L$1, gdp_tot_mes!$B$1:$XFD$1, 0), 0)*1000/VLOOKUP($B126, pop_mesorreg_interpol!$B:$XFD, MATCH(gdp_capita_mesorreg!L$1, pop_mesorreg_interpol!$B$1:$XFD$1, 0), 0)</f>
        <v>21664.245240456497</v>
      </c>
      <c r="M126" s="7">
        <f>VLOOKUP($B126, gdp_tot_mes!$B:$XFD, MATCH(gdp_capita_mesorreg!M$1, gdp_tot_mes!$B$1:$XFD$1, 0), 0)*1000/VLOOKUP($B126, pop_mesorreg_interpol!$B:$XFD, MATCH(gdp_capita_mesorreg!M$1, pop_mesorreg_interpol!$B$1:$XFD$1, 0), 0)</f>
        <v>18098.320961319183</v>
      </c>
      <c r="N126" s="7">
        <f>VLOOKUP($B126, gdp_tot_mes!$B:$XFD, MATCH(gdp_capita_mesorreg!N$1, gdp_tot_mes!$B$1:$XFD$1, 0), 0)*1000/VLOOKUP($B126, pop_mesorreg_interpol!$B:$XFD, MATCH(gdp_capita_mesorreg!N$1, pop_mesorreg_interpol!$B$1:$XFD$1, 0), 0)</f>
        <v>25456.343722100388</v>
      </c>
      <c r="O126" s="7">
        <f>VLOOKUP($B126, gdp_tot_mes!$B:$XFD, MATCH(gdp_capita_mesorreg!O$1, gdp_tot_mes!$B$1:$XFD$1, 0), 0)*1000/VLOOKUP($B126, pop_mesorreg_interpol!$B:$XFD, MATCH(gdp_capita_mesorreg!O$1, pop_mesorreg_interpol!$B$1:$XFD$1, 0), 0)</f>
        <v>24003.398853371167</v>
      </c>
      <c r="P126" s="7">
        <f>VLOOKUP($B126, gdp_tot_mes!$B:$XFD, MATCH(gdp_capita_mesorreg!P$1, gdp_tot_mes!$B$1:$XFD$1, 0), 0)*1000/VLOOKUP($B126, pop_mesorreg_interpol!$B:$XFD, MATCH(gdp_capita_mesorreg!P$1, pop_mesorreg_interpol!$B$1:$XFD$1, 0), 0)</f>
        <v>23269.123788870376</v>
      </c>
      <c r="Q126" s="7">
        <f>VLOOKUP($B126, gdp_tot_mes!$B:$XFD, MATCH(gdp_capita_mesorreg!Q$1, gdp_tot_mes!$B$1:$XFD$1, 0), 0)*1000/VLOOKUP($B126, pop_mesorreg_interpol!$B:$XFD, MATCH(gdp_capita_mesorreg!Q$1, pop_mesorreg_interpol!$B$1:$XFD$1, 0), 0)</f>
        <v>24300.408314368964</v>
      </c>
      <c r="R126" s="7">
        <f>VLOOKUP($B126, gdp_tot_mes!$B:$XFD, MATCH(gdp_capita_mesorreg!R$1, gdp_tot_mes!$B$1:$XFD$1, 0), 0)*1000/VLOOKUP($B126, pop_mesorreg_interpol!$B:$XFD, MATCH(gdp_capita_mesorreg!R$1, pop_mesorreg_interpol!$B$1:$XFD$1, 0), 0)</f>
        <v>28386.266008304767</v>
      </c>
      <c r="S126" s="7">
        <f>VLOOKUP($B126, gdp_tot_mes!$B:$XFD, MATCH(gdp_capita_mesorreg!S$1, gdp_tot_mes!$B$1:$XFD$1, 0), 0)*1000/VLOOKUP($B126, pop_mesorreg_interpol!$B:$XFD, MATCH(gdp_capita_mesorreg!S$1, pop_mesorreg_interpol!$B$1:$XFD$1, 0), 0)</f>
        <v>22651.720611475012</v>
      </c>
      <c r="T126" s="7">
        <f>VLOOKUP($B126, gdp_tot_mes!$B:$XFD, MATCH(gdp_capita_mesorreg!T$1, gdp_tot_mes!$B$1:$XFD$1, 0), 0)*1000/VLOOKUP($B126, pop_mesorreg_interpol!$B:$XFD, MATCH(gdp_capita_mesorreg!T$1, pop_mesorreg_interpol!$B$1:$XFD$1, 0), 0)</f>
        <v>22976.167352115615</v>
      </c>
      <c r="U126" s="7">
        <f>VLOOKUP($B126, gdp_tot_mes!$B:$XFD, MATCH(gdp_capita_mesorreg!U$1, gdp_tot_mes!$B$1:$XFD$1, 0), 0)*1000/VLOOKUP($B126, pop_mesorreg_interpol!$B:$XFD, MATCH(gdp_capita_mesorreg!U$1, pop_mesorreg_interpol!$B$1:$XFD$1, 0), 0)</f>
        <v>23195.693238132986</v>
      </c>
      <c r="V126" s="7">
        <f>VLOOKUP($B126, gdp_tot_mes!$B:$XFD, MATCH(gdp_capita_mesorreg!V$1, gdp_tot_mes!$B$1:$XFD$1, 0), 0)*1000/VLOOKUP($B126, pop_mesorreg_interpol!$B:$XFD, MATCH(gdp_capita_mesorreg!V$1, pop_mesorreg_interpol!$B$1:$XFD$1, 0), 0)</f>
        <v>23911.893013873021</v>
      </c>
      <c r="W126" s="7">
        <f>VLOOKUP($B126, gdp_tot_mes!$B:$XFD, MATCH(gdp_capita_mesorreg!W$1, gdp_tot_mes!$B$1:$XFD$1, 0), 0)*1000/VLOOKUP($B126, pop_mesorreg_interpol!$B:$XFD, MATCH(gdp_capita_mesorreg!W$1, pop_mesorreg_interpol!$B$1:$XFD$1, 0), 0)</f>
        <v>25022.946002056186</v>
      </c>
      <c r="X126" s="7">
        <f>VLOOKUP($B126, gdp_tot_mes!$B:$XFD, MATCH(gdp_capita_mesorreg!X$1, gdp_tot_mes!$B$1:$XFD$1, 0), 0)*1000/VLOOKUP($B126, pop_mesorreg_interpol!$B:$XFD, MATCH(gdp_capita_mesorreg!X$1, pop_mesorreg_interpol!$B$1:$XFD$1, 0), 0)</f>
        <v>24762.342123124592</v>
      </c>
      <c r="Y126" s="7">
        <f>VLOOKUP($B126, gdp_tot_mes!$B:$XFD, MATCH(gdp_capita_mesorreg!Y$1, gdp_tot_mes!$B$1:$XFD$1, 0), 0)*1000/VLOOKUP($B126, pop_mesorreg_interpol!$B:$XFD, MATCH(gdp_capita_mesorreg!Y$1, pop_mesorreg_interpol!$B$1:$XFD$1, 0), 0)</f>
        <v>26324.159829626868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x14ac:dyDescent="0.25">
      <c r="A127" s="1" t="s">
        <v>288</v>
      </c>
      <c r="B127" s="1" t="s">
        <v>299</v>
      </c>
      <c r="C127" s="1" t="s">
        <v>300</v>
      </c>
      <c r="D127" s="7">
        <f>VLOOKUP($B127, gdp_tot_mes!$B:$XFD, MATCH(gdp_capita_mesorreg!D$1, gdp_tot_mes!$B$1:$XFD$1, 0), 0)*1000/VLOOKUP($B127, pop_mesorreg_interpol!$B:$XFD, MATCH(gdp_capita_mesorreg!D$1, pop_mesorreg_interpol!$B$1:$XFD$1, 0), 0)</f>
        <v>1151.7218294044328</v>
      </c>
      <c r="E127" s="7">
        <f>VLOOKUP($B127, gdp_tot_mes!$B:$XFD, MATCH(gdp_capita_mesorreg!E$1, gdp_tot_mes!$B$1:$XFD$1, 0), 0)*1000/VLOOKUP($B127, pop_mesorreg_interpol!$B:$XFD, MATCH(gdp_capita_mesorreg!E$1, pop_mesorreg_interpol!$B$1:$XFD$1, 0), 0)</f>
        <v>3533.7178635568243</v>
      </c>
      <c r="F127" s="7">
        <f>VLOOKUP($B127, gdp_tot_mes!$B:$XFD, MATCH(gdp_capita_mesorreg!F$1, gdp_tot_mes!$B$1:$XFD$1, 0), 0)*1000/VLOOKUP($B127, pop_mesorreg_interpol!$B:$XFD, MATCH(gdp_capita_mesorreg!F$1, pop_mesorreg_interpol!$B$1:$XFD$1, 0), 0)</f>
        <v>6117.5949780924957</v>
      </c>
      <c r="G127" s="7">
        <f>VLOOKUP($B127, gdp_tot_mes!$B:$XFD, MATCH(gdp_capita_mesorreg!G$1, gdp_tot_mes!$B$1:$XFD$1, 0), 0)*1000/VLOOKUP($B127, pop_mesorreg_interpol!$B:$XFD, MATCH(gdp_capita_mesorreg!G$1, pop_mesorreg_interpol!$B$1:$XFD$1, 0), 0)</f>
        <v>8927.3037254055689</v>
      </c>
      <c r="H127" s="7">
        <f>VLOOKUP($B127, gdp_tot_mes!$B:$XFD, MATCH(gdp_capita_mesorreg!H$1, gdp_tot_mes!$B$1:$XFD$1, 0), 0)*1000/VLOOKUP($B127, pop_mesorreg_interpol!$B:$XFD, MATCH(gdp_capita_mesorreg!H$1, pop_mesorreg_interpol!$B$1:$XFD$1, 0), 0)</f>
        <v>11726.5544313955</v>
      </c>
      <c r="I127" s="7">
        <f>VLOOKUP($B127, gdp_tot_mes!$B:$XFD, MATCH(gdp_capita_mesorreg!I$1, gdp_tot_mes!$B$1:$XFD$1, 0), 0)*1000/VLOOKUP($B127, pop_mesorreg_interpol!$B:$XFD, MATCH(gdp_capita_mesorreg!I$1, pop_mesorreg_interpol!$B$1:$XFD$1, 0), 0)</f>
        <v>17438.064704220749</v>
      </c>
      <c r="J127" s="7">
        <f>VLOOKUP($B127, gdp_tot_mes!$B:$XFD, MATCH(gdp_capita_mesorreg!J$1, gdp_tot_mes!$B$1:$XFD$1, 0), 0)*1000/VLOOKUP($B127, pop_mesorreg_interpol!$B:$XFD, MATCH(gdp_capita_mesorreg!J$1, pop_mesorreg_interpol!$B$1:$XFD$1, 0), 0)</f>
        <v>22409.213928957455</v>
      </c>
      <c r="K127" s="7">
        <f>VLOOKUP($B127, gdp_tot_mes!$B:$XFD, MATCH(gdp_capita_mesorreg!K$1, gdp_tot_mes!$B$1:$XFD$1, 0), 0)*1000/VLOOKUP($B127, pop_mesorreg_interpol!$B:$XFD, MATCH(gdp_capita_mesorreg!K$1, pop_mesorreg_interpol!$B$1:$XFD$1, 0), 0)</f>
        <v>22223.99237619435</v>
      </c>
      <c r="L127" s="8">
        <f>VLOOKUP($B127, gdp_tot_mes!$B:$XFD, MATCH(gdp_capita_mesorreg!L$1, gdp_tot_mes!$B$1:$XFD$1, 0), 0)*1000/VLOOKUP($B127, pop_mesorreg_interpol!$B:$XFD, MATCH(gdp_capita_mesorreg!L$1, pop_mesorreg_interpol!$B$1:$XFD$1, 0), 0)</f>
        <v>19801.720690813054</v>
      </c>
      <c r="M127" s="7">
        <f>VLOOKUP($B127, gdp_tot_mes!$B:$XFD, MATCH(gdp_capita_mesorreg!M$1, gdp_tot_mes!$B$1:$XFD$1, 0), 0)*1000/VLOOKUP($B127, pop_mesorreg_interpol!$B:$XFD, MATCH(gdp_capita_mesorreg!M$1, pop_mesorreg_interpol!$B$1:$XFD$1, 0), 0)</f>
        <v>17556.293026131942</v>
      </c>
      <c r="N127" s="7">
        <f>VLOOKUP($B127, gdp_tot_mes!$B:$XFD, MATCH(gdp_capita_mesorreg!N$1, gdp_tot_mes!$B$1:$XFD$1, 0), 0)*1000/VLOOKUP($B127, pop_mesorreg_interpol!$B:$XFD, MATCH(gdp_capita_mesorreg!N$1, pop_mesorreg_interpol!$B$1:$XFD$1, 0), 0)</f>
        <v>19932.247420120402</v>
      </c>
      <c r="O127" s="7">
        <f>VLOOKUP($B127, gdp_tot_mes!$B:$XFD, MATCH(gdp_capita_mesorreg!O$1, gdp_tot_mes!$B$1:$XFD$1, 0), 0)*1000/VLOOKUP($B127, pop_mesorreg_interpol!$B:$XFD, MATCH(gdp_capita_mesorreg!O$1, pop_mesorreg_interpol!$B$1:$XFD$1, 0), 0)</f>
        <v>20549.773345368878</v>
      </c>
      <c r="P127" s="7">
        <f>VLOOKUP($B127, gdp_tot_mes!$B:$XFD, MATCH(gdp_capita_mesorreg!P$1, gdp_tot_mes!$B$1:$XFD$1, 0), 0)*1000/VLOOKUP($B127, pop_mesorreg_interpol!$B:$XFD, MATCH(gdp_capita_mesorreg!P$1, pop_mesorreg_interpol!$B$1:$XFD$1, 0), 0)</f>
        <v>21116.207213946236</v>
      </c>
      <c r="Q127" s="7">
        <f>VLOOKUP($B127, gdp_tot_mes!$B:$XFD, MATCH(gdp_capita_mesorreg!Q$1, gdp_tot_mes!$B$1:$XFD$1, 0), 0)*1000/VLOOKUP($B127, pop_mesorreg_interpol!$B:$XFD, MATCH(gdp_capita_mesorreg!Q$1, pop_mesorreg_interpol!$B$1:$XFD$1, 0), 0)</f>
        <v>22266.818743677955</v>
      </c>
      <c r="R127" s="7">
        <f>VLOOKUP($B127, gdp_tot_mes!$B:$XFD, MATCH(gdp_capita_mesorreg!R$1, gdp_tot_mes!$B$1:$XFD$1, 0), 0)*1000/VLOOKUP($B127, pop_mesorreg_interpol!$B:$XFD, MATCH(gdp_capita_mesorreg!R$1, pop_mesorreg_interpol!$B$1:$XFD$1, 0), 0)</f>
        <v>23072.101946521685</v>
      </c>
      <c r="S127" s="7">
        <f>VLOOKUP($B127, gdp_tot_mes!$B:$XFD, MATCH(gdp_capita_mesorreg!S$1, gdp_tot_mes!$B$1:$XFD$1, 0), 0)*1000/VLOOKUP($B127, pop_mesorreg_interpol!$B:$XFD, MATCH(gdp_capita_mesorreg!S$1, pop_mesorreg_interpol!$B$1:$XFD$1, 0), 0)</f>
        <v>22254.169705094118</v>
      </c>
      <c r="T127" s="7">
        <f>VLOOKUP($B127, gdp_tot_mes!$B:$XFD, MATCH(gdp_capita_mesorreg!T$1, gdp_tot_mes!$B$1:$XFD$1, 0), 0)*1000/VLOOKUP($B127, pop_mesorreg_interpol!$B:$XFD, MATCH(gdp_capita_mesorreg!T$1, pop_mesorreg_interpol!$B$1:$XFD$1, 0), 0)</f>
        <v>23017.30703382603</v>
      </c>
      <c r="U127" s="7">
        <f>VLOOKUP($B127, gdp_tot_mes!$B:$XFD, MATCH(gdp_capita_mesorreg!U$1, gdp_tot_mes!$B$1:$XFD$1, 0), 0)*1000/VLOOKUP($B127, pop_mesorreg_interpol!$B:$XFD, MATCH(gdp_capita_mesorreg!U$1, pop_mesorreg_interpol!$B$1:$XFD$1, 0), 0)</f>
        <v>23814.50664694099</v>
      </c>
      <c r="V127" s="7">
        <f>VLOOKUP($B127, gdp_tot_mes!$B:$XFD, MATCH(gdp_capita_mesorreg!V$1, gdp_tot_mes!$B$1:$XFD$1, 0), 0)*1000/VLOOKUP($B127, pop_mesorreg_interpol!$B:$XFD, MATCH(gdp_capita_mesorreg!V$1, pop_mesorreg_interpol!$B$1:$XFD$1, 0), 0)</f>
        <v>24875.612350396786</v>
      </c>
      <c r="W127" s="7">
        <f>VLOOKUP($B127, gdp_tot_mes!$B:$XFD, MATCH(gdp_capita_mesorreg!W$1, gdp_tot_mes!$B$1:$XFD$1, 0), 0)*1000/VLOOKUP($B127, pop_mesorreg_interpol!$B:$XFD, MATCH(gdp_capita_mesorreg!W$1, pop_mesorreg_interpol!$B$1:$XFD$1, 0), 0)</f>
        <v>24571.590609854087</v>
      </c>
      <c r="X127" s="7">
        <f>VLOOKUP($B127, gdp_tot_mes!$B:$XFD, MATCH(gdp_capita_mesorreg!X$1, gdp_tot_mes!$B$1:$XFD$1, 0), 0)*1000/VLOOKUP($B127, pop_mesorreg_interpol!$B:$XFD, MATCH(gdp_capita_mesorreg!X$1, pop_mesorreg_interpol!$B$1:$XFD$1, 0), 0)</f>
        <v>24460.857639507441</v>
      </c>
      <c r="Y127" s="7">
        <f>VLOOKUP($B127, gdp_tot_mes!$B:$XFD, MATCH(gdp_capita_mesorreg!Y$1, gdp_tot_mes!$B$1:$XFD$1, 0), 0)*1000/VLOOKUP($B127, pop_mesorreg_interpol!$B:$XFD, MATCH(gdp_capita_mesorreg!Y$1, pop_mesorreg_interpol!$B$1:$XFD$1, 0), 0)</f>
        <v>25414.184551612372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x14ac:dyDescent="0.25">
      <c r="A128" s="1" t="s">
        <v>288</v>
      </c>
      <c r="B128" s="1" t="s">
        <v>301</v>
      </c>
      <c r="C128" s="1" t="s">
        <v>302</v>
      </c>
      <c r="D128" s="7">
        <f>VLOOKUP($B128, gdp_tot_mes!$B:$XFD, MATCH(gdp_capita_mesorreg!D$1, gdp_tot_mes!$B$1:$XFD$1, 0), 0)*1000/VLOOKUP($B128, pop_mesorreg_interpol!$B:$XFD, MATCH(gdp_capita_mesorreg!D$1, pop_mesorreg_interpol!$B$1:$XFD$1, 0), 0)</f>
        <v>1386.5484562458505</v>
      </c>
      <c r="E128" s="7">
        <f>VLOOKUP($B128, gdp_tot_mes!$B:$XFD, MATCH(gdp_capita_mesorreg!E$1, gdp_tot_mes!$B$1:$XFD$1, 0), 0)*1000/VLOOKUP($B128, pop_mesorreg_interpol!$B:$XFD, MATCH(gdp_capita_mesorreg!E$1, pop_mesorreg_interpol!$B$1:$XFD$1, 0), 0)</f>
        <v>3120.7350020771119</v>
      </c>
      <c r="F128" s="7">
        <f>VLOOKUP($B128, gdp_tot_mes!$B:$XFD, MATCH(gdp_capita_mesorreg!F$1, gdp_tot_mes!$B$1:$XFD$1, 0), 0)*1000/VLOOKUP($B128, pop_mesorreg_interpol!$B:$XFD, MATCH(gdp_capita_mesorreg!F$1, pop_mesorreg_interpol!$B$1:$XFD$1, 0), 0)</f>
        <v>5718.4863068563545</v>
      </c>
      <c r="G128" s="7">
        <f>VLOOKUP($B128, gdp_tot_mes!$B:$XFD, MATCH(gdp_capita_mesorreg!G$1, gdp_tot_mes!$B$1:$XFD$1, 0), 0)*1000/VLOOKUP($B128, pop_mesorreg_interpol!$B:$XFD, MATCH(gdp_capita_mesorreg!G$1, pop_mesorreg_interpol!$B$1:$XFD$1, 0), 0)</f>
        <v>8337.427266052895</v>
      </c>
      <c r="H128" s="7">
        <f>VLOOKUP($B128, gdp_tot_mes!$B:$XFD, MATCH(gdp_capita_mesorreg!H$1, gdp_tot_mes!$B$1:$XFD$1, 0), 0)*1000/VLOOKUP($B128, pop_mesorreg_interpol!$B:$XFD, MATCH(gdp_capita_mesorreg!H$1, pop_mesorreg_interpol!$B$1:$XFD$1, 0), 0)</f>
        <v>13680.179242737349</v>
      </c>
      <c r="I128" s="7">
        <f>VLOOKUP($B128, gdp_tot_mes!$B:$XFD, MATCH(gdp_capita_mesorreg!I$1, gdp_tot_mes!$B$1:$XFD$1, 0), 0)*1000/VLOOKUP($B128, pop_mesorreg_interpol!$B:$XFD, MATCH(gdp_capita_mesorreg!I$1, pop_mesorreg_interpol!$B$1:$XFD$1, 0), 0)</f>
        <v>27836.2649415874</v>
      </c>
      <c r="J128" s="7">
        <f>VLOOKUP($B128, gdp_tot_mes!$B:$XFD, MATCH(gdp_capita_mesorreg!J$1, gdp_tot_mes!$B$1:$XFD$1, 0), 0)*1000/VLOOKUP($B128, pop_mesorreg_interpol!$B:$XFD, MATCH(gdp_capita_mesorreg!J$1, pop_mesorreg_interpol!$B$1:$XFD$1, 0), 0)</f>
        <v>31958.282542104967</v>
      </c>
      <c r="K128" s="7">
        <f>VLOOKUP($B128, gdp_tot_mes!$B:$XFD, MATCH(gdp_capita_mesorreg!K$1, gdp_tot_mes!$B$1:$XFD$1, 0), 0)*1000/VLOOKUP($B128, pop_mesorreg_interpol!$B:$XFD, MATCH(gdp_capita_mesorreg!K$1, pop_mesorreg_interpol!$B$1:$XFD$1, 0), 0)</f>
        <v>28806.374235183852</v>
      </c>
      <c r="L128" s="8">
        <f>VLOOKUP($B128, gdp_tot_mes!$B:$XFD, MATCH(gdp_capita_mesorreg!L$1, gdp_tot_mes!$B$1:$XFD$1, 0), 0)*1000/VLOOKUP($B128, pop_mesorreg_interpol!$B:$XFD, MATCH(gdp_capita_mesorreg!L$1, pop_mesorreg_interpol!$B$1:$XFD$1, 0), 0)</f>
        <v>24577.003259145142</v>
      </c>
      <c r="M128" s="7">
        <f>VLOOKUP($B128, gdp_tot_mes!$B:$XFD, MATCH(gdp_capita_mesorreg!M$1, gdp_tot_mes!$B$1:$XFD$1, 0), 0)*1000/VLOOKUP($B128, pop_mesorreg_interpol!$B:$XFD, MATCH(gdp_capita_mesorreg!M$1, pop_mesorreg_interpol!$B$1:$XFD$1, 0), 0)</f>
        <v>20730.765266446102</v>
      </c>
      <c r="N128" s="7">
        <f>VLOOKUP($B128, gdp_tot_mes!$B:$XFD, MATCH(gdp_capita_mesorreg!N$1, gdp_tot_mes!$B$1:$XFD$1, 0), 0)*1000/VLOOKUP($B128, pop_mesorreg_interpol!$B:$XFD, MATCH(gdp_capita_mesorreg!N$1, pop_mesorreg_interpol!$B$1:$XFD$1, 0), 0)</f>
        <v>25595.926852619246</v>
      </c>
      <c r="O128" s="7">
        <f>VLOOKUP($B128, gdp_tot_mes!$B:$XFD, MATCH(gdp_capita_mesorreg!O$1, gdp_tot_mes!$B$1:$XFD$1, 0), 0)*1000/VLOOKUP($B128, pop_mesorreg_interpol!$B:$XFD, MATCH(gdp_capita_mesorreg!O$1, pop_mesorreg_interpol!$B$1:$XFD$1, 0), 0)</f>
        <v>26961.309027528332</v>
      </c>
      <c r="P128" s="7">
        <f>VLOOKUP($B128, gdp_tot_mes!$B:$XFD, MATCH(gdp_capita_mesorreg!P$1, gdp_tot_mes!$B$1:$XFD$1, 0), 0)*1000/VLOOKUP($B128, pop_mesorreg_interpol!$B:$XFD, MATCH(gdp_capita_mesorreg!P$1, pop_mesorreg_interpol!$B$1:$XFD$1, 0), 0)</f>
        <v>26092.817095325616</v>
      </c>
      <c r="Q128" s="7">
        <f>VLOOKUP($B128, gdp_tot_mes!$B:$XFD, MATCH(gdp_capita_mesorreg!Q$1, gdp_tot_mes!$B$1:$XFD$1, 0), 0)*1000/VLOOKUP($B128, pop_mesorreg_interpol!$B:$XFD, MATCH(gdp_capita_mesorreg!Q$1, pop_mesorreg_interpol!$B$1:$XFD$1, 0), 0)</f>
        <v>26324.536074203363</v>
      </c>
      <c r="R128" s="7">
        <f>VLOOKUP($B128, gdp_tot_mes!$B:$XFD, MATCH(gdp_capita_mesorreg!R$1, gdp_tot_mes!$B$1:$XFD$1, 0), 0)*1000/VLOOKUP($B128, pop_mesorreg_interpol!$B:$XFD, MATCH(gdp_capita_mesorreg!R$1, pop_mesorreg_interpol!$B$1:$XFD$1, 0), 0)</f>
        <v>25980.580862706385</v>
      </c>
      <c r="S128" s="7">
        <f>VLOOKUP($B128, gdp_tot_mes!$B:$XFD, MATCH(gdp_capita_mesorreg!S$1, gdp_tot_mes!$B$1:$XFD$1, 0), 0)*1000/VLOOKUP($B128, pop_mesorreg_interpol!$B:$XFD, MATCH(gdp_capita_mesorreg!S$1, pop_mesorreg_interpol!$B$1:$XFD$1, 0), 0)</f>
        <v>27656.135379046311</v>
      </c>
      <c r="T128" s="7">
        <f>VLOOKUP($B128, gdp_tot_mes!$B:$XFD, MATCH(gdp_capita_mesorreg!T$1, gdp_tot_mes!$B$1:$XFD$1, 0), 0)*1000/VLOOKUP($B128, pop_mesorreg_interpol!$B:$XFD, MATCH(gdp_capita_mesorreg!T$1, pop_mesorreg_interpol!$B$1:$XFD$1, 0), 0)</f>
        <v>28619.273675980101</v>
      </c>
      <c r="U128" s="7">
        <f>VLOOKUP($B128, gdp_tot_mes!$B:$XFD, MATCH(gdp_capita_mesorreg!U$1, gdp_tot_mes!$B$1:$XFD$1, 0), 0)*1000/VLOOKUP($B128, pop_mesorreg_interpol!$B:$XFD, MATCH(gdp_capita_mesorreg!U$1, pop_mesorreg_interpol!$B$1:$XFD$1, 0), 0)</f>
        <v>28333.927691047862</v>
      </c>
      <c r="V128" s="7">
        <f>VLOOKUP($B128, gdp_tot_mes!$B:$XFD, MATCH(gdp_capita_mesorreg!V$1, gdp_tot_mes!$B$1:$XFD$1, 0), 0)*1000/VLOOKUP($B128, pop_mesorreg_interpol!$B:$XFD, MATCH(gdp_capita_mesorreg!V$1, pop_mesorreg_interpol!$B$1:$XFD$1, 0), 0)</f>
        <v>29593.717412267852</v>
      </c>
      <c r="W128" s="7">
        <f>VLOOKUP($B128, gdp_tot_mes!$B:$XFD, MATCH(gdp_capita_mesorreg!W$1, gdp_tot_mes!$B$1:$XFD$1, 0), 0)*1000/VLOOKUP($B128, pop_mesorreg_interpol!$B:$XFD, MATCH(gdp_capita_mesorreg!W$1, pop_mesorreg_interpol!$B$1:$XFD$1, 0), 0)</f>
        <v>29678.786010251562</v>
      </c>
      <c r="X128" s="7">
        <f>VLOOKUP($B128, gdp_tot_mes!$B:$XFD, MATCH(gdp_capita_mesorreg!X$1, gdp_tot_mes!$B$1:$XFD$1, 0), 0)*1000/VLOOKUP($B128, pop_mesorreg_interpol!$B:$XFD, MATCH(gdp_capita_mesorreg!X$1, pop_mesorreg_interpol!$B$1:$XFD$1, 0), 0)</f>
        <v>29848.838595950692</v>
      </c>
      <c r="Y128" s="7">
        <f>VLOOKUP($B128, gdp_tot_mes!$B:$XFD, MATCH(gdp_capita_mesorreg!Y$1, gdp_tot_mes!$B$1:$XFD$1, 0), 0)*1000/VLOOKUP($B128, pop_mesorreg_interpol!$B:$XFD, MATCH(gdp_capita_mesorreg!Y$1, pop_mesorreg_interpol!$B$1:$XFD$1, 0), 0)</f>
        <v>31167.511023821724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x14ac:dyDescent="0.25">
      <c r="A129" s="1" t="s">
        <v>288</v>
      </c>
      <c r="B129" s="1" t="s">
        <v>303</v>
      </c>
      <c r="C129" s="1" t="s">
        <v>304</v>
      </c>
      <c r="D129" s="7" t="e">
        <f>NA()</f>
        <v>#N/A</v>
      </c>
      <c r="E129" s="7">
        <f>VLOOKUP($B129, gdp_tot_mes!$B:$XFD, MATCH(gdp_capita_mesorreg!E$1, gdp_tot_mes!$B$1:$XFD$1, 0), 0)*1000/VLOOKUP($B129, pop_mesorreg_interpol!$B:$XFD, MATCH(gdp_capita_mesorreg!E$1, pop_mesorreg_interpol!$B$1:$XFD$1, 0), 0)</f>
        <v>2537.1735188768816</v>
      </c>
      <c r="F129" s="7">
        <f>VLOOKUP($B129, gdp_tot_mes!$B:$XFD, MATCH(gdp_capita_mesorreg!F$1, gdp_tot_mes!$B$1:$XFD$1, 0), 0)*1000/VLOOKUP($B129, pop_mesorreg_interpol!$B:$XFD, MATCH(gdp_capita_mesorreg!F$1, pop_mesorreg_interpol!$B$1:$XFD$1, 0), 0)</f>
        <v>5454.442659715879</v>
      </c>
      <c r="G129" s="7">
        <f>VLOOKUP($B129, gdp_tot_mes!$B:$XFD, MATCH(gdp_capita_mesorreg!G$1, gdp_tot_mes!$B$1:$XFD$1, 0), 0)*1000/VLOOKUP($B129, pop_mesorreg_interpol!$B:$XFD, MATCH(gdp_capita_mesorreg!G$1, pop_mesorreg_interpol!$B$1:$XFD$1, 0), 0)</f>
        <v>5269.6095032887006</v>
      </c>
      <c r="H129" s="7">
        <f>VLOOKUP($B129, gdp_tot_mes!$B:$XFD, MATCH(gdp_capita_mesorreg!H$1, gdp_tot_mes!$B$1:$XFD$1, 0), 0)*1000/VLOOKUP($B129, pop_mesorreg_interpol!$B:$XFD, MATCH(gdp_capita_mesorreg!H$1, pop_mesorreg_interpol!$B$1:$XFD$1, 0), 0)</f>
        <v>6383.0482202527301</v>
      </c>
      <c r="I129" s="7">
        <f>VLOOKUP($B129, gdp_tot_mes!$B:$XFD, MATCH(gdp_capita_mesorreg!I$1, gdp_tot_mes!$B$1:$XFD$1, 0), 0)*1000/VLOOKUP($B129, pop_mesorreg_interpol!$B:$XFD, MATCH(gdp_capita_mesorreg!I$1, pop_mesorreg_interpol!$B$1:$XFD$1, 0), 0)</f>
        <v>9338.8459988631093</v>
      </c>
      <c r="J129" s="7">
        <f>VLOOKUP($B129, gdp_tot_mes!$B:$XFD, MATCH(gdp_capita_mesorreg!J$1, gdp_tot_mes!$B$1:$XFD$1, 0), 0)*1000/VLOOKUP($B129, pop_mesorreg_interpol!$B:$XFD, MATCH(gdp_capita_mesorreg!J$1, pop_mesorreg_interpol!$B$1:$XFD$1, 0), 0)</f>
        <v>11645.465553790831</v>
      </c>
      <c r="K129" s="7">
        <f>VLOOKUP($B129, gdp_tot_mes!$B:$XFD, MATCH(gdp_capita_mesorreg!K$1, gdp_tot_mes!$B$1:$XFD$1, 0), 0)*1000/VLOOKUP($B129, pop_mesorreg_interpol!$B:$XFD, MATCH(gdp_capita_mesorreg!K$1, pop_mesorreg_interpol!$B$1:$XFD$1, 0), 0)</f>
        <v>12972.705786247998</v>
      </c>
      <c r="L129" s="8">
        <f>VLOOKUP($B129, gdp_tot_mes!$B:$XFD, MATCH(gdp_capita_mesorreg!L$1, gdp_tot_mes!$B$1:$XFD$1, 0), 0)*1000/VLOOKUP($B129, pop_mesorreg_interpol!$B:$XFD, MATCH(gdp_capita_mesorreg!L$1, pop_mesorreg_interpol!$B$1:$XFD$1, 0), 0)</f>
        <v>13104.93054384174</v>
      </c>
      <c r="M129" s="7">
        <f>VLOOKUP($B129, gdp_tot_mes!$B:$XFD, MATCH(gdp_capita_mesorreg!M$1, gdp_tot_mes!$B$1:$XFD$1, 0), 0)*1000/VLOOKUP($B129, pop_mesorreg_interpol!$B:$XFD, MATCH(gdp_capita_mesorreg!M$1, pop_mesorreg_interpol!$B$1:$XFD$1, 0), 0)</f>
        <v>13251.224141161532</v>
      </c>
      <c r="N129" s="7">
        <f>VLOOKUP($B129, gdp_tot_mes!$B:$XFD, MATCH(gdp_capita_mesorreg!N$1, gdp_tot_mes!$B$1:$XFD$1, 0), 0)*1000/VLOOKUP($B129, pop_mesorreg_interpol!$B:$XFD, MATCH(gdp_capita_mesorreg!N$1, pop_mesorreg_interpol!$B$1:$XFD$1, 0), 0)</f>
        <v>13934.13389498865</v>
      </c>
      <c r="O129" s="7">
        <f>VLOOKUP($B129, gdp_tot_mes!$B:$XFD, MATCH(gdp_capita_mesorreg!O$1, gdp_tot_mes!$B$1:$XFD$1, 0), 0)*1000/VLOOKUP($B129, pop_mesorreg_interpol!$B:$XFD, MATCH(gdp_capita_mesorreg!O$1, pop_mesorreg_interpol!$B$1:$XFD$1, 0), 0)</f>
        <v>13651.223098039763</v>
      </c>
      <c r="P129" s="7">
        <f>VLOOKUP($B129, gdp_tot_mes!$B:$XFD, MATCH(gdp_capita_mesorreg!P$1, gdp_tot_mes!$B$1:$XFD$1, 0), 0)*1000/VLOOKUP($B129, pop_mesorreg_interpol!$B:$XFD, MATCH(gdp_capita_mesorreg!P$1, pop_mesorreg_interpol!$B$1:$XFD$1, 0), 0)</f>
        <v>13919.467577901243</v>
      </c>
      <c r="Q129" s="7">
        <f>VLOOKUP($B129, gdp_tot_mes!$B:$XFD, MATCH(gdp_capita_mesorreg!Q$1, gdp_tot_mes!$B$1:$XFD$1, 0), 0)*1000/VLOOKUP($B129, pop_mesorreg_interpol!$B:$XFD, MATCH(gdp_capita_mesorreg!Q$1, pop_mesorreg_interpol!$B$1:$XFD$1, 0), 0)</f>
        <v>15162.151112291034</v>
      </c>
      <c r="R129" s="7">
        <f>VLOOKUP($B129, gdp_tot_mes!$B:$XFD, MATCH(gdp_capita_mesorreg!R$1, gdp_tot_mes!$B$1:$XFD$1, 0), 0)*1000/VLOOKUP($B129, pop_mesorreg_interpol!$B:$XFD, MATCH(gdp_capita_mesorreg!R$1, pop_mesorreg_interpol!$B$1:$XFD$1, 0), 0)</f>
        <v>14335.704508076584</v>
      </c>
      <c r="S129" s="7">
        <f>VLOOKUP($B129, gdp_tot_mes!$B:$XFD, MATCH(gdp_capita_mesorreg!S$1, gdp_tot_mes!$B$1:$XFD$1, 0), 0)*1000/VLOOKUP($B129, pop_mesorreg_interpol!$B:$XFD, MATCH(gdp_capita_mesorreg!S$1, pop_mesorreg_interpol!$B$1:$XFD$1, 0), 0)</f>
        <v>14570.046684458599</v>
      </c>
      <c r="T129" s="7">
        <f>VLOOKUP($B129, gdp_tot_mes!$B:$XFD, MATCH(gdp_capita_mesorreg!T$1, gdp_tot_mes!$B$1:$XFD$1, 0), 0)*1000/VLOOKUP($B129, pop_mesorreg_interpol!$B:$XFD, MATCH(gdp_capita_mesorreg!T$1, pop_mesorreg_interpol!$B$1:$XFD$1, 0), 0)</f>
        <v>14805.89594465124</v>
      </c>
      <c r="U129" s="7">
        <f>VLOOKUP($B129, gdp_tot_mes!$B:$XFD, MATCH(gdp_capita_mesorreg!U$1, gdp_tot_mes!$B$1:$XFD$1, 0), 0)*1000/VLOOKUP($B129, pop_mesorreg_interpol!$B:$XFD, MATCH(gdp_capita_mesorreg!U$1, pop_mesorreg_interpol!$B$1:$XFD$1, 0), 0)</f>
        <v>15126.872990418184</v>
      </c>
      <c r="V129" s="7">
        <f>VLOOKUP($B129, gdp_tot_mes!$B:$XFD, MATCH(gdp_capita_mesorreg!V$1, gdp_tot_mes!$B$1:$XFD$1, 0), 0)*1000/VLOOKUP($B129, pop_mesorreg_interpol!$B:$XFD, MATCH(gdp_capita_mesorreg!V$1, pop_mesorreg_interpol!$B$1:$XFD$1, 0), 0)</f>
        <v>14910.236808789195</v>
      </c>
      <c r="W129" s="7">
        <f>VLOOKUP($B129, gdp_tot_mes!$B:$XFD, MATCH(gdp_capita_mesorreg!W$1, gdp_tot_mes!$B$1:$XFD$1, 0), 0)*1000/VLOOKUP($B129, pop_mesorreg_interpol!$B:$XFD, MATCH(gdp_capita_mesorreg!W$1, pop_mesorreg_interpol!$B$1:$XFD$1, 0), 0)</f>
        <v>14848.008409387006</v>
      </c>
      <c r="X129" s="7">
        <f>VLOOKUP($B129, gdp_tot_mes!$B:$XFD, MATCH(gdp_capita_mesorreg!X$1, gdp_tot_mes!$B$1:$XFD$1, 0), 0)*1000/VLOOKUP($B129, pop_mesorreg_interpol!$B:$XFD, MATCH(gdp_capita_mesorreg!X$1, pop_mesorreg_interpol!$B$1:$XFD$1, 0), 0)</f>
        <v>16061.419174992308</v>
      </c>
      <c r="Y129" s="7">
        <f>VLOOKUP($B129, gdp_tot_mes!$B:$XFD, MATCH(gdp_capita_mesorreg!Y$1, gdp_tot_mes!$B$1:$XFD$1, 0), 0)*1000/VLOOKUP($B129, pop_mesorreg_interpol!$B:$XFD, MATCH(gdp_capita_mesorreg!Y$1, pop_mesorreg_interpol!$B$1:$XFD$1, 0), 0)</f>
        <v>17025.817088067317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x14ac:dyDescent="0.25">
      <c r="A130" s="1" t="s">
        <v>288</v>
      </c>
      <c r="B130" s="1" t="s">
        <v>305</v>
      </c>
      <c r="C130" s="1" t="s">
        <v>306</v>
      </c>
      <c r="D130" s="7">
        <f>VLOOKUP($B130, gdp_tot_mes!$B:$XFD, MATCH(gdp_capita_mesorreg!D$1, gdp_tot_mes!$B$1:$XFD$1, 0), 0)*1000/VLOOKUP($B130, pop_mesorreg_interpol!$B:$XFD, MATCH(gdp_capita_mesorreg!D$1, pop_mesorreg_interpol!$B$1:$XFD$1, 0), 0)</f>
        <v>814.60714498232767</v>
      </c>
      <c r="E130" s="7">
        <f>VLOOKUP($B130, gdp_tot_mes!$B:$XFD, MATCH(gdp_capita_mesorreg!E$1, gdp_tot_mes!$B$1:$XFD$1, 0), 0)*1000/VLOOKUP($B130, pop_mesorreg_interpol!$B:$XFD, MATCH(gdp_capita_mesorreg!E$1, pop_mesorreg_interpol!$B$1:$XFD$1, 0), 0)</f>
        <v>3167.9145327045321</v>
      </c>
      <c r="F130" s="7">
        <f>VLOOKUP($B130, gdp_tot_mes!$B:$XFD, MATCH(gdp_capita_mesorreg!F$1, gdp_tot_mes!$B$1:$XFD$1, 0), 0)*1000/VLOOKUP($B130, pop_mesorreg_interpol!$B:$XFD, MATCH(gdp_capita_mesorreg!F$1, pop_mesorreg_interpol!$B$1:$XFD$1, 0), 0)</f>
        <v>5802.6895549814481</v>
      </c>
      <c r="G130" s="7">
        <f>VLOOKUP($B130, gdp_tot_mes!$B:$XFD, MATCH(gdp_capita_mesorreg!G$1, gdp_tot_mes!$B$1:$XFD$1, 0), 0)*1000/VLOOKUP($B130, pop_mesorreg_interpol!$B:$XFD, MATCH(gdp_capita_mesorreg!G$1, pop_mesorreg_interpol!$B$1:$XFD$1, 0), 0)</f>
        <v>5676.3943225923485</v>
      </c>
      <c r="H130" s="7">
        <f>VLOOKUP($B130, gdp_tot_mes!$B:$XFD, MATCH(gdp_capita_mesorreg!H$1, gdp_tot_mes!$B$1:$XFD$1, 0), 0)*1000/VLOOKUP($B130, pop_mesorreg_interpol!$B:$XFD, MATCH(gdp_capita_mesorreg!H$1, pop_mesorreg_interpol!$B$1:$XFD$1, 0), 0)</f>
        <v>7488.2121293267774</v>
      </c>
      <c r="I130" s="7">
        <f>VLOOKUP($B130, gdp_tot_mes!$B:$XFD, MATCH(gdp_capita_mesorreg!I$1, gdp_tot_mes!$B$1:$XFD$1, 0), 0)*1000/VLOOKUP($B130, pop_mesorreg_interpol!$B:$XFD, MATCH(gdp_capita_mesorreg!I$1, pop_mesorreg_interpol!$B$1:$XFD$1, 0), 0)</f>
        <v>10357.00690639506</v>
      </c>
      <c r="J130" s="7">
        <f>VLOOKUP($B130, gdp_tot_mes!$B:$XFD, MATCH(gdp_capita_mesorreg!J$1, gdp_tot_mes!$B$1:$XFD$1, 0), 0)*1000/VLOOKUP($B130, pop_mesorreg_interpol!$B:$XFD, MATCH(gdp_capita_mesorreg!J$1, pop_mesorreg_interpol!$B$1:$XFD$1, 0), 0)</f>
        <v>11836.998764748658</v>
      </c>
      <c r="K130" s="7">
        <f>VLOOKUP($B130, gdp_tot_mes!$B:$XFD, MATCH(gdp_capita_mesorreg!K$1, gdp_tot_mes!$B$1:$XFD$1, 0), 0)*1000/VLOOKUP($B130, pop_mesorreg_interpol!$B:$XFD, MATCH(gdp_capita_mesorreg!K$1, pop_mesorreg_interpol!$B$1:$XFD$1, 0), 0)</f>
        <v>16219.201911343336</v>
      </c>
      <c r="L130" s="8">
        <f>VLOOKUP($B130, gdp_tot_mes!$B:$XFD, MATCH(gdp_capita_mesorreg!L$1, gdp_tot_mes!$B$1:$XFD$1, 0), 0)*1000/VLOOKUP($B130, pop_mesorreg_interpol!$B:$XFD, MATCH(gdp_capita_mesorreg!L$1, pop_mesorreg_interpol!$B$1:$XFD$1, 0), 0)</f>
        <v>15849.167168011381</v>
      </c>
      <c r="M130" s="7">
        <f>VLOOKUP($B130, gdp_tot_mes!$B:$XFD, MATCH(gdp_capita_mesorreg!M$1, gdp_tot_mes!$B$1:$XFD$1, 0), 0)*1000/VLOOKUP($B130, pop_mesorreg_interpol!$B:$XFD, MATCH(gdp_capita_mesorreg!M$1, pop_mesorreg_interpol!$B$1:$XFD$1, 0), 0)</f>
        <v>15453.138905360434</v>
      </c>
      <c r="N130" s="7">
        <f>VLOOKUP($B130, gdp_tot_mes!$B:$XFD, MATCH(gdp_capita_mesorreg!N$1, gdp_tot_mes!$B$1:$XFD$1, 0), 0)*1000/VLOOKUP($B130, pop_mesorreg_interpol!$B:$XFD, MATCH(gdp_capita_mesorreg!N$1, pop_mesorreg_interpol!$B$1:$XFD$1, 0), 0)</f>
        <v>14851.422883872838</v>
      </c>
      <c r="O130" s="7">
        <f>VLOOKUP($B130, gdp_tot_mes!$B:$XFD, MATCH(gdp_capita_mesorreg!O$1, gdp_tot_mes!$B$1:$XFD$1, 0), 0)*1000/VLOOKUP($B130, pop_mesorreg_interpol!$B:$XFD, MATCH(gdp_capita_mesorreg!O$1, pop_mesorreg_interpol!$B$1:$XFD$1, 0), 0)</f>
        <v>14566.390039832082</v>
      </c>
      <c r="P130" s="7">
        <f>VLOOKUP($B130, gdp_tot_mes!$B:$XFD, MATCH(gdp_capita_mesorreg!P$1, gdp_tot_mes!$B$1:$XFD$1, 0), 0)*1000/VLOOKUP($B130, pop_mesorreg_interpol!$B:$XFD, MATCH(gdp_capita_mesorreg!P$1, pop_mesorreg_interpol!$B$1:$XFD$1, 0), 0)</f>
        <v>14297.90809478078</v>
      </c>
      <c r="Q130" s="7">
        <f>VLOOKUP($B130, gdp_tot_mes!$B:$XFD, MATCH(gdp_capita_mesorreg!Q$1, gdp_tot_mes!$B$1:$XFD$1, 0), 0)*1000/VLOOKUP($B130, pop_mesorreg_interpol!$B:$XFD, MATCH(gdp_capita_mesorreg!Q$1, pop_mesorreg_interpol!$B$1:$XFD$1, 0), 0)</f>
        <v>14449.584945596009</v>
      </c>
      <c r="R130" s="7">
        <f>VLOOKUP($B130, gdp_tot_mes!$B:$XFD, MATCH(gdp_capita_mesorreg!R$1, gdp_tot_mes!$B$1:$XFD$1, 0), 0)*1000/VLOOKUP($B130, pop_mesorreg_interpol!$B:$XFD, MATCH(gdp_capita_mesorreg!R$1, pop_mesorreg_interpol!$B$1:$XFD$1, 0), 0)</f>
        <v>14609.458759395186</v>
      </c>
      <c r="S130" s="7">
        <f>VLOOKUP($B130, gdp_tot_mes!$B:$XFD, MATCH(gdp_capita_mesorreg!S$1, gdp_tot_mes!$B$1:$XFD$1, 0), 0)*1000/VLOOKUP($B130, pop_mesorreg_interpol!$B:$XFD, MATCH(gdp_capita_mesorreg!S$1, pop_mesorreg_interpol!$B$1:$XFD$1, 0), 0)</f>
        <v>14939.408652690268</v>
      </c>
      <c r="T130" s="7">
        <f>VLOOKUP($B130, gdp_tot_mes!$B:$XFD, MATCH(gdp_capita_mesorreg!T$1, gdp_tot_mes!$B$1:$XFD$1, 0), 0)*1000/VLOOKUP($B130, pop_mesorreg_interpol!$B:$XFD, MATCH(gdp_capita_mesorreg!T$1, pop_mesorreg_interpol!$B$1:$XFD$1, 0), 0)</f>
        <v>14528.206632403731</v>
      </c>
      <c r="U130" s="7">
        <f>VLOOKUP($B130, gdp_tot_mes!$B:$XFD, MATCH(gdp_capita_mesorreg!U$1, gdp_tot_mes!$B$1:$XFD$1, 0), 0)*1000/VLOOKUP($B130, pop_mesorreg_interpol!$B:$XFD, MATCH(gdp_capita_mesorreg!U$1, pop_mesorreg_interpol!$B$1:$XFD$1, 0), 0)</f>
        <v>14440.412603561732</v>
      </c>
      <c r="V130" s="7">
        <f>VLOOKUP($B130, gdp_tot_mes!$B:$XFD, MATCH(gdp_capita_mesorreg!V$1, gdp_tot_mes!$B$1:$XFD$1, 0), 0)*1000/VLOOKUP($B130, pop_mesorreg_interpol!$B:$XFD, MATCH(gdp_capita_mesorreg!V$1, pop_mesorreg_interpol!$B$1:$XFD$1, 0), 0)</f>
        <v>15441.262165015462</v>
      </c>
      <c r="W130" s="7">
        <f>VLOOKUP($B130, gdp_tot_mes!$B:$XFD, MATCH(gdp_capita_mesorreg!W$1, gdp_tot_mes!$B$1:$XFD$1, 0), 0)*1000/VLOOKUP($B130, pop_mesorreg_interpol!$B:$XFD, MATCH(gdp_capita_mesorreg!W$1, pop_mesorreg_interpol!$B$1:$XFD$1, 0), 0)</f>
        <v>15788.180966033564</v>
      </c>
      <c r="X130" s="7">
        <f>VLOOKUP($B130, gdp_tot_mes!$B:$XFD, MATCH(gdp_capita_mesorreg!X$1, gdp_tot_mes!$B$1:$XFD$1, 0), 0)*1000/VLOOKUP($B130, pop_mesorreg_interpol!$B:$XFD, MATCH(gdp_capita_mesorreg!X$1, pop_mesorreg_interpol!$B$1:$XFD$1, 0), 0)</f>
        <v>16628.933730008117</v>
      </c>
      <c r="Y130" s="7">
        <f>VLOOKUP($B130, gdp_tot_mes!$B:$XFD, MATCH(gdp_capita_mesorreg!Y$1, gdp_tot_mes!$B$1:$XFD$1, 0), 0)*1000/VLOOKUP($B130, pop_mesorreg_interpol!$B:$XFD, MATCH(gdp_capita_mesorreg!Y$1, pop_mesorreg_interpol!$B$1:$XFD$1, 0), 0)</f>
        <v>17648.374302932796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x14ac:dyDescent="0.25">
      <c r="A131" s="1" t="s">
        <v>288</v>
      </c>
      <c r="B131" s="1" t="s">
        <v>307</v>
      </c>
      <c r="C131" s="1" t="s">
        <v>308</v>
      </c>
      <c r="D131" s="7">
        <f>VLOOKUP($B131, gdp_tot_mes!$B:$XFD, MATCH(gdp_capita_mesorreg!D$1, gdp_tot_mes!$B$1:$XFD$1, 0), 0)*1000/VLOOKUP($B131, pop_mesorreg_interpol!$B:$XFD, MATCH(gdp_capita_mesorreg!D$1, pop_mesorreg_interpol!$B$1:$XFD$1, 0), 0)</f>
        <v>1101.610622732115</v>
      </c>
      <c r="E131" s="7">
        <f>VLOOKUP($B131, gdp_tot_mes!$B:$XFD, MATCH(gdp_capita_mesorreg!E$1, gdp_tot_mes!$B$1:$XFD$1, 0), 0)*1000/VLOOKUP($B131, pop_mesorreg_interpol!$B:$XFD, MATCH(gdp_capita_mesorreg!E$1, pop_mesorreg_interpol!$B$1:$XFD$1, 0), 0)</f>
        <v>2520.2383190487776</v>
      </c>
      <c r="F131" s="7">
        <f>VLOOKUP($B131, gdp_tot_mes!$B:$XFD, MATCH(gdp_capita_mesorreg!F$1, gdp_tot_mes!$B$1:$XFD$1, 0), 0)*1000/VLOOKUP($B131, pop_mesorreg_interpol!$B:$XFD, MATCH(gdp_capita_mesorreg!F$1, pop_mesorreg_interpol!$B$1:$XFD$1, 0), 0)</f>
        <v>4649.128337975194</v>
      </c>
      <c r="G131" s="7">
        <f>VLOOKUP($B131, gdp_tot_mes!$B:$XFD, MATCH(gdp_capita_mesorreg!G$1, gdp_tot_mes!$B$1:$XFD$1, 0), 0)*1000/VLOOKUP($B131, pop_mesorreg_interpol!$B:$XFD, MATCH(gdp_capita_mesorreg!G$1, pop_mesorreg_interpol!$B$1:$XFD$1, 0), 0)</f>
        <v>5643.3563704606495</v>
      </c>
      <c r="H131" s="7">
        <f>VLOOKUP($B131, gdp_tot_mes!$B:$XFD, MATCH(gdp_capita_mesorreg!H$1, gdp_tot_mes!$B$1:$XFD$1, 0), 0)*1000/VLOOKUP($B131, pop_mesorreg_interpol!$B:$XFD, MATCH(gdp_capita_mesorreg!H$1, pop_mesorreg_interpol!$B$1:$XFD$1, 0), 0)</f>
        <v>5892.1647639465154</v>
      </c>
      <c r="I131" s="7">
        <f>VLOOKUP($B131, gdp_tot_mes!$B:$XFD, MATCH(gdp_capita_mesorreg!I$1, gdp_tot_mes!$B$1:$XFD$1, 0), 0)*1000/VLOOKUP($B131, pop_mesorreg_interpol!$B:$XFD, MATCH(gdp_capita_mesorreg!I$1, pop_mesorreg_interpol!$B$1:$XFD$1, 0), 0)</f>
        <v>9125.0845440825906</v>
      </c>
      <c r="J131" s="7">
        <f>VLOOKUP($B131, gdp_tot_mes!$B:$XFD, MATCH(gdp_capita_mesorreg!J$1, gdp_tot_mes!$B$1:$XFD$1, 0), 0)*1000/VLOOKUP($B131, pop_mesorreg_interpol!$B:$XFD, MATCH(gdp_capita_mesorreg!J$1, pop_mesorreg_interpol!$B$1:$XFD$1, 0), 0)</f>
        <v>10861.625256007235</v>
      </c>
      <c r="K131" s="7">
        <f>VLOOKUP($B131, gdp_tot_mes!$B:$XFD, MATCH(gdp_capita_mesorreg!K$1, gdp_tot_mes!$B$1:$XFD$1, 0), 0)*1000/VLOOKUP($B131, pop_mesorreg_interpol!$B:$XFD, MATCH(gdp_capita_mesorreg!K$1, pop_mesorreg_interpol!$B$1:$XFD$1, 0), 0)</f>
        <v>16141.373963859256</v>
      </c>
      <c r="L131" s="8">
        <f>VLOOKUP($B131, gdp_tot_mes!$B:$XFD, MATCH(gdp_capita_mesorreg!L$1, gdp_tot_mes!$B$1:$XFD$1, 0), 0)*1000/VLOOKUP($B131, pop_mesorreg_interpol!$B:$XFD, MATCH(gdp_capita_mesorreg!L$1, pop_mesorreg_interpol!$B$1:$XFD$1, 0), 0)</f>
        <v>13770.280466251263</v>
      </c>
      <c r="M131" s="7">
        <f>VLOOKUP($B131, gdp_tot_mes!$B:$XFD, MATCH(gdp_capita_mesorreg!M$1, gdp_tot_mes!$B$1:$XFD$1, 0), 0)*1000/VLOOKUP($B131, pop_mesorreg_interpol!$B:$XFD, MATCH(gdp_capita_mesorreg!M$1, pop_mesorreg_interpol!$B$1:$XFD$1, 0), 0)</f>
        <v>11365.645796435409</v>
      </c>
      <c r="N131" s="7">
        <f>VLOOKUP($B131, gdp_tot_mes!$B:$XFD, MATCH(gdp_capita_mesorreg!N$1, gdp_tot_mes!$B$1:$XFD$1, 0), 0)*1000/VLOOKUP($B131, pop_mesorreg_interpol!$B:$XFD, MATCH(gdp_capita_mesorreg!N$1, pop_mesorreg_interpol!$B$1:$XFD$1, 0), 0)</f>
        <v>15468.609758179298</v>
      </c>
      <c r="O131" s="7">
        <f>VLOOKUP($B131, gdp_tot_mes!$B:$XFD, MATCH(gdp_capita_mesorreg!O$1, gdp_tot_mes!$B$1:$XFD$1, 0), 0)*1000/VLOOKUP($B131, pop_mesorreg_interpol!$B:$XFD, MATCH(gdp_capita_mesorreg!O$1, pop_mesorreg_interpol!$B$1:$XFD$1, 0), 0)</f>
        <v>15171.340253270035</v>
      </c>
      <c r="P131" s="7">
        <f>VLOOKUP($B131, gdp_tot_mes!$B:$XFD, MATCH(gdp_capita_mesorreg!P$1, gdp_tot_mes!$B$1:$XFD$1, 0), 0)*1000/VLOOKUP($B131, pop_mesorreg_interpol!$B:$XFD, MATCH(gdp_capita_mesorreg!P$1, pop_mesorreg_interpol!$B$1:$XFD$1, 0), 0)</f>
        <v>16236.683527962437</v>
      </c>
      <c r="Q131" s="7">
        <f>VLOOKUP($B131, gdp_tot_mes!$B:$XFD, MATCH(gdp_capita_mesorreg!Q$1, gdp_tot_mes!$B$1:$XFD$1, 0), 0)*1000/VLOOKUP($B131, pop_mesorreg_interpol!$B:$XFD, MATCH(gdp_capita_mesorreg!Q$1, pop_mesorreg_interpol!$B$1:$XFD$1, 0), 0)</f>
        <v>17779.83988041438</v>
      </c>
      <c r="R131" s="7">
        <f>VLOOKUP($B131, gdp_tot_mes!$B:$XFD, MATCH(gdp_capita_mesorreg!R$1, gdp_tot_mes!$B$1:$XFD$1, 0), 0)*1000/VLOOKUP($B131, pop_mesorreg_interpol!$B:$XFD, MATCH(gdp_capita_mesorreg!R$1, pop_mesorreg_interpol!$B$1:$XFD$1, 0), 0)</f>
        <v>17458.155683967776</v>
      </c>
      <c r="S131" s="7">
        <f>VLOOKUP($B131, gdp_tot_mes!$B:$XFD, MATCH(gdp_capita_mesorreg!S$1, gdp_tot_mes!$B$1:$XFD$1, 0), 0)*1000/VLOOKUP($B131, pop_mesorreg_interpol!$B:$XFD, MATCH(gdp_capita_mesorreg!S$1, pop_mesorreg_interpol!$B$1:$XFD$1, 0), 0)</f>
        <v>16915.044907635769</v>
      </c>
      <c r="T131" s="7">
        <f>VLOOKUP($B131, gdp_tot_mes!$B:$XFD, MATCH(gdp_capita_mesorreg!T$1, gdp_tot_mes!$B$1:$XFD$1, 0), 0)*1000/VLOOKUP($B131, pop_mesorreg_interpol!$B:$XFD, MATCH(gdp_capita_mesorreg!T$1, pop_mesorreg_interpol!$B$1:$XFD$1, 0), 0)</f>
        <v>16073.447660525377</v>
      </c>
      <c r="U131" s="7">
        <f>VLOOKUP($B131, gdp_tot_mes!$B:$XFD, MATCH(gdp_capita_mesorreg!U$1, gdp_tot_mes!$B$1:$XFD$1, 0), 0)*1000/VLOOKUP($B131, pop_mesorreg_interpol!$B:$XFD, MATCH(gdp_capita_mesorreg!U$1, pop_mesorreg_interpol!$B$1:$XFD$1, 0), 0)</f>
        <v>16355.37097585373</v>
      </c>
      <c r="V131" s="7">
        <f>VLOOKUP($B131, gdp_tot_mes!$B:$XFD, MATCH(gdp_capita_mesorreg!V$1, gdp_tot_mes!$B$1:$XFD$1, 0), 0)*1000/VLOOKUP($B131, pop_mesorreg_interpol!$B:$XFD, MATCH(gdp_capita_mesorreg!V$1, pop_mesorreg_interpol!$B$1:$XFD$1, 0), 0)</f>
        <v>16762.937851528128</v>
      </c>
      <c r="W131" s="7">
        <f>VLOOKUP($B131, gdp_tot_mes!$B:$XFD, MATCH(gdp_capita_mesorreg!W$1, gdp_tot_mes!$B$1:$XFD$1, 0), 0)*1000/VLOOKUP($B131, pop_mesorreg_interpol!$B:$XFD, MATCH(gdp_capita_mesorreg!W$1, pop_mesorreg_interpol!$B$1:$XFD$1, 0), 0)</f>
        <v>16615.022073024666</v>
      </c>
      <c r="X131" s="7">
        <f>VLOOKUP($B131, gdp_tot_mes!$B:$XFD, MATCH(gdp_capita_mesorreg!X$1, gdp_tot_mes!$B$1:$XFD$1, 0), 0)*1000/VLOOKUP($B131, pop_mesorreg_interpol!$B:$XFD, MATCH(gdp_capita_mesorreg!X$1, pop_mesorreg_interpol!$B$1:$XFD$1, 0), 0)</f>
        <v>17351.321546019262</v>
      </c>
      <c r="Y131" s="7">
        <f>VLOOKUP($B131, gdp_tot_mes!$B:$XFD, MATCH(gdp_capita_mesorreg!Y$1, gdp_tot_mes!$B$1:$XFD$1, 0), 0)*1000/VLOOKUP($B131, pop_mesorreg_interpol!$B:$XFD, MATCH(gdp_capita_mesorreg!Y$1, pop_mesorreg_interpol!$B$1:$XFD$1, 0), 0)</f>
        <v>18765.397733387748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x14ac:dyDescent="0.25">
      <c r="A132" s="1" t="s">
        <v>288</v>
      </c>
      <c r="B132" s="1" t="s">
        <v>309</v>
      </c>
      <c r="C132" s="1" t="s">
        <v>310</v>
      </c>
      <c r="D132" s="7">
        <f>VLOOKUP($B132, gdp_tot_mes!$B:$XFD, MATCH(gdp_capita_mesorreg!D$1, gdp_tot_mes!$B$1:$XFD$1, 0), 0)*1000/VLOOKUP($B132, pop_mesorreg_interpol!$B:$XFD, MATCH(gdp_capita_mesorreg!D$1, pop_mesorreg_interpol!$B$1:$XFD$1, 0), 0)</f>
        <v>943.35235183184886</v>
      </c>
      <c r="E132" s="7">
        <f>VLOOKUP($B132, gdp_tot_mes!$B:$XFD, MATCH(gdp_capita_mesorreg!E$1, gdp_tot_mes!$B$1:$XFD$1, 0), 0)*1000/VLOOKUP($B132, pop_mesorreg_interpol!$B:$XFD, MATCH(gdp_capita_mesorreg!E$1, pop_mesorreg_interpol!$B$1:$XFD$1, 0), 0)</f>
        <v>1871.4871164673502</v>
      </c>
      <c r="F132" s="7">
        <f>VLOOKUP($B132, gdp_tot_mes!$B:$XFD, MATCH(gdp_capita_mesorreg!F$1, gdp_tot_mes!$B$1:$XFD$1, 0), 0)*1000/VLOOKUP($B132, pop_mesorreg_interpol!$B:$XFD, MATCH(gdp_capita_mesorreg!F$1, pop_mesorreg_interpol!$B$1:$XFD$1, 0), 0)</f>
        <v>3056.4441802750544</v>
      </c>
      <c r="G132" s="7">
        <f>VLOOKUP($B132, gdp_tot_mes!$B:$XFD, MATCH(gdp_capita_mesorreg!G$1, gdp_tot_mes!$B$1:$XFD$1, 0), 0)*1000/VLOOKUP($B132, pop_mesorreg_interpol!$B:$XFD, MATCH(gdp_capita_mesorreg!G$1, pop_mesorreg_interpol!$B$1:$XFD$1, 0), 0)</f>
        <v>4080.5996902092011</v>
      </c>
      <c r="H132" s="7">
        <f>VLOOKUP($B132, gdp_tot_mes!$B:$XFD, MATCH(gdp_capita_mesorreg!H$1, gdp_tot_mes!$B$1:$XFD$1, 0), 0)*1000/VLOOKUP($B132, pop_mesorreg_interpol!$B:$XFD, MATCH(gdp_capita_mesorreg!H$1, pop_mesorreg_interpol!$B$1:$XFD$1, 0), 0)</f>
        <v>5585.1140112983421</v>
      </c>
      <c r="I132" s="7">
        <f>VLOOKUP($B132, gdp_tot_mes!$B:$XFD, MATCH(gdp_capita_mesorreg!I$1, gdp_tot_mes!$B$1:$XFD$1, 0), 0)*1000/VLOOKUP($B132, pop_mesorreg_interpol!$B:$XFD, MATCH(gdp_capita_mesorreg!I$1, pop_mesorreg_interpol!$B$1:$XFD$1, 0), 0)</f>
        <v>8074.4735670798591</v>
      </c>
      <c r="J132" s="7">
        <f>VLOOKUP($B132, gdp_tot_mes!$B:$XFD, MATCH(gdp_capita_mesorreg!J$1, gdp_tot_mes!$B$1:$XFD$1, 0), 0)*1000/VLOOKUP($B132, pop_mesorreg_interpol!$B:$XFD, MATCH(gdp_capita_mesorreg!J$1, pop_mesorreg_interpol!$B$1:$XFD$1, 0), 0)</f>
        <v>12021.372477826462</v>
      </c>
      <c r="K132" s="7">
        <f>VLOOKUP($B132, gdp_tot_mes!$B:$XFD, MATCH(gdp_capita_mesorreg!K$1, gdp_tot_mes!$B$1:$XFD$1, 0), 0)*1000/VLOOKUP($B132, pop_mesorreg_interpol!$B:$XFD, MATCH(gdp_capita_mesorreg!K$1, pop_mesorreg_interpol!$B$1:$XFD$1, 0), 0)</f>
        <v>10410.019559096085</v>
      </c>
      <c r="L132" s="8">
        <f>VLOOKUP($B132, gdp_tot_mes!$B:$XFD, MATCH(gdp_capita_mesorreg!L$1, gdp_tot_mes!$B$1:$XFD$1, 0), 0)*1000/VLOOKUP($B132, pop_mesorreg_interpol!$B:$XFD, MATCH(gdp_capita_mesorreg!L$1, pop_mesorreg_interpol!$B$1:$XFD$1, 0), 0)</f>
        <v>9798.8874093133309</v>
      </c>
      <c r="M132" s="7">
        <f>VLOOKUP($B132, gdp_tot_mes!$B:$XFD, MATCH(gdp_capita_mesorreg!M$1, gdp_tot_mes!$B$1:$XFD$1, 0), 0)*1000/VLOOKUP($B132, pop_mesorreg_interpol!$B:$XFD, MATCH(gdp_capita_mesorreg!M$1, pop_mesorreg_interpol!$B$1:$XFD$1, 0), 0)</f>
        <v>9188.407490744994</v>
      </c>
      <c r="N132" s="7">
        <f>VLOOKUP($B132, gdp_tot_mes!$B:$XFD, MATCH(gdp_capita_mesorreg!N$1, gdp_tot_mes!$B$1:$XFD$1, 0), 0)*1000/VLOOKUP($B132, pop_mesorreg_interpol!$B:$XFD, MATCH(gdp_capita_mesorreg!N$1, pop_mesorreg_interpol!$B$1:$XFD$1, 0), 0)</f>
        <v>13322.432282982316</v>
      </c>
      <c r="O132" s="7">
        <f>VLOOKUP($B132, gdp_tot_mes!$B:$XFD, MATCH(gdp_capita_mesorreg!O$1, gdp_tot_mes!$B$1:$XFD$1, 0), 0)*1000/VLOOKUP($B132, pop_mesorreg_interpol!$B:$XFD, MATCH(gdp_capita_mesorreg!O$1, pop_mesorreg_interpol!$B$1:$XFD$1, 0), 0)</f>
        <v>13882.937579040969</v>
      </c>
      <c r="P132" s="7">
        <f>VLOOKUP($B132, gdp_tot_mes!$B:$XFD, MATCH(gdp_capita_mesorreg!P$1, gdp_tot_mes!$B$1:$XFD$1, 0), 0)*1000/VLOOKUP($B132, pop_mesorreg_interpol!$B:$XFD, MATCH(gdp_capita_mesorreg!P$1, pop_mesorreg_interpol!$B$1:$XFD$1, 0), 0)</f>
        <v>13821.791554700365</v>
      </c>
      <c r="Q132" s="7">
        <f>VLOOKUP($B132, gdp_tot_mes!$B:$XFD, MATCH(gdp_capita_mesorreg!Q$1, gdp_tot_mes!$B$1:$XFD$1, 0), 0)*1000/VLOOKUP($B132, pop_mesorreg_interpol!$B:$XFD, MATCH(gdp_capita_mesorreg!Q$1, pop_mesorreg_interpol!$B$1:$XFD$1, 0), 0)</f>
        <v>14692.38671096231</v>
      </c>
      <c r="R132" s="7">
        <f>VLOOKUP($B132, gdp_tot_mes!$B:$XFD, MATCH(gdp_capita_mesorreg!R$1, gdp_tot_mes!$B$1:$XFD$1, 0), 0)*1000/VLOOKUP($B132, pop_mesorreg_interpol!$B:$XFD, MATCH(gdp_capita_mesorreg!R$1, pop_mesorreg_interpol!$B$1:$XFD$1, 0), 0)</f>
        <v>15666.029533749663</v>
      </c>
      <c r="S132" s="7">
        <f>VLOOKUP($B132, gdp_tot_mes!$B:$XFD, MATCH(gdp_capita_mesorreg!S$1, gdp_tot_mes!$B$1:$XFD$1, 0), 0)*1000/VLOOKUP($B132, pop_mesorreg_interpol!$B:$XFD, MATCH(gdp_capita_mesorreg!S$1, pop_mesorreg_interpol!$B$1:$XFD$1, 0), 0)</f>
        <v>16078.831853320637</v>
      </c>
      <c r="T132" s="7">
        <f>VLOOKUP($B132, gdp_tot_mes!$B:$XFD, MATCH(gdp_capita_mesorreg!T$1, gdp_tot_mes!$B$1:$XFD$1, 0), 0)*1000/VLOOKUP($B132, pop_mesorreg_interpol!$B:$XFD, MATCH(gdp_capita_mesorreg!T$1, pop_mesorreg_interpol!$B$1:$XFD$1, 0), 0)</f>
        <v>15944.099824851954</v>
      </c>
      <c r="U132" s="7">
        <f>VLOOKUP($B132, gdp_tot_mes!$B:$XFD, MATCH(gdp_capita_mesorreg!U$1, gdp_tot_mes!$B$1:$XFD$1, 0), 0)*1000/VLOOKUP($B132, pop_mesorreg_interpol!$B:$XFD, MATCH(gdp_capita_mesorreg!U$1, pop_mesorreg_interpol!$B$1:$XFD$1, 0), 0)</f>
        <v>15593.679405058372</v>
      </c>
      <c r="V132" s="7">
        <f>VLOOKUP($B132, gdp_tot_mes!$B:$XFD, MATCH(gdp_capita_mesorreg!V$1, gdp_tot_mes!$B$1:$XFD$1, 0), 0)*1000/VLOOKUP($B132, pop_mesorreg_interpol!$B:$XFD, MATCH(gdp_capita_mesorreg!V$1, pop_mesorreg_interpol!$B$1:$XFD$1, 0), 0)</f>
        <v>17043.522371593743</v>
      </c>
      <c r="W132" s="7">
        <f>VLOOKUP($B132, gdp_tot_mes!$B:$XFD, MATCH(gdp_capita_mesorreg!W$1, gdp_tot_mes!$B$1:$XFD$1, 0), 0)*1000/VLOOKUP($B132, pop_mesorreg_interpol!$B:$XFD, MATCH(gdp_capita_mesorreg!W$1, pop_mesorreg_interpol!$B$1:$XFD$1, 0), 0)</f>
        <v>17817.209259489409</v>
      </c>
      <c r="X132" s="7">
        <f>VLOOKUP($B132, gdp_tot_mes!$B:$XFD, MATCH(gdp_capita_mesorreg!X$1, gdp_tot_mes!$B$1:$XFD$1, 0), 0)*1000/VLOOKUP($B132, pop_mesorreg_interpol!$B:$XFD, MATCH(gdp_capita_mesorreg!X$1, pop_mesorreg_interpol!$B$1:$XFD$1, 0), 0)</f>
        <v>19095.777177364671</v>
      </c>
      <c r="Y132" s="7">
        <f>VLOOKUP($B132, gdp_tot_mes!$B:$XFD, MATCH(gdp_capita_mesorreg!Y$1, gdp_tot_mes!$B$1:$XFD$1, 0), 0)*1000/VLOOKUP($B132, pop_mesorreg_interpol!$B:$XFD, MATCH(gdp_capita_mesorreg!Y$1, pop_mesorreg_interpol!$B$1:$XFD$1, 0), 0)</f>
        <v>18823.897846208336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x14ac:dyDescent="0.25">
      <c r="A133" s="1" t="s">
        <v>288</v>
      </c>
      <c r="B133" s="1" t="s">
        <v>311</v>
      </c>
      <c r="C133" s="1" t="s">
        <v>312</v>
      </c>
      <c r="D133" s="7">
        <f>VLOOKUP($B133, gdp_tot_mes!$B:$XFD, MATCH(gdp_capita_mesorreg!D$1, gdp_tot_mes!$B$1:$XFD$1, 0), 0)*1000/VLOOKUP($B133, pop_mesorreg_interpol!$B:$XFD, MATCH(gdp_capita_mesorreg!D$1, pop_mesorreg_interpol!$B$1:$XFD$1, 0), 0)</f>
        <v>1175.3203168219093</v>
      </c>
      <c r="E133" s="7">
        <f>VLOOKUP($B133, gdp_tot_mes!$B:$XFD, MATCH(gdp_capita_mesorreg!E$1, gdp_tot_mes!$B$1:$XFD$1, 0), 0)*1000/VLOOKUP($B133, pop_mesorreg_interpol!$B:$XFD, MATCH(gdp_capita_mesorreg!E$1, pop_mesorreg_interpol!$B$1:$XFD$1, 0), 0)</f>
        <v>3327.370267964</v>
      </c>
      <c r="F133" s="7">
        <f>VLOOKUP($B133, gdp_tot_mes!$B:$XFD, MATCH(gdp_capita_mesorreg!F$1, gdp_tot_mes!$B$1:$XFD$1, 0), 0)*1000/VLOOKUP($B133, pop_mesorreg_interpol!$B:$XFD, MATCH(gdp_capita_mesorreg!F$1, pop_mesorreg_interpol!$B$1:$XFD$1, 0), 0)</f>
        <v>4779.7421251516689</v>
      </c>
      <c r="G133" s="7">
        <f>VLOOKUP($B133, gdp_tot_mes!$B:$XFD, MATCH(gdp_capita_mesorreg!G$1, gdp_tot_mes!$B$1:$XFD$1, 0), 0)*1000/VLOOKUP($B133, pop_mesorreg_interpol!$B:$XFD, MATCH(gdp_capita_mesorreg!G$1, pop_mesorreg_interpol!$B$1:$XFD$1, 0), 0)</f>
        <v>7277.5232876588207</v>
      </c>
      <c r="H133" s="7">
        <f>VLOOKUP($B133, gdp_tot_mes!$B:$XFD, MATCH(gdp_capita_mesorreg!H$1, gdp_tot_mes!$B$1:$XFD$1, 0), 0)*1000/VLOOKUP($B133, pop_mesorreg_interpol!$B:$XFD, MATCH(gdp_capita_mesorreg!H$1, pop_mesorreg_interpol!$B$1:$XFD$1, 0), 0)</f>
        <v>11337.736246384302</v>
      </c>
      <c r="I133" s="7">
        <f>VLOOKUP($B133, gdp_tot_mes!$B:$XFD, MATCH(gdp_capita_mesorreg!I$1, gdp_tot_mes!$B$1:$XFD$1, 0), 0)*1000/VLOOKUP($B133, pop_mesorreg_interpol!$B:$XFD, MATCH(gdp_capita_mesorreg!I$1, pop_mesorreg_interpol!$B$1:$XFD$1, 0), 0)</f>
        <v>17178.137039222333</v>
      </c>
      <c r="J133" s="7">
        <f>VLOOKUP($B133, gdp_tot_mes!$B:$XFD, MATCH(gdp_capita_mesorreg!J$1, gdp_tot_mes!$B$1:$XFD$1, 0), 0)*1000/VLOOKUP($B133, pop_mesorreg_interpol!$B:$XFD, MATCH(gdp_capita_mesorreg!J$1, pop_mesorreg_interpol!$B$1:$XFD$1, 0), 0)</f>
        <v>22446.938344328028</v>
      </c>
      <c r="K133" s="7">
        <f>VLOOKUP($B133, gdp_tot_mes!$B:$XFD, MATCH(gdp_capita_mesorreg!K$1, gdp_tot_mes!$B$1:$XFD$1, 0), 0)*1000/VLOOKUP($B133, pop_mesorreg_interpol!$B:$XFD, MATCH(gdp_capita_mesorreg!K$1, pop_mesorreg_interpol!$B$1:$XFD$1, 0), 0)</f>
        <v>23207.360629369399</v>
      </c>
      <c r="L133" s="8">
        <f>VLOOKUP($B133, gdp_tot_mes!$B:$XFD, MATCH(gdp_capita_mesorreg!L$1, gdp_tot_mes!$B$1:$XFD$1, 0), 0)*1000/VLOOKUP($B133, pop_mesorreg_interpol!$B:$XFD, MATCH(gdp_capita_mesorreg!L$1, pop_mesorreg_interpol!$B$1:$XFD$1, 0), 0)</f>
        <v>20194.793415520347</v>
      </c>
      <c r="M133" s="7">
        <f>VLOOKUP($B133, gdp_tot_mes!$B:$XFD, MATCH(gdp_capita_mesorreg!M$1, gdp_tot_mes!$B$1:$XFD$1, 0), 0)*1000/VLOOKUP($B133, pop_mesorreg_interpol!$B:$XFD, MATCH(gdp_capita_mesorreg!M$1, pop_mesorreg_interpol!$B$1:$XFD$1, 0), 0)</f>
        <v>17460.25570314144</v>
      </c>
      <c r="N133" s="7">
        <f>VLOOKUP($B133, gdp_tot_mes!$B:$XFD, MATCH(gdp_capita_mesorreg!N$1, gdp_tot_mes!$B$1:$XFD$1, 0), 0)*1000/VLOOKUP($B133, pop_mesorreg_interpol!$B:$XFD, MATCH(gdp_capita_mesorreg!N$1, pop_mesorreg_interpol!$B$1:$XFD$1, 0), 0)</f>
        <v>22257.926510254321</v>
      </c>
      <c r="O133" s="7">
        <f>VLOOKUP($B133, gdp_tot_mes!$B:$XFD, MATCH(gdp_capita_mesorreg!O$1, gdp_tot_mes!$B$1:$XFD$1, 0), 0)*1000/VLOOKUP($B133, pop_mesorreg_interpol!$B:$XFD, MATCH(gdp_capita_mesorreg!O$1, pop_mesorreg_interpol!$B$1:$XFD$1, 0), 0)</f>
        <v>22794.742967007256</v>
      </c>
      <c r="P133" s="7">
        <f>VLOOKUP($B133, gdp_tot_mes!$B:$XFD, MATCH(gdp_capita_mesorreg!P$1, gdp_tot_mes!$B$1:$XFD$1, 0), 0)*1000/VLOOKUP($B133, pop_mesorreg_interpol!$B:$XFD, MATCH(gdp_capita_mesorreg!P$1, pop_mesorreg_interpol!$B$1:$XFD$1, 0), 0)</f>
        <v>23072.998525593186</v>
      </c>
      <c r="Q133" s="7">
        <f>VLOOKUP($B133, gdp_tot_mes!$B:$XFD, MATCH(gdp_capita_mesorreg!Q$1, gdp_tot_mes!$B$1:$XFD$1, 0), 0)*1000/VLOOKUP($B133, pop_mesorreg_interpol!$B:$XFD, MATCH(gdp_capita_mesorreg!Q$1, pop_mesorreg_interpol!$B$1:$XFD$1, 0), 0)</f>
        <v>23042.657817995583</v>
      </c>
      <c r="R133" s="7">
        <f>VLOOKUP($B133, gdp_tot_mes!$B:$XFD, MATCH(gdp_capita_mesorreg!R$1, gdp_tot_mes!$B$1:$XFD$1, 0), 0)*1000/VLOOKUP($B133, pop_mesorreg_interpol!$B:$XFD, MATCH(gdp_capita_mesorreg!R$1, pop_mesorreg_interpol!$B$1:$XFD$1, 0), 0)</f>
        <v>23278.218661725539</v>
      </c>
      <c r="S133" s="7">
        <f>VLOOKUP($B133, gdp_tot_mes!$B:$XFD, MATCH(gdp_capita_mesorreg!S$1, gdp_tot_mes!$B$1:$XFD$1, 0), 0)*1000/VLOOKUP($B133, pop_mesorreg_interpol!$B:$XFD, MATCH(gdp_capita_mesorreg!S$1, pop_mesorreg_interpol!$B$1:$XFD$1, 0), 0)</f>
        <v>24941.861223275533</v>
      </c>
      <c r="T133" s="7">
        <f>VLOOKUP($B133, gdp_tot_mes!$B:$XFD, MATCH(gdp_capita_mesorreg!T$1, gdp_tot_mes!$B$1:$XFD$1, 0), 0)*1000/VLOOKUP($B133, pop_mesorreg_interpol!$B:$XFD, MATCH(gdp_capita_mesorreg!T$1, pop_mesorreg_interpol!$B$1:$XFD$1, 0), 0)</f>
        <v>25150.499906051638</v>
      </c>
      <c r="U133" s="7">
        <f>VLOOKUP($B133, gdp_tot_mes!$B:$XFD, MATCH(gdp_capita_mesorreg!U$1, gdp_tot_mes!$B$1:$XFD$1, 0), 0)*1000/VLOOKUP($B133, pop_mesorreg_interpol!$B:$XFD, MATCH(gdp_capita_mesorreg!U$1, pop_mesorreg_interpol!$B$1:$XFD$1, 0), 0)</f>
        <v>26184.744751706941</v>
      </c>
      <c r="V133" s="7">
        <f>VLOOKUP($B133, gdp_tot_mes!$B:$XFD, MATCH(gdp_capita_mesorreg!V$1, gdp_tot_mes!$B$1:$XFD$1, 0), 0)*1000/VLOOKUP($B133, pop_mesorreg_interpol!$B:$XFD, MATCH(gdp_capita_mesorreg!V$1, pop_mesorreg_interpol!$B$1:$XFD$1, 0), 0)</f>
        <v>29872.927801702423</v>
      </c>
      <c r="W133" s="7">
        <f>VLOOKUP($B133, gdp_tot_mes!$B:$XFD, MATCH(gdp_capita_mesorreg!W$1, gdp_tot_mes!$B$1:$XFD$1, 0), 0)*1000/VLOOKUP($B133, pop_mesorreg_interpol!$B:$XFD, MATCH(gdp_capita_mesorreg!W$1, pop_mesorreg_interpol!$B$1:$XFD$1, 0), 0)</f>
        <v>28625.096381772422</v>
      </c>
      <c r="X133" s="7">
        <f>VLOOKUP($B133, gdp_tot_mes!$B:$XFD, MATCH(gdp_capita_mesorreg!X$1, gdp_tot_mes!$B$1:$XFD$1, 0), 0)*1000/VLOOKUP($B133, pop_mesorreg_interpol!$B:$XFD, MATCH(gdp_capita_mesorreg!X$1, pop_mesorreg_interpol!$B$1:$XFD$1, 0), 0)</f>
        <v>28815.700270515437</v>
      </c>
      <c r="Y133" s="7">
        <f>VLOOKUP($B133, gdp_tot_mes!$B:$XFD, MATCH(gdp_capita_mesorreg!Y$1, gdp_tot_mes!$B$1:$XFD$1, 0), 0)*1000/VLOOKUP($B133, pop_mesorreg_interpol!$B:$XFD, MATCH(gdp_capita_mesorreg!Y$1, pop_mesorreg_interpol!$B$1:$XFD$1, 0), 0)</f>
        <v>30747.089448780665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x14ac:dyDescent="0.25">
      <c r="A134" s="1" t="s">
        <v>288</v>
      </c>
      <c r="B134" s="1" t="s">
        <v>313</v>
      </c>
      <c r="C134" s="1" t="s">
        <v>314</v>
      </c>
      <c r="D134" s="7">
        <f>VLOOKUP($B134, gdp_tot_mes!$B:$XFD, MATCH(gdp_capita_mesorreg!D$1, gdp_tot_mes!$B$1:$XFD$1, 0), 0)*1000/VLOOKUP($B134, pop_mesorreg_interpol!$B:$XFD, MATCH(gdp_capita_mesorreg!D$1, pop_mesorreg_interpol!$B$1:$XFD$1, 0), 0)</f>
        <v>931.50010578729029</v>
      </c>
      <c r="E134" s="7">
        <f>VLOOKUP($B134, gdp_tot_mes!$B:$XFD, MATCH(gdp_capita_mesorreg!E$1, gdp_tot_mes!$B$1:$XFD$1, 0), 0)*1000/VLOOKUP($B134, pop_mesorreg_interpol!$B:$XFD, MATCH(gdp_capita_mesorreg!E$1, pop_mesorreg_interpol!$B$1:$XFD$1, 0), 0)</f>
        <v>2349.6127788190106</v>
      </c>
      <c r="F134" s="7">
        <f>VLOOKUP($B134, gdp_tot_mes!$B:$XFD, MATCH(gdp_capita_mesorreg!F$1, gdp_tot_mes!$B$1:$XFD$1, 0), 0)*1000/VLOOKUP($B134, pop_mesorreg_interpol!$B:$XFD, MATCH(gdp_capita_mesorreg!F$1, pop_mesorreg_interpol!$B$1:$XFD$1, 0), 0)</f>
        <v>3800.9962354244308</v>
      </c>
      <c r="G134" s="7">
        <f>VLOOKUP($B134, gdp_tot_mes!$B:$XFD, MATCH(gdp_capita_mesorreg!G$1, gdp_tot_mes!$B$1:$XFD$1, 0), 0)*1000/VLOOKUP($B134, pop_mesorreg_interpol!$B:$XFD, MATCH(gdp_capita_mesorreg!G$1, pop_mesorreg_interpol!$B$1:$XFD$1, 0), 0)</f>
        <v>4732.7179130219574</v>
      </c>
      <c r="H134" s="7">
        <f>VLOOKUP($B134, gdp_tot_mes!$B:$XFD, MATCH(gdp_capita_mesorreg!H$1, gdp_tot_mes!$B$1:$XFD$1, 0), 0)*1000/VLOOKUP($B134, pop_mesorreg_interpol!$B:$XFD, MATCH(gdp_capita_mesorreg!H$1, pop_mesorreg_interpol!$B$1:$XFD$1, 0), 0)</f>
        <v>10497.469031696994</v>
      </c>
      <c r="I134" s="7">
        <f>VLOOKUP($B134, gdp_tot_mes!$B:$XFD, MATCH(gdp_capita_mesorreg!I$1, gdp_tot_mes!$B$1:$XFD$1, 0), 0)*1000/VLOOKUP($B134, pop_mesorreg_interpol!$B:$XFD, MATCH(gdp_capita_mesorreg!I$1, pop_mesorreg_interpol!$B$1:$XFD$1, 0), 0)</f>
        <v>16723.13365787654</v>
      </c>
      <c r="J134" s="7">
        <f>VLOOKUP($B134, gdp_tot_mes!$B:$XFD, MATCH(gdp_capita_mesorreg!J$1, gdp_tot_mes!$B$1:$XFD$1, 0), 0)*1000/VLOOKUP($B134, pop_mesorreg_interpol!$B:$XFD, MATCH(gdp_capita_mesorreg!J$1, pop_mesorreg_interpol!$B$1:$XFD$1, 0), 0)</f>
        <v>23734.886102325083</v>
      </c>
      <c r="K134" s="7">
        <f>VLOOKUP($B134, gdp_tot_mes!$B:$XFD, MATCH(gdp_capita_mesorreg!K$1, gdp_tot_mes!$B$1:$XFD$1, 0), 0)*1000/VLOOKUP($B134, pop_mesorreg_interpol!$B:$XFD, MATCH(gdp_capita_mesorreg!K$1, pop_mesorreg_interpol!$B$1:$XFD$1, 0), 0)</f>
        <v>27968.092389307985</v>
      </c>
      <c r="L134" s="8">
        <f>VLOOKUP($B134, gdp_tot_mes!$B:$XFD, MATCH(gdp_capita_mesorreg!L$1, gdp_tot_mes!$B$1:$XFD$1, 0), 0)*1000/VLOOKUP($B134, pop_mesorreg_interpol!$B:$XFD, MATCH(gdp_capita_mesorreg!L$1, pop_mesorreg_interpol!$B$1:$XFD$1, 0), 0)</f>
        <v>24364.251687262502</v>
      </c>
      <c r="M134" s="7">
        <f>VLOOKUP($B134, gdp_tot_mes!$B:$XFD, MATCH(gdp_capita_mesorreg!M$1, gdp_tot_mes!$B$1:$XFD$1, 0), 0)*1000/VLOOKUP($B134, pop_mesorreg_interpol!$B:$XFD, MATCH(gdp_capita_mesorreg!M$1, pop_mesorreg_interpol!$B$1:$XFD$1, 0), 0)</f>
        <v>20987.436886360512</v>
      </c>
      <c r="N134" s="7">
        <f>VLOOKUP($B134, gdp_tot_mes!$B:$XFD, MATCH(gdp_capita_mesorreg!N$1, gdp_tot_mes!$B$1:$XFD$1, 0), 0)*1000/VLOOKUP($B134, pop_mesorreg_interpol!$B:$XFD, MATCH(gdp_capita_mesorreg!N$1, pop_mesorreg_interpol!$B$1:$XFD$1, 0), 0)</f>
        <v>27412.010305403772</v>
      </c>
      <c r="O134" s="7">
        <f>VLOOKUP($B134, gdp_tot_mes!$B:$XFD, MATCH(gdp_capita_mesorreg!O$1, gdp_tot_mes!$B$1:$XFD$1, 0), 0)*1000/VLOOKUP($B134, pop_mesorreg_interpol!$B:$XFD, MATCH(gdp_capita_mesorreg!O$1, pop_mesorreg_interpol!$B$1:$XFD$1, 0), 0)</f>
        <v>31407.541567136534</v>
      </c>
      <c r="P134" s="7">
        <f>VLOOKUP($B134, gdp_tot_mes!$B:$XFD, MATCH(gdp_capita_mesorreg!P$1, gdp_tot_mes!$B$1:$XFD$1, 0), 0)*1000/VLOOKUP($B134, pop_mesorreg_interpol!$B:$XFD, MATCH(gdp_capita_mesorreg!P$1, pop_mesorreg_interpol!$B$1:$XFD$1, 0), 0)</f>
        <v>29803.660897875518</v>
      </c>
      <c r="Q134" s="7">
        <f>VLOOKUP($B134, gdp_tot_mes!$B:$XFD, MATCH(gdp_capita_mesorreg!Q$1, gdp_tot_mes!$B$1:$XFD$1, 0), 0)*1000/VLOOKUP($B134, pop_mesorreg_interpol!$B:$XFD, MATCH(gdp_capita_mesorreg!Q$1, pop_mesorreg_interpol!$B$1:$XFD$1, 0), 0)</f>
        <v>29235.857143984722</v>
      </c>
      <c r="R134" s="7">
        <f>VLOOKUP($B134, gdp_tot_mes!$B:$XFD, MATCH(gdp_capita_mesorreg!R$1, gdp_tot_mes!$B$1:$XFD$1, 0), 0)*1000/VLOOKUP($B134, pop_mesorreg_interpol!$B:$XFD, MATCH(gdp_capita_mesorreg!R$1, pop_mesorreg_interpol!$B$1:$XFD$1, 0), 0)</f>
        <v>26228.458559734565</v>
      </c>
      <c r="S134" s="7">
        <f>VLOOKUP($B134, gdp_tot_mes!$B:$XFD, MATCH(gdp_capita_mesorreg!S$1, gdp_tot_mes!$B$1:$XFD$1, 0), 0)*1000/VLOOKUP($B134, pop_mesorreg_interpol!$B:$XFD, MATCH(gdp_capita_mesorreg!S$1, pop_mesorreg_interpol!$B$1:$XFD$1, 0), 0)</f>
        <v>28514.525372657568</v>
      </c>
      <c r="T134" s="7">
        <f>VLOOKUP($B134, gdp_tot_mes!$B:$XFD, MATCH(gdp_capita_mesorreg!T$1, gdp_tot_mes!$B$1:$XFD$1, 0), 0)*1000/VLOOKUP($B134, pop_mesorreg_interpol!$B:$XFD, MATCH(gdp_capita_mesorreg!T$1, pop_mesorreg_interpol!$B$1:$XFD$1, 0), 0)</f>
        <v>27011.810424453481</v>
      </c>
      <c r="U134" s="7">
        <f>VLOOKUP($B134, gdp_tot_mes!$B:$XFD, MATCH(gdp_capita_mesorreg!U$1, gdp_tot_mes!$B$1:$XFD$1, 0), 0)*1000/VLOOKUP($B134, pop_mesorreg_interpol!$B:$XFD, MATCH(gdp_capita_mesorreg!U$1, pop_mesorreg_interpol!$B$1:$XFD$1, 0), 0)</f>
        <v>25910.594128877477</v>
      </c>
      <c r="V134" s="7">
        <f>VLOOKUP($B134, gdp_tot_mes!$B:$XFD, MATCH(gdp_capita_mesorreg!V$1, gdp_tot_mes!$B$1:$XFD$1, 0), 0)*1000/VLOOKUP($B134, pop_mesorreg_interpol!$B:$XFD, MATCH(gdp_capita_mesorreg!V$1, pop_mesorreg_interpol!$B$1:$XFD$1, 0), 0)</f>
        <v>26937.861752346711</v>
      </c>
      <c r="W134" s="7">
        <f>VLOOKUP($B134, gdp_tot_mes!$B:$XFD, MATCH(gdp_capita_mesorreg!W$1, gdp_tot_mes!$B$1:$XFD$1, 0), 0)*1000/VLOOKUP($B134, pop_mesorreg_interpol!$B:$XFD, MATCH(gdp_capita_mesorreg!W$1, pop_mesorreg_interpol!$B$1:$XFD$1, 0), 0)</f>
        <v>27598.021662698568</v>
      </c>
      <c r="X134" s="7">
        <f>VLOOKUP($B134, gdp_tot_mes!$B:$XFD, MATCH(gdp_capita_mesorreg!X$1, gdp_tot_mes!$B$1:$XFD$1, 0), 0)*1000/VLOOKUP($B134, pop_mesorreg_interpol!$B:$XFD, MATCH(gdp_capita_mesorreg!X$1, pop_mesorreg_interpol!$B$1:$XFD$1, 0), 0)</f>
        <v>27050.046726649471</v>
      </c>
      <c r="Y134" s="7">
        <f>VLOOKUP($B134, gdp_tot_mes!$B:$XFD, MATCH(gdp_capita_mesorreg!Y$1, gdp_tot_mes!$B$1:$XFD$1, 0), 0)*1000/VLOOKUP($B134, pop_mesorreg_interpol!$B:$XFD, MATCH(gdp_capita_mesorreg!Y$1, pop_mesorreg_interpol!$B$1:$XFD$1, 0), 0)</f>
        <v>27244.701650715298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x14ac:dyDescent="0.25">
      <c r="A135" s="1" t="s">
        <v>288</v>
      </c>
      <c r="B135" s="1" t="s">
        <v>315</v>
      </c>
      <c r="C135" s="1" t="s">
        <v>316</v>
      </c>
      <c r="D135" s="7">
        <f>VLOOKUP($B135, gdp_tot_mes!$B:$XFD, MATCH(gdp_capita_mesorreg!D$1, gdp_tot_mes!$B$1:$XFD$1, 0), 0)*1000/VLOOKUP($B135, pop_mesorreg_interpol!$B:$XFD, MATCH(gdp_capita_mesorreg!D$1, pop_mesorreg_interpol!$B$1:$XFD$1, 0), 0)</f>
        <v>636.91387216859516</v>
      </c>
      <c r="E135" s="7">
        <f>VLOOKUP($B135, gdp_tot_mes!$B:$XFD, MATCH(gdp_capita_mesorreg!E$1, gdp_tot_mes!$B$1:$XFD$1, 0), 0)*1000/VLOOKUP($B135, pop_mesorreg_interpol!$B:$XFD, MATCH(gdp_capita_mesorreg!E$1, pop_mesorreg_interpol!$B$1:$XFD$1, 0), 0)</f>
        <v>1721.9025231349833</v>
      </c>
      <c r="F135" s="7">
        <f>VLOOKUP($B135, gdp_tot_mes!$B:$XFD, MATCH(gdp_capita_mesorreg!F$1, gdp_tot_mes!$B$1:$XFD$1, 0), 0)*1000/VLOOKUP($B135, pop_mesorreg_interpol!$B:$XFD, MATCH(gdp_capita_mesorreg!F$1, pop_mesorreg_interpol!$B$1:$XFD$1, 0), 0)</f>
        <v>2524.1542295080349</v>
      </c>
      <c r="G135" s="7">
        <f>VLOOKUP($B135, gdp_tot_mes!$B:$XFD, MATCH(gdp_capita_mesorreg!G$1, gdp_tot_mes!$B$1:$XFD$1, 0), 0)*1000/VLOOKUP($B135, pop_mesorreg_interpol!$B:$XFD, MATCH(gdp_capita_mesorreg!G$1, pop_mesorreg_interpol!$B$1:$XFD$1, 0), 0)</f>
        <v>3671.3312431881618</v>
      </c>
      <c r="H135" s="7">
        <f>VLOOKUP($B135, gdp_tot_mes!$B:$XFD, MATCH(gdp_capita_mesorreg!H$1, gdp_tot_mes!$B$1:$XFD$1, 0), 0)*1000/VLOOKUP($B135, pop_mesorreg_interpol!$B:$XFD, MATCH(gdp_capita_mesorreg!H$1, pop_mesorreg_interpol!$B$1:$XFD$1, 0), 0)</f>
        <v>4842.2986751515336</v>
      </c>
      <c r="I135" s="7">
        <f>VLOOKUP($B135, gdp_tot_mes!$B:$XFD, MATCH(gdp_capita_mesorreg!I$1, gdp_tot_mes!$B$1:$XFD$1, 0), 0)*1000/VLOOKUP($B135, pop_mesorreg_interpol!$B:$XFD, MATCH(gdp_capita_mesorreg!I$1, pop_mesorreg_interpol!$B$1:$XFD$1, 0), 0)</f>
        <v>9280.7420924778999</v>
      </c>
      <c r="J135" s="7">
        <f>VLOOKUP($B135, gdp_tot_mes!$B:$XFD, MATCH(gdp_capita_mesorreg!J$1, gdp_tot_mes!$B$1:$XFD$1, 0), 0)*1000/VLOOKUP($B135, pop_mesorreg_interpol!$B:$XFD, MATCH(gdp_capita_mesorreg!J$1, pop_mesorreg_interpol!$B$1:$XFD$1, 0), 0)</f>
        <v>9694.4331818143473</v>
      </c>
      <c r="K135" s="7">
        <f>VLOOKUP($B135, gdp_tot_mes!$B:$XFD, MATCH(gdp_capita_mesorreg!K$1, gdp_tot_mes!$B$1:$XFD$1, 0), 0)*1000/VLOOKUP($B135, pop_mesorreg_interpol!$B:$XFD, MATCH(gdp_capita_mesorreg!K$1, pop_mesorreg_interpol!$B$1:$XFD$1, 0), 0)</f>
        <v>10958.735128273212</v>
      </c>
      <c r="L135" s="8">
        <f>VLOOKUP($B135, gdp_tot_mes!$B:$XFD, MATCH(gdp_capita_mesorreg!L$1, gdp_tot_mes!$B$1:$XFD$1, 0), 0)*1000/VLOOKUP($B135, pop_mesorreg_interpol!$B:$XFD, MATCH(gdp_capita_mesorreg!L$1, pop_mesorreg_interpol!$B$1:$XFD$1, 0), 0)</f>
        <v>9160.8384628869826</v>
      </c>
      <c r="M135" s="7">
        <f>VLOOKUP($B135, gdp_tot_mes!$B:$XFD, MATCH(gdp_capita_mesorreg!M$1, gdp_tot_mes!$B$1:$XFD$1, 0), 0)*1000/VLOOKUP($B135, pop_mesorreg_interpol!$B:$XFD, MATCH(gdp_capita_mesorreg!M$1, pop_mesorreg_interpol!$B$1:$XFD$1, 0), 0)</f>
        <v>7509.2857439213503</v>
      </c>
      <c r="N135" s="7">
        <f>VLOOKUP($B135, gdp_tot_mes!$B:$XFD, MATCH(gdp_capita_mesorreg!N$1, gdp_tot_mes!$B$1:$XFD$1, 0), 0)*1000/VLOOKUP($B135, pop_mesorreg_interpol!$B:$XFD, MATCH(gdp_capita_mesorreg!N$1, pop_mesorreg_interpol!$B$1:$XFD$1, 0), 0)</f>
        <v>9818.9413942281899</v>
      </c>
      <c r="O135" s="7">
        <f>VLOOKUP($B135, gdp_tot_mes!$B:$XFD, MATCH(gdp_capita_mesorreg!O$1, gdp_tot_mes!$B$1:$XFD$1, 0), 0)*1000/VLOOKUP($B135, pop_mesorreg_interpol!$B:$XFD, MATCH(gdp_capita_mesorreg!O$1, pop_mesorreg_interpol!$B$1:$XFD$1, 0), 0)</f>
        <v>9556.0204681416653</v>
      </c>
      <c r="P135" s="7">
        <f>VLOOKUP($B135, gdp_tot_mes!$B:$XFD, MATCH(gdp_capita_mesorreg!P$1, gdp_tot_mes!$B$1:$XFD$1, 0), 0)*1000/VLOOKUP($B135, pop_mesorreg_interpol!$B:$XFD, MATCH(gdp_capita_mesorreg!P$1, pop_mesorreg_interpol!$B$1:$XFD$1, 0), 0)</f>
        <v>9657.0421368600873</v>
      </c>
      <c r="Q135" s="7">
        <f>VLOOKUP($B135, gdp_tot_mes!$B:$XFD, MATCH(gdp_capita_mesorreg!Q$1, gdp_tot_mes!$B$1:$XFD$1, 0), 0)*1000/VLOOKUP($B135, pop_mesorreg_interpol!$B:$XFD, MATCH(gdp_capita_mesorreg!Q$1, pop_mesorreg_interpol!$B$1:$XFD$1, 0), 0)</f>
        <v>10399.517222251035</v>
      </c>
      <c r="R135" s="7">
        <f>VLOOKUP($B135, gdp_tot_mes!$B:$XFD, MATCH(gdp_capita_mesorreg!R$1, gdp_tot_mes!$B$1:$XFD$1, 0), 0)*1000/VLOOKUP($B135, pop_mesorreg_interpol!$B:$XFD, MATCH(gdp_capita_mesorreg!R$1, pop_mesorreg_interpol!$B$1:$XFD$1, 0), 0)</f>
        <v>9955.0298316929147</v>
      </c>
      <c r="S135" s="7">
        <f>VLOOKUP($B135, gdp_tot_mes!$B:$XFD, MATCH(gdp_capita_mesorreg!S$1, gdp_tot_mes!$B$1:$XFD$1, 0), 0)*1000/VLOOKUP($B135, pop_mesorreg_interpol!$B:$XFD, MATCH(gdp_capita_mesorreg!S$1, pop_mesorreg_interpol!$B$1:$XFD$1, 0), 0)</f>
        <v>9577.5196880672866</v>
      </c>
      <c r="T135" s="7">
        <f>VLOOKUP($B135, gdp_tot_mes!$B:$XFD, MATCH(gdp_capita_mesorreg!T$1, gdp_tot_mes!$B$1:$XFD$1, 0), 0)*1000/VLOOKUP($B135, pop_mesorreg_interpol!$B:$XFD, MATCH(gdp_capita_mesorreg!T$1, pop_mesorreg_interpol!$B$1:$XFD$1, 0), 0)</f>
        <v>9916.4476468142911</v>
      </c>
      <c r="U135" s="7">
        <f>VLOOKUP($B135, gdp_tot_mes!$B:$XFD, MATCH(gdp_capita_mesorreg!U$1, gdp_tot_mes!$B$1:$XFD$1, 0), 0)*1000/VLOOKUP($B135, pop_mesorreg_interpol!$B:$XFD, MATCH(gdp_capita_mesorreg!U$1, pop_mesorreg_interpol!$B$1:$XFD$1, 0), 0)</f>
        <v>9920.0112581524609</v>
      </c>
      <c r="V135" s="7">
        <f>VLOOKUP($B135, gdp_tot_mes!$B:$XFD, MATCH(gdp_capita_mesorreg!V$1, gdp_tot_mes!$B$1:$XFD$1, 0), 0)*1000/VLOOKUP($B135, pop_mesorreg_interpol!$B:$XFD, MATCH(gdp_capita_mesorreg!V$1, pop_mesorreg_interpol!$B$1:$XFD$1, 0), 0)</f>
        <v>9998.284339637903</v>
      </c>
      <c r="W135" s="7">
        <f>VLOOKUP($B135, gdp_tot_mes!$B:$XFD, MATCH(gdp_capita_mesorreg!W$1, gdp_tot_mes!$B$1:$XFD$1, 0), 0)*1000/VLOOKUP($B135, pop_mesorreg_interpol!$B:$XFD, MATCH(gdp_capita_mesorreg!W$1, pop_mesorreg_interpol!$B$1:$XFD$1, 0), 0)</f>
        <v>10057.259036359857</v>
      </c>
      <c r="X135" s="7">
        <f>VLOOKUP($B135, gdp_tot_mes!$B:$XFD, MATCH(gdp_capita_mesorreg!X$1, gdp_tot_mes!$B$1:$XFD$1, 0), 0)*1000/VLOOKUP($B135, pop_mesorreg_interpol!$B:$XFD, MATCH(gdp_capita_mesorreg!X$1, pop_mesorreg_interpol!$B$1:$XFD$1, 0), 0)</f>
        <v>10723.785079599937</v>
      </c>
      <c r="Y135" s="7">
        <f>VLOOKUP($B135, gdp_tot_mes!$B:$XFD, MATCH(gdp_capita_mesorreg!Y$1, gdp_tot_mes!$B$1:$XFD$1, 0), 0)*1000/VLOOKUP($B135, pop_mesorreg_interpol!$B:$XFD, MATCH(gdp_capita_mesorreg!Y$1, pop_mesorreg_interpol!$B$1:$XFD$1, 0), 0)</f>
        <v>11977.268747161486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x14ac:dyDescent="0.25">
      <c r="A136" s="1" t="s">
        <v>288</v>
      </c>
      <c r="B136" s="1" t="s">
        <v>317</v>
      </c>
      <c r="C136" s="1" t="s">
        <v>318</v>
      </c>
      <c r="D136" s="7">
        <f>VLOOKUP($B136, gdp_tot_mes!$B:$XFD, MATCH(gdp_capita_mesorreg!D$1, gdp_tot_mes!$B$1:$XFD$1, 0), 0)*1000/VLOOKUP($B136, pop_mesorreg_interpol!$B:$XFD, MATCH(gdp_capita_mesorreg!D$1, pop_mesorreg_interpol!$B$1:$XFD$1, 0), 0)</f>
        <v>1818.8192500852006</v>
      </c>
      <c r="E136" s="7">
        <f>VLOOKUP($B136, gdp_tot_mes!$B:$XFD, MATCH(gdp_capita_mesorreg!E$1, gdp_tot_mes!$B$1:$XFD$1, 0), 0)*1000/VLOOKUP($B136, pop_mesorreg_interpol!$B:$XFD, MATCH(gdp_capita_mesorreg!E$1, pop_mesorreg_interpol!$B$1:$XFD$1, 0), 0)</f>
        <v>9545.3008156596406</v>
      </c>
      <c r="F136" s="7">
        <f>VLOOKUP($B136, gdp_tot_mes!$B:$XFD, MATCH(gdp_capita_mesorreg!F$1, gdp_tot_mes!$B$1:$XFD$1, 0), 0)*1000/VLOOKUP($B136, pop_mesorreg_interpol!$B:$XFD, MATCH(gdp_capita_mesorreg!F$1, pop_mesorreg_interpol!$B$1:$XFD$1, 0), 0)</f>
        <v>11491.423736143235</v>
      </c>
      <c r="G136" s="7">
        <f>VLOOKUP($B136, gdp_tot_mes!$B:$XFD, MATCH(gdp_capita_mesorreg!G$1, gdp_tot_mes!$B$1:$XFD$1, 0), 0)*1000/VLOOKUP($B136, pop_mesorreg_interpol!$B:$XFD, MATCH(gdp_capita_mesorreg!G$1, pop_mesorreg_interpol!$B$1:$XFD$1, 0), 0)</f>
        <v>17441.741017610919</v>
      </c>
      <c r="H136" s="7">
        <f>VLOOKUP($B136, gdp_tot_mes!$B:$XFD, MATCH(gdp_capita_mesorreg!H$1, gdp_tot_mes!$B$1:$XFD$1, 0), 0)*1000/VLOOKUP($B136, pop_mesorreg_interpol!$B:$XFD, MATCH(gdp_capita_mesorreg!H$1, pop_mesorreg_interpol!$B$1:$XFD$1, 0), 0)</f>
        <v>22315.489214971654</v>
      </c>
      <c r="I136" s="7">
        <f>VLOOKUP($B136, gdp_tot_mes!$B:$XFD, MATCH(gdp_capita_mesorreg!I$1, gdp_tot_mes!$B$1:$XFD$1, 0), 0)*1000/VLOOKUP($B136, pop_mesorreg_interpol!$B:$XFD, MATCH(gdp_capita_mesorreg!I$1, pop_mesorreg_interpol!$B$1:$XFD$1, 0), 0)</f>
        <v>29577.114747958018</v>
      </c>
      <c r="J136" s="7">
        <f>VLOOKUP($B136, gdp_tot_mes!$B:$XFD, MATCH(gdp_capita_mesorreg!J$1, gdp_tot_mes!$B$1:$XFD$1, 0), 0)*1000/VLOOKUP($B136, pop_mesorreg_interpol!$B:$XFD, MATCH(gdp_capita_mesorreg!J$1, pop_mesorreg_interpol!$B$1:$XFD$1, 0), 0)</f>
        <v>31986.80274095686</v>
      </c>
      <c r="K136" s="7">
        <f>VLOOKUP($B136, gdp_tot_mes!$B:$XFD, MATCH(gdp_capita_mesorreg!K$1, gdp_tot_mes!$B$1:$XFD$1, 0), 0)*1000/VLOOKUP($B136, pop_mesorreg_interpol!$B:$XFD, MATCH(gdp_capita_mesorreg!K$1, pop_mesorreg_interpol!$B$1:$XFD$1, 0), 0)</f>
        <v>28363.996376667375</v>
      </c>
      <c r="L136" s="8">
        <f>VLOOKUP($B136, gdp_tot_mes!$B:$XFD, MATCH(gdp_capita_mesorreg!L$1, gdp_tot_mes!$B$1:$XFD$1, 0), 0)*1000/VLOOKUP($B136, pop_mesorreg_interpol!$B:$XFD, MATCH(gdp_capita_mesorreg!L$1, pop_mesorreg_interpol!$B$1:$XFD$1, 0), 0)</f>
        <v>27409.860450013948</v>
      </c>
      <c r="M136" s="7">
        <f>VLOOKUP($B136, gdp_tot_mes!$B:$XFD, MATCH(gdp_capita_mesorreg!M$1, gdp_tot_mes!$B$1:$XFD$1, 0), 0)*1000/VLOOKUP($B136, pop_mesorreg_interpol!$B:$XFD, MATCH(gdp_capita_mesorreg!M$1, pop_mesorreg_interpol!$B$1:$XFD$1, 0), 0)</f>
        <v>26454.126691830159</v>
      </c>
      <c r="N136" s="7">
        <f>VLOOKUP($B136, gdp_tot_mes!$B:$XFD, MATCH(gdp_capita_mesorreg!N$1, gdp_tot_mes!$B$1:$XFD$1, 0), 0)*1000/VLOOKUP($B136, pop_mesorreg_interpol!$B:$XFD, MATCH(gdp_capita_mesorreg!N$1, pop_mesorreg_interpol!$B$1:$XFD$1, 0), 0)</f>
        <v>30403.606100991779</v>
      </c>
      <c r="O136" s="7">
        <f>VLOOKUP($B136, gdp_tot_mes!$B:$XFD, MATCH(gdp_capita_mesorreg!O$1, gdp_tot_mes!$B$1:$XFD$1, 0), 0)*1000/VLOOKUP($B136, pop_mesorreg_interpol!$B:$XFD, MATCH(gdp_capita_mesorreg!O$1, pop_mesorreg_interpol!$B$1:$XFD$1, 0), 0)</f>
        <v>30034.387730418261</v>
      </c>
      <c r="P136" s="7">
        <f>VLOOKUP($B136, gdp_tot_mes!$B:$XFD, MATCH(gdp_capita_mesorreg!P$1, gdp_tot_mes!$B$1:$XFD$1, 0), 0)*1000/VLOOKUP($B136, pop_mesorreg_interpol!$B:$XFD, MATCH(gdp_capita_mesorreg!P$1, pop_mesorreg_interpol!$B$1:$XFD$1, 0), 0)</f>
        <v>30236.166476237369</v>
      </c>
      <c r="Q136" s="7">
        <f>VLOOKUP($B136, gdp_tot_mes!$B:$XFD, MATCH(gdp_capita_mesorreg!Q$1, gdp_tot_mes!$B$1:$XFD$1, 0), 0)*1000/VLOOKUP($B136, pop_mesorreg_interpol!$B:$XFD, MATCH(gdp_capita_mesorreg!Q$1, pop_mesorreg_interpol!$B$1:$XFD$1, 0), 0)</f>
        <v>29330.369056065414</v>
      </c>
      <c r="R136" s="7">
        <f>VLOOKUP($B136, gdp_tot_mes!$B:$XFD, MATCH(gdp_capita_mesorreg!R$1, gdp_tot_mes!$B$1:$XFD$1, 0), 0)*1000/VLOOKUP($B136, pop_mesorreg_interpol!$B:$XFD, MATCH(gdp_capita_mesorreg!R$1, pop_mesorreg_interpol!$B$1:$XFD$1, 0), 0)</f>
        <v>28715.985283294431</v>
      </c>
      <c r="S136" s="7">
        <f>VLOOKUP($B136, gdp_tot_mes!$B:$XFD, MATCH(gdp_capita_mesorreg!S$1, gdp_tot_mes!$B$1:$XFD$1, 0), 0)*1000/VLOOKUP($B136, pop_mesorreg_interpol!$B:$XFD, MATCH(gdp_capita_mesorreg!S$1, pop_mesorreg_interpol!$B$1:$XFD$1, 0), 0)</f>
        <v>29153.657986316204</v>
      </c>
      <c r="T136" s="7">
        <f>VLOOKUP($B136, gdp_tot_mes!$B:$XFD, MATCH(gdp_capita_mesorreg!T$1, gdp_tot_mes!$B$1:$XFD$1, 0), 0)*1000/VLOOKUP($B136, pop_mesorreg_interpol!$B:$XFD, MATCH(gdp_capita_mesorreg!T$1, pop_mesorreg_interpol!$B$1:$XFD$1, 0), 0)</f>
        <v>31114.06003551956</v>
      </c>
      <c r="U136" s="7">
        <f>VLOOKUP($B136, gdp_tot_mes!$B:$XFD, MATCH(gdp_capita_mesorreg!U$1, gdp_tot_mes!$B$1:$XFD$1, 0), 0)*1000/VLOOKUP($B136, pop_mesorreg_interpol!$B:$XFD, MATCH(gdp_capita_mesorreg!U$1, pop_mesorreg_interpol!$B$1:$XFD$1, 0), 0)</f>
        <v>31048.660625361412</v>
      </c>
      <c r="V136" s="7">
        <f>VLOOKUP($B136, gdp_tot_mes!$B:$XFD, MATCH(gdp_capita_mesorreg!V$1, gdp_tot_mes!$B$1:$XFD$1, 0), 0)*1000/VLOOKUP($B136, pop_mesorreg_interpol!$B:$XFD, MATCH(gdp_capita_mesorreg!V$1, pop_mesorreg_interpol!$B$1:$XFD$1, 0), 0)</f>
        <v>33449.521974606767</v>
      </c>
      <c r="W136" s="7">
        <f>VLOOKUP($B136, gdp_tot_mes!$B:$XFD, MATCH(gdp_capita_mesorreg!W$1, gdp_tot_mes!$B$1:$XFD$1, 0), 0)*1000/VLOOKUP($B136, pop_mesorreg_interpol!$B:$XFD, MATCH(gdp_capita_mesorreg!W$1, pop_mesorreg_interpol!$B$1:$XFD$1, 0), 0)</f>
        <v>34191.734619388917</v>
      </c>
      <c r="X136" s="7">
        <f>VLOOKUP($B136, gdp_tot_mes!$B:$XFD, MATCH(gdp_capita_mesorreg!X$1, gdp_tot_mes!$B$1:$XFD$1, 0), 0)*1000/VLOOKUP($B136, pop_mesorreg_interpol!$B:$XFD, MATCH(gdp_capita_mesorreg!X$1, pop_mesorreg_interpol!$B$1:$XFD$1, 0), 0)</f>
        <v>33641.192262258723</v>
      </c>
      <c r="Y136" s="7">
        <f>VLOOKUP($B136, gdp_tot_mes!$B:$XFD, MATCH(gdp_capita_mesorreg!Y$1, gdp_tot_mes!$B$1:$XFD$1, 0), 0)*1000/VLOOKUP($B136, pop_mesorreg_interpol!$B:$XFD, MATCH(gdp_capita_mesorreg!Y$1, pop_mesorreg_interpol!$B$1:$XFD$1, 0), 0)</f>
        <v>35311.614403704698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x14ac:dyDescent="0.25">
      <c r="A137" s="1" t="s">
        <v>319</v>
      </c>
      <c r="B137" s="1" t="s">
        <v>320</v>
      </c>
      <c r="C137" s="1" t="s">
        <v>321</v>
      </c>
      <c r="D137" s="7">
        <f>VLOOKUP($B137, gdp_tot_mes!$B:$XFD, MATCH(gdp_capita_mesorreg!D$1, gdp_tot_mes!$B$1:$XFD$1, 0), 0)*1000/VLOOKUP($B137, pop_mesorreg_interpol!$B:$XFD, MATCH(gdp_capita_mesorreg!D$1, pop_mesorreg_interpol!$B$1:$XFD$1, 0), 0)</f>
        <v>202.76881509548383</v>
      </c>
      <c r="E137" s="7">
        <f>VLOOKUP($B137, gdp_tot_mes!$B:$XFD, MATCH(gdp_capita_mesorreg!E$1, gdp_tot_mes!$B$1:$XFD$1, 0), 0)*1000/VLOOKUP($B137, pop_mesorreg_interpol!$B:$XFD, MATCH(gdp_capita_mesorreg!E$1, pop_mesorreg_interpol!$B$1:$XFD$1, 0), 0)</f>
        <v>1400.5867192895566</v>
      </c>
      <c r="F137" s="7">
        <f>VLOOKUP($B137, gdp_tot_mes!$B:$XFD, MATCH(gdp_capita_mesorreg!F$1, gdp_tot_mes!$B$1:$XFD$1, 0), 0)*1000/VLOOKUP($B137, pop_mesorreg_interpol!$B:$XFD, MATCH(gdp_capita_mesorreg!F$1, pop_mesorreg_interpol!$B$1:$XFD$1, 0), 0)</f>
        <v>612.40983047654288</v>
      </c>
      <c r="G137" s="7">
        <f>VLOOKUP($B137, gdp_tot_mes!$B:$XFD, MATCH(gdp_capita_mesorreg!G$1, gdp_tot_mes!$B$1:$XFD$1, 0), 0)*1000/VLOOKUP($B137, pop_mesorreg_interpol!$B:$XFD, MATCH(gdp_capita_mesorreg!G$1, pop_mesorreg_interpol!$B$1:$XFD$1, 0), 0)</f>
        <v>1478.1470997116298</v>
      </c>
      <c r="H137" s="7">
        <f>VLOOKUP($B137, gdp_tot_mes!$B:$XFD, MATCH(gdp_capita_mesorreg!H$1, gdp_tot_mes!$B$1:$XFD$1, 0), 0)*1000/VLOOKUP($B137, pop_mesorreg_interpol!$B:$XFD, MATCH(gdp_capita_mesorreg!H$1, pop_mesorreg_interpol!$B$1:$XFD$1, 0), 0)</f>
        <v>1731.4191578880404</v>
      </c>
      <c r="I137" s="7">
        <f>VLOOKUP($B137, gdp_tot_mes!$B:$XFD, MATCH(gdp_capita_mesorreg!I$1, gdp_tot_mes!$B$1:$XFD$1, 0), 0)*1000/VLOOKUP($B137, pop_mesorreg_interpol!$B:$XFD, MATCH(gdp_capita_mesorreg!I$1, pop_mesorreg_interpol!$B$1:$XFD$1, 0), 0)</f>
        <v>2702.9646597305059</v>
      </c>
      <c r="J137" s="7">
        <f>VLOOKUP($B137, gdp_tot_mes!$B:$XFD, MATCH(gdp_capita_mesorreg!J$1, gdp_tot_mes!$B$1:$XFD$1, 0), 0)*1000/VLOOKUP($B137, pop_mesorreg_interpol!$B:$XFD, MATCH(gdp_capita_mesorreg!J$1, pop_mesorreg_interpol!$B$1:$XFD$1, 0), 0)</f>
        <v>4492.2768852843374</v>
      </c>
      <c r="K137" s="7">
        <f>VLOOKUP($B137, gdp_tot_mes!$B:$XFD, MATCH(gdp_capita_mesorreg!K$1, gdp_tot_mes!$B$1:$XFD$1, 0), 0)*1000/VLOOKUP($B137, pop_mesorreg_interpol!$B:$XFD, MATCH(gdp_capita_mesorreg!K$1, pop_mesorreg_interpol!$B$1:$XFD$1, 0), 0)</f>
        <v>3844.8119641280991</v>
      </c>
      <c r="L137" s="8">
        <f>VLOOKUP($B137, gdp_tot_mes!$B:$XFD, MATCH(gdp_capita_mesorreg!L$1, gdp_tot_mes!$B$1:$XFD$1, 0), 0)*1000/VLOOKUP($B137, pop_mesorreg_interpol!$B:$XFD, MATCH(gdp_capita_mesorreg!L$1, pop_mesorreg_interpol!$B$1:$XFD$1, 0), 0)</f>
        <v>4467.2299541329112</v>
      </c>
      <c r="M137" s="7">
        <f>VLOOKUP($B137, gdp_tot_mes!$B:$XFD, MATCH(gdp_capita_mesorreg!M$1, gdp_tot_mes!$B$1:$XFD$1, 0), 0)*1000/VLOOKUP($B137, pop_mesorreg_interpol!$B:$XFD, MATCH(gdp_capita_mesorreg!M$1, pop_mesorreg_interpol!$B$1:$XFD$1, 0), 0)</f>
        <v>5080.1725045111525</v>
      </c>
      <c r="N137" s="7">
        <f>VLOOKUP($B137, gdp_tot_mes!$B:$XFD, MATCH(gdp_capita_mesorreg!N$1, gdp_tot_mes!$B$1:$XFD$1, 0), 0)*1000/VLOOKUP($B137, pop_mesorreg_interpol!$B:$XFD, MATCH(gdp_capita_mesorreg!N$1, pop_mesorreg_interpol!$B$1:$XFD$1, 0), 0)</f>
        <v>6602.0488620528549</v>
      </c>
      <c r="O137" s="7">
        <f>VLOOKUP($B137, gdp_tot_mes!$B:$XFD, MATCH(gdp_capita_mesorreg!O$1, gdp_tot_mes!$B$1:$XFD$1, 0), 0)*1000/VLOOKUP($B137, pop_mesorreg_interpol!$B:$XFD, MATCH(gdp_capita_mesorreg!O$1, pop_mesorreg_interpol!$B$1:$XFD$1, 0), 0)</f>
        <v>7113.3800094885428</v>
      </c>
      <c r="P137" s="7">
        <f>VLOOKUP($B137, gdp_tot_mes!$B:$XFD, MATCH(gdp_capita_mesorreg!P$1, gdp_tot_mes!$B$1:$XFD$1, 0), 0)*1000/VLOOKUP($B137, pop_mesorreg_interpol!$B:$XFD, MATCH(gdp_capita_mesorreg!P$1, pop_mesorreg_interpol!$B$1:$XFD$1, 0), 0)</f>
        <v>8282.1381159401371</v>
      </c>
      <c r="Q137" s="7">
        <f>VLOOKUP($B137, gdp_tot_mes!$B:$XFD, MATCH(gdp_capita_mesorreg!Q$1, gdp_tot_mes!$B$1:$XFD$1, 0), 0)*1000/VLOOKUP($B137, pop_mesorreg_interpol!$B:$XFD, MATCH(gdp_capita_mesorreg!Q$1, pop_mesorreg_interpol!$B$1:$XFD$1, 0), 0)</f>
        <v>8480.8703158300159</v>
      </c>
      <c r="R137" s="7">
        <f>VLOOKUP($B137, gdp_tot_mes!$B:$XFD, MATCH(gdp_capita_mesorreg!R$1, gdp_tot_mes!$B$1:$XFD$1, 0), 0)*1000/VLOOKUP($B137, pop_mesorreg_interpol!$B:$XFD, MATCH(gdp_capita_mesorreg!R$1, pop_mesorreg_interpol!$B$1:$XFD$1, 0), 0)</f>
        <v>10164.242818490186</v>
      </c>
      <c r="S137" s="7">
        <f>VLOOKUP($B137, gdp_tot_mes!$B:$XFD, MATCH(gdp_capita_mesorreg!S$1, gdp_tot_mes!$B$1:$XFD$1, 0), 0)*1000/VLOOKUP($B137, pop_mesorreg_interpol!$B:$XFD, MATCH(gdp_capita_mesorreg!S$1, pop_mesorreg_interpol!$B$1:$XFD$1, 0), 0)</f>
        <v>10456.839776635836</v>
      </c>
      <c r="T137" s="7">
        <f>VLOOKUP($B137, gdp_tot_mes!$B:$XFD, MATCH(gdp_capita_mesorreg!T$1, gdp_tot_mes!$B$1:$XFD$1, 0), 0)*1000/VLOOKUP($B137, pop_mesorreg_interpol!$B:$XFD, MATCH(gdp_capita_mesorreg!T$1, pop_mesorreg_interpol!$B$1:$XFD$1, 0), 0)</f>
        <v>10555.887606643297</v>
      </c>
      <c r="U137" s="7">
        <f>VLOOKUP($B137, gdp_tot_mes!$B:$XFD, MATCH(gdp_capita_mesorreg!U$1, gdp_tot_mes!$B$1:$XFD$1, 0), 0)*1000/VLOOKUP($B137, pop_mesorreg_interpol!$B:$XFD, MATCH(gdp_capita_mesorreg!U$1, pop_mesorreg_interpol!$B$1:$XFD$1, 0), 0)</f>
        <v>10202.913093865945</v>
      </c>
      <c r="V137" s="7">
        <f>VLOOKUP($B137, gdp_tot_mes!$B:$XFD, MATCH(gdp_capita_mesorreg!V$1, gdp_tot_mes!$B$1:$XFD$1, 0), 0)*1000/VLOOKUP($B137, pop_mesorreg_interpol!$B:$XFD, MATCH(gdp_capita_mesorreg!V$1, pop_mesorreg_interpol!$B$1:$XFD$1, 0), 0)</f>
        <v>11092.419189862061</v>
      </c>
      <c r="W137" s="7">
        <f>VLOOKUP($B137, gdp_tot_mes!$B:$XFD, MATCH(gdp_capita_mesorreg!W$1, gdp_tot_mes!$B$1:$XFD$1, 0), 0)*1000/VLOOKUP($B137, pop_mesorreg_interpol!$B:$XFD, MATCH(gdp_capita_mesorreg!W$1, pop_mesorreg_interpol!$B$1:$XFD$1, 0), 0)</f>
        <v>11397.865065677213</v>
      </c>
      <c r="X137" s="7">
        <f>VLOOKUP($B137, gdp_tot_mes!$B:$XFD, MATCH(gdp_capita_mesorreg!X$1, gdp_tot_mes!$B$1:$XFD$1, 0), 0)*1000/VLOOKUP($B137, pop_mesorreg_interpol!$B:$XFD, MATCH(gdp_capita_mesorreg!X$1, pop_mesorreg_interpol!$B$1:$XFD$1, 0), 0)</f>
        <v>11385.030981903374</v>
      </c>
      <c r="Y137" s="7">
        <f>VLOOKUP($B137, gdp_tot_mes!$B:$XFD, MATCH(gdp_capita_mesorreg!Y$1, gdp_tot_mes!$B$1:$XFD$1, 0), 0)*1000/VLOOKUP($B137, pop_mesorreg_interpol!$B:$XFD, MATCH(gdp_capita_mesorreg!Y$1, pop_mesorreg_interpol!$B$1:$XFD$1, 0), 0)</f>
        <v>11643.374406434285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x14ac:dyDescent="0.25">
      <c r="A138" s="1" t="s">
        <v>319</v>
      </c>
      <c r="B138" s="1" t="s">
        <v>322</v>
      </c>
      <c r="C138" s="1" t="s">
        <v>323</v>
      </c>
      <c r="D138" s="7">
        <f>VLOOKUP($B138, gdp_tot_mes!$B:$XFD, MATCH(gdp_capita_mesorreg!D$1, gdp_tot_mes!$B$1:$XFD$1, 0), 0)*1000/VLOOKUP($B138, pop_mesorreg_interpol!$B:$XFD, MATCH(gdp_capita_mesorreg!D$1, pop_mesorreg_interpol!$B$1:$XFD$1, 0), 0)</f>
        <v>375.65038851208021</v>
      </c>
      <c r="E138" s="7">
        <f>VLOOKUP($B138, gdp_tot_mes!$B:$XFD, MATCH(gdp_capita_mesorreg!E$1, gdp_tot_mes!$B$1:$XFD$1, 0), 0)*1000/VLOOKUP($B138, pop_mesorreg_interpol!$B:$XFD, MATCH(gdp_capita_mesorreg!E$1, pop_mesorreg_interpol!$B$1:$XFD$1, 0), 0)</f>
        <v>1500.6662984337934</v>
      </c>
      <c r="F138" s="7">
        <f>VLOOKUP($B138, gdp_tot_mes!$B:$XFD, MATCH(gdp_capita_mesorreg!F$1, gdp_tot_mes!$B$1:$XFD$1, 0), 0)*1000/VLOOKUP($B138, pop_mesorreg_interpol!$B:$XFD, MATCH(gdp_capita_mesorreg!F$1, pop_mesorreg_interpol!$B$1:$XFD$1, 0), 0)</f>
        <v>900.73453442245182</v>
      </c>
      <c r="G138" s="7">
        <f>VLOOKUP($B138, gdp_tot_mes!$B:$XFD, MATCH(gdp_capita_mesorreg!G$1, gdp_tot_mes!$B$1:$XFD$1, 0), 0)*1000/VLOOKUP($B138, pop_mesorreg_interpol!$B:$XFD, MATCH(gdp_capita_mesorreg!G$1, pop_mesorreg_interpol!$B$1:$XFD$1, 0), 0)</f>
        <v>1370.6364481683327</v>
      </c>
      <c r="H138" s="7">
        <f>VLOOKUP($B138, gdp_tot_mes!$B:$XFD, MATCH(gdp_capita_mesorreg!H$1, gdp_tot_mes!$B$1:$XFD$1, 0), 0)*1000/VLOOKUP($B138, pop_mesorreg_interpol!$B:$XFD, MATCH(gdp_capita_mesorreg!H$1, pop_mesorreg_interpol!$B$1:$XFD$1, 0), 0)</f>
        <v>1383.823143956351</v>
      </c>
      <c r="I138" s="7">
        <f>VLOOKUP($B138, gdp_tot_mes!$B:$XFD, MATCH(gdp_capita_mesorreg!I$1, gdp_tot_mes!$B$1:$XFD$1, 0), 0)*1000/VLOOKUP($B138, pop_mesorreg_interpol!$B:$XFD, MATCH(gdp_capita_mesorreg!I$1, pop_mesorreg_interpol!$B$1:$XFD$1, 0), 0)</f>
        <v>1812.6058642497424</v>
      </c>
      <c r="J138" s="7">
        <f>VLOOKUP($B138, gdp_tot_mes!$B:$XFD, MATCH(gdp_capita_mesorreg!J$1, gdp_tot_mes!$B$1:$XFD$1, 0), 0)*1000/VLOOKUP($B138, pop_mesorreg_interpol!$B:$XFD, MATCH(gdp_capita_mesorreg!J$1, pop_mesorreg_interpol!$B$1:$XFD$1, 0), 0)</f>
        <v>2738.6856305191782</v>
      </c>
      <c r="K138" s="7">
        <f>VLOOKUP($B138, gdp_tot_mes!$B:$XFD, MATCH(gdp_capita_mesorreg!K$1, gdp_tot_mes!$B$1:$XFD$1, 0), 0)*1000/VLOOKUP($B138, pop_mesorreg_interpol!$B:$XFD, MATCH(gdp_capita_mesorreg!K$1, pop_mesorreg_interpol!$B$1:$XFD$1, 0), 0)</f>
        <v>2065.0248501444462</v>
      </c>
      <c r="L138" s="8">
        <f>VLOOKUP($B138, gdp_tot_mes!$B:$XFD, MATCH(gdp_capita_mesorreg!L$1, gdp_tot_mes!$B$1:$XFD$1, 0), 0)*1000/VLOOKUP($B138, pop_mesorreg_interpol!$B:$XFD, MATCH(gdp_capita_mesorreg!L$1, pop_mesorreg_interpol!$B$1:$XFD$1, 0), 0)</f>
        <v>4128.6771093569159</v>
      </c>
      <c r="M138" s="7">
        <f>VLOOKUP($B138, gdp_tot_mes!$B:$XFD, MATCH(gdp_capita_mesorreg!M$1, gdp_tot_mes!$B$1:$XFD$1, 0), 0)*1000/VLOOKUP($B138, pop_mesorreg_interpol!$B:$XFD, MATCH(gdp_capita_mesorreg!M$1, pop_mesorreg_interpol!$B$1:$XFD$1, 0), 0)</f>
        <v>5978.1496286982047</v>
      </c>
      <c r="N138" s="7">
        <f>VLOOKUP($B138, gdp_tot_mes!$B:$XFD, MATCH(gdp_capita_mesorreg!N$1, gdp_tot_mes!$B$1:$XFD$1, 0), 0)*1000/VLOOKUP($B138, pop_mesorreg_interpol!$B:$XFD, MATCH(gdp_capita_mesorreg!N$1, pop_mesorreg_interpol!$B$1:$XFD$1, 0), 0)</f>
        <v>6344.7810540950322</v>
      </c>
      <c r="O138" s="7">
        <f>VLOOKUP($B138, gdp_tot_mes!$B:$XFD, MATCH(gdp_capita_mesorreg!O$1, gdp_tot_mes!$B$1:$XFD$1, 0), 0)*1000/VLOOKUP($B138, pop_mesorreg_interpol!$B:$XFD, MATCH(gdp_capita_mesorreg!O$1, pop_mesorreg_interpol!$B$1:$XFD$1, 0), 0)</f>
        <v>7249.8645961790735</v>
      </c>
      <c r="P138" s="7">
        <f>VLOOKUP($B138, gdp_tot_mes!$B:$XFD, MATCH(gdp_capita_mesorreg!P$1, gdp_tot_mes!$B$1:$XFD$1, 0), 0)*1000/VLOOKUP($B138, pop_mesorreg_interpol!$B:$XFD, MATCH(gdp_capita_mesorreg!P$1, pop_mesorreg_interpol!$B$1:$XFD$1, 0), 0)</f>
        <v>9310.612594010543</v>
      </c>
      <c r="Q138" s="7">
        <f>VLOOKUP($B138, gdp_tot_mes!$B:$XFD, MATCH(gdp_capita_mesorreg!Q$1, gdp_tot_mes!$B$1:$XFD$1, 0), 0)*1000/VLOOKUP($B138, pop_mesorreg_interpol!$B:$XFD, MATCH(gdp_capita_mesorreg!Q$1, pop_mesorreg_interpol!$B$1:$XFD$1, 0), 0)</f>
        <v>10009.597836483455</v>
      </c>
      <c r="R138" s="7">
        <f>VLOOKUP($B138, gdp_tot_mes!$B:$XFD, MATCH(gdp_capita_mesorreg!R$1, gdp_tot_mes!$B$1:$XFD$1, 0), 0)*1000/VLOOKUP($B138, pop_mesorreg_interpol!$B:$XFD, MATCH(gdp_capita_mesorreg!R$1, pop_mesorreg_interpol!$B$1:$XFD$1, 0), 0)</f>
        <v>9962.8491363541834</v>
      </c>
      <c r="S138" s="7">
        <f>VLOOKUP($B138, gdp_tot_mes!$B:$XFD, MATCH(gdp_capita_mesorreg!S$1, gdp_tot_mes!$B$1:$XFD$1, 0), 0)*1000/VLOOKUP($B138, pop_mesorreg_interpol!$B:$XFD, MATCH(gdp_capita_mesorreg!S$1, pop_mesorreg_interpol!$B$1:$XFD$1, 0), 0)</f>
        <v>10862.425693220486</v>
      </c>
      <c r="T138" s="7">
        <f>VLOOKUP($B138, gdp_tot_mes!$B:$XFD, MATCH(gdp_capita_mesorreg!T$1, gdp_tot_mes!$B$1:$XFD$1, 0), 0)*1000/VLOOKUP($B138, pop_mesorreg_interpol!$B:$XFD, MATCH(gdp_capita_mesorreg!T$1, pop_mesorreg_interpol!$B$1:$XFD$1, 0), 0)</f>
        <v>10936.567769690884</v>
      </c>
      <c r="U138" s="7">
        <f>VLOOKUP($B138, gdp_tot_mes!$B:$XFD, MATCH(gdp_capita_mesorreg!U$1, gdp_tot_mes!$B$1:$XFD$1, 0), 0)*1000/VLOOKUP($B138, pop_mesorreg_interpol!$B:$XFD, MATCH(gdp_capita_mesorreg!U$1, pop_mesorreg_interpol!$B$1:$XFD$1, 0), 0)</f>
        <v>10547.475898777504</v>
      </c>
      <c r="V138" s="7">
        <f>VLOOKUP($B138, gdp_tot_mes!$B:$XFD, MATCH(gdp_capita_mesorreg!V$1, gdp_tot_mes!$B$1:$XFD$1, 0), 0)*1000/VLOOKUP($B138, pop_mesorreg_interpol!$B:$XFD, MATCH(gdp_capita_mesorreg!V$1, pop_mesorreg_interpol!$B$1:$XFD$1, 0), 0)</f>
        <v>11640.64984634426</v>
      </c>
      <c r="W138" s="7">
        <f>VLOOKUP($B138, gdp_tot_mes!$B:$XFD, MATCH(gdp_capita_mesorreg!W$1, gdp_tot_mes!$B$1:$XFD$1, 0), 0)*1000/VLOOKUP($B138, pop_mesorreg_interpol!$B:$XFD, MATCH(gdp_capita_mesorreg!W$1, pop_mesorreg_interpol!$B$1:$XFD$1, 0), 0)</f>
        <v>12512.958331547028</v>
      </c>
      <c r="X138" s="7">
        <f>VLOOKUP($B138, gdp_tot_mes!$B:$XFD, MATCH(gdp_capita_mesorreg!X$1, gdp_tot_mes!$B$1:$XFD$1, 0), 0)*1000/VLOOKUP($B138, pop_mesorreg_interpol!$B:$XFD, MATCH(gdp_capita_mesorreg!X$1, pop_mesorreg_interpol!$B$1:$XFD$1, 0), 0)</f>
        <v>12561.866241215153</v>
      </c>
      <c r="Y138" s="7">
        <f>VLOOKUP($B138, gdp_tot_mes!$B:$XFD, MATCH(gdp_capita_mesorreg!Y$1, gdp_tot_mes!$B$1:$XFD$1, 0), 0)*1000/VLOOKUP($B138, pop_mesorreg_interpol!$B:$XFD, MATCH(gdp_capita_mesorreg!Y$1, pop_mesorreg_interpol!$B$1:$XFD$1, 0), 0)</f>
        <v>13850.934250934464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s="20" customFormat="1" x14ac:dyDescent="0.25">
      <c r="A139" s="14"/>
      <c r="B139" s="14"/>
      <c r="C139" s="14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36" s="15" customFormat="1" x14ac:dyDescent="0.25">
      <c r="A140" s="17"/>
      <c r="B140" s="17"/>
      <c r="C140" s="17"/>
    </row>
    <row r="141" spans="1:36" s="15" customFormat="1" x14ac:dyDescent="0.25">
      <c r="A141" s="17"/>
      <c r="B141" s="17"/>
      <c r="C141" s="17"/>
    </row>
    <row r="142" spans="1:36" s="15" customFormat="1" x14ac:dyDescent="0.25">
      <c r="A142" s="17"/>
      <c r="B142" s="17"/>
      <c r="C142" s="17"/>
    </row>
    <row r="143" spans="1:36" s="15" customFormat="1" x14ac:dyDescent="0.25">
      <c r="A143" s="17"/>
      <c r="B143" s="17"/>
      <c r="C143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1B0B-DF0A-484B-B89B-0C13D634DA97}">
  <dimension ref="A1:AJ143"/>
  <sheetViews>
    <sheetView workbookViewId="0">
      <selection activeCell="D2" sqref="D2"/>
    </sheetView>
  </sheetViews>
  <sheetFormatPr defaultRowHeight="15" x14ac:dyDescent="0.25"/>
  <cols>
    <col min="1" max="1" width="4" style="1" customWidth="1"/>
    <col min="2" max="2" width="10" style="1" customWidth="1"/>
    <col min="3" max="3" width="30" style="1" customWidth="1"/>
    <col min="14" max="14" width="10" bestFit="1" customWidth="1"/>
  </cols>
  <sheetData>
    <row r="1" spans="1:36" x14ac:dyDescent="0.25">
      <c r="A1" s="1" t="s">
        <v>0</v>
      </c>
      <c r="B1" s="14" t="s">
        <v>379</v>
      </c>
      <c r="C1" s="14" t="s">
        <v>378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1990</v>
      </c>
      <c r="M1" s="6">
        <v>1996</v>
      </c>
      <c r="N1" s="6">
        <v>1999</v>
      </c>
      <c r="O1" s="6">
        <v>2000</v>
      </c>
      <c r="P1" s="6">
        <v>2001</v>
      </c>
      <c r="Q1" s="6">
        <v>2002</v>
      </c>
      <c r="R1" s="6">
        <v>2003</v>
      </c>
      <c r="S1" s="6">
        <v>2004</v>
      </c>
      <c r="T1" s="6">
        <v>2005</v>
      </c>
      <c r="U1" s="6">
        <v>2006</v>
      </c>
      <c r="V1" s="6">
        <v>2007</v>
      </c>
      <c r="W1" s="6">
        <v>2008</v>
      </c>
      <c r="X1" s="6">
        <v>2009</v>
      </c>
      <c r="Y1" s="6">
        <v>2010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25">
      <c r="A2" s="1" t="s">
        <v>23</v>
      </c>
      <c r="B2" s="1" t="s">
        <v>24</v>
      </c>
      <c r="C2" s="1" t="s">
        <v>25</v>
      </c>
      <c r="D2" s="29">
        <f>VLOOKUP($B2, agr_mes!$B:$XFD, MATCH(gdp_agr_share!D$1, agr_mes!$B$1:$XFD$1, 0), 0)/VLOOKUP($B2, gdp_tot_mes!$B:$XFD, MATCH(gdp_agr_share!D$1, gdp_tot_mes!$B$1:$XFD$1, 0), 0)</f>
        <v>0.68294318745430238</v>
      </c>
      <c r="E2" s="29">
        <f>VLOOKUP($B2, agr_mes!$B:$XFD, MATCH(gdp_agr_share!E$1, agr_mes!$B$1:$XFD$1, 0), 0)/VLOOKUP($B2, gdp_tot_mes!$B:$XFD, MATCH(gdp_agr_share!E$1, gdp_tot_mes!$B$1:$XFD$1, 0), 0)</f>
        <v>0.68329179113532201</v>
      </c>
      <c r="F2" s="29">
        <f>VLOOKUP($B2, agr_mes!$B:$XFD, MATCH(gdp_agr_share!F$1, agr_mes!$B$1:$XFD$1, 0), 0)/VLOOKUP($B2, gdp_tot_mes!$B:$XFD, MATCH(gdp_agr_share!F$1, gdp_tot_mes!$B$1:$XFD$1, 0), 0)</f>
        <v>0.65498896425387454</v>
      </c>
      <c r="G2" s="29">
        <f>VLOOKUP($B2, agr_mes!$B:$XFD, MATCH(gdp_agr_share!G$1, agr_mes!$B$1:$XFD$1, 0), 0)/VLOOKUP($B2, gdp_tot_mes!$B:$XFD, MATCH(gdp_agr_share!G$1, gdp_tot_mes!$B$1:$XFD$1, 0), 0)</f>
        <v>0.29013723441134115</v>
      </c>
      <c r="H2" s="29">
        <f>VLOOKUP($B2, agr_mes!$B:$XFD, MATCH(gdp_agr_share!H$1, agr_mes!$B$1:$XFD$1, 0), 0)/VLOOKUP($B2, gdp_tot_mes!$B:$XFD, MATCH(gdp_agr_share!H$1, gdp_tot_mes!$B$1:$XFD$1, 0), 0)</f>
        <v>0.50105814920411029</v>
      </c>
      <c r="I2" s="29">
        <f>VLOOKUP($B2, agr_mes!$B:$XFD, MATCH(gdp_agr_share!I$1, agr_mes!$B$1:$XFD$1, 0), 0)/VLOOKUP($B2, gdp_tot_mes!$B:$XFD, MATCH(gdp_agr_share!I$1, gdp_tot_mes!$B$1:$XFD$1, 0), 0)</f>
        <v>0.49560436558223325</v>
      </c>
      <c r="J2" s="29">
        <f>VLOOKUP($B2, agr_mes!$B:$XFD, MATCH(gdp_agr_share!J$1, agr_mes!$B$1:$XFD$1, 0), 0)/VLOOKUP($B2, gdp_tot_mes!$B:$XFD, MATCH(gdp_agr_share!J$1, gdp_tot_mes!$B$1:$XFD$1, 0), 0)</f>
        <v>0.46684502175162801</v>
      </c>
      <c r="K2" s="29">
        <f>VLOOKUP($B2, agr_mes!$B:$XFD, MATCH(gdp_agr_share!K$1, agr_mes!$B$1:$XFD$1, 0), 0)/VLOOKUP($B2, gdp_tot_mes!$B:$XFD, MATCH(gdp_agr_share!K$1, gdp_tot_mes!$B$1:$XFD$1, 0), 0)</f>
        <v>0.36505823792128128</v>
      </c>
      <c r="L2" s="30">
        <f>K2+5*(M2-K2)/11</f>
        <v>0.39853223392373144</v>
      </c>
      <c r="M2" s="29">
        <f>VLOOKUP($B2, agr_mes!$B:$XFD, MATCH(gdp_agr_share!M$1, agr_mes!$B$1:$XFD$1, 0), 0)/VLOOKUP($B2, gdp_tot_mes!$B:$XFD, MATCH(gdp_agr_share!M$1, gdp_tot_mes!$B$1:$XFD$1, 0), 0)</f>
        <v>0.43870102912667158</v>
      </c>
      <c r="N2" s="29">
        <f>VLOOKUP($B2, agr_mes!$B:$XFD, MATCH(gdp_agr_share!N$1, agr_mes!$B$1:$XFD$1, 0), 0)/VLOOKUP($B2, gdp_tot_mes!$B:$XFD, MATCH(gdp_agr_share!N$1, gdp_tot_mes!$B$1:$XFD$1, 0), 0)</f>
        <v>0.16402881251963644</v>
      </c>
      <c r="O2" s="29">
        <f>VLOOKUP($B2, agr_mes!$B:$XFD, MATCH(gdp_agr_share!O$1, agr_mes!$B$1:$XFD$1, 0), 0)/VLOOKUP($B2, gdp_tot_mes!$B:$XFD, MATCH(gdp_agr_share!O$1, gdp_tot_mes!$B$1:$XFD$1, 0), 0)</f>
        <v>0.16138885540995371</v>
      </c>
      <c r="P2" s="29">
        <f>VLOOKUP($B2, agr_mes!$B:$XFD, MATCH(gdp_agr_share!P$1, agr_mes!$B$1:$XFD$1, 0), 0)/VLOOKUP($B2, gdp_tot_mes!$B:$XFD, MATCH(gdp_agr_share!P$1, gdp_tot_mes!$B$1:$XFD$1, 0), 0)</f>
        <v>0.16806966911440319</v>
      </c>
      <c r="Q2" s="29">
        <f>VLOOKUP($B2, agr_mes!$B:$XFD, MATCH(gdp_agr_share!Q$1, agr_mes!$B$1:$XFD$1, 0), 0)/VLOOKUP($B2, gdp_tot_mes!$B:$XFD, MATCH(gdp_agr_share!Q$1, gdp_tot_mes!$B$1:$XFD$1, 0), 0)</f>
        <v>0.11828469036190473</v>
      </c>
      <c r="R2" s="29">
        <f>VLOOKUP($B2, agr_mes!$B:$XFD, MATCH(gdp_agr_share!R$1, agr_mes!$B$1:$XFD$1, 0), 0)/VLOOKUP($B2, gdp_tot_mes!$B:$XFD, MATCH(gdp_agr_share!R$1, gdp_tot_mes!$B$1:$XFD$1, 0), 0)</f>
        <v>0.14395499594762745</v>
      </c>
      <c r="S2" s="29">
        <f>VLOOKUP($B2, agr_mes!$B:$XFD, MATCH(gdp_agr_share!S$1, agr_mes!$B$1:$XFD$1, 0), 0)/VLOOKUP($B2, gdp_tot_mes!$B:$XFD, MATCH(gdp_agr_share!S$1, gdp_tot_mes!$B$1:$XFD$1, 0), 0)</f>
        <v>9.8515496231669913E-2</v>
      </c>
      <c r="T2" s="29">
        <f>VLOOKUP($B2, agr_mes!$B:$XFD, MATCH(gdp_agr_share!T$1, agr_mes!$B$1:$XFD$1, 0), 0)/VLOOKUP($B2, gdp_tot_mes!$B:$XFD, MATCH(gdp_agr_share!T$1, gdp_tot_mes!$B$1:$XFD$1, 0), 0)</f>
        <v>0.11130621902415921</v>
      </c>
      <c r="U2" s="29">
        <f>VLOOKUP($B2, agr_mes!$B:$XFD, MATCH(gdp_agr_share!U$1, agr_mes!$B$1:$XFD$1, 0), 0)/VLOOKUP($B2, gdp_tot_mes!$B:$XFD, MATCH(gdp_agr_share!U$1, gdp_tot_mes!$B$1:$XFD$1, 0), 0)</f>
        <v>8.7390994487901233E-2</v>
      </c>
      <c r="V2" s="29">
        <f>VLOOKUP($B2, agr_mes!$B:$XFD, MATCH(gdp_agr_share!V$1, agr_mes!$B$1:$XFD$1, 0), 0)/VLOOKUP($B2, gdp_tot_mes!$B:$XFD, MATCH(gdp_agr_share!V$1, gdp_tot_mes!$B$1:$XFD$1, 0), 0)</f>
        <v>7.6960956713373094E-2</v>
      </c>
      <c r="W2" s="29">
        <f>VLOOKUP($B2, agr_mes!$B:$XFD, MATCH(gdp_agr_share!W$1, agr_mes!$B$1:$XFD$1, 0), 0)/VLOOKUP($B2, gdp_tot_mes!$B:$XFD, MATCH(gdp_agr_share!W$1, gdp_tot_mes!$B$1:$XFD$1, 0), 0)</f>
        <v>9.2043767880436347E-2</v>
      </c>
      <c r="X2" s="29">
        <f>VLOOKUP($B2, agr_mes!$B:$XFD, MATCH(gdp_agr_share!X$1, agr_mes!$B$1:$XFD$1, 0), 0)/VLOOKUP($B2, gdp_tot_mes!$B:$XFD, MATCH(gdp_agr_share!X$1, gdp_tot_mes!$B$1:$XFD$1, 0), 0)</f>
        <v>8.4577523614421751E-2</v>
      </c>
      <c r="Y2" s="29">
        <f>VLOOKUP($B2, agr_mes!$B:$XFD, MATCH(gdp_agr_share!Y$1, agr_mes!$B$1:$XFD$1, 0), 0)/VLOOKUP($B2, gdp_tot_mes!$B:$XFD, MATCH(gdp_agr_share!Y$1, gdp_tot_mes!$B$1:$XFD$1, 0), 0)</f>
        <v>0.13155727961488139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x14ac:dyDescent="0.25">
      <c r="A3" s="1" t="s">
        <v>23</v>
      </c>
      <c r="B3" s="1" t="s">
        <v>26</v>
      </c>
      <c r="C3" s="1" t="s">
        <v>27</v>
      </c>
      <c r="D3" s="29">
        <f>VLOOKUP($B3, agr_mes!$B:$XFD, MATCH(gdp_agr_share!D$1, agr_mes!$B$1:$XFD$1, 0), 0)/VLOOKUP($B3, gdp_tot_mes!$B:$XFD, MATCH(gdp_agr_share!D$1, gdp_tot_mes!$B$1:$XFD$1, 0), 0)</f>
        <v>0.64263104994351317</v>
      </c>
      <c r="E3" s="29">
        <f>VLOOKUP($B3, agr_mes!$B:$XFD, MATCH(gdp_agr_share!E$1, agr_mes!$B$1:$XFD$1, 0), 0)/VLOOKUP($B3, gdp_tot_mes!$B:$XFD, MATCH(gdp_agr_share!E$1, gdp_tot_mes!$B$1:$XFD$1, 0), 0)</f>
        <v>0.68624459061204235</v>
      </c>
      <c r="F3" s="29">
        <f>VLOOKUP($B3, agr_mes!$B:$XFD, MATCH(gdp_agr_share!F$1, agr_mes!$B$1:$XFD$1, 0), 0)/VLOOKUP($B3, gdp_tot_mes!$B:$XFD, MATCH(gdp_agr_share!F$1, gdp_tot_mes!$B$1:$XFD$1, 0), 0)</f>
        <v>0.39744666594021172</v>
      </c>
      <c r="G3" s="29">
        <f>VLOOKUP($B3, agr_mes!$B:$XFD, MATCH(gdp_agr_share!G$1, agr_mes!$B$1:$XFD$1, 0), 0)/VLOOKUP($B3, gdp_tot_mes!$B:$XFD, MATCH(gdp_agr_share!G$1, gdp_tot_mes!$B$1:$XFD$1, 0), 0)</f>
        <v>0.32392523554181207</v>
      </c>
      <c r="H3" s="29">
        <f>VLOOKUP($B3, agr_mes!$B:$XFD, MATCH(gdp_agr_share!H$1, agr_mes!$B$1:$XFD$1, 0), 0)/VLOOKUP($B3, gdp_tot_mes!$B:$XFD, MATCH(gdp_agr_share!H$1, gdp_tot_mes!$B$1:$XFD$1, 0), 0)</f>
        <v>0.33523950853264478</v>
      </c>
      <c r="I3" s="29">
        <f>VLOOKUP($B3, agr_mes!$B:$XFD, MATCH(gdp_agr_share!I$1, agr_mes!$B$1:$XFD$1, 0), 0)/VLOOKUP($B3, gdp_tot_mes!$B:$XFD, MATCH(gdp_agr_share!I$1, gdp_tot_mes!$B$1:$XFD$1, 0), 0)</f>
        <v>0.30829684511987093</v>
      </c>
      <c r="J3" s="29">
        <f>VLOOKUP($B3, agr_mes!$B:$XFD, MATCH(gdp_agr_share!J$1, agr_mes!$B$1:$XFD$1, 0), 0)/VLOOKUP($B3, gdp_tot_mes!$B:$XFD, MATCH(gdp_agr_share!J$1, gdp_tot_mes!$B$1:$XFD$1, 0), 0)</f>
        <v>0.20749534601589537</v>
      </c>
      <c r="K3" s="29">
        <f>VLOOKUP($B3, agr_mes!$B:$XFD, MATCH(gdp_agr_share!K$1, agr_mes!$B$1:$XFD$1, 0), 0)/VLOOKUP($B3, gdp_tot_mes!$B:$XFD, MATCH(gdp_agr_share!K$1, gdp_tot_mes!$B$1:$XFD$1, 0), 0)</f>
        <v>0.19020337073743274</v>
      </c>
      <c r="L3" s="30">
        <f t="shared" ref="L3:L66" si="0">K3+5*(M3-K3)/11</f>
        <v>0.14221456805312638</v>
      </c>
      <c r="M3" s="29">
        <f>VLOOKUP($B3, agr_mes!$B:$XFD, MATCH(gdp_agr_share!M$1, agr_mes!$B$1:$XFD$1, 0), 0)/VLOOKUP($B3, gdp_tot_mes!$B:$XFD, MATCH(gdp_agr_share!M$1, gdp_tot_mes!$B$1:$XFD$1, 0), 0)</f>
        <v>8.4628004831958731E-2</v>
      </c>
      <c r="N3" s="29">
        <f>VLOOKUP($B3, agr_mes!$B:$XFD, MATCH(gdp_agr_share!N$1, agr_mes!$B$1:$XFD$1, 0), 0)/VLOOKUP($B3, gdp_tot_mes!$B:$XFD, MATCH(gdp_agr_share!N$1, gdp_tot_mes!$B$1:$XFD$1, 0), 0)</f>
        <v>0.12611600694332276</v>
      </c>
      <c r="O3" s="29">
        <f>VLOOKUP($B3, agr_mes!$B:$XFD, MATCH(gdp_agr_share!O$1, agr_mes!$B$1:$XFD$1, 0), 0)/VLOOKUP($B3, gdp_tot_mes!$B:$XFD, MATCH(gdp_agr_share!O$1, gdp_tot_mes!$B$1:$XFD$1, 0), 0)</f>
        <v>0.12416357161085234</v>
      </c>
      <c r="P3" s="29">
        <f>VLOOKUP($B3, agr_mes!$B:$XFD, MATCH(gdp_agr_share!P$1, agr_mes!$B$1:$XFD$1, 0), 0)/VLOOKUP($B3, gdp_tot_mes!$B:$XFD, MATCH(gdp_agr_share!P$1, gdp_tot_mes!$B$1:$XFD$1, 0), 0)</f>
        <v>0.15610020640410821</v>
      </c>
      <c r="Q3" s="29">
        <f>VLOOKUP($B3, agr_mes!$B:$XFD, MATCH(gdp_agr_share!Q$1, agr_mes!$B$1:$XFD$1, 0), 0)/VLOOKUP($B3, gdp_tot_mes!$B:$XFD, MATCH(gdp_agr_share!Q$1, gdp_tot_mes!$B$1:$XFD$1, 0), 0)</f>
        <v>9.4544771985659942E-2</v>
      </c>
      <c r="R3" s="29">
        <f>VLOOKUP($B3, agr_mes!$B:$XFD, MATCH(gdp_agr_share!R$1, agr_mes!$B$1:$XFD$1, 0), 0)/VLOOKUP($B3, gdp_tot_mes!$B:$XFD, MATCH(gdp_agr_share!R$1, gdp_tot_mes!$B$1:$XFD$1, 0), 0)</f>
        <v>0.1085707923563085</v>
      </c>
      <c r="S3" s="29">
        <f>VLOOKUP($B3, agr_mes!$B:$XFD, MATCH(gdp_agr_share!S$1, agr_mes!$B$1:$XFD$1, 0), 0)/VLOOKUP($B3, gdp_tot_mes!$B:$XFD, MATCH(gdp_agr_share!S$1, gdp_tot_mes!$B$1:$XFD$1, 0), 0)</f>
        <v>8.4834442977883298E-2</v>
      </c>
      <c r="T3" s="29">
        <f>VLOOKUP($B3, agr_mes!$B:$XFD, MATCH(gdp_agr_share!T$1, agr_mes!$B$1:$XFD$1, 0), 0)/VLOOKUP($B3, gdp_tot_mes!$B:$XFD, MATCH(gdp_agr_share!T$1, gdp_tot_mes!$B$1:$XFD$1, 0), 0)</f>
        <v>8.6907059285681668E-2</v>
      </c>
      <c r="U3" s="29">
        <f>VLOOKUP($B3, agr_mes!$B:$XFD, MATCH(gdp_agr_share!U$1, agr_mes!$B$1:$XFD$1, 0), 0)/VLOOKUP($B3, gdp_tot_mes!$B:$XFD, MATCH(gdp_agr_share!U$1, gdp_tot_mes!$B$1:$XFD$1, 0), 0)</f>
        <v>7.2706966151718788E-2</v>
      </c>
      <c r="V3" s="29">
        <f>VLOOKUP($B3, agr_mes!$B:$XFD, MATCH(gdp_agr_share!V$1, agr_mes!$B$1:$XFD$1, 0), 0)/VLOOKUP($B3, gdp_tot_mes!$B:$XFD, MATCH(gdp_agr_share!V$1, gdp_tot_mes!$B$1:$XFD$1, 0), 0)</f>
        <v>6.3324626490883593E-2</v>
      </c>
      <c r="W3" s="29">
        <f>VLOOKUP($B3, agr_mes!$B:$XFD, MATCH(gdp_agr_share!W$1, agr_mes!$B$1:$XFD$1, 0), 0)/VLOOKUP($B3, gdp_tot_mes!$B:$XFD, MATCH(gdp_agr_share!W$1, gdp_tot_mes!$B$1:$XFD$1, 0), 0)</f>
        <v>6.9779502283285194E-2</v>
      </c>
      <c r="X3" s="29">
        <f>VLOOKUP($B3, agr_mes!$B:$XFD, MATCH(gdp_agr_share!X$1, agr_mes!$B$1:$XFD$1, 0), 0)/VLOOKUP($B3, gdp_tot_mes!$B:$XFD, MATCH(gdp_agr_share!X$1, gdp_tot_mes!$B$1:$XFD$1, 0), 0)</f>
        <v>6.327392421609096E-2</v>
      </c>
      <c r="Y3" s="29">
        <f>VLOOKUP($B3, agr_mes!$B:$XFD, MATCH(gdp_agr_share!Y$1, agr_mes!$B$1:$XFD$1, 0), 0)/VLOOKUP($B3, gdp_tot_mes!$B:$XFD, MATCH(gdp_agr_share!Y$1, gdp_tot_mes!$B$1:$XFD$1, 0), 0)</f>
        <v>8.0505075093828954E-2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25">
      <c r="A4" s="1" t="s">
        <v>28</v>
      </c>
      <c r="B4" s="1" t="s">
        <v>29</v>
      </c>
      <c r="C4" s="1" t="s">
        <v>30</v>
      </c>
      <c r="D4" s="29">
        <f>VLOOKUP($B4, agr_mes!$B:$XFD, MATCH(gdp_agr_share!D$1, agr_mes!$B$1:$XFD$1, 0), 0)/VLOOKUP($B4, gdp_tot_mes!$B:$XFD, MATCH(gdp_agr_share!D$1, gdp_tot_mes!$B$1:$XFD$1, 0), 0)</f>
        <v>0.38679008255091163</v>
      </c>
      <c r="E4" s="29">
        <f>VLOOKUP($B4, agr_mes!$B:$XFD, MATCH(gdp_agr_share!E$1, agr_mes!$B$1:$XFD$1, 0), 0)/VLOOKUP($B4, gdp_tot_mes!$B:$XFD, MATCH(gdp_agr_share!E$1, gdp_tot_mes!$B$1:$XFD$1, 0), 0)</f>
        <v>0.49834941561727381</v>
      </c>
      <c r="F4" s="29">
        <f>VLOOKUP($B4, agr_mes!$B:$XFD, MATCH(gdp_agr_share!F$1, agr_mes!$B$1:$XFD$1, 0), 0)/VLOOKUP($B4, gdp_tot_mes!$B:$XFD, MATCH(gdp_agr_share!F$1, gdp_tot_mes!$B$1:$XFD$1, 0), 0)</f>
        <v>0.66491390711647036</v>
      </c>
      <c r="G4" s="29">
        <f>VLOOKUP($B4, agr_mes!$B:$XFD, MATCH(gdp_agr_share!G$1, agr_mes!$B$1:$XFD$1, 0), 0)/VLOOKUP($B4, gdp_tot_mes!$B:$XFD, MATCH(gdp_agr_share!G$1, gdp_tot_mes!$B$1:$XFD$1, 0), 0)</f>
        <v>0.58859234297364116</v>
      </c>
      <c r="H4" s="29">
        <f>VLOOKUP($B4, agr_mes!$B:$XFD, MATCH(gdp_agr_share!H$1, agr_mes!$B$1:$XFD$1, 0), 0)/VLOOKUP($B4, gdp_tot_mes!$B:$XFD, MATCH(gdp_agr_share!H$1, gdp_tot_mes!$B$1:$XFD$1, 0), 0)</f>
        <v>0.39943925156997173</v>
      </c>
      <c r="I4" s="29">
        <f>VLOOKUP($B4, agr_mes!$B:$XFD, MATCH(gdp_agr_share!I$1, agr_mes!$B$1:$XFD$1, 0), 0)/VLOOKUP($B4, gdp_tot_mes!$B:$XFD, MATCH(gdp_agr_share!I$1, gdp_tot_mes!$B$1:$XFD$1, 0), 0)</f>
        <v>0.43965807163716059</v>
      </c>
      <c r="J4" s="29">
        <f>VLOOKUP($B4, agr_mes!$B:$XFD, MATCH(gdp_agr_share!J$1, agr_mes!$B$1:$XFD$1, 0), 0)/VLOOKUP($B4, gdp_tot_mes!$B:$XFD, MATCH(gdp_agr_share!J$1, gdp_tot_mes!$B$1:$XFD$1, 0), 0)</f>
        <v>0.36905583870273123</v>
      </c>
      <c r="K4" s="29">
        <f>VLOOKUP($B4, agr_mes!$B:$XFD, MATCH(gdp_agr_share!K$1, agr_mes!$B$1:$XFD$1, 0), 0)/VLOOKUP($B4, gdp_tot_mes!$B:$XFD, MATCH(gdp_agr_share!K$1, gdp_tot_mes!$B$1:$XFD$1, 0), 0)</f>
        <v>0.44193771837471441</v>
      </c>
      <c r="L4" s="30">
        <f t="shared" si="0"/>
        <v>0.45065386869289642</v>
      </c>
      <c r="M4" s="29">
        <f>VLOOKUP($B4, agr_mes!$B:$XFD, MATCH(gdp_agr_share!M$1, agr_mes!$B$1:$XFD$1, 0), 0)/VLOOKUP($B4, gdp_tot_mes!$B:$XFD, MATCH(gdp_agr_share!M$1, gdp_tot_mes!$B$1:$XFD$1, 0), 0)</f>
        <v>0.46111324907471479</v>
      </c>
      <c r="N4" s="29">
        <f>VLOOKUP($B4, agr_mes!$B:$XFD, MATCH(gdp_agr_share!N$1, agr_mes!$B$1:$XFD$1, 0), 0)/VLOOKUP($B4, gdp_tot_mes!$B:$XFD, MATCH(gdp_agr_share!N$1, gdp_tot_mes!$B$1:$XFD$1, 0), 0)</f>
        <v>0.15683549032489763</v>
      </c>
      <c r="O4" s="29">
        <f>VLOOKUP($B4, agr_mes!$B:$XFD, MATCH(gdp_agr_share!O$1, agr_mes!$B$1:$XFD$1, 0), 0)/VLOOKUP($B4, gdp_tot_mes!$B:$XFD, MATCH(gdp_agr_share!O$1, gdp_tot_mes!$B$1:$XFD$1, 0), 0)</f>
        <v>0.1991155802043531</v>
      </c>
      <c r="P4" s="29">
        <f>VLOOKUP($B4, agr_mes!$B:$XFD, MATCH(gdp_agr_share!P$1, agr_mes!$B$1:$XFD$1, 0), 0)/VLOOKUP($B4, gdp_tot_mes!$B:$XFD, MATCH(gdp_agr_share!P$1, gdp_tot_mes!$B$1:$XFD$1, 0), 0)</f>
        <v>0.22760324704763105</v>
      </c>
      <c r="Q4" s="29">
        <f>VLOOKUP($B4, agr_mes!$B:$XFD, MATCH(gdp_agr_share!Q$1, agr_mes!$B$1:$XFD$1, 0), 0)/VLOOKUP($B4, gdp_tot_mes!$B:$XFD, MATCH(gdp_agr_share!Q$1, gdp_tot_mes!$B$1:$XFD$1, 0), 0)</f>
        <v>0.29117308140268755</v>
      </c>
      <c r="R4" s="29">
        <f>VLOOKUP($B4, agr_mes!$B:$XFD, MATCH(gdp_agr_share!R$1, agr_mes!$B$1:$XFD$1, 0), 0)/VLOOKUP($B4, gdp_tot_mes!$B:$XFD, MATCH(gdp_agr_share!R$1, gdp_tot_mes!$B$1:$XFD$1, 0), 0)</f>
        <v>0.11651796033997437</v>
      </c>
      <c r="S4" s="29">
        <f>VLOOKUP($B4, agr_mes!$B:$XFD, MATCH(gdp_agr_share!S$1, agr_mes!$B$1:$XFD$1, 0), 0)/VLOOKUP($B4, gdp_tot_mes!$B:$XFD, MATCH(gdp_agr_share!S$1, gdp_tot_mes!$B$1:$XFD$1, 0), 0)</f>
        <v>0.14873991324486788</v>
      </c>
      <c r="T4" s="29">
        <f>VLOOKUP($B4, agr_mes!$B:$XFD, MATCH(gdp_agr_share!T$1, agr_mes!$B$1:$XFD$1, 0), 0)/VLOOKUP($B4, gdp_tot_mes!$B:$XFD, MATCH(gdp_agr_share!T$1, gdp_tot_mes!$B$1:$XFD$1, 0), 0)</f>
        <v>0.18045341813412735</v>
      </c>
      <c r="U4" s="29">
        <f>VLOOKUP($B4, agr_mes!$B:$XFD, MATCH(gdp_agr_share!U$1, agr_mes!$B$1:$XFD$1, 0), 0)/VLOOKUP($B4, gdp_tot_mes!$B:$XFD, MATCH(gdp_agr_share!U$1, gdp_tot_mes!$B$1:$XFD$1, 0), 0)</f>
        <v>0.15715757380582387</v>
      </c>
      <c r="V4" s="29">
        <f>VLOOKUP($B4, agr_mes!$B:$XFD, MATCH(gdp_agr_share!V$1, agr_mes!$B$1:$XFD$1, 0), 0)/VLOOKUP($B4, gdp_tot_mes!$B:$XFD, MATCH(gdp_agr_share!V$1, gdp_tot_mes!$B$1:$XFD$1, 0), 0)</f>
        <v>0.12434095408177104</v>
      </c>
      <c r="W4" s="29">
        <f>VLOOKUP($B4, agr_mes!$B:$XFD, MATCH(gdp_agr_share!W$1, agr_mes!$B$1:$XFD$1, 0), 0)/VLOOKUP($B4, gdp_tot_mes!$B:$XFD, MATCH(gdp_agr_share!W$1, gdp_tot_mes!$B$1:$XFD$1, 0), 0)</f>
        <v>0.17261609787629925</v>
      </c>
      <c r="X4" s="29">
        <f>VLOOKUP($B4, agr_mes!$B:$XFD, MATCH(gdp_agr_share!X$1, agr_mes!$B$1:$XFD$1, 0), 0)/VLOOKUP($B4, gdp_tot_mes!$B:$XFD, MATCH(gdp_agr_share!X$1, gdp_tot_mes!$B$1:$XFD$1, 0), 0)</f>
        <v>0.14343750765267055</v>
      </c>
      <c r="Y4" s="29">
        <f>VLOOKUP($B4, agr_mes!$B:$XFD, MATCH(gdp_agr_share!Y$1, agr_mes!$B$1:$XFD$1, 0), 0)/VLOOKUP($B4, gdp_tot_mes!$B:$XFD, MATCH(gdp_agr_share!Y$1, gdp_tot_mes!$B$1:$XFD$1, 0), 0)</f>
        <v>0.11656525741816108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25">
      <c r="A5" s="1" t="s">
        <v>28</v>
      </c>
      <c r="B5" s="1" t="s">
        <v>31</v>
      </c>
      <c r="C5" s="1" t="s">
        <v>32</v>
      </c>
      <c r="D5" s="29">
        <f>VLOOKUP($B5, agr_mes!$B:$XFD, MATCH(gdp_agr_share!D$1, agr_mes!$B$1:$XFD$1, 0), 0)/VLOOKUP($B5, gdp_tot_mes!$B:$XFD, MATCH(gdp_agr_share!D$1, gdp_tot_mes!$B$1:$XFD$1, 0), 0)</f>
        <v>0.69850378479292907</v>
      </c>
      <c r="E5" s="29">
        <f>VLOOKUP($B5, agr_mes!$B:$XFD, MATCH(gdp_agr_share!E$1, agr_mes!$B$1:$XFD$1, 0), 0)/VLOOKUP($B5, gdp_tot_mes!$B:$XFD, MATCH(gdp_agr_share!E$1, gdp_tot_mes!$B$1:$XFD$1, 0), 0)</f>
        <v>0.59035136066634508</v>
      </c>
      <c r="F5" s="29">
        <f>VLOOKUP($B5, agr_mes!$B:$XFD, MATCH(gdp_agr_share!F$1, agr_mes!$B$1:$XFD$1, 0), 0)/VLOOKUP($B5, gdp_tot_mes!$B:$XFD, MATCH(gdp_agr_share!F$1, gdp_tot_mes!$B$1:$XFD$1, 0), 0)</f>
        <v>0.55146336796164963</v>
      </c>
      <c r="G5" s="29">
        <f>VLOOKUP($B5, agr_mes!$B:$XFD, MATCH(gdp_agr_share!G$1, agr_mes!$B$1:$XFD$1, 0), 0)/VLOOKUP($B5, gdp_tot_mes!$B:$XFD, MATCH(gdp_agr_share!G$1, gdp_tot_mes!$B$1:$XFD$1, 0), 0)</f>
        <v>0.46421391736859469</v>
      </c>
      <c r="H5" s="29">
        <f>VLOOKUP($B5, agr_mes!$B:$XFD, MATCH(gdp_agr_share!H$1, agr_mes!$B$1:$XFD$1, 0), 0)/VLOOKUP($B5, gdp_tot_mes!$B:$XFD, MATCH(gdp_agr_share!H$1, gdp_tot_mes!$B$1:$XFD$1, 0), 0)</f>
        <v>0.48233004489142717</v>
      </c>
      <c r="I5" s="29">
        <f>VLOOKUP($B5, agr_mes!$B:$XFD, MATCH(gdp_agr_share!I$1, agr_mes!$B$1:$XFD$1, 0), 0)/VLOOKUP($B5, gdp_tot_mes!$B:$XFD, MATCH(gdp_agr_share!I$1, gdp_tot_mes!$B$1:$XFD$1, 0), 0)</f>
        <v>0.44462312960906875</v>
      </c>
      <c r="J5" s="29">
        <f>VLOOKUP($B5, agr_mes!$B:$XFD, MATCH(gdp_agr_share!J$1, agr_mes!$B$1:$XFD$1, 0), 0)/VLOOKUP($B5, gdp_tot_mes!$B:$XFD, MATCH(gdp_agr_share!J$1, gdp_tot_mes!$B$1:$XFD$1, 0), 0)</f>
        <v>0.39685556228063945</v>
      </c>
      <c r="K5" s="29">
        <f>VLOOKUP($B5, agr_mes!$B:$XFD, MATCH(gdp_agr_share!K$1, agr_mes!$B$1:$XFD$1, 0), 0)/VLOOKUP($B5, gdp_tot_mes!$B:$XFD, MATCH(gdp_agr_share!K$1, gdp_tot_mes!$B$1:$XFD$1, 0), 0)</f>
        <v>0.44239298240817992</v>
      </c>
      <c r="L5" s="30">
        <f t="shared" si="0"/>
        <v>0.39207508023316695</v>
      </c>
      <c r="M5" s="29">
        <f>VLOOKUP($B5, agr_mes!$B:$XFD, MATCH(gdp_agr_share!M$1, agr_mes!$B$1:$XFD$1, 0), 0)/VLOOKUP($B5, gdp_tot_mes!$B:$XFD, MATCH(gdp_agr_share!M$1, gdp_tot_mes!$B$1:$XFD$1, 0), 0)</f>
        <v>0.33169359762315143</v>
      </c>
      <c r="N5" s="29">
        <f>VLOOKUP($B5, agr_mes!$B:$XFD, MATCH(gdp_agr_share!N$1, agr_mes!$B$1:$XFD$1, 0), 0)/VLOOKUP($B5, gdp_tot_mes!$B:$XFD, MATCH(gdp_agr_share!N$1, gdp_tot_mes!$B$1:$XFD$1, 0), 0)</f>
        <v>0.17528378388354462</v>
      </c>
      <c r="O5" s="29">
        <f>VLOOKUP($B5, agr_mes!$B:$XFD, MATCH(gdp_agr_share!O$1, agr_mes!$B$1:$XFD$1, 0), 0)/VLOOKUP($B5, gdp_tot_mes!$B:$XFD, MATCH(gdp_agr_share!O$1, gdp_tot_mes!$B$1:$XFD$1, 0), 0)</f>
        <v>0.19491869639905532</v>
      </c>
      <c r="P5" s="29">
        <f>VLOOKUP($B5, agr_mes!$B:$XFD, MATCH(gdp_agr_share!P$1, agr_mes!$B$1:$XFD$1, 0), 0)/VLOOKUP($B5, gdp_tot_mes!$B:$XFD, MATCH(gdp_agr_share!P$1, gdp_tot_mes!$B$1:$XFD$1, 0), 0)</f>
        <v>0.1962444468820162</v>
      </c>
      <c r="Q5" s="29">
        <f>VLOOKUP($B5, agr_mes!$B:$XFD, MATCH(gdp_agr_share!Q$1, agr_mes!$B$1:$XFD$1, 0), 0)/VLOOKUP($B5, gdp_tot_mes!$B:$XFD, MATCH(gdp_agr_share!Q$1, gdp_tot_mes!$B$1:$XFD$1, 0), 0)</f>
        <v>0.34345361665291468</v>
      </c>
      <c r="R5" s="29">
        <f>VLOOKUP($B5, agr_mes!$B:$XFD, MATCH(gdp_agr_share!R$1, agr_mes!$B$1:$XFD$1, 0), 0)/VLOOKUP($B5, gdp_tot_mes!$B:$XFD, MATCH(gdp_agr_share!R$1, gdp_tot_mes!$B$1:$XFD$1, 0), 0)</f>
        <v>0.25941605506546894</v>
      </c>
      <c r="S5" s="29">
        <f>VLOOKUP($B5, agr_mes!$B:$XFD, MATCH(gdp_agr_share!S$1, agr_mes!$B$1:$XFD$1, 0), 0)/VLOOKUP($B5, gdp_tot_mes!$B:$XFD, MATCH(gdp_agr_share!S$1, gdp_tot_mes!$B$1:$XFD$1, 0), 0)</f>
        <v>0.21904260594425681</v>
      </c>
      <c r="T5" s="29">
        <f>VLOOKUP($B5, agr_mes!$B:$XFD, MATCH(gdp_agr_share!T$1, agr_mes!$B$1:$XFD$1, 0), 0)/VLOOKUP($B5, gdp_tot_mes!$B:$XFD, MATCH(gdp_agr_share!T$1, gdp_tot_mes!$B$1:$XFD$1, 0), 0)</f>
        <v>0.19829344633760432</v>
      </c>
      <c r="U5" s="29">
        <f>VLOOKUP($B5, agr_mes!$B:$XFD, MATCH(gdp_agr_share!U$1, agr_mes!$B$1:$XFD$1, 0), 0)/VLOOKUP($B5, gdp_tot_mes!$B:$XFD, MATCH(gdp_agr_share!U$1, gdp_tot_mes!$B$1:$XFD$1, 0), 0)</f>
        <v>0.16826294642615613</v>
      </c>
      <c r="V5" s="29">
        <f>VLOOKUP($B5, agr_mes!$B:$XFD, MATCH(gdp_agr_share!V$1, agr_mes!$B$1:$XFD$1, 0), 0)/VLOOKUP($B5, gdp_tot_mes!$B:$XFD, MATCH(gdp_agr_share!V$1, gdp_tot_mes!$B$1:$XFD$1, 0), 0)</f>
        <v>0.14536590712791247</v>
      </c>
      <c r="W5" s="29">
        <f>VLOOKUP($B5, agr_mes!$B:$XFD, MATCH(gdp_agr_share!W$1, agr_mes!$B$1:$XFD$1, 0), 0)/VLOOKUP($B5, gdp_tot_mes!$B:$XFD, MATCH(gdp_agr_share!W$1, gdp_tot_mes!$B$1:$XFD$1, 0), 0)</f>
        <v>0.18247437739935424</v>
      </c>
      <c r="X5" s="29">
        <f>VLOOKUP($B5, agr_mes!$B:$XFD, MATCH(gdp_agr_share!X$1, agr_mes!$B$1:$XFD$1, 0), 0)/VLOOKUP($B5, gdp_tot_mes!$B:$XFD, MATCH(gdp_agr_share!X$1, gdp_tot_mes!$B$1:$XFD$1, 0), 0)</f>
        <v>0.1634153888566765</v>
      </c>
      <c r="Y5" s="29">
        <f>VLOOKUP($B5, agr_mes!$B:$XFD, MATCH(gdp_agr_share!Y$1, agr_mes!$B$1:$XFD$1, 0), 0)/VLOOKUP($B5, gdp_tot_mes!$B:$XFD, MATCH(gdp_agr_share!Y$1, gdp_tot_mes!$B$1:$XFD$1, 0), 0)</f>
        <v>0.1543553161817644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5">
      <c r="A6" s="1" t="s">
        <v>28</v>
      </c>
      <c r="B6" s="1" t="s">
        <v>33</v>
      </c>
      <c r="C6" s="1" t="s">
        <v>34</v>
      </c>
      <c r="D6" s="29">
        <f>VLOOKUP($B6, agr_mes!$B:$XFD, MATCH(gdp_agr_share!D$1, agr_mes!$B$1:$XFD$1, 0), 0)/VLOOKUP($B6, gdp_tot_mes!$B:$XFD, MATCH(gdp_agr_share!D$1, gdp_tot_mes!$B$1:$XFD$1, 0), 0)</f>
        <v>0.41042022335887618</v>
      </c>
      <c r="E6" s="29">
        <f>VLOOKUP($B6, agr_mes!$B:$XFD, MATCH(gdp_agr_share!E$1, agr_mes!$B$1:$XFD$1, 0), 0)/VLOOKUP($B6, gdp_tot_mes!$B:$XFD, MATCH(gdp_agr_share!E$1, gdp_tot_mes!$B$1:$XFD$1, 0), 0)</f>
        <v>0.30618602087215957</v>
      </c>
      <c r="F6" s="29">
        <f>VLOOKUP($B6, agr_mes!$B:$XFD, MATCH(gdp_agr_share!F$1, agr_mes!$B$1:$XFD$1, 0), 0)/VLOOKUP($B6, gdp_tot_mes!$B:$XFD, MATCH(gdp_agr_share!F$1, gdp_tot_mes!$B$1:$XFD$1, 0), 0)</f>
        <v>0.27438942459428911</v>
      </c>
      <c r="G6" s="29">
        <f>VLOOKUP($B6, agr_mes!$B:$XFD, MATCH(gdp_agr_share!G$1, agr_mes!$B$1:$XFD$1, 0), 0)/VLOOKUP($B6, gdp_tot_mes!$B:$XFD, MATCH(gdp_agr_share!G$1, gdp_tot_mes!$B$1:$XFD$1, 0), 0)</f>
        <v>0.29145870172718025</v>
      </c>
      <c r="H6" s="29">
        <f>VLOOKUP($B6, agr_mes!$B:$XFD, MATCH(gdp_agr_share!H$1, agr_mes!$B$1:$XFD$1, 0), 0)/VLOOKUP($B6, gdp_tot_mes!$B:$XFD, MATCH(gdp_agr_share!H$1, gdp_tot_mes!$B$1:$XFD$1, 0), 0)</f>
        <v>0.20294679546996897</v>
      </c>
      <c r="I6" s="29">
        <f>VLOOKUP($B6, agr_mes!$B:$XFD, MATCH(gdp_agr_share!I$1, agr_mes!$B$1:$XFD$1, 0), 0)/VLOOKUP($B6, gdp_tot_mes!$B:$XFD, MATCH(gdp_agr_share!I$1, gdp_tot_mes!$B$1:$XFD$1, 0), 0)</f>
        <v>0.18757954955530665</v>
      </c>
      <c r="J6" s="29">
        <f>VLOOKUP($B6, agr_mes!$B:$XFD, MATCH(gdp_agr_share!J$1, agr_mes!$B$1:$XFD$1, 0), 0)/VLOOKUP($B6, gdp_tot_mes!$B:$XFD, MATCH(gdp_agr_share!J$1, gdp_tot_mes!$B$1:$XFD$1, 0), 0)</f>
        <v>0.19592030607156277</v>
      </c>
      <c r="K6" s="29">
        <f>VLOOKUP($B6, agr_mes!$B:$XFD, MATCH(gdp_agr_share!K$1, agr_mes!$B$1:$XFD$1, 0), 0)/VLOOKUP($B6, gdp_tot_mes!$B:$XFD, MATCH(gdp_agr_share!K$1, gdp_tot_mes!$B$1:$XFD$1, 0), 0)</f>
        <v>0.19727135944378435</v>
      </c>
      <c r="L6" s="30">
        <f t="shared" si="0"/>
        <v>0.15995189650819322</v>
      </c>
      <c r="M6" s="29">
        <f>VLOOKUP($B6, agr_mes!$B:$XFD, MATCH(gdp_agr_share!M$1, agr_mes!$B$1:$XFD$1, 0), 0)/VLOOKUP($B6, gdp_tot_mes!$B:$XFD, MATCH(gdp_agr_share!M$1, gdp_tot_mes!$B$1:$XFD$1, 0), 0)</f>
        <v>0.11516854098548387</v>
      </c>
      <c r="N6" s="29">
        <f>VLOOKUP($B6, agr_mes!$B:$XFD, MATCH(gdp_agr_share!N$1, agr_mes!$B$1:$XFD$1, 0), 0)/VLOOKUP($B6, gdp_tot_mes!$B:$XFD, MATCH(gdp_agr_share!N$1, gdp_tot_mes!$B$1:$XFD$1, 0), 0)</f>
        <v>9.7884547110313788E-2</v>
      </c>
      <c r="O6" s="29">
        <f>VLOOKUP($B6, agr_mes!$B:$XFD, MATCH(gdp_agr_share!O$1, agr_mes!$B$1:$XFD$1, 0), 0)/VLOOKUP($B6, gdp_tot_mes!$B:$XFD, MATCH(gdp_agr_share!O$1, gdp_tot_mes!$B$1:$XFD$1, 0), 0)</f>
        <v>0.12129623320564036</v>
      </c>
      <c r="P6" s="29">
        <f>VLOOKUP($B6, agr_mes!$B:$XFD, MATCH(gdp_agr_share!P$1, agr_mes!$B$1:$XFD$1, 0), 0)/VLOOKUP($B6, gdp_tot_mes!$B:$XFD, MATCH(gdp_agr_share!P$1, gdp_tot_mes!$B$1:$XFD$1, 0), 0)</f>
        <v>0.12931018733225438</v>
      </c>
      <c r="Q6" s="29">
        <f>VLOOKUP($B6, agr_mes!$B:$XFD, MATCH(gdp_agr_share!Q$1, agr_mes!$B$1:$XFD$1, 0), 0)/VLOOKUP($B6, gdp_tot_mes!$B:$XFD, MATCH(gdp_agr_share!Q$1, gdp_tot_mes!$B$1:$XFD$1, 0), 0)</f>
        <v>0.23216723612075238</v>
      </c>
      <c r="R6" s="29">
        <f>VLOOKUP($B6, agr_mes!$B:$XFD, MATCH(gdp_agr_share!R$1, agr_mes!$B$1:$XFD$1, 0), 0)/VLOOKUP($B6, gdp_tot_mes!$B:$XFD, MATCH(gdp_agr_share!R$1, gdp_tot_mes!$B$1:$XFD$1, 0), 0)</f>
        <v>0.19190096183276092</v>
      </c>
      <c r="S6" s="29">
        <f>VLOOKUP($B6, agr_mes!$B:$XFD, MATCH(gdp_agr_share!S$1, agr_mes!$B$1:$XFD$1, 0), 0)/VLOOKUP($B6, gdp_tot_mes!$B:$XFD, MATCH(gdp_agr_share!S$1, gdp_tot_mes!$B$1:$XFD$1, 0), 0)</f>
        <v>0.16156030416662964</v>
      </c>
      <c r="T6" s="29">
        <f>VLOOKUP($B6, agr_mes!$B:$XFD, MATCH(gdp_agr_share!T$1, agr_mes!$B$1:$XFD$1, 0), 0)/VLOOKUP($B6, gdp_tot_mes!$B:$XFD, MATCH(gdp_agr_share!T$1, gdp_tot_mes!$B$1:$XFD$1, 0), 0)</f>
        <v>0.1532076108393591</v>
      </c>
      <c r="U6" s="29">
        <f>VLOOKUP($B6, agr_mes!$B:$XFD, MATCH(gdp_agr_share!U$1, agr_mes!$B$1:$XFD$1, 0), 0)/VLOOKUP($B6, gdp_tot_mes!$B:$XFD, MATCH(gdp_agr_share!U$1, gdp_tot_mes!$B$1:$XFD$1, 0), 0)</f>
        <v>0.14907073395886686</v>
      </c>
      <c r="V6" s="29">
        <f>VLOOKUP($B6, agr_mes!$B:$XFD, MATCH(gdp_agr_share!V$1, agr_mes!$B$1:$XFD$1, 0), 0)/VLOOKUP($B6, gdp_tot_mes!$B:$XFD, MATCH(gdp_agr_share!V$1, gdp_tot_mes!$B$1:$XFD$1, 0), 0)</f>
        <v>0.12744220403077583</v>
      </c>
      <c r="W6" s="29">
        <f>VLOOKUP($B6, agr_mes!$B:$XFD, MATCH(gdp_agr_share!W$1, agr_mes!$B$1:$XFD$1, 0), 0)/VLOOKUP($B6, gdp_tot_mes!$B:$XFD, MATCH(gdp_agr_share!W$1, gdp_tot_mes!$B$1:$XFD$1, 0), 0)</f>
        <v>0.14966823219959186</v>
      </c>
      <c r="X6" s="29">
        <f>VLOOKUP($B6, agr_mes!$B:$XFD, MATCH(gdp_agr_share!X$1, agr_mes!$B$1:$XFD$1, 0), 0)/VLOOKUP($B6, gdp_tot_mes!$B:$XFD, MATCH(gdp_agr_share!X$1, gdp_tot_mes!$B$1:$XFD$1, 0), 0)</f>
        <v>0.15768619732156111</v>
      </c>
      <c r="Y6" s="29">
        <f>VLOOKUP($B6, agr_mes!$B:$XFD, MATCH(gdp_agr_share!Y$1, agr_mes!$B$1:$XFD$1, 0), 0)/VLOOKUP($B6, gdp_tot_mes!$B:$XFD, MATCH(gdp_agr_share!Y$1, gdp_tot_mes!$B$1:$XFD$1, 0), 0)</f>
        <v>0.11197793378330025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25">
      <c r="A7" s="1" t="s">
        <v>35</v>
      </c>
      <c r="B7" s="1" t="s">
        <v>36</v>
      </c>
      <c r="C7" s="1" t="s">
        <v>37</v>
      </c>
      <c r="D7" s="29">
        <f>VLOOKUP($B7, agr_mes!$B:$XFD, MATCH(gdp_agr_share!D$1, agr_mes!$B$1:$XFD$1, 0), 0)/VLOOKUP($B7, gdp_tot_mes!$B:$XFD, MATCH(gdp_agr_share!D$1, gdp_tot_mes!$B$1:$XFD$1, 0), 0)</f>
        <v>0.57469418871213884</v>
      </c>
      <c r="E7" s="29">
        <f>VLOOKUP($B7, agr_mes!$B:$XFD, MATCH(gdp_agr_share!E$1, agr_mes!$B$1:$XFD$1, 0), 0)/VLOOKUP($B7, gdp_tot_mes!$B:$XFD, MATCH(gdp_agr_share!E$1, gdp_tot_mes!$B$1:$XFD$1, 0), 0)</f>
        <v>0.65659073957169622</v>
      </c>
      <c r="F7" s="29">
        <f>VLOOKUP($B7, agr_mes!$B:$XFD, MATCH(gdp_agr_share!F$1, agr_mes!$B$1:$XFD$1, 0), 0)/VLOOKUP($B7, gdp_tot_mes!$B:$XFD, MATCH(gdp_agr_share!F$1, gdp_tot_mes!$B$1:$XFD$1, 0), 0)</f>
        <v>0.9985993785026106</v>
      </c>
      <c r="G7" s="29">
        <f>VLOOKUP($B7, agr_mes!$B:$XFD, MATCH(gdp_agr_share!G$1, agr_mes!$B$1:$XFD$1, 0), 0)/VLOOKUP($B7, gdp_tot_mes!$B:$XFD, MATCH(gdp_agr_share!G$1, gdp_tot_mes!$B$1:$XFD$1, 0), 0)</f>
        <v>0.92416565969958475</v>
      </c>
      <c r="H7" s="29">
        <f>VLOOKUP($B7, agr_mes!$B:$XFD, MATCH(gdp_agr_share!H$1, agr_mes!$B$1:$XFD$1, 0), 0)/VLOOKUP($B7, gdp_tot_mes!$B:$XFD, MATCH(gdp_agr_share!H$1, gdp_tot_mes!$B$1:$XFD$1, 0), 0)</f>
        <v>0.5738288928250711</v>
      </c>
      <c r="I7" s="29">
        <f>VLOOKUP($B7, agr_mes!$B:$XFD, MATCH(gdp_agr_share!I$1, agr_mes!$B$1:$XFD$1, 0), 0)/VLOOKUP($B7, gdp_tot_mes!$B:$XFD, MATCH(gdp_agr_share!I$1, gdp_tot_mes!$B$1:$XFD$1, 0), 0)</f>
        <v>0.52502782638916967</v>
      </c>
      <c r="J7" s="29">
        <f>VLOOKUP($B7, agr_mes!$B:$XFD, MATCH(gdp_agr_share!J$1, agr_mes!$B$1:$XFD$1, 0), 0)/VLOOKUP($B7, gdp_tot_mes!$B:$XFD, MATCH(gdp_agr_share!J$1, gdp_tot_mes!$B$1:$XFD$1, 0), 0)</f>
        <v>0.47150188873054266</v>
      </c>
      <c r="K7" s="29">
        <f>VLOOKUP($B7, agr_mes!$B:$XFD, MATCH(gdp_agr_share!K$1, agr_mes!$B$1:$XFD$1, 0), 0)/VLOOKUP($B7, gdp_tot_mes!$B:$XFD, MATCH(gdp_agr_share!K$1, gdp_tot_mes!$B$1:$XFD$1, 0), 0)</f>
        <v>0.55656395489695643</v>
      </c>
      <c r="L7" s="30">
        <f t="shared" si="0"/>
        <v>0.53214969039689897</v>
      </c>
      <c r="M7" s="29">
        <f>VLOOKUP($B7, agr_mes!$B:$XFD, MATCH(gdp_agr_share!M$1, agr_mes!$B$1:$XFD$1, 0), 0)/VLOOKUP($B7, gdp_tot_mes!$B:$XFD, MATCH(gdp_agr_share!M$1, gdp_tot_mes!$B$1:$XFD$1, 0), 0)</f>
        <v>0.50285257299683006</v>
      </c>
      <c r="N7" s="29">
        <f>VLOOKUP($B7, agr_mes!$B:$XFD, MATCH(gdp_agr_share!N$1, agr_mes!$B$1:$XFD$1, 0), 0)/VLOOKUP($B7, gdp_tot_mes!$B:$XFD, MATCH(gdp_agr_share!N$1, gdp_tot_mes!$B$1:$XFD$1, 0), 0)</f>
        <v>0.13454351601286088</v>
      </c>
      <c r="O7" s="29">
        <f>VLOOKUP($B7, agr_mes!$B:$XFD, MATCH(gdp_agr_share!O$1, agr_mes!$B$1:$XFD$1, 0), 0)/VLOOKUP($B7, gdp_tot_mes!$B:$XFD, MATCH(gdp_agr_share!O$1, gdp_tot_mes!$B$1:$XFD$1, 0), 0)</f>
        <v>0.16271342803222794</v>
      </c>
      <c r="P7" s="29">
        <f>VLOOKUP($B7, agr_mes!$B:$XFD, MATCH(gdp_agr_share!P$1, agr_mes!$B$1:$XFD$1, 0), 0)/VLOOKUP($B7, gdp_tot_mes!$B:$XFD, MATCH(gdp_agr_share!P$1, gdp_tot_mes!$B$1:$XFD$1, 0), 0)</f>
        <v>0.15716891782414036</v>
      </c>
      <c r="Q7" s="29">
        <f>VLOOKUP($B7, agr_mes!$B:$XFD, MATCH(gdp_agr_share!Q$1, agr_mes!$B$1:$XFD$1, 0), 0)/VLOOKUP($B7, gdp_tot_mes!$B:$XFD, MATCH(gdp_agr_share!Q$1, gdp_tot_mes!$B$1:$XFD$1, 0), 0)</f>
        <v>7.3434466506018606E-2</v>
      </c>
      <c r="R7" s="29">
        <f>VLOOKUP($B7, agr_mes!$B:$XFD, MATCH(gdp_agr_share!R$1, agr_mes!$B$1:$XFD$1, 0), 0)/VLOOKUP($B7, gdp_tot_mes!$B:$XFD, MATCH(gdp_agr_share!R$1, gdp_tot_mes!$B$1:$XFD$1, 0), 0)</f>
        <v>9.2609168780287618E-2</v>
      </c>
      <c r="S7" s="29">
        <f>VLOOKUP($B7, agr_mes!$B:$XFD, MATCH(gdp_agr_share!S$1, agr_mes!$B$1:$XFD$1, 0), 0)/VLOOKUP($B7, gdp_tot_mes!$B:$XFD, MATCH(gdp_agr_share!S$1, gdp_tot_mes!$B$1:$XFD$1, 0), 0)</f>
        <v>8.3601833146739302E-2</v>
      </c>
      <c r="T7" s="29">
        <f>VLOOKUP($B7, agr_mes!$B:$XFD, MATCH(gdp_agr_share!T$1, agr_mes!$B$1:$XFD$1, 0), 0)/VLOOKUP($B7, gdp_tot_mes!$B:$XFD, MATCH(gdp_agr_share!T$1, gdp_tot_mes!$B$1:$XFD$1, 0), 0)</f>
        <v>6.5898774692276688E-2</v>
      </c>
      <c r="U7" s="29">
        <f>VLOOKUP($B7, agr_mes!$B:$XFD, MATCH(gdp_agr_share!U$1, agr_mes!$B$1:$XFD$1, 0), 0)/VLOOKUP($B7, gdp_tot_mes!$B:$XFD, MATCH(gdp_agr_share!U$1, gdp_tot_mes!$B$1:$XFD$1, 0), 0)</f>
        <v>6.2893197671210002E-2</v>
      </c>
      <c r="V7" s="29">
        <f>VLOOKUP($B7, agr_mes!$B:$XFD, MATCH(gdp_agr_share!V$1, agr_mes!$B$1:$XFD$1, 0), 0)/VLOOKUP($B7, gdp_tot_mes!$B:$XFD, MATCH(gdp_agr_share!V$1, gdp_tot_mes!$B$1:$XFD$1, 0), 0)</f>
        <v>5.6467351811481652E-2</v>
      </c>
      <c r="W7" s="29">
        <f>VLOOKUP($B7, agr_mes!$B:$XFD, MATCH(gdp_agr_share!W$1, agr_mes!$B$1:$XFD$1, 0), 0)/VLOOKUP($B7, gdp_tot_mes!$B:$XFD, MATCH(gdp_agr_share!W$1, gdp_tot_mes!$B$1:$XFD$1, 0), 0)</f>
        <v>6.2592491737281958E-2</v>
      </c>
      <c r="X7" s="29">
        <f>VLOOKUP($B7, agr_mes!$B:$XFD, MATCH(gdp_agr_share!X$1, agr_mes!$B$1:$XFD$1, 0), 0)/VLOOKUP($B7, gdp_tot_mes!$B:$XFD, MATCH(gdp_agr_share!X$1, gdp_tot_mes!$B$1:$XFD$1, 0), 0)</f>
        <v>6.9208072903510609E-2</v>
      </c>
      <c r="Y7" s="29">
        <f>VLOOKUP($B7, agr_mes!$B:$XFD, MATCH(gdp_agr_share!Y$1, agr_mes!$B$1:$XFD$1, 0), 0)/VLOOKUP($B7, gdp_tot_mes!$B:$XFD, MATCH(gdp_agr_share!Y$1, gdp_tot_mes!$B$1:$XFD$1, 0), 0)</f>
        <v>8.4021595173835728E-2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5">
      <c r="A8" s="1" t="s">
        <v>35</v>
      </c>
      <c r="B8" s="1" t="s">
        <v>38</v>
      </c>
      <c r="C8" s="1" t="s">
        <v>39</v>
      </c>
      <c r="D8" s="29">
        <f>VLOOKUP($B8, agr_mes!$B:$XFD, MATCH(gdp_agr_share!D$1, agr_mes!$B$1:$XFD$1, 0), 0)/VLOOKUP($B8, gdp_tot_mes!$B:$XFD, MATCH(gdp_agr_share!D$1, gdp_tot_mes!$B$1:$XFD$1, 0), 0)</f>
        <v>0.66980320116538661</v>
      </c>
      <c r="E8" s="29">
        <f>VLOOKUP($B8, agr_mes!$B:$XFD, MATCH(gdp_agr_share!E$1, agr_mes!$B$1:$XFD$1, 0), 0)/VLOOKUP($B8, gdp_tot_mes!$B:$XFD, MATCH(gdp_agr_share!E$1, gdp_tot_mes!$B$1:$XFD$1, 0), 0)</f>
        <v>0.56249364059178686</v>
      </c>
      <c r="F8" s="29">
        <f>VLOOKUP($B8, agr_mes!$B:$XFD, MATCH(gdp_agr_share!F$1, agr_mes!$B$1:$XFD$1, 0), 0)/VLOOKUP($B8, gdp_tot_mes!$B:$XFD, MATCH(gdp_agr_share!F$1, gdp_tot_mes!$B$1:$XFD$1, 0), 0)</f>
        <v>0.76704273883559015</v>
      </c>
      <c r="G8" s="29">
        <f>VLOOKUP($B8, agr_mes!$B:$XFD, MATCH(gdp_agr_share!G$1, agr_mes!$B$1:$XFD$1, 0), 0)/VLOOKUP($B8, gdp_tot_mes!$B:$XFD, MATCH(gdp_agr_share!G$1, gdp_tot_mes!$B$1:$XFD$1, 0), 0)</f>
        <v>0.72762137212435474</v>
      </c>
      <c r="H8" s="29">
        <f>VLOOKUP($B8, agr_mes!$B:$XFD, MATCH(gdp_agr_share!H$1, agr_mes!$B$1:$XFD$1, 0), 0)/VLOOKUP($B8, gdp_tot_mes!$B:$XFD, MATCH(gdp_agr_share!H$1, gdp_tot_mes!$B$1:$XFD$1, 0), 0)</f>
        <v>0.47248343475796512</v>
      </c>
      <c r="I8" s="29">
        <f>VLOOKUP($B8, agr_mes!$B:$XFD, MATCH(gdp_agr_share!I$1, agr_mes!$B$1:$XFD$1, 0), 0)/VLOOKUP($B8, gdp_tot_mes!$B:$XFD, MATCH(gdp_agr_share!I$1, gdp_tot_mes!$B$1:$XFD$1, 0), 0)</f>
        <v>0.7354749774037016</v>
      </c>
      <c r="J8" s="29">
        <f>VLOOKUP($B8, agr_mes!$B:$XFD, MATCH(gdp_agr_share!J$1, agr_mes!$B$1:$XFD$1, 0), 0)/VLOOKUP($B8, gdp_tot_mes!$B:$XFD, MATCH(gdp_agr_share!J$1, gdp_tot_mes!$B$1:$XFD$1, 0), 0)</f>
        <v>0.44870820157728464</v>
      </c>
      <c r="K8" s="29">
        <f>VLOOKUP($B8, agr_mes!$B:$XFD, MATCH(gdp_agr_share!K$1, agr_mes!$B$1:$XFD$1, 0), 0)/VLOOKUP($B8, gdp_tot_mes!$B:$XFD, MATCH(gdp_agr_share!K$1, gdp_tot_mes!$B$1:$XFD$1, 0), 0)</f>
        <v>0.35209514859858132</v>
      </c>
      <c r="L8" s="30">
        <f t="shared" si="0"/>
        <v>0.42478521118515983</v>
      </c>
      <c r="M8" s="29">
        <f>VLOOKUP($B8, agr_mes!$B:$XFD, MATCH(gdp_agr_share!M$1, agr_mes!$B$1:$XFD$1, 0), 0)/VLOOKUP($B8, gdp_tot_mes!$B:$XFD, MATCH(gdp_agr_share!M$1, gdp_tot_mes!$B$1:$XFD$1, 0), 0)</f>
        <v>0.51201328628905407</v>
      </c>
      <c r="N8" s="29">
        <f>VLOOKUP($B8, agr_mes!$B:$XFD, MATCH(gdp_agr_share!N$1, agr_mes!$B$1:$XFD$1, 0), 0)/VLOOKUP($B8, gdp_tot_mes!$B:$XFD, MATCH(gdp_agr_share!N$1, gdp_tot_mes!$B$1:$XFD$1, 0), 0)</f>
        <v>0.1546589250694404</v>
      </c>
      <c r="O8" s="29">
        <f>VLOOKUP($B8, agr_mes!$B:$XFD, MATCH(gdp_agr_share!O$1, agr_mes!$B$1:$XFD$1, 0), 0)/VLOOKUP($B8, gdp_tot_mes!$B:$XFD, MATCH(gdp_agr_share!O$1, gdp_tot_mes!$B$1:$XFD$1, 0), 0)</f>
        <v>0.18554724458610988</v>
      </c>
      <c r="P8" s="29">
        <f>VLOOKUP($B8, agr_mes!$B:$XFD, MATCH(gdp_agr_share!P$1, agr_mes!$B$1:$XFD$1, 0), 0)/VLOOKUP($B8, gdp_tot_mes!$B:$XFD, MATCH(gdp_agr_share!P$1, gdp_tot_mes!$B$1:$XFD$1, 0), 0)</f>
        <v>0.22334811644360447</v>
      </c>
      <c r="Q8" s="29">
        <f>VLOOKUP($B8, agr_mes!$B:$XFD, MATCH(gdp_agr_share!Q$1, agr_mes!$B$1:$XFD$1, 0), 0)/VLOOKUP($B8, gdp_tot_mes!$B:$XFD, MATCH(gdp_agr_share!Q$1, gdp_tot_mes!$B$1:$XFD$1, 0), 0)</f>
        <v>0.179026200077884</v>
      </c>
      <c r="R8" s="29">
        <f>VLOOKUP($B8, agr_mes!$B:$XFD, MATCH(gdp_agr_share!R$1, agr_mes!$B$1:$XFD$1, 0), 0)/VLOOKUP($B8, gdp_tot_mes!$B:$XFD, MATCH(gdp_agr_share!R$1, gdp_tot_mes!$B$1:$XFD$1, 0), 0)</f>
        <v>0.15887616115489378</v>
      </c>
      <c r="S8" s="29">
        <f>VLOOKUP($B8, agr_mes!$B:$XFD, MATCH(gdp_agr_share!S$1, agr_mes!$B$1:$XFD$1, 0), 0)/VLOOKUP($B8, gdp_tot_mes!$B:$XFD, MATCH(gdp_agr_share!S$1, gdp_tot_mes!$B$1:$XFD$1, 0), 0)</f>
        <v>0.14756521979590395</v>
      </c>
      <c r="T8" s="29">
        <f>VLOOKUP($B8, agr_mes!$B:$XFD, MATCH(gdp_agr_share!T$1, agr_mes!$B$1:$XFD$1, 0), 0)/VLOOKUP($B8, gdp_tot_mes!$B:$XFD, MATCH(gdp_agr_share!T$1, gdp_tot_mes!$B$1:$XFD$1, 0), 0)</f>
        <v>0.13663810401481613</v>
      </c>
      <c r="U8" s="29">
        <f>VLOOKUP($B8, agr_mes!$B:$XFD, MATCH(gdp_agr_share!U$1, agr_mes!$B$1:$XFD$1, 0), 0)/VLOOKUP($B8, gdp_tot_mes!$B:$XFD, MATCH(gdp_agr_share!U$1, gdp_tot_mes!$B$1:$XFD$1, 0), 0)</f>
        <v>0.13273093999117377</v>
      </c>
      <c r="V8" s="29">
        <f>VLOOKUP($B8, agr_mes!$B:$XFD, MATCH(gdp_agr_share!V$1, agr_mes!$B$1:$XFD$1, 0), 0)/VLOOKUP($B8, gdp_tot_mes!$B:$XFD, MATCH(gdp_agr_share!V$1, gdp_tot_mes!$B$1:$XFD$1, 0), 0)</f>
        <v>0.10623039328650723</v>
      </c>
      <c r="W8" s="29">
        <f>VLOOKUP($B8, agr_mes!$B:$XFD, MATCH(gdp_agr_share!W$1, agr_mes!$B$1:$XFD$1, 0), 0)/VLOOKUP($B8, gdp_tot_mes!$B:$XFD, MATCH(gdp_agr_share!W$1, gdp_tot_mes!$B$1:$XFD$1, 0), 0)</f>
        <v>0.10825801021406396</v>
      </c>
      <c r="X8" s="29">
        <f>VLOOKUP($B8, agr_mes!$B:$XFD, MATCH(gdp_agr_share!X$1, agr_mes!$B$1:$XFD$1, 0), 0)/VLOOKUP($B8, gdp_tot_mes!$B:$XFD, MATCH(gdp_agr_share!X$1, gdp_tot_mes!$B$1:$XFD$1, 0), 0)</f>
        <v>0.11785776896041246</v>
      </c>
      <c r="Y8" s="29">
        <f>VLOOKUP($B8, agr_mes!$B:$XFD, MATCH(gdp_agr_share!Y$1, agr_mes!$B$1:$XFD$1, 0), 0)/VLOOKUP($B8, gdp_tot_mes!$B:$XFD, MATCH(gdp_agr_share!Y$1, gdp_tot_mes!$B$1:$XFD$1, 0), 0)</f>
        <v>0.16216075800787708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25">
      <c r="A9" s="1" t="s">
        <v>35</v>
      </c>
      <c r="B9" s="1" t="s">
        <v>40</v>
      </c>
      <c r="C9" s="1" t="s">
        <v>41</v>
      </c>
      <c r="D9" s="29">
        <f>VLOOKUP($B9, agr_mes!$B:$XFD, MATCH(gdp_agr_share!D$1, agr_mes!$B$1:$XFD$1, 0), 0)/VLOOKUP($B9, gdp_tot_mes!$B:$XFD, MATCH(gdp_agr_share!D$1, gdp_tot_mes!$B$1:$XFD$1, 0), 0)</f>
        <v>0.23759585568632371</v>
      </c>
      <c r="E9" s="29">
        <f>VLOOKUP($B9, agr_mes!$B:$XFD, MATCH(gdp_agr_share!E$1, agr_mes!$B$1:$XFD$1, 0), 0)/VLOOKUP($B9, gdp_tot_mes!$B:$XFD, MATCH(gdp_agr_share!E$1, gdp_tot_mes!$B$1:$XFD$1, 0), 0)</f>
        <v>0.18960588484828469</v>
      </c>
      <c r="F9" s="29">
        <f>VLOOKUP($B9, agr_mes!$B:$XFD, MATCH(gdp_agr_share!F$1, agr_mes!$B$1:$XFD$1, 0), 0)/VLOOKUP($B9, gdp_tot_mes!$B:$XFD, MATCH(gdp_agr_share!F$1, gdp_tot_mes!$B$1:$XFD$1, 0), 0)</f>
        <v>0.19718979818914226</v>
      </c>
      <c r="G9" s="29">
        <f>VLOOKUP($B9, agr_mes!$B:$XFD, MATCH(gdp_agr_share!G$1, agr_mes!$B$1:$XFD$1, 0), 0)/VLOOKUP($B9, gdp_tot_mes!$B:$XFD, MATCH(gdp_agr_share!G$1, gdp_tot_mes!$B$1:$XFD$1, 0), 0)</f>
        <v>0.1078825615302272</v>
      </c>
      <c r="H9" s="29">
        <f>VLOOKUP($B9, agr_mes!$B:$XFD, MATCH(gdp_agr_share!H$1, agr_mes!$B$1:$XFD$1, 0), 0)/VLOOKUP($B9, gdp_tot_mes!$B:$XFD, MATCH(gdp_agr_share!H$1, gdp_tot_mes!$B$1:$XFD$1, 0), 0)</f>
        <v>0.16329522201962254</v>
      </c>
      <c r="I9" s="29">
        <f>VLOOKUP($B9, agr_mes!$B:$XFD, MATCH(gdp_agr_share!I$1, agr_mes!$B$1:$XFD$1, 0), 0)/VLOOKUP($B9, gdp_tot_mes!$B:$XFD, MATCH(gdp_agr_share!I$1, gdp_tot_mes!$B$1:$XFD$1, 0), 0)</f>
        <v>7.2669481071113956E-2</v>
      </c>
      <c r="J9" s="29">
        <f>VLOOKUP($B9, agr_mes!$B:$XFD, MATCH(gdp_agr_share!J$1, agr_mes!$B$1:$XFD$1, 0), 0)/VLOOKUP($B9, gdp_tot_mes!$B:$XFD, MATCH(gdp_agr_share!J$1, gdp_tot_mes!$B$1:$XFD$1, 0), 0)</f>
        <v>5.0142345183536927E-2</v>
      </c>
      <c r="K9" s="29">
        <f>VLOOKUP($B9, agr_mes!$B:$XFD, MATCH(gdp_agr_share!K$1, agr_mes!$B$1:$XFD$1, 0), 0)/VLOOKUP($B9, gdp_tot_mes!$B:$XFD, MATCH(gdp_agr_share!K$1, gdp_tot_mes!$B$1:$XFD$1, 0), 0)</f>
        <v>6.0223113967067962E-2</v>
      </c>
      <c r="L9" s="30">
        <f t="shared" si="0"/>
        <v>5.2160897333124526E-2</v>
      </c>
      <c r="M9" s="29">
        <f>VLOOKUP($B9, agr_mes!$B:$XFD, MATCH(gdp_agr_share!M$1, agr_mes!$B$1:$XFD$1, 0), 0)/VLOOKUP($B9, gdp_tot_mes!$B:$XFD, MATCH(gdp_agr_share!M$1, gdp_tot_mes!$B$1:$XFD$1, 0), 0)</f>
        <v>4.2486237372392405E-2</v>
      </c>
      <c r="N9" s="29">
        <f>VLOOKUP($B9, agr_mes!$B:$XFD, MATCH(gdp_agr_share!N$1, agr_mes!$B$1:$XFD$1, 0), 0)/VLOOKUP($B9, gdp_tot_mes!$B:$XFD, MATCH(gdp_agr_share!N$1, gdp_tot_mes!$B$1:$XFD$1, 0), 0)</f>
        <v>2.2359722617131244E-2</v>
      </c>
      <c r="O9" s="29">
        <f>VLOOKUP($B9, agr_mes!$B:$XFD, MATCH(gdp_agr_share!O$1, agr_mes!$B$1:$XFD$1, 0), 0)/VLOOKUP($B9, gdp_tot_mes!$B:$XFD, MATCH(gdp_agr_share!O$1, gdp_tot_mes!$B$1:$XFD$1, 0), 0)</f>
        <v>1.8577533147340855E-2</v>
      </c>
      <c r="P9" s="29">
        <f>VLOOKUP($B9, agr_mes!$B:$XFD, MATCH(gdp_agr_share!P$1, agr_mes!$B$1:$XFD$1, 0), 0)/VLOOKUP($B9, gdp_tot_mes!$B:$XFD, MATCH(gdp_agr_share!P$1, gdp_tot_mes!$B$1:$XFD$1, 0), 0)</f>
        <v>1.8196288538592068E-2</v>
      </c>
      <c r="Q9" s="29">
        <f>VLOOKUP($B9, agr_mes!$B:$XFD, MATCH(gdp_agr_share!Q$1, agr_mes!$B$1:$XFD$1, 0), 0)/VLOOKUP($B9, gdp_tot_mes!$B:$XFD, MATCH(gdp_agr_share!Q$1, gdp_tot_mes!$B$1:$XFD$1, 0), 0)</f>
        <v>4.7178626495868264E-2</v>
      </c>
      <c r="R9" s="29">
        <f>VLOOKUP($B9, agr_mes!$B:$XFD, MATCH(gdp_agr_share!R$1, agr_mes!$B$1:$XFD$1, 0), 0)/VLOOKUP($B9, gdp_tot_mes!$B:$XFD, MATCH(gdp_agr_share!R$1, gdp_tot_mes!$B$1:$XFD$1, 0), 0)</f>
        <v>4.1437448632382794E-2</v>
      </c>
      <c r="S9" s="29">
        <f>VLOOKUP($B9, agr_mes!$B:$XFD, MATCH(gdp_agr_share!S$1, agr_mes!$B$1:$XFD$1, 0), 0)/VLOOKUP($B9, gdp_tot_mes!$B:$XFD, MATCH(gdp_agr_share!S$1, gdp_tot_mes!$B$1:$XFD$1, 0), 0)</f>
        <v>3.1190177991842968E-2</v>
      </c>
      <c r="T9" s="29">
        <f>VLOOKUP($B9, agr_mes!$B:$XFD, MATCH(gdp_agr_share!T$1, agr_mes!$B$1:$XFD$1, 0), 0)/VLOOKUP($B9, gdp_tot_mes!$B:$XFD, MATCH(gdp_agr_share!T$1, gdp_tot_mes!$B$1:$XFD$1, 0), 0)</f>
        <v>2.481061785997863E-2</v>
      </c>
      <c r="U9" s="29">
        <f>VLOOKUP($B9, agr_mes!$B:$XFD, MATCH(gdp_agr_share!U$1, agr_mes!$B$1:$XFD$1, 0), 0)/VLOOKUP($B9, gdp_tot_mes!$B:$XFD, MATCH(gdp_agr_share!U$1, gdp_tot_mes!$B$1:$XFD$1, 0), 0)</f>
        <v>2.2963475508495611E-2</v>
      </c>
      <c r="V9" s="29">
        <f>VLOOKUP($B9, agr_mes!$B:$XFD, MATCH(gdp_agr_share!V$1, agr_mes!$B$1:$XFD$1, 0), 0)/VLOOKUP($B9, gdp_tot_mes!$B:$XFD, MATCH(gdp_agr_share!V$1, gdp_tot_mes!$B$1:$XFD$1, 0), 0)</f>
        <v>2.150282684933107E-2</v>
      </c>
      <c r="W9" s="29">
        <f>VLOOKUP($B9, agr_mes!$B:$XFD, MATCH(gdp_agr_share!W$1, agr_mes!$B$1:$XFD$1, 0), 0)/VLOOKUP($B9, gdp_tot_mes!$B:$XFD, MATCH(gdp_agr_share!W$1, gdp_tot_mes!$B$1:$XFD$1, 0), 0)</f>
        <v>1.946897713301908E-2</v>
      </c>
      <c r="X9" s="29">
        <f>VLOOKUP($B9, agr_mes!$B:$XFD, MATCH(gdp_agr_share!X$1, agr_mes!$B$1:$XFD$1, 0), 0)/VLOOKUP($B9, gdp_tot_mes!$B:$XFD, MATCH(gdp_agr_share!X$1, gdp_tot_mes!$B$1:$XFD$1, 0), 0)</f>
        <v>2.181568219971896E-2</v>
      </c>
      <c r="Y9" s="29">
        <f>VLOOKUP($B9, agr_mes!$B:$XFD, MATCH(gdp_agr_share!Y$1, agr_mes!$B$1:$XFD$1, 0), 0)/VLOOKUP($B9, gdp_tot_mes!$B:$XFD, MATCH(gdp_agr_share!Y$1, gdp_tot_mes!$B$1:$XFD$1, 0), 0)</f>
        <v>2.829638984908639E-2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5">
      <c r="A10" s="1" t="s">
        <v>35</v>
      </c>
      <c r="B10" s="1" t="s">
        <v>42</v>
      </c>
      <c r="C10" s="1" t="s">
        <v>43</v>
      </c>
      <c r="D10" s="29">
        <f>VLOOKUP($B10, agr_mes!$B:$XFD, MATCH(gdp_agr_share!D$1, agr_mes!$B$1:$XFD$1, 0), 0)/VLOOKUP($B10, gdp_tot_mes!$B:$XFD, MATCH(gdp_agr_share!D$1, gdp_tot_mes!$B$1:$XFD$1, 0), 0)</f>
        <v>0.69657898769584625</v>
      </c>
      <c r="E10" s="29">
        <f>VLOOKUP($B10, agr_mes!$B:$XFD, MATCH(gdp_agr_share!E$1, agr_mes!$B$1:$XFD$1, 0), 0)/VLOOKUP($B10, gdp_tot_mes!$B:$XFD, MATCH(gdp_agr_share!E$1, gdp_tot_mes!$B$1:$XFD$1, 0), 0)</f>
        <v>0.76950262746394138</v>
      </c>
      <c r="F10" s="29">
        <f>VLOOKUP($B10, agr_mes!$B:$XFD, MATCH(gdp_agr_share!F$1, agr_mes!$B$1:$XFD$1, 0), 0)/VLOOKUP($B10, gdp_tot_mes!$B:$XFD, MATCH(gdp_agr_share!F$1, gdp_tot_mes!$B$1:$XFD$1, 0), 0)</f>
        <v>0.89741672632633673</v>
      </c>
      <c r="G10" s="29">
        <f>VLOOKUP($B10, agr_mes!$B:$XFD, MATCH(gdp_agr_share!G$1, agr_mes!$B$1:$XFD$1, 0), 0)/VLOOKUP($B10, gdp_tot_mes!$B:$XFD, MATCH(gdp_agr_share!G$1, gdp_tot_mes!$B$1:$XFD$1, 0), 0)</f>
        <v>0.86163415621123796</v>
      </c>
      <c r="H10" s="29">
        <f>VLOOKUP($B10, agr_mes!$B:$XFD, MATCH(gdp_agr_share!H$1, agr_mes!$B$1:$XFD$1, 0), 0)/VLOOKUP($B10, gdp_tot_mes!$B:$XFD, MATCH(gdp_agr_share!H$1, gdp_tot_mes!$B$1:$XFD$1, 0), 0)</f>
        <v>0.65230304603056533</v>
      </c>
      <c r="I10" s="29">
        <f>VLOOKUP($B10, agr_mes!$B:$XFD, MATCH(gdp_agr_share!I$1, agr_mes!$B$1:$XFD$1, 0), 0)/VLOOKUP($B10, gdp_tot_mes!$B:$XFD, MATCH(gdp_agr_share!I$1, gdp_tot_mes!$B$1:$XFD$1, 0), 0)</f>
        <v>0.50592499415802028</v>
      </c>
      <c r="J10" s="29">
        <f>VLOOKUP($B10, agr_mes!$B:$XFD, MATCH(gdp_agr_share!J$1, agr_mes!$B$1:$XFD$1, 0), 0)/VLOOKUP($B10, gdp_tot_mes!$B:$XFD, MATCH(gdp_agr_share!J$1, gdp_tot_mes!$B$1:$XFD$1, 0), 0)</f>
        <v>0.45890180019775317</v>
      </c>
      <c r="K10" s="29">
        <f>VLOOKUP($B10, agr_mes!$B:$XFD, MATCH(gdp_agr_share!K$1, agr_mes!$B$1:$XFD$1, 0), 0)/VLOOKUP($B10, gdp_tot_mes!$B:$XFD, MATCH(gdp_agr_share!K$1, gdp_tot_mes!$B$1:$XFD$1, 0), 0)</f>
        <v>0.65946635773096529</v>
      </c>
      <c r="L10" s="30">
        <f t="shared" si="0"/>
        <v>0.60365782708381888</v>
      </c>
      <c r="M10" s="29">
        <f>VLOOKUP($B10, agr_mes!$B:$XFD, MATCH(gdp_agr_share!M$1, agr_mes!$B$1:$XFD$1, 0), 0)/VLOOKUP($B10, gdp_tot_mes!$B:$XFD, MATCH(gdp_agr_share!M$1, gdp_tot_mes!$B$1:$XFD$1, 0), 0)</f>
        <v>0.53668759030724311</v>
      </c>
      <c r="N10" s="29">
        <f>VLOOKUP($B10, agr_mes!$B:$XFD, MATCH(gdp_agr_share!N$1, agr_mes!$B$1:$XFD$1, 0), 0)/VLOOKUP($B10, gdp_tot_mes!$B:$XFD, MATCH(gdp_agr_share!N$1, gdp_tot_mes!$B$1:$XFD$1, 0), 0)</f>
        <v>0.17800139316083444</v>
      </c>
      <c r="O10" s="29">
        <f>VLOOKUP($B10, agr_mes!$B:$XFD, MATCH(gdp_agr_share!O$1, agr_mes!$B$1:$XFD$1, 0), 0)/VLOOKUP($B10, gdp_tot_mes!$B:$XFD, MATCH(gdp_agr_share!O$1, gdp_tot_mes!$B$1:$XFD$1, 0), 0)</f>
        <v>0.20021479248542018</v>
      </c>
      <c r="P10" s="29">
        <f>VLOOKUP($B10, agr_mes!$B:$XFD, MATCH(gdp_agr_share!P$1, agr_mes!$B$1:$XFD$1, 0), 0)/VLOOKUP($B10, gdp_tot_mes!$B:$XFD, MATCH(gdp_agr_share!P$1, gdp_tot_mes!$B$1:$XFD$1, 0), 0)</f>
        <v>0.21577297035406964</v>
      </c>
      <c r="Q10" s="29">
        <f>VLOOKUP($B10, agr_mes!$B:$XFD, MATCH(gdp_agr_share!Q$1, agr_mes!$B$1:$XFD$1, 0), 0)/VLOOKUP($B10, gdp_tot_mes!$B:$XFD, MATCH(gdp_agr_share!Q$1, gdp_tot_mes!$B$1:$XFD$1, 0), 0)</f>
        <v>0.21815684147325609</v>
      </c>
      <c r="R10" s="29">
        <f>VLOOKUP($B10, agr_mes!$B:$XFD, MATCH(gdp_agr_share!R$1, agr_mes!$B$1:$XFD$1, 0), 0)/VLOOKUP($B10, gdp_tot_mes!$B:$XFD, MATCH(gdp_agr_share!R$1, gdp_tot_mes!$B$1:$XFD$1, 0), 0)</f>
        <v>0.18579621302698321</v>
      </c>
      <c r="S10" s="29">
        <f>VLOOKUP($B10, agr_mes!$B:$XFD, MATCH(gdp_agr_share!S$1, agr_mes!$B$1:$XFD$1, 0), 0)/VLOOKUP($B10, gdp_tot_mes!$B:$XFD, MATCH(gdp_agr_share!S$1, gdp_tot_mes!$B$1:$XFD$1, 0), 0)</f>
        <v>0.18057667833309426</v>
      </c>
      <c r="T10" s="29">
        <f>VLOOKUP($B10, agr_mes!$B:$XFD, MATCH(gdp_agr_share!T$1, agr_mes!$B$1:$XFD$1, 0), 0)/VLOOKUP($B10, gdp_tot_mes!$B:$XFD, MATCH(gdp_agr_share!T$1, gdp_tot_mes!$B$1:$XFD$1, 0), 0)</f>
        <v>0.16524993930854015</v>
      </c>
      <c r="U10" s="29">
        <f>VLOOKUP($B10, agr_mes!$B:$XFD, MATCH(gdp_agr_share!U$1, agr_mes!$B$1:$XFD$1, 0), 0)/VLOOKUP($B10, gdp_tot_mes!$B:$XFD, MATCH(gdp_agr_share!U$1, gdp_tot_mes!$B$1:$XFD$1, 0), 0)</f>
        <v>0.24729275857082397</v>
      </c>
      <c r="V10" s="29">
        <f>VLOOKUP($B10, agr_mes!$B:$XFD, MATCH(gdp_agr_share!V$1, agr_mes!$B$1:$XFD$1, 0), 0)/VLOOKUP($B10, gdp_tot_mes!$B:$XFD, MATCH(gdp_agr_share!V$1, gdp_tot_mes!$B$1:$XFD$1, 0), 0)</f>
        <v>0.20316122576797091</v>
      </c>
      <c r="W10" s="29">
        <f>VLOOKUP($B10, agr_mes!$B:$XFD, MATCH(gdp_agr_share!W$1, agr_mes!$B$1:$XFD$1, 0), 0)/VLOOKUP($B10, gdp_tot_mes!$B:$XFD, MATCH(gdp_agr_share!W$1, gdp_tot_mes!$B$1:$XFD$1, 0), 0)</f>
        <v>0.16119756478876404</v>
      </c>
      <c r="X10" s="29">
        <f>VLOOKUP($B10, agr_mes!$B:$XFD, MATCH(gdp_agr_share!X$1, agr_mes!$B$1:$XFD$1, 0), 0)/VLOOKUP($B10, gdp_tot_mes!$B:$XFD, MATCH(gdp_agr_share!X$1, gdp_tot_mes!$B$1:$XFD$1, 0), 0)</f>
        <v>0.15587700975827681</v>
      </c>
      <c r="Y10" s="29">
        <f>VLOOKUP($B10, agr_mes!$B:$XFD, MATCH(gdp_agr_share!Y$1, agr_mes!$B$1:$XFD$1, 0), 0)/VLOOKUP($B10, gdp_tot_mes!$B:$XFD, MATCH(gdp_agr_share!Y$1, gdp_tot_mes!$B$1:$XFD$1, 0), 0)</f>
        <v>0.18745841340945824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25">
      <c r="A11" s="1" t="s">
        <v>44</v>
      </c>
      <c r="B11" s="1" t="s">
        <v>45</v>
      </c>
      <c r="C11" s="1" t="s">
        <v>46</v>
      </c>
      <c r="D11" s="29">
        <f>VLOOKUP($B11, agr_mes!$B:$XFD, MATCH(gdp_agr_share!D$1, agr_mes!$B$1:$XFD$1, 0), 0)/VLOOKUP($B11, gdp_tot_mes!$B:$XFD, MATCH(gdp_agr_share!D$1, gdp_tot_mes!$B$1:$XFD$1, 0), 0)</f>
        <v>0.4119121311143476</v>
      </c>
      <c r="E11" s="29">
        <f>VLOOKUP($B11, agr_mes!$B:$XFD, MATCH(gdp_agr_share!E$1, agr_mes!$B$1:$XFD$1, 0), 0)/VLOOKUP($B11, gdp_tot_mes!$B:$XFD, MATCH(gdp_agr_share!E$1, gdp_tot_mes!$B$1:$XFD$1, 0), 0)</f>
        <v>0.2675113837581915</v>
      </c>
      <c r="F11" s="29">
        <f>VLOOKUP($B11, agr_mes!$B:$XFD, MATCH(gdp_agr_share!F$1, agr_mes!$B$1:$XFD$1, 0), 0)/VLOOKUP($B11, gdp_tot_mes!$B:$XFD, MATCH(gdp_agr_share!F$1, gdp_tot_mes!$B$1:$XFD$1, 0), 0)</f>
        <v>0.44740614228589215</v>
      </c>
      <c r="G11" s="29">
        <f>VLOOKUP($B11, agr_mes!$B:$XFD, MATCH(gdp_agr_share!G$1, agr_mes!$B$1:$XFD$1, 0), 0)/VLOOKUP($B11, gdp_tot_mes!$B:$XFD, MATCH(gdp_agr_share!G$1, gdp_tot_mes!$B$1:$XFD$1, 0), 0)</f>
        <v>0.50283783079237199</v>
      </c>
      <c r="H11" s="29">
        <f>VLOOKUP($B11, agr_mes!$B:$XFD, MATCH(gdp_agr_share!H$1, agr_mes!$B$1:$XFD$1, 0), 0)/VLOOKUP($B11, gdp_tot_mes!$B:$XFD, MATCH(gdp_agr_share!H$1, gdp_tot_mes!$B$1:$XFD$1, 0), 0)</f>
        <v>0.33919145738569928</v>
      </c>
      <c r="I11" s="29">
        <f>VLOOKUP($B11, agr_mes!$B:$XFD, MATCH(gdp_agr_share!I$1, agr_mes!$B$1:$XFD$1, 0), 0)/VLOOKUP($B11, gdp_tot_mes!$B:$XFD, MATCH(gdp_agr_share!I$1, gdp_tot_mes!$B$1:$XFD$1, 0), 0)</f>
        <v>0.39452494919020642</v>
      </c>
      <c r="J11" s="29">
        <f>VLOOKUP($B11, agr_mes!$B:$XFD, MATCH(gdp_agr_share!J$1, agr_mes!$B$1:$XFD$1, 0), 0)/VLOOKUP($B11, gdp_tot_mes!$B:$XFD, MATCH(gdp_agr_share!J$1, gdp_tot_mes!$B$1:$XFD$1, 0), 0)</f>
        <v>0.36866933245087802</v>
      </c>
      <c r="K11" s="29">
        <f>VLOOKUP($B11, agr_mes!$B:$XFD, MATCH(gdp_agr_share!K$1, agr_mes!$B$1:$XFD$1, 0), 0)/VLOOKUP($B11, gdp_tot_mes!$B:$XFD, MATCH(gdp_agr_share!K$1, gdp_tot_mes!$B$1:$XFD$1, 0), 0)</f>
        <v>0.35241436902215789</v>
      </c>
      <c r="L11" s="30">
        <f t="shared" si="0"/>
        <v>0.32014161364522475</v>
      </c>
      <c r="M11" s="29">
        <f>VLOOKUP($B11, agr_mes!$B:$XFD, MATCH(gdp_agr_share!M$1, agr_mes!$B$1:$XFD$1, 0), 0)/VLOOKUP($B11, gdp_tot_mes!$B:$XFD, MATCH(gdp_agr_share!M$1, gdp_tot_mes!$B$1:$XFD$1, 0), 0)</f>
        <v>0.28141430719290494</v>
      </c>
      <c r="N11" s="29">
        <f>VLOOKUP($B11, agr_mes!$B:$XFD, MATCH(gdp_agr_share!N$1, agr_mes!$B$1:$XFD$1, 0), 0)/VLOOKUP($B11, gdp_tot_mes!$B:$XFD, MATCH(gdp_agr_share!N$1, gdp_tot_mes!$B$1:$XFD$1, 0), 0)</f>
        <v>0.1532021624658193</v>
      </c>
      <c r="O11" s="29">
        <f>VLOOKUP($B11, agr_mes!$B:$XFD, MATCH(gdp_agr_share!O$1, agr_mes!$B$1:$XFD$1, 0), 0)/VLOOKUP($B11, gdp_tot_mes!$B:$XFD, MATCH(gdp_agr_share!O$1, gdp_tot_mes!$B$1:$XFD$1, 0), 0)</f>
        <v>0.15656891831121808</v>
      </c>
      <c r="P11" s="29">
        <f>VLOOKUP($B11, agr_mes!$B:$XFD, MATCH(gdp_agr_share!P$1, agr_mes!$B$1:$XFD$1, 0), 0)/VLOOKUP($B11, gdp_tot_mes!$B:$XFD, MATCH(gdp_agr_share!P$1, gdp_tot_mes!$B$1:$XFD$1, 0), 0)</f>
        <v>0.18821697733307291</v>
      </c>
      <c r="Q11" s="29">
        <f>VLOOKUP($B11, agr_mes!$B:$XFD, MATCH(gdp_agr_share!Q$1, agr_mes!$B$1:$XFD$1, 0), 0)/VLOOKUP($B11, gdp_tot_mes!$B:$XFD, MATCH(gdp_agr_share!Q$1, gdp_tot_mes!$B$1:$XFD$1, 0), 0)</f>
        <v>7.710234533433058E-2</v>
      </c>
      <c r="R11" s="29">
        <f>VLOOKUP($B11, agr_mes!$B:$XFD, MATCH(gdp_agr_share!R$1, agr_mes!$B$1:$XFD$1, 0), 0)/VLOOKUP($B11, gdp_tot_mes!$B:$XFD, MATCH(gdp_agr_share!R$1, gdp_tot_mes!$B$1:$XFD$1, 0), 0)</f>
        <v>6.9274524134862445E-2</v>
      </c>
      <c r="S11" s="29">
        <f>VLOOKUP($B11, agr_mes!$B:$XFD, MATCH(gdp_agr_share!S$1, agr_mes!$B$1:$XFD$1, 0), 0)/VLOOKUP($B11, gdp_tot_mes!$B:$XFD, MATCH(gdp_agr_share!S$1, gdp_tot_mes!$B$1:$XFD$1, 0), 0)</f>
        <v>7.4125383192665678E-2</v>
      </c>
      <c r="T11" s="29">
        <f>VLOOKUP($B11, agr_mes!$B:$XFD, MATCH(gdp_agr_share!T$1, agr_mes!$B$1:$XFD$1, 0), 0)/VLOOKUP($B11, gdp_tot_mes!$B:$XFD, MATCH(gdp_agr_share!T$1, gdp_tot_mes!$B$1:$XFD$1, 0), 0)</f>
        <v>0.10368058187687045</v>
      </c>
      <c r="U11" s="29">
        <f>VLOOKUP($B11, agr_mes!$B:$XFD, MATCH(gdp_agr_share!U$1, agr_mes!$B$1:$XFD$1, 0), 0)/VLOOKUP($B11, gdp_tot_mes!$B:$XFD, MATCH(gdp_agr_share!U$1, gdp_tot_mes!$B$1:$XFD$1, 0), 0)</f>
        <v>0.10141720391628167</v>
      </c>
      <c r="V11" s="29">
        <f>VLOOKUP($B11, agr_mes!$B:$XFD, MATCH(gdp_agr_share!V$1, agr_mes!$B$1:$XFD$1, 0), 0)/VLOOKUP($B11, gdp_tot_mes!$B:$XFD, MATCH(gdp_agr_share!V$1, gdp_tot_mes!$B$1:$XFD$1, 0), 0)</f>
        <v>9.7125490299685174E-2</v>
      </c>
      <c r="W11" s="29">
        <f>VLOOKUP($B11, agr_mes!$B:$XFD, MATCH(gdp_agr_share!W$1, agr_mes!$B$1:$XFD$1, 0), 0)/VLOOKUP($B11, gdp_tot_mes!$B:$XFD, MATCH(gdp_agr_share!W$1, gdp_tot_mes!$B$1:$XFD$1, 0), 0)</f>
        <v>8.8067511854822811E-2</v>
      </c>
      <c r="X11" s="29">
        <f>VLOOKUP($B11, agr_mes!$B:$XFD, MATCH(gdp_agr_share!X$1, agr_mes!$B$1:$XFD$1, 0), 0)/VLOOKUP($B11, gdp_tot_mes!$B:$XFD, MATCH(gdp_agr_share!X$1, gdp_tot_mes!$B$1:$XFD$1, 0), 0)</f>
        <v>9.6320883943769545E-2</v>
      </c>
      <c r="Y11" s="29">
        <f>VLOOKUP($B11, agr_mes!$B:$XFD, MATCH(gdp_agr_share!Y$1, agr_mes!$B$1:$XFD$1, 0), 0)/VLOOKUP($B11, gdp_tot_mes!$B:$XFD, MATCH(gdp_agr_share!Y$1, gdp_tot_mes!$B$1:$XFD$1, 0), 0)</f>
        <v>9.6036424542095808E-2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25">
      <c r="A12" s="1" t="s">
        <v>44</v>
      </c>
      <c r="B12" s="1" t="s">
        <v>47</v>
      </c>
      <c r="C12" s="1" t="s">
        <v>48</v>
      </c>
      <c r="D12" s="29">
        <f>VLOOKUP($B12, agr_mes!$B:$XFD, MATCH(gdp_agr_share!D$1, agr_mes!$B$1:$XFD$1, 0), 0)/VLOOKUP($B12, gdp_tot_mes!$B:$XFD, MATCH(gdp_agr_share!D$1, gdp_tot_mes!$B$1:$XFD$1, 0), 0)</f>
        <v>0.51945330387820388</v>
      </c>
      <c r="E12" s="29">
        <f>VLOOKUP($B12, agr_mes!$B:$XFD, MATCH(gdp_agr_share!E$1, agr_mes!$B$1:$XFD$1, 0), 0)/VLOOKUP($B12, gdp_tot_mes!$B:$XFD, MATCH(gdp_agr_share!E$1, gdp_tot_mes!$B$1:$XFD$1, 0), 0)</f>
        <v>0.53166536179933277</v>
      </c>
      <c r="F12" s="29">
        <f>VLOOKUP($B12, agr_mes!$B:$XFD, MATCH(gdp_agr_share!F$1, agr_mes!$B$1:$XFD$1, 0), 0)/VLOOKUP($B12, gdp_tot_mes!$B:$XFD, MATCH(gdp_agr_share!F$1, gdp_tot_mes!$B$1:$XFD$1, 0), 0)</f>
        <v>6.7608702770023565E-2</v>
      </c>
      <c r="G12" s="29">
        <f>VLOOKUP($B12, agr_mes!$B:$XFD, MATCH(gdp_agr_share!G$1, agr_mes!$B$1:$XFD$1, 0), 0)/VLOOKUP($B12, gdp_tot_mes!$B:$XFD, MATCH(gdp_agr_share!G$1, gdp_tot_mes!$B$1:$XFD$1, 0), 0)</f>
        <v>1.3662012921539509E-2</v>
      </c>
      <c r="H12" s="29">
        <f>VLOOKUP($B12, agr_mes!$B:$XFD, MATCH(gdp_agr_share!H$1, agr_mes!$B$1:$XFD$1, 0), 0)/VLOOKUP($B12, gdp_tot_mes!$B:$XFD, MATCH(gdp_agr_share!H$1, gdp_tot_mes!$B$1:$XFD$1, 0), 0)</f>
        <v>5.771056176847577E-2</v>
      </c>
      <c r="I12" s="29">
        <f>VLOOKUP($B12, agr_mes!$B:$XFD, MATCH(gdp_agr_share!I$1, agr_mes!$B$1:$XFD$1, 0), 0)/VLOOKUP($B12, gdp_tot_mes!$B:$XFD, MATCH(gdp_agr_share!I$1, gdp_tot_mes!$B$1:$XFD$1, 0), 0)</f>
        <v>0.11564840706801004</v>
      </c>
      <c r="J12" s="29">
        <f>VLOOKUP($B12, agr_mes!$B:$XFD, MATCH(gdp_agr_share!J$1, agr_mes!$B$1:$XFD$1, 0), 0)/VLOOKUP($B12, gdp_tot_mes!$B:$XFD, MATCH(gdp_agr_share!J$1, gdp_tot_mes!$B$1:$XFD$1, 0), 0)</f>
        <v>0.12355067325657274</v>
      </c>
      <c r="K12" s="29">
        <f>VLOOKUP($B12, agr_mes!$B:$XFD, MATCH(gdp_agr_share!K$1, agr_mes!$B$1:$XFD$1, 0), 0)/VLOOKUP($B12, gdp_tot_mes!$B:$XFD, MATCH(gdp_agr_share!K$1, gdp_tot_mes!$B$1:$XFD$1, 0), 0)</f>
        <v>9.2427562211725725E-2</v>
      </c>
      <c r="L12" s="30">
        <f t="shared" si="0"/>
        <v>8.5140862671097647E-2</v>
      </c>
      <c r="M12" s="29">
        <f>VLOOKUP($B12, agr_mes!$B:$XFD, MATCH(gdp_agr_share!M$1, agr_mes!$B$1:$XFD$1, 0), 0)/VLOOKUP($B12, gdp_tot_mes!$B:$XFD, MATCH(gdp_agr_share!M$1, gdp_tot_mes!$B$1:$XFD$1, 0), 0)</f>
        <v>7.6396823222343951E-2</v>
      </c>
      <c r="N12" s="29">
        <f>VLOOKUP($B12, agr_mes!$B:$XFD, MATCH(gdp_agr_share!N$1, agr_mes!$B$1:$XFD$1, 0), 0)/VLOOKUP($B12, gdp_tot_mes!$B:$XFD, MATCH(gdp_agr_share!N$1, gdp_tot_mes!$B$1:$XFD$1, 0), 0)</f>
        <v>2.8198933525749512E-2</v>
      </c>
      <c r="O12" s="29">
        <f>VLOOKUP($B12, agr_mes!$B:$XFD, MATCH(gdp_agr_share!O$1, agr_mes!$B$1:$XFD$1, 0), 0)/VLOOKUP($B12, gdp_tot_mes!$B:$XFD, MATCH(gdp_agr_share!O$1, gdp_tot_mes!$B$1:$XFD$1, 0), 0)</f>
        <v>2.7411925744719273E-2</v>
      </c>
      <c r="P12" s="29">
        <f>VLOOKUP($B12, agr_mes!$B:$XFD, MATCH(gdp_agr_share!P$1, agr_mes!$B$1:$XFD$1, 0), 0)/VLOOKUP($B12, gdp_tot_mes!$B:$XFD, MATCH(gdp_agr_share!P$1, gdp_tot_mes!$B$1:$XFD$1, 0), 0)</f>
        <v>2.8543709073756363E-2</v>
      </c>
      <c r="Q12" s="29">
        <f>VLOOKUP($B12, agr_mes!$B:$XFD, MATCH(gdp_agr_share!Q$1, agr_mes!$B$1:$XFD$1, 0), 0)/VLOOKUP($B12, gdp_tot_mes!$B:$XFD, MATCH(gdp_agr_share!Q$1, gdp_tot_mes!$B$1:$XFD$1, 0), 0)</f>
        <v>8.2530916342128322E-3</v>
      </c>
      <c r="R12" s="29">
        <f>VLOOKUP($B12, agr_mes!$B:$XFD, MATCH(gdp_agr_share!R$1, agr_mes!$B$1:$XFD$1, 0), 0)/VLOOKUP($B12, gdp_tot_mes!$B:$XFD, MATCH(gdp_agr_share!R$1, gdp_tot_mes!$B$1:$XFD$1, 0), 0)</f>
        <v>7.5973688519143613E-3</v>
      </c>
      <c r="S12" s="29">
        <f>VLOOKUP($B12, agr_mes!$B:$XFD, MATCH(gdp_agr_share!S$1, agr_mes!$B$1:$XFD$1, 0), 0)/VLOOKUP($B12, gdp_tot_mes!$B:$XFD, MATCH(gdp_agr_share!S$1, gdp_tot_mes!$B$1:$XFD$1, 0), 0)</f>
        <v>9.3393086676719656E-3</v>
      </c>
      <c r="T12" s="29">
        <f>VLOOKUP($B12, agr_mes!$B:$XFD, MATCH(gdp_agr_share!T$1, agr_mes!$B$1:$XFD$1, 0), 0)/VLOOKUP($B12, gdp_tot_mes!$B:$XFD, MATCH(gdp_agr_share!T$1, gdp_tot_mes!$B$1:$XFD$1, 0), 0)</f>
        <v>2.2851988305520838E-2</v>
      </c>
      <c r="U12" s="29">
        <f>VLOOKUP($B12, agr_mes!$B:$XFD, MATCH(gdp_agr_share!U$1, agr_mes!$B$1:$XFD$1, 0), 0)/VLOOKUP($B12, gdp_tot_mes!$B:$XFD, MATCH(gdp_agr_share!U$1, gdp_tot_mes!$B$1:$XFD$1, 0), 0)</f>
        <v>2.2391466904336729E-2</v>
      </c>
      <c r="V12" s="29">
        <f>VLOOKUP($B12, agr_mes!$B:$XFD, MATCH(gdp_agr_share!V$1, agr_mes!$B$1:$XFD$1, 0), 0)/VLOOKUP($B12, gdp_tot_mes!$B:$XFD, MATCH(gdp_agr_share!V$1, gdp_tot_mes!$B$1:$XFD$1, 0), 0)</f>
        <v>2.0618045704078432E-2</v>
      </c>
      <c r="W12" s="29">
        <f>VLOOKUP($B12, agr_mes!$B:$XFD, MATCH(gdp_agr_share!W$1, agr_mes!$B$1:$XFD$1, 0), 0)/VLOOKUP($B12, gdp_tot_mes!$B:$XFD, MATCH(gdp_agr_share!W$1, gdp_tot_mes!$B$1:$XFD$1, 0), 0)</f>
        <v>1.6946546647005206E-2</v>
      </c>
      <c r="X12" s="29">
        <f>VLOOKUP($B12, agr_mes!$B:$XFD, MATCH(gdp_agr_share!X$1, agr_mes!$B$1:$XFD$1, 0), 0)/VLOOKUP($B12, gdp_tot_mes!$B:$XFD, MATCH(gdp_agr_share!X$1, gdp_tot_mes!$B$1:$XFD$1, 0), 0)</f>
        <v>1.7372779099344877E-2</v>
      </c>
      <c r="Y12" s="29">
        <f>VLOOKUP($B12, agr_mes!$B:$XFD, MATCH(gdp_agr_share!Y$1, agr_mes!$B$1:$XFD$1, 0), 0)/VLOOKUP($B12, gdp_tot_mes!$B:$XFD, MATCH(gdp_agr_share!Y$1, gdp_tot_mes!$B$1:$XFD$1, 0), 0)</f>
        <v>1.804271017068362E-2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25">
      <c r="A13" s="1" t="s">
        <v>49</v>
      </c>
      <c r="B13" s="1" t="s">
        <v>50</v>
      </c>
      <c r="C13" s="1" t="s">
        <v>51</v>
      </c>
      <c r="D13" s="29">
        <f>VLOOKUP($B13, agr_mes!$B:$XFD, MATCH(gdp_agr_share!D$1, agr_mes!$B$1:$XFD$1, 0), 0)/VLOOKUP($B13, gdp_tot_mes!$B:$XFD, MATCH(gdp_agr_share!D$1, gdp_tot_mes!$B$1:$XFD$1, 0), 0)</f>
        <v>0.37322054680534228</v>
      </c>
      <c r="E13" s="29">
        <f>VLOOKUP($B13, agr_mes!$B:$XFD, MATCH(gdp_agr_share!E$1, agr_mes!$B$1:$XFD$1, 0), 0)/VLOOKUP($B13, gdp_tot_mes!$B:$XFD, MATCH(gdp_agr_share!E$1, gdp_tot_mes!$B$1:$XFD$1, 0), 0)</f>
        <v>0.49253319335441181</v>
      </c>
      <c r="F13" s="29">
        <f>VLOOKUP($B13, agr_mes!$B:$XFD, MATCH(gdp_agr_share!F$1, agr_mes!$B$1:$XFD$1, 0), 0)/VLOOKUP($B13, gdp_tot_mes!$B:$XFD, MATCH(gdp_agr_share!F$1, gdp_tot_mes!$B$1:$XFD$1, 0), 0)</f>
        <v>0.7169567478096518</v>
      </c>
      <c r="G13" s="29">
        <f>VLOOKUP($B13, agr_mes!$B:$XFD, MATCH(gdp_agr_share!G$1, agr_mes!$B$1:$XFD$1, 0), 0)/VLOOKUP($B13, gdp_tot_mes!$B:$XFD, MATCH(gdp_agr_share!G$1, gdp_tot_mes!$B$1:$XFD$1, 0), 0)</f>
        <v>0.68235134641424944</v>
      </c>
      <c r="H13" s="29">
        <f>VLOOKUP($B13, agr_mes!$B:$XFD, MATCH(gdp_agr_share!H$1, agr_mes!$B$1:$XFD$1, 0), 0)/VLOOKUP($B13, gdp_tot_mes!$B:$XFD, MATCH(gdp_agr_share!H$1, gdp_tot_mes!$B$1:$XFD$1, 0), 0)</f>
        <v>0.50404747249980542</v>
      </c>
      <c r="I13" s="29">
        <f>VLOOKUP($B13, agr_mes!$B:$XFD, MATCH(gdp_agr_share!I$1, agr_mes!$B$1:$XFD$1, 0), 0)/VLOOKUP($B13, gdp_tot_mes!$B:$XFD, MATCH(gdp_agr_share!I$1, gdp_tot_mes!$B$1:$XFD$1, 0), 0)</f>
        <v>0.45390241512308893</v>
      </c>
      <c r="J13" s="29">
        <f>VLOOKUP($B13, agr_mes!$B:$XFD, MATCH(gdp_agr_share!J$1, agr_mes!$B$1:$XFD$1, 0), 0)/VLOOKUP($B13, gdp_tot_mes!$B:$XFD, MATCH(gdp_agr_share!J$1, gdp_tot_mes!$B$1:$XFD$1, 0), 0)</f>
        <v>0.36221390448390733</v>
      </c>
      <c r="K13" s="29">
        <f>VLOOKUP($B13, agr_mes!$B:$XFD, MATCH(gdp_agr_share!K$1, agr_mes!$B$1:$XFD$1, 0), 0)/VLOOKUP($B13, gdp_tot_mes!$B:$XFD, MATCH(gdp_agr_share!K$1, gdp_tot_mes!$B$1:$XFD$1, 0), 0)</f>
        <v>0.27928190558704796</v>
      </c>
      <c r="L13" s="30">
        <f t="shared" si="0"/>
        <v>0.34768554805207641</v>
      </c>
      <c r="M13" s="29">
        <f>VLOOKUP($B13, agr_mes!$B:$XFD, MATCH(gdp_agr_share!M$1, agr_mes!$B$1:$XFD$1, 0), 0)/VLOOKUP($B13, gdp_tot_mes!$B:$XFD, MATCH(gdp_agr_share!M$1, gdp_tot_mes!$B$1:$XFD$1, 0), 0)</f>
        <v>0.42976991901011052</v>
      </c>
      <c r="N13" s="29">
        <f>VLOOKUP($B13, agr_mes!$B:$XFD, MATCH(gdp_agr_share!N$1, agr_mes!$B$1:$XFD$1, 0), 0)/VLOOKUP($B13, gdp_tot_mes!$B:$XFD, MATCH(gdp_agr_share!N$1, gdp_tot_mes!$B$1:$XFD$1, 0), 0)</f>
        <v>0.30139655185219161</v>
      </c>
      <c r="O13" s="29">
        <f>VLOOKUP($B13, agr_mes!$B:$XFD, MATCH(gdp_agr_share!O$1, agr_mes!$B$1:$XFD$1, 0), 0)/VLOOKUP($B13, gdp_tot_mes!$B:$XFD, MATCH(gdp_agr_share!O$1, gdp_tot_mes!$B$1:$XFD$1, 0), 0)</f>
        <v>0.36238707055588193</v>
      </c>
      <c r="P13" s="29">
        <f>VLOOKUP($B13, agr_mes!$B:$XFD, MATCH(gdp_agr_share!P$1, agr_mes!$B$1:$XFD$1, 0), 0)/VLOOKUP($B13, gdp_tot_mes!$B:$XFD, MATCH(gdp_agr_share!P$1, gdp_tot_mes!$B$1:$XFD$1, 0), 0)</f>
        <v>0.35739863319542725</v>
      </c>
      <c r="Q13" s="29">
        <f>VLOOKUP($B13, agr_mes!$B:$XFD, MATCH(gdp_agr_share!Q$1, agr_mes!$B$1:$XFD$1, 0), 0)/VLOOKUP($B13, gdp_tot_mes!$B:$XFD, MATCH(gdp_agr_share!Q$1, gdp_tot_mes!$B$1:$XFD$1, 0), 0)</f>
        <v>0.54072833694023248</v>
      </c>
      <c r="R13" s="29">
        <f>VLOOKUP($B13, agr_mes!$B:$XFD, MATCH(gdp_agr_share!R$1, agr_mes!$B$1:$XFD$1, 0), 0)/VLOOKUP($B13, gdp_tot_mes!$B:$XFD, MATCH(gdp_agr_share!R$1, gdp_tot_mes!$B$1:$XFD$1, 0), 0)</f>
        <v>0.5988660947487362</v>
      </c>
      <c r="S13" s="29">
        <f>VLOOKUP($B13, agr_mes!$B:$XFD, MATCH(gdp_agr_share!S$1, agr_mes!$B$1:$XFD$1, 0), 0)/VLOOKUP($B13, gdp_tot_mes!$B:$XFD, MATCH(gdp_agr_share!S$1, gdp_tot_mes!$B$1:$XFD$1, 0), 0)</f>
        <v>0.62906725492375937</v>
      </c>
      <c r="T13" s="29">
        <f>VLOOKUP($B13, agr_mes!$B:$XFD, MATCH(gdp_agr_share!T$1, agr_mes!$B$1:$XFD$1, 0), 0)/VLOOKUP($B13, gdp_tot_mes!$B:$XFD, MATCH(gdp_agr_share!T$1, gdp_tot_mes!$B$1:$XFD$1, 0), 0)</f>
        <v>0.50763685812606196</v>
      </c>
      <c r="U13" s="29">
        <f>VLOOKUP($B13, agr_mes!$B:$XFD, MATCH(gdp_agr_share!U$1, agr_mes!$B$1:$XFD$1, 0), 0)/VLOOKUP($B13, gdp_tot_mes!$B:$XFD, MATCH(gdp_agr_share!U$1, gdp_tot_mes!$B$1:$XFD$1, 0), 0)</f>
        <v>0.49255137106810842</v>
      </c>
      <c r="V13" s="29">
        <f>VLOOKUP($B13, agr_mes!$B:$XFD, MATCH(gdp_agr_share!V$1, agr_mes!$B$1:$XFD$1, 0), 0)/VLOOKUP($B13, gdp_tot_mes!$B:$XFD, MATCH(gdp_agr_share!V$1, gdp_tot_mes!$B$1:$XFD$1, 0), 0)</f>
        <v>0.56647066679268143</v>
      </c>
      <c r="W13" s="29">
        <f>VLOOKUP($B13, agr_mes!$B:$XFD, MATCH(gdp_agr_share!W$1, agr_mes!$B$1:$XFD$1, 0), 0)/VLOOKUP($B13, gdp_tot_mes!$B:$XFD, MATCH(gdp_agr_share!W$1, gdp_tot_mes!$B$1:$XFD$1, 0), 0)</f>
        <v>0.5409154170258641</v>
      </c>
      <c r="X13" s="29">
        <f>VLOOKUP($B13, agr_mes!$B:$XFD, MATCH(gdp_agr_share!X$1, agr_mes!$B$1:$XFD$1, 0), 0)/VLOOKUP($B13, gdp_tot_mes!$B:$XFD, MATCH(gdp_agr_share!X$1, gdp_tot_mes!$B$1:$XFD$1, 0), 0)</f>
        <v>0.43052328887584707</v>
      </c>
      <c r="Y13" s="29">
        <f>VLOOKUP($B13, agr_mes!$B:$XFD, MATCH(gdp_agr_share!Y$1, agr_mes!$B$1:$XFD$1, 0), 0)/VLOOKUP($B13, gdp_tot_mes!$B:$XFD, MATCH(gdp_agr_share!Y$1, gdp_tot_mes!$B$1:$XFD$1, 0), 0)</f>
        <v>0.31060020038408848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5">
      <c r="A14" s="1" t="s">
        <v>49</v>
      </c>
      <c r="B14" s="1" t="s">
        <v>52</v>
      </c>
      <c r="C14" s="1" t="s">
        <v>53</v>
      </c>
      <c r="D14" s="29">
        <f>VLOOKUP($B14, agr_mes!$B:$XFD, MATCH(gdp_agr_share!D$1, agr_mes!$B$1:$XFD$1, 0), 0)/VLOOKUP($B14, gdp_tot_mes!$B:$XFD, MATCH(gdp_agr_share!D$1, gdp_tot_mes!$B$1:$XFD$1, 0), 0)</f>
        <v>0.38644050766048782</v>
      </c>
      <c r="E14" s="29">
        <f>VLOOKUP($B14, agr_mes!$B:$XFD, MATCH(gdp_agr_share!E$1, agr_mes!$B$1:$XFD$1, 0), 0)/VLOOKUP($B14, gdp_tot_mes!$B:$XFD, MATCH(gdp_agr_share!E$1, gdp_tot_mes!$B$1:$XFD$1, 0), 0)</f>
        <v>0.40705396908642871</v>
      </c>
      <c r="F14" s="29">
        <f>VLOOKUP($B14, agr_mes!$B:$XFD, MATCH(gdp_agr_share!F$1, agr_mes!$B$1:$XFD$1, 0), 0)/VLOOKUP($B14, gdp_tot_mes!$B:$XFD, MATCH(gdp_agr_share!F$1, gdp_tot_mes!$B$1:$XFD$1, 0), 0)</f>
        <v>0.55557405278482452</v>
      </c>
      <c r="G14" s="29">
        <f>VLOOKUP($B14, agr_mes!$B:$XFD, MATCH(gdp_agr_share!G$1, agr_mes!$B$1:$XFD$1, 0), 0)/VLOOKUP($B14, gdp_tot_mes!$B:$XFD, MATCH(gdp_agr_share!G$1, gdp_tot_mes!$B$1:$XFD$1, 0), 0)</f>
        <v>0.3996764424360118</v>
      </c>
      <c r="H14" s="29">
        <f>VLOOKUP($B14, agr_mes!$B:$XFD, MATCH(gdp_agr_share!H$1, agr_mes!$B$1:$XFD$1, 0), 0)/VLOOKUP($B14, gdp_tot_mes!$B:$XFD, MATCH(gdp_agr_share!H$1, gdp_tot_mes!$B$1:$XFD$1, 0), 0)</f>
        <v>0.31421624414128496</v>
      </c>
      <c r="I14" s="29">
        <f>VLOOKUP($B14, agr_mes!$B:$XFD, MATCH(gdp_agr_share!I$1, agr_mes!$B$1:$XFD$1, 0), 0)/VLOOKUP($B14, gdp_tot_mes!$B:$XFD, MATCH(gdp_agr_share!I$1, gdp_tot_mes!$B$1:$XFD$1, 0), 0)</f>
        <v>0.28864757316493905</v>
      </c>
      <c r="J14" s="29">
        <f>VLOOKUP($B14, agr_mes!$B:$XFD, MATCH(gdp_agr_share!J$1, agr_mes!$B$1:$XFD$1, 0), 0)/VLOOKUP($B14, gdp_tot_mes!$B:$XFD, MATCH(gdp_agr_share!J$1, gdp_tot_mes!$B$1:$XFD$1, 0), 0)</f>
        <v>0.28583793550675468</v>
      </c>
      <c r="K14" s="29">
        <f>VLOOKUP($B14, agr_mes!$B:$XFD, MATCH(gdp_agr_share!K$1, agr_mes!$B$1:$XFD$1, 0), 0)/VLOOKUP($B14, gdp_tot_mes!$B:$XFD, MATCH(gdp_agr_share!K$1, gdp_tot_mes!$B$1:$XFD$1, 0), 0)</f>
        <v>0.27413830818247298</v>
      </c>
      <c r="L14" s="30">
        <f t="shared" si="0"/>
        <v>0.29011504066042165</v>
      </c>
      <c r="M14" s="29">
        <f>VLOOKUP($B14, agr_mes!$B:$XFD, MATCH(gdp_agr_share!M$1, agr_mes!$B$1:$XFD$1, 0), 0)/VLOOKUP($B14, gdp_tot_mes!$B:$XFD, MATCH(gdp_agr_share!M$1, gdp_tot_mes!$B$1:$XFD$1, 0), 0)</f>
        <v>0.30928711963396011</v>
      </c>
      <c r="N14" s="29">
        <f>VLOOKUP($B14, agr_mes!$B:$XFD, MATCH(gdp_agr_share!N$1, agr_mes!$B$1:$XFD$1, 0), 0)/VLOOKUP($B14, gdp_tot_mes!$B:$XFD, MATCH(gdp_agr_share!N$1, gdp_tot_mes!$B$1:$XFD$1, 0), 0)</f>
        <v>0.10310216299512935</v>
      </c>
      <c r="O14" s="29">
        <f>VLOOKUP($B14, agr_mes!$B:$XFD, MATCH(gdp_agr_share!O$1, agr_mes!$B$1:$XFD$1, 0), 0)/VLOOKUP($B14, gdp_tot_mes!$B:$XFD, MATCH(gdp_agr_share!O$1, gdp_tot_mes!$B$1:$XFD$1, 0), 0)</f>
        <v>0.12842243708179021</v>
      </c>
      <c r="P14" s="29">
        <f>VLOOKUP($B14, agr_mes!$B:$XFD, MATCH(gdp_agr_share!P$1, agr_mes!$B$1:$XFD$1, 0), 0)/VLOOKUP($B14, gdp_tot_mes!$B:$XFD, MATCH(gdp_agr_share!P$1, gdp_tot_mes!$B$1:$XFD$1, 0), 0)</f>
        <v>0.15128652313841068</v>
      </c>
      <c r="Q14" s="29">
        <f>VLOOKUP($B14, agr_mes!$B:$XFD, MATCH(gdp_agr_share!Q$1, agr_mes!$B$1:$XFD$1, 0), 0)/VLOOKUP($B14, gdp_tot_mes!$B:$XFD, MATCH(gdp_agr_share!Q$1, gdp_tot_mes!$B$1:$XFD$1, 0), 0)</f>
        <v>0.14438627403340487</v>
      </c>
      <c r="R14" s="29">
        <f>VLOOKUP($B14, agr_mes!$B:$XFD, MATCH(gdp_agr_share!R$1, agr_mes!$B$1:$XFD$1, 0), 0)/VLOOKUP($B14, gdp_tot_mes!$B:$XFD, MATCH(gdp_agr_share!R$1, gdp_tot_mes!$B$1:$XFD$1, 0), 0)</f>
        <v>0.12053339404087371</v>
      </c>
      <c r="S14" s="29">
        <f>VLOOKUP($B14, agr_mes!$B:$XFD, MATCH(gdp_agr_share!S$1, agr_mes!$B$1:$XFD$1, 0), 0)/VLOOKUP($B14, gdp_tot_mes!$B:$XFD, MATCH(gdp_agr_share!S$1, gdp_tot_mes!$B$1:$XFD$1, 0), 0)</f>
        <v>0.11435249275397377</v>
      </c>
      <c r="T14" s="29">
        <f>VLOOKUP($B14, agr_mes!$B:$XFD, MATCH(gdp_agr_share!T$1, agr_mes!$B$1:$XFD$1, 0), 0)/VLOOKUP($B14, gdp_tot_mes!$B:$XFD, MATCH(gdp_agr_share!T$1, gdp_tot_mes!$B$1:$XFD$1, 0), 0)</f>
        <v>9.9418423345561002E-2</v>
      </c>
      <c r="U14" s="29">
        <f>VLOOKUP($B14, agr_mes!$B:$XFD, MATCH(gdp_agr_share!U$1, agr_mes!$B$1:$XFD$1, 0), 0)/VLOOKUP($B14, gdp_tot_mes!$B:$XFD, MATCH(gdp_agr_share!U$1, gdp_tot_mes!$B$1:$XFD$1, 0), 0)</f>
        <v>9.6910236214287931E-2</v>
      </c>
      <c r="V14" s="29">
        <f>VLOOKUP($B14, agr_mes!$B:$XFD, MATCH(gdp_agr_share!V$1, agr_mes!$B$1:$XFD$1, 0), 0)/VLOOKUP($B14, gdp_tot_mes!$B:$XFD, MATCH(gdp_agr_share!V$1, gdp_tot_mes!$B$1:$XFD$1, 0), 0)</f>
        <v>9.4366727004723538E-2</v>
      </c>
      <c r="W14" s="29">
        <f>VLOOKUP($B14, agr_mes!$B:$XFD, MATCH(gdp_agr_share!W$1, agr_mes!$B$1:$XFD$1, 0), 0)/VLOOKUP($B14, gdp_tot_mes!$B:$XFD, MATCH(gdp_agr_share!W$1, gdp_tot_mes!$B$1:$XFD$1, 0), 0)</f>
        <v>9.8011029892589599E-2</v>
      </c>
      <c r="X14" s="29">
        <f>VLOOKUP($B14, agr_mes!$B:$XFD, MATCH(gdp_agr_share!X$1, agr_mes!$B$1:$XFD$1, 0), 0)/VLOOKUP($B14, gdp_tot_mes!$B:$XFD, MATCH(gdp_agr_share!X$1, gdp_tot_mes!$B$1:$XFD$1, 0), 0)</f>
        <v>0.10499599430158348</v>
      </c>
      <c r="Y14" s="29">
        <f>VLOOKUP($B14, agr_mes!$B:$XFD, MATCH(gdp_agr_share!Y$1, agr_mes!$B$1:$XFD$1, 0), 0)/VLOOKUP($B14, gdp_tot_mes!$B:$XFD, MATCH(gdp_agr_share!Y$1, gdp_tot_mes!$B$1:$XFD$1, 0), 0)</f>
        <v>9.642374895940084E-2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25">
      <c r="A15" s="1" t="s">
        <v>49</v>
      </c>
      <c r="B15" s="1" t="s">
        <v>54</v>
      </c>
      <c r="C15" s="1" t="s">
        <v>55</v>
      </c>
      <c r="D15" s="29">
        <f>VLOOKUP($B15, agr_mes!$B:$XFD, MATCH(gdp_agr_share!D$1, agr_mes!$B$1:$XFD$1, 0), 0)/VLOOKUP($B15, gdp_tot_mes!$B:$XFD, MATCH(gdp_agr_share!D$1, gdp_tot_mes!$B$1:$XFD$1, 0), 0)</f>
        <v>0.59735324680373625</v>
      </c>
      <c r="E15" s="29">
        <f>VLOOKUP($B15, agr_mes!$B:$XFD, MATCH(gdp_agr_share!E$1, agr_mes!$B$1:$XFD$1, 0), 0)/VLOOKUP($B15, gdp_tot_mes!$B:$XFD, MATCH(gdp_agr_share!E$1, gdp_tot_mes!$B$1:$XFD$1, 0), 0)</f>
        <v>0.52922471751183386</v>
      </c>
      <c r="F15" s="29">
        <f>VLOOKUP($B15, agr_mes!$B:$XFD, MATCH(gdp_agr_share!F$1, agr_mes!$B$1:$XFD$1, 0), 0)/VLOOKUP($B15, gdp_tot_mes!$B:$XFD, MATCH(gdp_agr_share!F$1, gdp_tot_mes!$B$1:$XFD$1, 0), 0)</f>
        <v>0.4840507918099396</v>
      </c>
      <c r="G15" s="29">
        <f>VLOOKUP($B15, agr_mes!$B:$XFD, MATCH(gdp_agr_share!G$1, agr_mes!$B$1:$XFD$1, 0), 0)/VLOOKUP($B15, gdp_tot_mes!$B:$XFD, MATCH(gdp_agr_share!G$1, gdp_tot_mes!$B$1:$XFD$1, 0), 0)</f>
        <v>0.35397783134572502</v>
      </c>
      <c r="H15" s="29">
        <f>VLOOKUP($B15, agr_mes!$B:$XFD, MATCH(gdp_agr_share!H$1, agr_mes!$B$1:$XFD$1, 0), 0)/VLOOKUP($B15, gdp_tot_mes!$B:$XFD, MATCH(gdp_agr_share!H$1, gdp_tot_mes!$B$1:$XFD$1, 0), 0)</f>
        <v>0.38117085027658909</v>
      </c>
      <c r="I15" s="29">
        <f>VLOOKUP($B15, agr_mes!$B:$XFD, MATCH(gdp_agr_share!I$1, agr_mes!$B$1:$XFD$1, 0), 0)/VLOOKUP($B15, gdp_tot_mes!$B:$XFD, MATCH(gdp_agr_share!I$1, gdp_tot_mes!$B$1:$XFD$1, 0), 0)</f>
        <v>0.25291952050636285</v>
      </c>
      <c r="J15" s="29">
        <f>VLOOKUP($B15, agr_mes!$B:$XFD, MATCH(gdp_agr_share!J$1, agr_mes!$B$1:$XFD$1, 0), 0)/VLOOKUP($B15, gdp_tot_mes!$B:$XFD, MATCH(gdp_agr_share!J$1, gdp_tot_mes!$B$1:$XFD$1, 0), 0)</f>
        <v>0.27004849299286937</v>
      </c>
      <c r="K15" s="29">
        <f>VLOOKUP($B15, agr_mes!$B:$XFD, MATCH(gdp_agr_share!K$1, agr_mes!$B$1:$XFD$1, 0), 0)/VLOOKUP($B15, gdp_tot_mes!$B:$XFD, MATCH(gdp_agr_share!K$1, gdp_tot_mes!$B$1:$XFD$1, 0), 0)</f>
        <v>0.22536360335315414</v>
      </c>
      <c r="L15" s="30">
        <f t="shared" si="0"/>
        <v>0.19567976572299808</v>
      </c>
      <c r="M15" s="29">
        <f>VLOOKUP($B15, agr_mes!$B:$XFD, MATCH(gdp_agr_share!M$1, agr_mes!$B$1:$XFD$1, 0), 0)/VLOOKUP($B15, gdp_tot_mes!$B:$XFD, MATCH(gdp_agr_share!M$1, gdp_tot_mes!$B$1:$XFD$1, 0), 0)</f>
        <v>0.1600591605668108</v>
      </c>
      <c r="N15" s="29">
        <f>VLOOKUP($B15, agr_mes!$B:$XFD, MATCH(gdp_agr_share!N$1, agr_mes!$B$1:$XFD$1, 0), 0)/VLOOKUP($B15, gdp_tot_mes!$B:$XFD, MATCH(gdp_agr_share!N$1, gdp_tot_mes!$B$1:$XFD$1, 0), 0)</f>
        <v>7.6976339680791622E-2</v>
      </c>
      <c r="O15" s="29">
        <f>VLOOKUP($B15, agr_mes!$B:$XFD, MATCH(gdp_agr_share!O$1, agr_mes!$B$1:$XFD$1, 0), 0)/VLOOKUP($B15, gdp_tot_mes!$B:$XFD, MATCH(gdp_agr_share!O$1, gdp_tot_mes!$B$1:$XFD$1, 0), 0)</f>
        <v>0.10756115149725737</v>
      </c>
      <c r="P15" s="29">
        <f>VLOOKUP($B15, agr_mes!$B:$XFD, MATCH(gdp_agr_share!P$1, agr_mes!$B$1:$XFD$1, 0), 0)/VLOOKUP($B15, gdp_tot_mes!$B:$XFD, MATCH(gdp_agr_share!P$1, gdp_tot_mes!$B$1:$XFD$1, 0), 0)</f>
        <v>9.7421358414297526E-2</v>
      </c>
      <c r="Q15" s="29">
        <f>VLOOKUP($B15, agr_mes!$B:$XFD, MATCH(gdp_agr_share!Q$1, agr_mes!$B$1:$XFD$1, 0), 0)/VLOOKUP($B15, gdp_tot_mes!$B:$XFD, MATCH(gdp_agr_share!Q$1, gdp_tot_mes!$B$1:$XFD$1, 0), 0)</f>
        <v>0.11681412847747318</v>
      </c>
      <c r="R15" s="29">
        <f>VLOOKUP($B15, agr_mes!$B:$XFD, MATCH(gdp_agr_share!R$1, agr_mes!$B$1:$XFD$1, 0), 0)/VLOOKUP($B15, gdp_tot_mes!$B:$XFD, MATCH(gdp_agr_share!R$1, gdp_tot_mes!$B$1:$XFD$1, 0), 0)</f>
        <v>0.11231736750881502</v>
      </c>
      <c r="S15" s="29">
        <f>VLOOKUP($B15, agr_mes!$B:$XFD, MATCH(gdp_agr_share!S$1, agr_mes!$B$1:$XFD$1, 0), 0)/VLOOKUP($B15, gdp_tot_mes!$B:$XFD, MATCH(gdp_agr_share!S$1, gdp_tot_mes!$B$1:$XFD$1, 0), 0)</f>
        <v>0.10264140845862615</v>
      </c>
      <c r="T15" s="29">
        <f>VLOOKUP($B15, agr_mes!$B:$XFD, MATCH(gdp_agr_share!T$1, agr_mes!$B$1:$XFD$1, 0), 0)/VLOOKUP($B15, gdp_tot_mes!$B:$XFD, MATCH(gdp_agr_share!T$1, gdp_tot_mes!$B$1:$XFD$1, 0), 0)</f>
        <v>8.2959295868695174E-2</v>
      </c>
      <c r="U15" s="29">
        <f>VLOOKUP($B15, agr_mes!$B:$XFD, MATCH(gdp_agr_share!U$1, agr_mes!$B$1:$XFD$1, 0), 0)/VLOOKUP($B15, gdp_tot_mes!$B:$XFD, MATCH(gdp_agr_share!U$1, gdp_tot_mes!$B$1:$XFD$1, 0), 0)</f>
        <v>7.226761678000676E-2</v>
      </c>
      <c r="V15" s="29">
        <f>VLOOKUP($B15, agr_mes!$B:$XFD, MATCH(gdp_agr_share!V$1, agr_mes!$B$1:$XFD$1, 0), 0)/VLOOKUP($B15, gdp_tot_mes!$B:$XFD, MATCH(gdp_agr_share!V$1, gdp_tot_mes!$B$1:$XFD$1, 0), 0)</f>
        <v>7.194245403417153E-2</v>
      </c>
      <c r="W15" s="29">
        <f>VLOOKUP($B15, agr_mes!$B:$XFD, MATCH(gdp_agr_share!W$1, agr_mes!$B$1:$XFD$1, 0), 0)/VLOOKUP($B15, gdp_tot_mes!$B:$XFD, MATCH(gdp_agr_share!W$1, gdp_tot_mes!$B$1:$XFD$1, 0), 0)</f>
        <v>6.2885031107597772E-2</v>
      </c>
      <c r="X15" s="29">
        <f>VLOOKUP($B15, agr_mes!$B:$XFD, MATCH(gdp_agr_share!X$1, agr_mes!$B$1:$XFD$1, 0), 0)/VLOOKUP($B15, gdp_tot_mes!$B:$XFD, MATCH(gdp_agr_share!X$1, gdp_tot_mes!$B$1:$XFD$1, 0), 0)</f>
        <v>5.9174171544481562E-2</v>
      </c>
      <c r="Y15" s="29">
        <f>VLOOKUP($B15, agr_mes!$B:$XFD, MATCH(gdp_agr_share!Y$1, agr_mes!$B$1:$XFD$1, 0), 0)/VLOOKUP($B15, gdp_tot_mes!$B:$XFD, MATCH(gdp_agr_share!Y$1, gdp_tot_mes!$B$1:$XFD$1, 0), 0)</f>
        <v>6.406253961415731E-2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25">
      <c r="A16" s="1" t="s">
        <v>49</v>
      </c>
      <c r="B16" s="1" t="s">
        <v>56</v>
      </c>
      <c r="C16" s="1" t="s">
        <v>57</v>
      </c>
      <c r="D16" s="29">
        <f>VLOOKUP($B16, agr_mes!$B:$XFD, MATCH(gdp_agr_share!D$1, agr_mes!$B$1:$XFD$1, 0), 0)/VLOOKUP($B16, gdp_tot_mes!$B:$XFD, MATCH(gdp_agr_share!D$1, gdp_tot_mes!$B$1:$XFD$1, 0), 0)</f>
        <v>0.58088975896271999</v>
      </c>
      <c r="E16" s="29">
        <f>VLOOKUP($B16, agr_mes!$B:$XFD, MATCH(gdp_agr_share!E$1, agr_mes!$B$1:$XFD$1, 0), 0)/VLOOKUP($B16, gdp_tot_mes!$B:$XFD, MATCH(gdp_agr_share!E$1, gdp_tot_mes!$B$1:$XFD$1, 0), 0)</f>
        <v>0.48131507241976729</v>
      </c>
      <c r="F16" s="29">
        <f>VLOOKUP($B16, agr_mes!$B:$XFD, MATCH(gdp_agr_share!F$1, agr_mes!$B$1:$XFD$1, 0), 0)/VLOOKUP($B16, gdp_tot_mes!$B:$XFD, MATCH(gdp_agr_share!F$1, gdp_tot_mes!$B$1:$XFD$1, 0), 0)</f>
        <v>0.58025975390416351</v>
      </c>
      <c r="G16" s="29">
        <f>VLOOKUP($B16, agr_mes!$B:$XFD, MATCH(gdp_agr_share!G$1, agr_mes!$B$1:$XFD$1, 0), 0)/VLOOKUP($B16, gdp_tot_mes!$B:$XFD, MATCH(gdp_agr_share!G$1, gdp_tot_mes!$B$1:$XFD$1, 0), 0)</f>
        <v>0.35328097447616763</v>
      </c>
      <c r="H16" s="29">
        <f>VLOOKUP($B16, agr_mes!$B:$XFD, MATCH(gdp_agr_share!H$1, agr_mes!$B$1:$XFD$1, 0), 0)/VLOOKUP($B16, gdp_tot_mes!$B:$XFD, MATCH(gdp_agr_share!H$1, gdp_tot_mes!$B$1:$XFD$1, 0), 0)</f>
        <v>0.39633215886027801</v>
      </c>
      <c r="I16" s="29">
        <f>VLOOKUP($B16, agr_mes!$B:$XFD, MATCH(gdp_agr_share!I$1, agr_mes!$B$1:$XFD$1, 0), 0)/VLOOKUP($B16, gdp_tot_mes!$B:$XFD, MATCH(gdp_agr_share!I$1, gdp_tot_mes!$B$1:$XFD$1, 0), 0)</f>
        <v>0.42974045103839359</v>
      </c>
      <c r="J16" s="29">
        <f>VLOOKUP($B16, agr_mes!$B:$XFD, MATCH(gdp_agr_share!J$1, agr_mes!$B$1:$XFD$1, 0), 0)/VLOOKUP($B16, gdp_tot_mes!$B:$XFD, MATCH(gdp_agr_share!J$1, gdp_tot_mes!$B$1:$XFD$1, 0), 0)</f>
        <v>0.34831272870671454</v>
      </c>
      <c r="K16" s="29">
        <f>VLOOKUP($B16, agr_mes!$B:$XFD, MATCH(gdp_agr_share!K$1, agr_mes!$B$1:$XFD$1, 0), 0)/VLOOKUP($B16, gdp_tot_mes!$B:$XFD, MATCH(gdp_agr_share!K$1, gdp_tot_mes!$B$1:$XFD$1, 0), 0)</f>
        <v>0.41528590562657858</v>
      </c>
      <c r="L16" s="30">
        <f t="shared" si="0"/>
        <v>0.37191018370001283</v>
      </c>
      <c r="M16" s="29">
        <f>VLOOKUP($B16, agr_mes!$B:$XFD, MATCH(gdp_agr_share!M$1, agr_mes!$B$1:$XFD$1, 0), 0)/VLOOKUP($B16, gdp_tot_mes!$B:$XFD, MATCH(gdp_agr_share!M$1, gdp_tot_mes!$B$1:$XFD$1, 0), 0)</f>
        <v>0.319859317388134</v>
      </c>
      <c r="N16" s="29">
        <f>VLOOKUP($B16, agr_mes!$B:$XFD, MATCH(gdp_agr_share!N$1, agr_mes!$B$1:$XFD$1, 0), 0)/VLOOKUP($B16, gdp_tot_mes!$B:$XFD, MATCH(gdp_agr_share!N$1, gdp_tot_mes!$B$1:$XFD$1, 0), 0)</f>
        <v>0.13524268103786535</v>
      </c>
      <c r="O16" s="29">
        <f>VLOOKUP($B16, agr_mes!$B:$XFD, MATCH(gdp_agr_share!O$1, agr_mes!$B$1:$XFD$1, 0), 0)/VLOOKUP($B16, gdp_tot_mes!$B:$XFD, MATCH(gdp_agr_share!O$1, gdp_tot_mes!$B$1:$XFD$1, 0), 0)</f>
        <v>0.18038587739641795</v>
      </c>
      <c r="P16" s="29">
        <f>VLOOKUP($B16, agr_mes!$B:$XFD, MATCH(gdp_agr_share!P$1, agr_mes!$B$1:$XFD$1, 0), 0)/VLOOKUP($B16, gdp_tot_mes!$B:$XFD, MATCH(gdp_agr_share!P$1, gdp_tot_mes!$B$1:$XFD$1, 0), 0)</f>
        <v>0.13399995930926173</v>
      </c>
      <c r="Q16" s="29">
        <f>VLOOKUP($B16, agr_mes!$B:$XFD, MATCH(gdp_agr_share!Q$1, agr_mes!$B$1:$XFD$1, 0), 0)/VLOOKUP($B16, gdp_tot_mes!$B:$XFD, MATCH(gdp_agr_share!Q$1, gdp_tot_mes!$B$1:$XFD$1, 0), 0)</f>
        <v>0.30021253950451487</v>
      </c>
      <c r="R16" s="29">
        <f>VLOOKUP($B16, agr_mes!$B:$XFD, MATCH(gdp_agr_share!R$1, agr_mes!$B$1:$XFD$1, 0), 0)/VLOOKUP($B16, gdp_tot_mes!$B:$XFD, MATCH(gdp_agr_share!R$1, gdp_tot_mes!$B$1:$XFD$1, 0), 0)</f>
        <v>0.29949685076948079</v>
      </c>
      <c r="S16" s="29">
        <f>VLOOKUP($B16, agr_mes!$B:$XFD, MATCH(gdp_agr_share!S$1, agr_mes!$B$1:$XFD$1, 0), 0)/VLOOKUP($B16, gdp_tot_mes!$B:$XFD, MATCH(gdp_agr_share!S$1, gdp_tot_mes!$B$1:$XFD$1, 0), 0)</f>
        <v>0.2579345736427579</v>
      </c>
      <c r="T16" s="29">
        <f>VLOOKUP($B16, agr_mes!$B:$XFD, MATCH(gdp_agr_share!T$1, agr_mes!$B$1:$XFD$1, 0), 0)/VLOOKUP($B16, gdp_tot_mes!$B:$XFD, MATCH(gdp_agr_share!T$1, gdp_tot_mes!$B$1:$XFD$1, 0), 0)</f>
        <v>0.22305503727898096</v>
      </c>
      <c r="U16" s="29">
        <f>VLOOKUP($B16, agr_mes!$B:$XFD, MATCH(gdp_agr_share!U$1, agr_mes!$B$1:$XFD$1, 0), 0)/VLOOKUP($B16, gdp_tot_mes!$B:$XFD, MATCH(gdp_agr_share!U$1, gdp_tot_mes!$B$1:$XFD$1, 0), 0)</f>
        <v>0.23551270152381013</v>
      </c>
      <c r="V16" s="29">
        <f>VLOOKUP($B16, agr_mes!$B:$XFD, MATCH(gdp_agr_share!V$1, agr_mes!$B$1:$XFD$1, 0), 0)/VLOOKUP($B16, gdp_tot_mes!$B:$XFD, MATCH(gdp_agr_share!V$1, gdp_tot_mes!$B$1:$XFD$1, 0), 0)</f>
        <v>0.2621472627802392</v>
      </c>
      <c r="W16" s="29">
        <f>VLOOKUP($B16, agr_mes!$B:$XFD, MATCH(gdp_agr_share!W$1, agr_mes!$B$1:$XFD$1, 0), 0)/VLOOKUP($B16, gdp_tot_mes!$B:$XFD, MATCH(gdp_agr_share!W$1, gdp_tot_mes!$B$1:$XFD$1, 0), 0)</f>
        <v>0.21568666518218654</v>
      </c>
      <c r="X16" s="29">
        <f>VLOOKUP($B16, agr_mes!$B:$XFD, MATCH(gdp_agr_share!X$1, agr_mes!$B$1:$XFD$1, 0), 0)/VLOOKUP($B16, gdp_tot_mes!$B:$XFD, MATCH(gdp_agr_share!X$1, gdp_tot_mes!$B$1:$XFD$1, 0), 0)</f>
        <v>0.22215519453946339</v>
      </c>
      <c r="Y16" s="29">
        <f>VLOOKUP($B16, agr_mes!$B:$XFD, MATCH(gdp_agr_share!Y$1, agr_mes!$B$1:$XFD$1, 0), 0)/VLOOKUP($B16, gdp_tot_mes!$B:$XFD, MATCH(gdp_agr_share!Y$1, gdp_tot_mes!$B$1:$XFD$1, 0), 0)</f>
        <v>0.21540843261245204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25">
      <c r="A17" s="1" t="s">
        <v>49</v>
      </c>
      <c r="B17" s="1" t="s">
        <v>58</v>
      </c>
      <c r="C17" s="1" t="s">
        <v>59</v>
      </c>
      <c r="D17" s="29">
        <f>VLOOKUP($B17, agr_mes!$B:$XFD, MATCH(gdp_agr_share!D$1, agr_mes!$B$1:$XFD$1, 0), 0)/VLOOKUP($B17, gdp_tot_mes!$B:$XFD, MATCH(gdp_agr_share!D$1, gdp_tot_mes!$B$1:$XFD$1, 0), 0)</f>
        <v>0.1493143290204372</v>
      </c>
      <c r="E17" s="29">
        <f>VLOOKUP($B17, agr_mes!$B:$XFD, MATCH(gdp_agr_share!E$1, agr_mes!$B$1:$XFD$1, 0), 0)/VLOOKUP($B17, gdp_tot_mes!$B:$XFD, MATCH(gdp_agr_share!E$1, gdp_tot_mes!$B$1:$XFD$1, 0), 0)</f>
        <v>8.6544341653178453E-2</v>
      </c>
      <c r="F17" s="29">
        <f>VLOOKUP($B17, agr_mes!$B:$XFD, MATCH(gdp_agr_share!F$1, agr_mes!$B$1:$XFD$1, 0), 0)/VLOOKUP($B17, gdp_tot_mes!$B:$XFD, MATCH(gdp_agr_share!F$1, gdp_tot_mes!$B$1:$XFD$1, 0), 0)</f>
        <v>9.1030688157091338E-2</v>
      </c>
      <c r="G17" s="29">
        <f>VLOOKUP($B17, agr_mes!$B:$XFD, MATCH(gdp_agr_share!G$1, agr_mes!$B$1:$XFD$1, 0), 0)/VLOOKUP($B17, gdp_tot_mes!$B:$XFD, MATCH(gdp_agr_share!G$1, gdp_tot_mes!$B$1:$XFD$1, 0), 0)</f>
        <v>3.6787421945280743E-2</v>
      </c>
      <c r="H17" s="29">
        <f>VLOOKUP($B17, agr_mes!$B:$XFD, MATCH(gdp_agr_share!H$1, agr_mes!$B$1:$XFD$1, 0), 0)/VLOOKUP($B17, gdp_tot_mes!$B:$XFD, MATCH(gdp_agr_share!H$1, gdp_tot_mes!$B$1:$XFD$1, 0), 0)</f>
        <v>4.2629563194001505E-2</v>
      </c>
      <c r="I17" s="29">
        <f>VLOOKUP($B17, agr_mes!$B:$XFD, MATCH(gdp_agr_share!I$1, agr_mes!$B$1:$XFD$1, 0), 0)/VLOOKUP($B17, gdp_tot_mes!$B:$XFD, MATCH(gdp_agr_share!I$1, gdp_tot_mes!$B$1:$XFD$1, 0), 0)</f>
        <v>2.4063451374567293E-2</v>
      </c>
      <c r="J17" s="29">
        <f>VLOOKUP($B17, agr_mes!$B:$XFD, MATCH(gdp_agr_share!J$1, agr_mes!$B$1:$XFD$1, 0), 0)/VLOOKUP($B17, gdp_tot_mes!$B:$XFD, MATCH(gdp_agr_share!J$1, gdp_tot_mes!$B$1:$XFD$1, 0), 0)</f>
        <v>1.9775052313080452E-2</v>
      </c>
      <c r="K17" s="29">
        <f>VLOOKUP($B17, agr_mes!$B:$XFD, MATCH(gdp_agr_share!K$1, agr_mes!$B$1:$XFD$1, 0), 0)/VLOOKUP($B17, gdp_tot_mes!$B:$XFD, MATCH(gdp_agr_share!K$1, gdp_tot_mes!$B$1:$XFD$1, 0), 0)</f>
        <v>1.2316101312023979E-2</v>
      </c>
      <c r="L17" s="30">
        <f t="shared" si="0"/>
        <v>9.3792505062028891E-3</v>
      </c>
      <c r="M17" s="29">
        <f>VLOOKUP($B17, agr_mes!$B:$XFD, MATCH(gdp_agr_share!M$1, agr_mes!$B$1:$XFD$1, 0), 0)/VLOOKUP($B17, gdp_tot_mes!$B:$XFD, MATCH(gdp_agr_share!M$1, gdp_tot_mes!$B$1:$XFD$1, 0), 0)</f>
        <v>5.8550295392175806E-3</v>
      </c>
      <c r="N17" s="29">
        <f>VLOOKUP($B17, agr_mes!$B:$XFD, MATCH(gdp_agr_share!N$1, agr_mes!$B$1:$XFD$1, 0), 0)/VLOOKUP($B17, gdp_tot_mes!$B:$XFD, MATCH(gdp_agr_share!N$1, gdp_tot_mes!$B$1:$XFD$1, 0), 0)</f>
        <v>6.7360318064790519E-3</v>
      </c>
      <c r="O17" s="29">
        <f>VLOOKUP($B17, agr_mes!$B:$XFD, MATCH(gdp_agr_share!O$1, agr_mes!$B$1:$XFD$1, 0), 0)/VLOOKUP($B17, gdp_tot_mes!$B:$XFD, MATCH(gdp_agr_share!O$1, gdp_tot_mes!$B$1:$XFD$1, 0), 0)</f>
        <v>6.2101143032119227E-3</v>
      </c>
      <c r="P17" s="29">
        <f>VLOOKUP($B17, agr_mes!$B:$XFD, MATCH(gdp_agr_share!P$1, agr_mes!$B$1:$XFD$1, 0), 0)/VLOOKUP($B17, gdp_tot_mes!$B:$XFD, MATCH(gdp_agr_share!P$1, gdp_tot_mes!$B$1:$XFD$1, 0), 0)</f>
        <v>6.3924565370039807E-3</v>
      </c>
      <c r="Q17" s="29">
        <f>VLOOKUP($B17, agr_mes!$B:$XFD, MATCH(gdp_agr_share!Q$1, agr_mes!$B$1:$XFD$1, 0), 0)/VLOOKUP($B17, gdp_tot_mes!$B:$XFD, MATCH(gdp_agr_share!Q$1, gdp_tot_mes!$B$1:$XFD$1, 0), 0)</f>
        <v>1.0953944460355776E-2</v>
      </c>
      <c r="R17" s="29">
        <f>VLOOKUP($B17, agr_mes!$B:$XFD, MATCH(gdp_agr_share!R$1, agr_mes!$B$1:$XFD$1, 0), 0)/VLOOKUP($B17, gdp_tot_mes!$B:$XFD, MATCH(gdp_agr_share!R$1, gdp_tot_mes!$B$1:$XFD$1, 0), 0)</f>
        <v>1.1198447165331603E-2</v>
      </c>
      <c r="S17" s="29">
        <f>VLOOKUP($B17, agr_mes!$B:$XFD, MATCH(gdp_agr_share!S$1, agr_mes!$B$1:$XFD$1, 0), 0)/VLOOKUP($B17, gdp_tot_mes!$B:$XFD, MATCH(gdp_agr_share!S$1, gdp_tot_mes!$B$1:$XFD$1, 0), 0)</f>
        <v>1.053125113864717E-2</v>
      </c>
      <c r="T17" s="29">
        <f>VLOOKUP($B17, agr_mes!$B:$XFD, MATCH(gdp_agr_share!T$1, agr_mes!$B$1:$XFD$1, 0), 0)/VLOOKUP($B17, gdp_tot_mes!$B:$XFD, MATCH(gdp_agr_share!T$1, gdp_tot_mes!$B$1:$XFD$1, 0), 0)</f>
        <v>8.1433371190457737E-3</v>
      </c>
      <c r="U17" s="29">
        <f>VLOOKUP($B17, agr_mes!$B:$XFD, MATCH(gdp_agr_share!U$1, agr_mes!$B$1:$XFD$1, 0), 0)/VLOOKUP($B17, gdp_tot_mes!$B:$XFD, MATCH(gdp_agr_share!U$1, gdp_tot_mes!$B$1:$XFD$1, 0), 0)</f>
        <v>7.4042409766250936E-3</v>
      </c>
      <c r="V17" s="29">
        <f>VLOOKUP($B17, agr_mes!$B:$XFD, MATCH(gdp_agr_share!V$1, agr_mes!$B$1:$XFD$1, 0), 0)/VLOOKUP($B17, gdp_tot_mes!$B:$XFD, MATCH(gdp_agr_share!V$1, gdp_tot_mes!$B$1:$XFD$1, 0), 0)</f>
        <v>7.4047725832678329E-3</v>
      </c>
      <c r="W17" s="29">
        <f>VLOOKUP($B17, agr_mes!$B:$XFD, MATCH(gdp_agr_share!W$1, agr_mes!$B$1:$XFD$1, 0), 0)/VLOOKUP($B17, gdp_tot_mes!$B:$XFD, MATCH(gdp_agr_share!W$1, gdp_tot_mes!$B$1:$XFD$1, 0), 0)</f>
        <v>6.8032572578041036E-3</v>
      </c>
      <c r="X17" s="29">
        <f>VLOOKUP($B17, agr_mes!$B:$XFD, MATCH(gdp_agr_share!X$1, agr_mes!$B$1:$XFD$1, 0), 0)/VLOOKUP($B17, gdp_tot_mes!$B:$XFD, MATCH(gdp_agr_share!X$1, gdp_tot_mes!$B$1:$XFD$1, 0), 0)</f>
        <v>6.7846269405031885E-3</v>
      </c>
      <c r="Y17" s="29">
        <f>VLOOKUP($B17, agr_mes!$B:$XFD, MATCH(gdp_agr_share!Y$1, agr_mes!$B$1:$XFD$1, 0), 0)/VLOOKUP($B17, gdp_tot_mes!$B:$XFD, MATCH(gdp_agr_share!Y$1, gdp_tot_mes!$B$1:$XFD$1, 0), 0)</f>
        <v>7.1848224874127278E-3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5">
      <c r="A18" s="1" t="s">
        <v>49</v>
      </c>
      <c r="B18" s="1" t="s">
        <v>60</v>
      </c>
      <c r="C18" s="1" t="s">
        <v>61</v>
      </c>
      <c r="D18" s="29">
        <f>VLOOKUP($B18, agr_mes!$B:$XFD, MATCH(gdp_agr_share!D$1, agr_mes!$B$1:$XFD$1, 0), 0)/VLOOKUP($B18, gdp_tot_mes!$B:$XFD, MATCH(gdp_agr_share!D$1, gdp_tot_mes!$B$1:$XFD$1, 0), 0)</f>
        <v>0.63434933605587995</v>
      </c>
      <c r="E18" s="29">
        <f>VLOOKUP($B18, agr_mes!$B:$XFD, MATCH(gdp_agr_share!E$1, agr_mes!$B$1:$XFD$1, 0), 0)/VLOOKUP($B18, gdp_tot_mes!$B:$XFD, MATCH(gdp_agr_share!E$1, gdp_tot_mes!$B$1:$XFD$1, 0), 0)</f>
        <v>0.650619819656993</v>
      </c>
      <c r="F18" s="29">
        <f>VLOOKUP($B18, agr_mes!$B:$XFD, MATCH(gdp_agr_share!F$1, agr_mes!$B$1:$XFD$1, 0), 0)/VLOOKUP($B18, gdp_tot_mes!$B:$XFD, MATCH(gdp_agr_share!F$1, gdp_tot_mes!$B$1:$XFD$1, 0), 0)</f>
        <v>0.61413287337582145</v>
      </c>
      <c r="G18" s="29">
        <f>VLOOKUP($B18, agr_mes!$B:$XFD, MATCH(gdp_agr_share!G$1, agr_mes!$B$1:$XFD$1, 0), 0)/VLOOKUP($B18, gdp_tot_mes!$B:$XFD, MATCH(gdp_agr_share!G$1, gdp_tot_mes!$B$1:$XFD$1, 0), 0)</f>
        <v>0.42464052784166584</v>
      </c>
      <c r="H18" s="29">
        <f>VLOOKUP($B18, agr_mes!$B:$XFD, MATCH(gdp_agr_share!H$1, agr_mes!$B$1:$XFD$1, 0), 0)/VLOOKUP($B18, gdp_tot_mes!$B:$XFD, MATCH(gdp_agr_share!H$1, gdp_tot_mes!$B$1:$XFD$1, 0), 0)</f>
        <v>0.40578333680731749</v>
      </c>
      <c r="I18" s="29">
        <f>VLOOKUP($B18, agr_mes!$B:$XFD, MATCH(gdp_agr_share!I$1, agr_mes!$B$1:$XFD$1, 0), 0)/VLOOKUP($B18, gdp_tot_mes!$B:$XFD, MATCH(gdp_agr_share!I$1, gdp_tot_mes!$B$1:$XFD$1, 0), 0)</f>
        <v>0.37902094320351404</v>
      </c>
      <c r="J18" s="29">
        <f>VLOOKUP($B18, agr_mes!$B:$XFD, MATCH(gdp_agr_share!J$1, agr_mes!$B$1:$XFD$1, 0), 0)/VLOOKUP($B18, gdp_tot_mes!$B:$XFD, MATCH(gdp_agr_share!J$1, gdp_tot_mes!$B$1:$XFD$1, 0), 0)</f>
        <v>0.4111279836854928</v>
      </c>
      <c r="K18" s="29">
        <f>VLOOKUP($B18, agr_mes!$B:$XFD, MATCH(gdp_agr_share!K$1, agr_mes!$B$1:$XFD$1, 0), 0)/VLOOKUP($B18, gdp_tot_mes!$B:$XFD, MATCH(gdp_agr_share!K$1, gdp_tot_mes!$B$1:$XFD$1, 0), 0)</f>
        <v>0.46105938215428077</v>
      </c>
      <c r="L18" s="30">
        <f t="shared" si="0"/>
        <v>0.41087512578700802</v>
      </c>
      <c r="M18" s="29">
        <f>VLOOKUP($B18, agr_mes!$B:$XFD, MATCH(gdp_agr_share!M$1, agr_mes!$B$1:$XFD$1, 0), 0)/VLOOKUP($B18, gdp_tot_mes!$B:$XFD, MATCH(gdp_agr_share!M$1, gdp_tot_mes!$B$1:$XFD$1, 0), 0)</f>
        <v>0.35065401814628067</v>
      </c>
      <c r="N18" s="29">
        <f>VLOOKUP($B18, agr_mes!$B:$XFD, MATCH(gdp_agr_share!N$1, agr_mes!$B$1:$XFD$1, 0), 0)/VLOOKUP($B18, gdp_tot_mes!$B:$XFD, MATCH(gdp_agr_share!N$1, gdp_tot_mes!$B$1:$XFD$1, 0), 0)</f>
        <v>0.1532546444439333</v>
      </c>
      <c r="O18" s="29">
        <f>VLOOKUP($B18, agr_mes!$B:$XFD, MATCH(gdp_agr_share!O$1, agr_mes!$B$1:$XFD$1, 0), 0)/VLOOKUP($B18, gdp_tot_mes!$B:$XFD, MATCH(gdp_agr_share!O$1, gdp_tot_mes!$B$1:$XFD$1, 0), 0)</f>
        <v>0.16446057179821702</v>
      </c>
      <c r="P18" s="29">
        <f>VLOOKUP($B18, agr_mes!$B:$XFD, MATCH(gdp_agr_share!P$1, agr_mes!$B$1:$XFD$1, 0), 0)/VLOOKUP($B18, gdp_tot_mes!$B:$XFD, MATCH(gdp_agr_share!P$1, gdp_tot_mes!$B$1:$XFD$1, 0), 0)</f>
        <v>0.16655928678598783</v>
      </c>
      <c r="Q18" s="29">
        <f>VLOOKUP($B18, agr_mes!$B:$XFD, MATCH(gdp_agr_share!Q$1, agr_mes!$B$1:$XFD$1, 0), 0)/VLOOKUP($B18, gdp_tot_mes!$B:$XFD, MATCH(gdp_agr_share!Q$1, gdp_tot_mes!$B$1:$XFD$1, 0), 0)</f>
        <v>0.17575514175270607</v>
      </c>
      <c r="R18" s="29">
        <f>VLOOKUP($B18, agr_mes!$B:$XFD, MATCH(gdp_agr_share!R$1, agr_mes!$B$1:$XFD$1, 0), 0)/VLOOKUP($B18, gdp_tot_mes!$B:$XFD, MATCH(gdp_agr_share!R$1, gdp_tot_mes!$B$1:$XFD$1, 0), 0)</f>
        <v>0.15864364814766588</v>
      </c>
      <c r="S18" s="29">
        <f>VLOOKUP($B18, agr_mes!$B:$XFD, MATCH(gdp_agr_share!S$1, agr_mes!$B$1:$XFD$1, 0), 0)/VLOOKUP($B18, gdp_tot_mes!$B:$XFD, MATCH(gdp_agr_share!S$1, gdp_tot_mes!$B$1:$XFD$1, 0), 0)</f>
        <v>0.14798555452726239</v>
      </c>
      <c r="T18" s="29">
        <f>VLOOKUP($B18, agr_mes!$B:$XFD, MATCH(gdp_agr_share!T$1, agr_mes!$B$1:$XFD$1, 0), 0)/VLOOKUP($B18, gdp_tot_mes!$B:$XFD, MATCH(gdp_agr_share!T$1, gdp_tot_mes!$B$1:$XFD$1, 0), 0)</f>
        <v>0.11958112790901389</v>
      </c>
      <c r="U18" s="29">
        <f>VLOOKUP($B18, agr_mes!$B:$XFD, MATCH(gdp_agr_share!U$1, agr_mes!$B$1:$XFD$1, 0), 0)/VLOOKUP($B18, gdp_tot_mes!$B:$XFD, MATCH(gdp_agr_share!U$1, gdp_tot_mes!$B$1:$XFD$1, 0), 0)</f>
        <v>0.12230391402693894</v>
      </c>
      <c r="V18" s="29">
        <f>VLOOKUP($B18, agr_mes!$B:$XFD, MATCH(gdp_agr_share!V$1, agr_mes!$B$1:$XFD$1, 0), 0)/VLOOKUP($B18, gdp_tot_mes!$B:$XFD, MATCH(gdp_agr_share!V$1, gdp_tot_mes!$B$1:$XFD$1, 0), 0)</f>
        <v>0.12521814470680551</v>
      </c>
      <c r="W18" s="29">
        <f>VLOOKUP($B18, agr_mes!$B:$XFD, MATCH(gdp_agr_share!W$1, agr_mes!$B$1:$XFD$1, 0), 0)/VLOOKUP($B18, gdp_tot_mes!$B:$XFD, MATCH(gdp_agr_share!W$1, gdp_tot_mes!$B$1:$XFD$1, 0), 0)</f>
        <v>0.11221615703302663</v>
      </c>
      <c r="X18" s="29">
        <f>VLOOKUP($B18, agr_mes!$B:$XFD, MATCH(gdp_agr_share!X$1, agr_mes!$B$1:$XFD$1, 0), 0)/VLOOKUP($B18, gdp_tot_mes!$B:$XFD, MATCH(gdp_agr_share!X$1, gdp_tot_mes!$B$1:$XFD$1, 0), 0)</f>
        <v>0.11017177635411912</v>
      </c>
      <c r="Y18" s="29">
        <f>VLOOKUP($B18, agr_mes!$B:$XFD, MATCH(gdp_agr_share!Y$1, agr_mes!$B$1:$XFD$1, 0), 0)/VLOOKUP($B18, gdp_tot_mes!$B:$XFD, MATCH(gdp_agr_share!Y$1, gdp_tot_mes!$B$1:$XFD$1, 0), 0)</f>
        <v>0.11146449024216742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25">
      <c r="A19" s="1" t="s">
        <v>49</v>
      </c>
      <c r="B19" s="1" t="s">
        <v>62</v>
      </c>
      <c r="C19" s="1" t="s">
        <v>63</v>
      </c>
      <c r="D19" s="29">
        <f>VLOOKUP($B19, agr_mes!$B:$XFD, MATCH(gdp_agr_share!D$1, agr_mes!$B$1:$XFD$1, 0), 0)/VLOOKUP($B19, gdp_tot_mes!$B:$XFD, MATCH(gdp_agr_share!D$1, gdp_tot_mes!$B$1:$XFD$1, 0), 0)</f>
        <v>0.71700975422607027</v>
      </c>
      <c r="E19" s="29">
        <f>VLOOKUP($B19, agr_mes!$B:$XFD, MATCH(gdp_agr_share!E$1, agr_mes!$B$1:$XFD$1, 0), 0)/VLOOKUP($B19, gdp_tot_mes!$B:$XFD, MATCH(gdp_agr_share!E$1, gdp_tot_mes!$B$1:$XFD$1, 0), 0)</f>
        <v>0.60021668249869398</v>
      </c>
      <c r="F19" s="29">
        <f>VLOOKUP($B19, agr_mes!$B:$XFD, MATCH(gdp_agr_share!F$1, agr_mes!$B$1:$XFD$1, 0), 0)/VLOOKUP($B19, gdp_tot_mes!$B:$XFD, MATCH(gdp_agr_share!F$1, gdp_tot_mes!$B$1:$XFD$1, 0), 0)</f>
        <v>0.32562187858998276</v>
      </c>
      <c r="G19" s="29">
        <f>VLOOKUP($B19, agr_mes!$B:$XFD, MATCH(gdp_agr_share!G$1, agr_mes!$B$1:$XFD$1, 0), 0)/VLOOKUP($B19, gdp_tot_mes!$B:$XFD, MATCH(gdp_agr_share!G$1, gdp_tot_mes!$B$1:$XFD$1, 0), 0)</f>
        <v>0.49713861834786605</v>
      </c>
      <c r="H19" s="29">
        <f>VLOOKUP($B19, agr_mes!$B:$XFD, MATCH(gdp_agr_share!H$1, agr_mes!$B$1:$XFD$1, 0), 0)/VLOOKUP($B19, gdp_tot_mes!$B:$XFD, MATCH(gdp_agr_share!H$1, gdp_tot_mes!$B$1:$XFD$1, 0), 0)</f>
        <v>0.39629478697453396</v>
      </c>
      <c r="I19" s="29">
        <f>VLOOKUP($B19, agr_mes!$B:$XFD, MATCH(gdp_agr_share!I$1, agr_mes!$B$1:$XFD$1, 0), 0)/VLOOKUP($B19, gdp_tot_mes!$B:$XFD, MATCH(gdp_agr_share!I$1, gdp_tot_mes!$B$1:$XFD$1, 0), 0)</f>
        <v>0.48506207081798364</v>
      </c>
      <c r="J19" s="29">
        <f>VLOOKUP($B19, agr_mes!$B:$XFD, MATCH(gdp_agr_share!J$1, agr_mes!$B$1:$XFD$1, 0), 0)/VLOOKUP($B19, gdp_tot_mes!$B:$XFD, MATCH(gdp_agr_share!J$1, gdp_tot_mes!$B$1:$XFD$1, 0), 0)</f>
        <v>0.43718949973455001</v>
      </c>
      <c r="K19" s="29">
        <f>VLOOKUP($B19, agr_mes!$B:$XFD, MATCH(gdp_agr_share!K$1, agr_mes!$B$1:$XFD$1, 0), 0)/VLOOKUP($B19, gdp_tot_mes!$B:$XFD, MATCH(gdp_agr_share!K$1, gdp_tot_mes!$B$1:$XFD$1, 0), 0)</f>
        <v>0.44661845319303983</v>
      </c>
      <c r="L19" s="30">
        <f t="shared" si="0"/>
        <v>0.35164846396065097</v>
      </c>
      <c r="M19" s="29">
        <f>VLOOKUP($B19, agr_mes!$B:$XFD, MATCH(gdp_agr_share!M$1, agr_mes!$B$1:$XFD$1, 0), 0)/VLOOKUP($B19, gdp_tot_mes!$B:$XFD, MATCH(gdp_agr_share!M$1, gdp_tot_mes!$B$1:$XFD$1, 0), 0)</f>
        <v>0.23768447688178432</v>
      </c>
      <c r="N19" s="29">
        <f>VLOOKUP($B19, agr_mes!$B:$XFD, MATCH(gdp_agr_share!N$1, agr_mes!$B$1:$XFD$1, 0), 0)/VLOOKUP($B19, gdp_tot_mes!$B:$XFD, MATCH(gdp_agr_share!N$1, gdp_tot_mes!$B$1:$XFD$1, 0), 0)</f>
        <v>0.13688139636193164</v>
      </c>
      <c r="O19" s="29">
        <f>VLOOKUP($B19, agr_mes!$B:$XFD, MATCH(gdp_agr_share!O$1, agr_mes!$B$1:$XFD$1, 0), 0)/VLOOKUP($B19, gdp_tot_mes!$B:$XFD, MATCH(gdp_agr_share!O$1, gdp_tot_mes!$B$1:$XFD$1, 0), 0)</f>
        <v>0.15511947172591595</v>
      </c>
      <c r="P19" s="29">
        <f>VLOOKUP($B19, agr_mes!$B:$XFD, MATCH(gdp_agr_share!P$1, agr_mes!$B$1:$XFD$1, 0), 0)/VLOOKUP($B19, gdp_tot_mes!$B:$XFD, MATCH(gdp_agr_share!P$1, gdp_tot_mes!$B$1:$XFD$1, 0), 0)</f>
        <v>0.16357610071718529</v>
      </c>
      <c r="Q19" s="29">
        <f>VLOOKUP($B19, agr_mes!$B:$XFD, MATCH(gdp_agr_share!Q$1, agr_mes!$B$1:$XFD$1, 0), 0)/VLOOKUP($B19, gdp_tot_mes!$B:$XFD, MATCH(gdp_agr_share!Q$1, gdp_tot_mes!$B$1:$XFD$1, 0), 0)</f>
        <v>0.22367029094077964</v>
      </c>
      <c r="R19" s="29">
        <f>VLOOKUP($B19, agr_mes!$B:$XFD, MATCH(gdp_agr_share!R$1, agr_mes!$B$1:$XFD$1, 0), 0)/VLOOKUP($B19, gdp_tot_mes!$B:$XFD, MATCH(gdp_agr_share!R$1, gdp_tot_mes!$B$1:$XFD$1, 0), 0)</f>
        <v>0.22075421610322898</v>
      </c>
      <c r="S19" s="29">
        <f>VLOOKUP($B19, agr_mes!$B:$XFD, MATCH(gdp_agr_share!S$1, agr_mes!$B$1:$XFD$1, 0), 0)/VLOOKUP($B19, gdp_tot_mes!$B:$XFD, MATCH(gdp_agr_share!S$1, gdp_tot_mes!$B$1:$XFD$1, 0), 0)</f>
        <v>0.2020217656418489</v>
      </c>
      <c r="T19" s="29">
        <f>VLOOKUP($B19, agr_mes!$B:$XFD, MATCH(gdp_agr_share!T$1, agr_mes!$B$1:$XFD$1, 0), 0)/VLOOKUP($B19, gdp_tot_mes!$B:$XFD, MATCH(gdp_agr_share!T$1, gdp_tot_mes!$B$1:$XFD$1, 0), 0)</f>
        <v>0.16696541001397794</v>
      </c>
      <c r="U19" s="29">
        <f>VLOOKUP($B19, agr_mes!$B:$XFD, MATCH(gdp_agr_share!U$1, agr_mes!$B$1:$XFD$1, 0), 0)/VLOOKUP($B19, gdp_tot_mes!$B:$XFD, MATCH(gdp_agr_share!U$1, gdp_tot_mes!$B$1:$XFD$1, 0), 0)</f>
        <v>0.19439082021239473</v>
      </c>
      <c r="V19" s="29">
        <f>VLOOKUP($B19, agr_mes!$B:$XFD, MATCH(gdp_agr_share!V$1, agr_mes!$B$1:$XFD$1, 0), 0)/VLOOKUP($B19, gdp_tot_mes!$B:$XFD, MATCH(gdp_agr_share!V$1, gdp_tot_mes!$B$1:$XFD$1, 0), 0)</f>
        <v>0.15908778707159721</v>
      </c>
      <c r="W19" s="29">
        <f>VLOOKUP($B19, agr_mes!$B:$XFD, MATCH(gdp_agr_share!W$1, agr_mes!$B$1:$XFD$1, 0), 0)/VLOOKUP($B19, gdp_tot_mes!$B:$XFD, MATCH(gdp_agr_share!W$1, gdp_tot_mes!$B$1:$XFD$1, 0), 0)</f>
        <v>0.13660213456703141</v>
      </c>
      <c r="X19" s="29">
        <f>VLOOKUP($B19, agr_mes!$B:$XFD, MATCH(gdp_agr_share!X$1, agr_mes!$B$1:$XFD$1, 0), 0)/VLOOKUP($B19, gdp_tot_mes!$B:$XFD, MATCH(gdp_agr_share!X$1, gdp_tot_mes!$B$1:$XFD$1, 0), 0)</f>
        <v>0.13879175845365208</v>
      </c>
      <c r="Y19" s="29">
        <f>VLOOKUP($B19, agr_mes!$B:$XFD, MATCH(gdp_agr_share!Y$1, agr_mes!$B$1:$XFD$1, 0), 0)/VLOOKUP($B19, gdp_tot_mes!$B:$XFD, MATCH(gdp_agr_share!Y$1, gdp_tot_mes!$B$1:$XFD$1, 0), 0)</f>
        <v>0.12627259996497675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25">
      <c r="A20" s="1" t="s">
        <v>64</v>
      </c>
      <c r="B20" s="1" t="s">
        <v>65</v>
      </c>
      <c r="C20" s="1" t="s">
        <v>66</v>
      </c>
      <c r="D20" s="29">
        <f>VLOOKUP($B20, agr_mes!$B:$XFD, MATCH(gdp_agr_share!D$1, agr_mes!$B$1:$XFD$1, 0), 0)/VLOOKUP($B20, gdp_tot_mes!$B:$XFD, MATCH(gdp_agr_share!D$1, gdp_tot_mes!$B$1:$XFD$1, 0), 0)</f>
        <v>0.30055514123155724</v>
      </c>
      <c r="E20" s="29">
        <f>VLOOKUP($B20, agr_mes!$B:$XFD, MATCH(gdp_agr_share!E$1, agr_mes!$B$1:$XFD$1, 0), 0)/VLOOKUP($B20, gdp_tot_mes!$B:$XFD, MATCH(gdp_agr_share!E$1, gdp_tot_mes!$B$1:$XFD$1, 0), 0)</f>
        <v>0.60444837154196751</v>
      </c>
      <c r="F20" s="29">
        <f>VLOOKUP($B20, agr_mes!$B:$XFD, MATCH(gdp_agr_share!F$1, agr_mes!$B$1:$XFD$1, 0), 0)/VLOOKUP($B20, gdp_tot_mes!$B:$XFD, MATCH(gdp_agr_share!F$1, gdp_tot_mes!$B$1:$XFD$1, 0), 0)</f>
        <v>0.49888040129509914</v>
      </c>
      <c r="G20" s="29">
        <f>VLOOKUP($B20, agr_mes!$B:$XFD, MATCH(gdp_agr_share!G$1, agr_mes!$B$1:$XFD$1, 0), 0)/VLOOKUP($B20, gdp_tot_mes!$B:$XFD, MATCH(gdp_agr_share!G$1, gdp_tot_mes!$B$1:$XFD$1, 0), 0)</f>
        <v>0.42876092342869804</v>
      </c>
      <c r="H20" s="29">
        <f>VLOOKUP($B20, agr_mes!$B:$XFD, MATCH(gdp_agr_share!H$1, agr_mes!$B$1:$XFD$1, 0), 0)/VLOOKUP($B20, gdp_tot_mes!$B:$XFD, MATCH(gdp_agr_share!H$1, gdp_tot_mes!$B$1:$XFD$1, 0), 0)</f>
        <v>0.39788483684577969</v>
      </c>
      <c r="I20" s="29">
        <f>VLOOKUP($B20, agr_mes!$B:$XFD, MATCH(gdp_agr_share!I$1, agr_mes!$B$1:$XFD$1, 0), 0)/VLOOKUP($B20, gdp_tot_mes!$B:$XFD, MATCH(gdp_agr_share!I$1, gdp_tot_mes!$B$1:$XFD$1, 0), 0)</f>
        <v>0.40614040119706707</v>
      </c>
      <c r="J20" s="29">
        <f>VLOOKUP($B20, agr_mes!$B:$XFD, MATCH(gdp_agr_share!J$1, agr_mes!$B$1:$XFD$1, 0), 0)/VLOOKUP($B20, gdp_tot_mes!$B:$XFD, MATCH(gdp_agr_share!J$1, gdp_tot_mes!$B$1:$XFD$1, 0), 0)</f>
        <v>0.30659903654318543</v>
      </c>
      <c r="K20" s="29">
        <f>VLOOKUP($B20, agr_mes!$B:$XFD, MATCH(gdp_agr_share!K$1, agr_mes!$B$1:$XFD$1, 0), 0)/VLOOKUP($B20, gdp_tot_mes!$B:$XFD, MATCH(gdp_agr_share!K$1, gdp_tot_mes!$B$1:$XFD$1, 0), 0)</f>
        <v>0.37499724056253925</v>
      </c>
      <c r="L20" s="30">
        <f t="shared" si="0"/>
        <v>0.3441306912849183</v>
      </c>
      <c r="M20" s="29">
        <f>VLOOKUP($B20, agr_mes!$B:$XFD, MATCH(gdp_agr_share!M$1, agr_mes!$B$1:$XFD$1, 0), 0)/VLOOKUP($B20, gdp_tot_mes!$B:$XFD, MATCH(gdp_agr_share!M$1, gdp_tot_mes!$B$1:$XFD$1, 0), 0)</f>
        <v>0.30709083215177319</v>
      </c>
      <c r="N20" s="29">
        <f>VLOOKUP($B20, agr_mes!$B:$XFD, MATCH(gdp_agr_share!N$1, agr_mes!$B$1:$XFD$1, 0), 0)/VLOOKUP($B20, gdp_tot_mes!$B:$XFD, MATCH(gdp_agr_share!N$1, gdp_tot_mes!$B$1:$XFD$1, 0), 0)</f>
        <v>0.15838284395304941</v>
      </c>
      <c r="O20" s="29">
        <f>VLOOKUP($B20, agr_mes!$B:$XFD, MATCH(gdp_agr_share!O$1, agr_mes!$B$1:$XFD$1, 0), 0)/VLOOKUP($B20, gdp_tot_mes!$B:$XFD, MATCH(gdp_agr_share!O$1, gdp_tot_mes!$B$1:$XFD$1, 0), 0)</f>
        <v>0.17640140862648618</v>
      </c>
      <c r="P20" s="29">
        <f>VLOOKUP($B20, agr_mes!$B:$XFD, MATCH(gdp_agr_share!P$1, agr_mes!$B$1:$XFD$1, 0), 0)/VLOOKUP($B20, gdp_tot_mes!$B:$XFD, MATCH(gdp_agr_share!P$1, gdp_tot_mes!$B$1:$XFD$1, 0), 0)</f>
        <v>0.15193875397338161</v>
      </c>
      <c r="Q20" s="29">
        <f>VLOOKUP($B20, agr_mes!$B:$XFD, MATCH(gdp_agr_share!Q$1, agr_mes!$B$1:$XFD$1, 0), 0)/VLOOKUP($B20, gdp_tot_mes!$B:$XFD, MATCH(gdp_agr_share!Q$1, gdp_tot_mes!$B$1:$XFD$1, 0), 0)</f>
        <v>0.13749617665594571</v>
      </c>
      <c r="R20" s="29">
        <f>VLOOKUP($B20, agr_mes!$B:$XFD, MATCH(gdp_agr_share!R$1, agr_mes!$B$1:$XFD$1, 0), 0)/VLOOKUP($B20, gdp_tot_mes!$B:$XFD, MATCH(gdp_agr_share!R$1, gdp_tot_mes!$B$1:$XFD$1, 0), 0)</f>
        <v>0.17157093989231129</v>
      </c>
      <c r="S20" s="29">
        <f>VLOOKUP($B20, agr_mes!$B:$XFD, MATCH(gdp_agr_share!S$1, agr_mes!$B$1:$XFD$1, 0), 0)/VLOOKUP($B20, gdp_tot_mes!$B:$XFD, MATCH(gdp_agr_share!S$1, gdp_tot_mes!$B$1:$XFD$1, 0), 0)</f>
        <v>0.153767377646609</v>
      </c>
      <c r="T20" s="29">
        <f>VLOOKUP($B20, agr_mes!$B:$XFD, MATCH(gdp_agr_share!T$1, agr_mes!$B$1:$XFD$1, 0), 0)/VLOOKUP($B20, gdp_tot_mes!$B:$XFD, MATCH(gdp_agr_share!T$1, gdp_tot_mes!$B$1:$XFD$1, 0), 0)</f>
        <v>0.13912781175481656</v>
      </c>
      <c r="U20" s="29">
        <f>VLOOKUP($B20, agr_mes!$B:$XFD, MATCH(gdp_agr_share!U$1, agr_mes!$B$1:$XFD$1, 0), 0)/VLOOKUP($B20, gdp_tot_mes!$B:$XFD, MATCH(gdp_agr_share!U$1, gdp_tot_mes!$B$1:$XFD$1, 0), 0)</f>
        <v>0.15494049415990066</v>
      </c>
      <c r="V20" s="29">
        <f>VLOOKUP($B20, agr_mes!$B:$XFD, MATCH(gdp_agr_share!V$1, agr_mes!$B$1:$XFD$1, 0), 0)/VLOOKUP($B20, gdp_tot_mes!$B:$XFD, MATCH(gdp_agr_share!V$1, gdp_tot_mes!$B$1:$XFD$1, 0), 0)</f>
        <v>0.13415221664393742</v>
      </c>
      <c r="W20" s="29">
        <f>VLOOKUP($B20, agr_mes!$B:$XFD, MATCH(gdp_agr_share!W$1, agr_mes!$B$1:$XFD$1, 0), 0)/VLOOKUP($B20, gdp_tot_mes!$B:$XFD, MATCH(gdp_agr_share!W$1, gdp_tot_mes!$B$1:$XFD$1, 0), 0)</f>
        <v>0.15385850877744259</v>
      </c>
      <c r="X20" s="29">
        <f>VLOOKUP($B20, agr_mes!$B:$XFD, MATCH(gdp_agr_share!X$1, agr_mes!$B$1:$XFD$1, 0), 0)/VLOOKUP($B20, gdp_tot_mes!$B:$XFD, MATCH(gdp_agr_share!X$1, gdp_tot_mes!$B$1:$XFD$1, 0), 0)</f>
        <v>0.11848794404542703</v>
      </c>
      <c r="Y20" s="29">
        <f>VLOOKUP($B20, agr_mes!$B:$XFD, MATCH(gdp_agr_share!Y$1, agr_mes!$B$1:$XFD$1, 0), 0)/VLOOKUP($B20, gdp_tot_mes!$B:$XFD, MATCH(gdp_agr_share!Y$1, gdp_tot_mes!$B$1:$XFD$1, 0), 0)</f>
        <v>0.10407651747759444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25">
      <c r="A21" s="1" t="s">
        <v>64</v>
      </c>
      <c r="B21" s="1" t="s">
        <v>67</v>
      </c>
      <c r="C21" s="1" t="s">
        <v>68</v>
      </c>
      <c r="D21" s="29">
        <f>VLOOKUP($B21, agr_mes!$B:$XFD, MATCH(gdp_agr_share!D$1, agr_mes!$B$1:$XFD$1, 0), 0)/VLOOKUP($B21, gdp_tot_mes!$B:$XFD, MATCH(gdp_agr_share!D$1, gdp_tot_mes!$B$1:$XFD$1, 0), 0)</f>
        <v>0.50833106897981528</v>
      </c>
      <c r="E21" s="29">
        <f>VLOOKUP($B21, agr_mes!$B:$XFD, MATCH(gdp_agr_share!E$1, agr_mes!$B$1:$XFD$1, 0), 0)/VLOOKUP($B21, gdp_tot_mes!$B:$XFD, MATCH(gdp_agr_share!E$1, gdp_tot_mes!$B$1:$XFD$1, 0), 0)</f>
        <v>0.54313567816720776</v>
      </c>
      <c r="F21" s="29">
        <f>VLOOKUP($B21, agr_mes!$B:$XFD, MATCH(gdp_agr_share!F$1, agr_mes!$B$1:$XFD$1, 0), 0)/VLOOKUP($B21, gdp_tot_mes!$B:$XFD, MATCH(gdp_agr_share!F$1, gdp_tot_mes!$B$1:$XFD$1, 0), 0)</f>
        <v>0.595385892343545</v>
      </c>
      <c r="G21" s="29">
        <f>VLOOKUP($B21, agr_mes!$B:$XFD, MATCH(gdp_agr_share!G$1, agr_mes!$B$1:$XFD$1, 0), 0)/VLOOKUP($B21, gdp_tot_mes!$B:$XFD, MATCH(gdp_agr_share!G$1, gdp_tot_mes!$B$1:$XFD$1, 0), 0)</f>
        <v>0.58969312314345512</v>
      </c>
      <c r="H21" s="29">
        <f>VLOOKUP($B21, agr_mes!$B:$XFD, MATCH(gdp_agr_share!H$1, agr_mes!$B$1:$XFD$1, 0), 0)/VLOOKUP($B21, gdp_tot_mes!$B:$XFD, MATCH(gdp_agr_share!H$1, gdp_tot_mes!$B$1:$XFD$1, 0), 0)</f>
        <v>0.47171002242384336</v>
      </c>
      <c r="I21" s="29">
        <f>VLOOKUP($B21, agr_mes!$B:$XFD, MATCH(gdp_agr_share!I$1, agr_mes!$B$1:$XFD$1, 0), 0)/VLOOKUP($B21, gdp_tot_mes!$B:$XFD, MATCH(gdp_agr_share!I$1, gdp_tot_mes!$B$1:$XFD$1, 0), 0)</f>
        <v>0.4658672400731092</v>
      </c>
      <c r="J21" s="29">
        <f>VLOOKUP($B21, agr_mes!$B:$XFD, MATCH(gdp_agr_share!J$1, agr_mes!$B$1:$XFD$1, 0), 0)/VLOOKUP($B21, gdp_tot_mes!$B:$XFD, MATCH(gdp_agr_share!J$1, gdp_tot_mes!$B$1:$XFD$1, 0), 0)</f>
        <v>0.42941834481270641</v>
      </c>
      <c r="K21" s="29">
        <f>VLOOKUP($B21, agr_mes!$B:$XFD, MATCH(gdp_agr_share!K$1, agr_mes!$B$1:$XFD$1, 0), 0)/VLOOKUP($B21, gdp_tot_mes!$B:$XFD, MATCH(gdp_agr_share!K$1, gdp_tot_mes!$B$1:$XFD$1, 0), 0)</f>
        <v>0.37200616404370307</v>
      </c>
      <c r="L21" s="30">
        <f t="shared" si="0"/>
        <v>0.36909949173093087</v>
      </c>
      <c r="M21" s="29">
        <f>VLOOKUP($B21, agr_mes!$B:$XFD, MATCH(gdp_agr_share!M$1, agr_mes!$B$1:$XFD$1, 0), 0)/VLOOKUP($B21, gdp_tot_mes!$B:$XFD, MATCH(gdp_agr_share!M$1, gdp_tot_mes!$B$1:$XFD$1, 0), 0)</f>
        <v>0.36561148495560425</v>
      </c>
      <c r="N21" s="29">
        <f>VLOOKUP($B21, agr_mes!$B:$XFD, MATCH(gdp_agr_share!N$1, agr_mes!$B$1:$XFD$1, 0), 0)/VLOOKUP($B21, gdp_tot_mes!$B:$XFD, MATCH(gdp_agr_share!N$1, gdp_tot_mes!$B$1:$XFD$1, 0), 0)</f>
        <v>0.18778804482016098</v>
      </c>
      <c r="O21" s="29">
        <f>VLOOKUP($B21, agr_mes!$B:$XFD, MATCH(gdp_agr_share!O$1, agr_mes!$B$1:$XFD$1, 0), 0)/VLOOKUP($B21, gdp_tot_mes!$B:$XFD, MATCH(gdp_agr_share!O$1, gdp_tot_mes!$B$1:$XFD$1, 0), 0)</f>
        <v>0.1778069563312159</v>
      </c>
      <c r="P21" s="29">
        <f>VLOOKUP($B21, agr_mes!$B:$XFD, MATCH(gdp_agr_share!P$1, agr_mes!$B$1:$XFD$1, 0), 0)/VLOOKUP($B21, gdp_tot_mes!$B:$XFD, MATCH(gdp_agr_share!P$1, gdp_tot_mes!$B$1:$XFD$1, 0), 0)</f>
        <v>0.149656552375767</v>
      </c>
      <c r="Q21" s="29">
        <f>VLOOKUP($B21, agr_mes!$B:$XFD, MATCH(gdp_agr_share!Q$1, agr_mes!$B$1:$XFD$1, 0), 0)/VLOOKUP($B21, gdp_tot_mes!$B:$XFD, MATCH(gdp_agr_share!Q$1, gdp_tot_mes!$B$1:$XFD$1, 0), 0)</f>
        <v>0.17904639490236113</v>
      </c>
      <c r="R21" s="29">
        <f>VLOOKUP($B21, agr_mes!$B:$XFD, MATCH(gdp_agr_share!R$1, agr_mes!$B$1:$XFD$1, 0), 0)/VLOOKUP($B21, gdp_tot_mes!$B:$XFD, MATCH(gdp_agr_share!R$1, gdp_tot_mes!$B$1:$XFD$1, 0), 0)</f>
        <v>0.21098608817923933</v>
      </c>
      <c r="S21" s="29">
        <f>VLOOKUP($B21, agr_mes!$B:$XFD, MATCH(gdp_agr_share!S$1, agr_mes!$B$1:$XFD$1, 0), 0)/VLOOKUP($B21, gdp_tot_mes!$B:$XFD, MATCH(gdp_agr_share!S$1, gdp_tot_mes!$B$1:$XFD$1, 0), 0)</f>
        <v>0.20267573250176452</v>
      </c>
      <c r="T21" s="29">
        <f>VLOOKUP($B21, agr_mes!$B:$XFD, MATCH(gdp_agr_share!T$1, agr_mes!$B$1:$XFD$1, 0), 0)/VLOOKUP($B21, gdp_tot_mes!$B:$XFD, MATCH(gdp_agr_share!T$1, gdp_tot_mes!$B$1:$XFD$1, 0), 0)</f>
        <v>0.18196742852559725</v>
      </c>
      <c r="U21" s="29">
        <f>VLOOKUP($B21, agr_mes!$B:$XFD, MATCH(gdp_agr_share!U$1, agr_mes!$B$1:$XFD$1, 0), 0)/VLOOKUP($B21, gdp_tot_mes!$B:$XFD, MATCH(gdp_agr_share!U$1, gdp_tot_mes!$B$1:$XFD$1, 0), 0)</f>
        <v>0.19827964152252148</v>
      </c>
      <c r="V21" s="29">
        <f>VLOOKUP($B21, agr_mes!$B:$XFD, MATCH(gdp_agr_share!V$1, agr_mes!$B$1:$XFD$1, 0), 0)/VLOOKUP($B21, gdp_tot_mes!$B:$XFD, MATCH(gdp_agr_share!V$1, gdp_tot_mes!$B$1:$XFD$1, 0), 0)</f>
        <v>0.16242839430981379</v>
      </c>
      <c r="W21" s="29">
        <f>VLOOKUP($B21, agr_mes!$B:$XFD, MATCH(gdp_agr_share!W$1, agr_mes!$B$1:$XFD$1, 0), 0)/VLOOKUP($B21, gdp_tot_mes!$B:$XFD, MATCH(gdp_agr_share!W$1, gdp_tot_mes!$B$1:$XFD$1, 0), 0)</f>
        <v>0.18693894853691659</v>
      </c>
      <c r="X21" s="29">
        <f>VLOOKUP($B21, agr_mes!$B:$XFD, MATCH(gdp_agr_share!X$1, agr_mes!$B$1:$XFD$1, 0), 0)/VLOOKUP($B21, gdp_tot_mes!$B:$XFD, MATCH(gdp_agr_share!X$1, gdp_tot_mes!$B$1:$XFD$1, 0), 0)</f>
        <v>0.16188191182638875</v>
      </c>
      <c r="Y21" s="29">
        <f>VLOOKUP($B21, agr_mes!$B:$XFD, MATCH(gdp_agr_share!Y$1, agr_mes!$B$1:$XFD$1, 0), 0)/VLOOKUP($B21, gdp_tot_mes!$B:$XFD, MATCH(gdp_agr_share!Y$1, gdp_tot_mes!$B$1:$XFD$1, 0), 0)</f>
        <v>0.13657116386335066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5">
      <c r="A22" s="1" t="s">
        <v>64</v>
      </c>
      <c r="B22" s="1" t="s">
        <v>69</v>
      </c>
      <c r="C22" s="1" t="s">
        <v>70</v>
      </c>
      <c r="D22" s="29">
        <f>VLOOKUP($B22, agr_mes!$B:$XFD, MATCH(gdp_agr_share!D$1, agr_mes!$B$1:$XFD$1, 0), 0)/VLOOKUP($B22, gdp_tot_mes!$B:$XFD, MATCH(gdp_agr_share!D$1, gdp_tot_mes!$B$1:$XFD$1, 0), 0)</f>
        <v>0.15916339419046993</v>
      </c>
      <c r="E22" s="29">
        <f>VLOOKUP($B22, agr_mes!$B:$XFD, MATCH(gdp_agr_share!E$1, agr_mes!$B$1:$XFD$1, 0), 0)/VLOOKUP($B22, gdp_tot_mes!$B:$XFD, MATCH(gdp_agr_share!E$1, gdp_tot_mes!$B$1:$XFD$1, 0), 0)</f>
        <v>7.6640496386510687E-2</v>
      </c>
      <c r="F22" s="29">
        <f>VLOOKUP($B22, agr_mes!$B:$XFD, MATCH(gdp_agr_share!F$1, agr_mes!$B$1:$XFD$1, 0), 0)/VLOOKUP($B22, gdp_tot_mes!$B:$XFD, MATCH(gdp_agr_share!F$1, gdp_tot_mes!$B$1:$XFD$1, 0), 0)</f>
        <v>3.2920397415961936E-2</v>
      </c>
      <c r="G22" s="29">
        <f>VLOOKUP($B22, agr_mes!$B:$XFD, MATCH(gdp_agr_share!G$1, agr_mes!$B$1:$XFD$1, 0), 0)/VLOOKUP($B22, gdp_tot_mes!$B:$XFD, MATCH(gdp_agr_share!G$1, gdp_tot_mes!$B$1:$XFD$1, 0), 0)</f>
        <v>4.5470712088232931E-2</v>
      </c>
      <c r="H22" s="29">
        <f>VLOOKUP($B22, agr_mes!$B:$XFD, MATCH(gdp_agr_share!H$1, agr_mes!$B$1:$XFD$1, 0), 0)/VLOOKUP($B22, gdp_tot_mes!$B:$XFD, MATCH(gdp_agr_share!H$1, gdp_tot_mes!$B$1:$XFD$1, 0), 0)</f>
        <v>3.1761171055048665E-2</v>
      </c>
      <c r="I22" s="29">
        <f>VLOOKUP($B22, agr_mes!$B:$XFD, MATCH(gdp_agr_share!I$1, agr_mes!$B$1:$XFD$1, 0), 0)/VLOOKUP($B22, gdp_tot_mes!$B:$XFD, MATCH(gdp_agr_share!I$1, gdp_tot_mes!$B$1:$XFD$1, 0), 0)</f>
        <v>2.4147688378371994E-2</v>
      </c>
      <c r="J22" s="29">
        <f>VLOOKUP($B22, agr_mes!$B:$XFD, MATCH(gdp_agr_share!J$1, agr_mes!$B$1:$XFD$1, 0), 0)/VLOOKUP($B22, gdp_tot_mes!$B:$XFD, MATCH(gdp_agr_share!J$1, gdp_tot_mes!$B$1:$XFD$1, 0), 0)</f>
        <v>2.0592402388871302E-2</v>
      </c>
      <c r="K22" s="29">
        <f>VLOOKUP($B22, agr_mes!$B:$XFD, MATCH(gdp_agr_share!K$1, agr_mes!$B$1:$XFD$1, 0), 0)/VLOOKUP($B22, gdp_tot_mes!$B:$XFD, MATCH(gdp_agr_share!K$1, gdp_tot_mes!$B$1:$XFD$1, 0), 0)</f>
        <v>2.0246966315996533E-2</v>
      </c>
      <c r="L22" s="30">
        <f t="shared" si="0"/>
        <v>1.5766928726505529E-2</v>
      </c>
      <c r="M22" s="29">
        <f>VLOOKUP($B22, agr_mes!$B:$XFD, MATCH(gdp_agr_share!M$1, agr_mes!$B$1:$XFD$1, 0), 0)/VLOOKUP($B22, gdp_tot_mes!$B:$XFD, MATCH(gdp_agr_share!M$1, gdp_tot_mes!$B$1:$XFD$1, 0), 0)</f>
        <v>1.0390883619116323E-2</v>
      </c>
      <c r="N22" s="29">
        <f>VLOOKUP($B22, agr_mes!$B:$XFD, MATCH(gdp_agr_share!N$1, agr_mes!$B$1:$XFD$1, 0), 0)/VLOOKUP($B22, gdp_tot_mes!$B:$XFD, MATCH(gdp_agr_share!N$1, gdp_tot_mes!$B$1:$XFD$1, 0), 0)</f>
        <v>6.4846424780368745E-3</v>
      </c>
      <c r="O22" s="29">
        <f>VLOOKUP($B22, agr_mes!$B:$XFD, MATCH(gdp_agr_share!O$1, agr_mes!$B$1:$XFD$1, 0), 0)/VLOOKUP($B22, gdp_tot_mes!$B:$XFD, MATCH(gdp_agr_share!O$1, gdp_tot_mes!$B$1:$XFD$1, 0), 0)</f>
        <v>6.5872477356795174E-3</v>
      </c>
      <c r="P22" s="29">
        <f>VLOOKUP($B22, agr_mes!$B:$XFD, MATCH(gdp_agr_share!P$1, agr_mes!$B$1:$XFD$1, 0), 0)/VLOOKUP($B22, gdp_tot_mes!$B:$XFD, MATCH(gdp_agr_share!P$1, gdp_tot_mes!$B$1:$XFD$1, 0), 0)</f>
        <v>6.436297123576162E-3</v>
      </c>
      <c r="Q22" s="29">
        <f>VLOOKUP($B22, agr_mes!$B:$XFD, MATCH(gdp_agr_share!Q$1, agr_mes!$B$1:$XFD$1, 0), 0)/VLOOKUP($B22, gdp_tot_mes!$B:$XFD, MATCH(gdp_agr_share!Q$1, gdp_tot_mes!$B$1:$XFD$1, 0), 0)</f>
        <v>6.7592344316305198E-3</v>
      </c>
      <c r="R22" s="29">
        <f>VLOOKUP($B22, agr_mes!$B:$XFD, MATCH(gdp_agr_share!R$1, agr_mes!$B$1:$XFD$1, 0), 0)/VLOOKUP($B22, gdp_tot_mes!$B:$XFD, MATCH(gdp_agr_share!R$1, gdp_tot_mes!$B$1:$XFD$1, 0), 0)</f>
        <v>7.729827752709216E-3</v>
      </c>
      <c r="S22" s="29">
        <f>VLOOKUP($B22, agr_mes!$B:$XFD, MATCH(gdp_agr_share!S$1, agr_mes!$B$1:$XFD$1, 0), 0)/VLOOKUP($B22, gdp_tot_mes!$B:$XFD, MATCH(gdp_agr_share!S$1, gdp_tot_mes!$B$1:$XFD$1, 0), 0)</f>
        <v>7.6089508809262883E-3</v>
      </c>
      <c r="T22" s="29">
        <f>VLOOKUP($B22, agr_mes!$B:$XFD, MATCH(gdp_agr_share!T$1, agr_mes!$B$1:$XFD$1, 0), 0)/VLOOKUP($B22, gdp_tot_mes!$B:$XFD, MATCH(gdp_agr_share!T$1, gdp_tot_mes!$B$1:$XFD$1, 0), 0)</f>
        <v>6.7232004027087287E-3</v>
      </c>
      <c r="U22" s="29">
        <f>VLOOKUP($B22, agr_mes!$B:$XFD, MATCH(gdp_agr_share!U$1, agr_mes!$B$1:$XFD$1, 0), 0)/VLOOKUP($B22, gdp_tot_mes!$B:$XFD, MATCH(gdp_agr_share!U$1, gdp_tot_mes!$B$1:$XFD$1, 0), 0)</f>
        <v>6.9622829618321749E-3</v>
      </c>
      <c r="V22" s="29">
        <f>VLOOKUP($B22, agr_mes!$B:$XFD, MATCH(gdp_agr_share!V$1, agr_mes!$B$1:$XFD$1, 0), 0)/VLOOKUP($B22, gdp_tot_mes!$B:$XFD, MATCH(gdp_agr_share!V$1, gdp_tot_mes!$B$1:$XFD$1, 0), 0)</f>
        <v>6.6031876082533357E-3</v>
      </c>
      <c r="W22" s="29">
        <f>VLOOKUP($B22, agr_mes!$B:$XFD, MATCH(gdp_agr_share!W$1, agr_mes!$B$1:$XFD$1, 0), 0)/VLOOKUP($B22, gdp_tot_mes!$B:$XFD, MATCH(gdp_agr_share!W$1, gdp_tot_mes!$B$1:$XFD$1, 0), 0)</f>
        <v>6.2506862604346531E-3</v>
      </c>
      <c r="X22" s="29">
        <f>VLOOKUP($B22, agr_mes!$B:$XFD, MATCH(gdp_agr_share!X$1, agr_mes!$B$1:$XFD$1, 0), 0)/VLOOKUP($B22, gdp_tot_mes!$B:$XFD, MATCH(gdp_agr_share!X$1, gdp_tot_mes!$B$1:$XFD$1, 0), 0)</f>
        <v>5.6102613992588543E-3</v>
      </c>
      <c r="Y22" s="29">
        <f>VLOOKUP($B22, agr_mes!$B:$XFD, MATCH(gdp_agr_share!Y$1, agr_mes!$B$1:$XFD$1, 0), 0)/VLOOKUP($B22, gdp_tot_mes!$B:$XFD, MATCH(gdp_agr_share!Y$1, gdp_tot_mes!$B$1:$XFD$1, 0), 0)</f>
        <v>5.2806736027289367E-3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25">
      <c r="A23" s="1" t="s">
        <v>64</v>
      </c>
      <c r="B23" s="1" t="s">
        <v>71</v>
      </c>
      <c r="C23" s="1" t="s">
        <v>72</v>
      </c>
      <c r="D23" s="29">
        <f>VLOOKUP($B23, agr_mes!$B:$XFD, MATCH(gdp_agr_share!D$1, agr_mes!$B$1:$XFD$1, 0), 0)/VLOOKUP($B23, gdp_tot_mes!$B:$XFD, MATCH(gdp_agr_share!D$1, gdp_tot_mes!$B$1:$XFD$1, 0), 0)</f>
        <v>0.43654724863077848</v>
      </c>
      <c r="E23" s="29">
        <f>VLOOKUP($B23, agr_mes!$B:$XFD, MATCH(gdp_agr_share!E$1, agr_mes!$B$1:$XFD$1, 0), 0)/VLOOKUP($B23, gdp_tot_mes!$B:$XFD, MATCH(gdp_agr_share!E$1, gdp_tot_mes!$B$1:$XFD$1, 0), 0)</f>
        <v>0.62888195944411618</v>
      </c>
      <c r="F23" s="29">
        <f>VLOOKUP($B23, agr_mes!$B:$XFD, MATCH(gdp_agr_share!F$1, agr_mes!$B$1:$XFD$1, 0), 0)/VLOOKUP($B23, gdp_tot_mes!$B:$XFD, MATCH(gdp_agr_share!F$1, gdp_tot_mes!$B$1:$XFD$1, 0), 0)</f>
        <v>0.63551442806586145</v>
      </c>
      <c r="G23" s="29">
        <f>VLOOKUP($B23, agr_mes!$B:$XFD, MATCH(gdp_agr_share!G$1, agr_mes!$B$1:$XFD$1, 0), 0)/VLOOKUP($B23, gdp_tot_mes!$B:$XFD, MATCH(gdp_agr_share!G$1, gdp_tot_mes!$B$1:$XFD$1, 0), 0)</f>
        <v>0.56311391533227861</v>
      </c>
      <c r="H23" s="29">
        <f>VLOOKUP($B23, agr_mes!$B:$XFD, MATCH(gdp_agr_share!H$1, agr_mes!$B$1:$XFD$1, 0), 0)/VLOOKUP($B23, gdp_tot_mes!$B:$XFD, MATCH(gdp_agr_share!H$1, gdp_tot_mes!$B$1:$XFD$1, 0), 0)</f>
        <v>0.38211635120711573</v>
      </c>
      <c r="I23" s="29">
        <f>VLOOKUP($B23, agr_mes!$B:$XFD, MATCH(gdp_agr_share!I$1, agr_mes!$B$1:$XFD$1, 0), 0)/VLOOKUP($B23, gdp_tot_mes!$B:$XFD, MATCH(gdp_agr_share!I$1, gdp_tot_mes!$B$1:$XFD$1, 0), 0)</f>
        <v>0.49816469432771182</v>
      </c>
      <c r="J23" s="29">
        <f>VLOOKUP($B23, agr_mes!$B:$XFD, MATCH(gdp_agr_share!J$1, agr_mes!$B$1:$XFD$1, 0), 0)/VLOOKUP($B23, gdp_tot_mes!$B:$XFD, MATCH(gdp_agr_share!J$1, gdp_tot_mes!$B$1:$XFD$1, 0), 0)</f>
        <v>0.50880107535081165</v>
      </c>
      <c r="K23" s="29">
        <f>VLOOKUP($B23, agr_mes!$B:$XFD, MATCH(gdp_agr_share!K$1, agr_mes!$B$1:$XFD$1, 0), 0)/VLOOKUP($B23, gdp_tot_mes!$B:$XFD, MATCH(gdp_agr_share!K$1, gdp_tot_mes!$B$1:$XFD$1, 0), 0)</f>
        <v>0.44307941450545635</v>
      </c>
      <c r="L23" s="30">
        <f t="shared" si="0"/>
        <v>0.45097228510012199</v>
      </c>
      <c r="M23" s="29">
        <f>VLOOKUP($B23, agr_mes!$B:$XFD, MATCH(gdp_agr_share!M$1, agr_mes!$B$1:$XFD$1, 0), 0)/VLOOKUP($B23, gdp_tot_mes!$B:$XFD, MATCH(gdp_agr_share!M$1, gdp_tot_mes!$B$1:$XFD$1, 0), 0)</f>
        <v>0.46044372981372078</v>
      </c>
      <c r="N23" s="29">
        <f>VLOOKUP($B23, agr_mes!$B:$XFD, MATCH(gdp_agr_share!N$1, agr_mes!$B$1:$XFD$1, 0), 0)/VLOOKUP($B23, gdp_tot_mes!$B:$XFD, MATCH(gdp_agr_share!N$1, gdp_tot_mes!$B$1:$XFD$1, 0), 0)</f>
        <v>0.21227064166751283</v>
      </c>
      <c r="O23" s="29">
        <f>VLOOKUP($B23, agr_mes!$B:$XFD, MATCH(gdp_agr_share!O$1, agr_mes!$B$1:$XFD$1, 0), 0)/VLOOKUP($B23, gdp_tot_mes!$B:$XFD, MATCH(gdp_agr_share!O$1, gdp_tot_mes!$B$1:$XFD$1, 0), 0)</f>
        <v>0.23781221977480205</v>
      </c>
      <c r="P23" s="29">
        <f>VLOOKUP($B23, agr_mes!$B:$XFD, MATCH(gdp_agr_share!P$1, agr_mes!$B$1:$XFD$1, 0), 0)/VLOOKUP($B23, gdp_tot_mes!$B:$XFD, MATCH(gdp_agr_share!P$1, gdp_tot_mes!$B$1:$XFD$1, 0), 0)</f>
        <v>0.1939342649165362</v>
      </c>
      <c r="Q23" s="29">
        <f>VLOOKUP($B23, agr_mes!$B:$XFD, MATCH(gdp_agr_share!Q$1, agr_mes!$B$1:$XFD$1, 0), 0)/VLOOKUP($B23, gdp_tot_mes!$B:$XFD, MATCH(gdp_agr_share!Q$1, gdp_tot_mes!$B$1:$XFD$1, 0), 0)</f>
        <v>0.24749703481280297</v>
      </c>
      <c r="R23" s="29">
        <f>VLOOKUP($B23, agr_mes!$B:$XFD, MATCH(gdp_agr_share!R$1, agr_mes!$B$1:$XFD$1, 0), 0)/VLOOKUP($B23, gdp_tot_mes!$B:$XFD, MATCH(gdp_agr_share!R$1, gdp_tot_mes!$B$1:$XFD$1, 0), 0)</f>
        <v>0.25835160941316754</v>
      </c>
      <c r="S23" s="29">
        <f>VLOOKUP($B23, agr_mes!$B:$XFD, MATCH(gdp_agr_share!S$1, agr_mes!$B$1:$XFD$1, 0), 0)/VLOOKUP($B23, gdp_tot_mes!$B:$XFD, MATCH(gdp_agr_share!S$1, gdp_tot_mes!$B$1:$XFD$1, 0), 0)</f>
        <v>0.19784567493376762</v>
      </c>
      <c r="T23" s="29">
        <f>VLOOKUP($B23, agr_mes!$B:$XFD, MATCH(gdp_agr_share!T$1, agr_mes!$B$1:$XFD$1, 0), 0)/VLOOKUP($B23, gdp_tot_mes!$B:$XFD, MATCH(gdp_agr_share!T$1, gdp_tot_mes!$B$1:$XFD$1, 0), 0)</f>
        <v>0.19289854700029133</v>
      </c>
      <c r="U23" s="29">
        <f>VLOOKUP($B23, agr_mes!$B:$XFD, MATCH(gdp_agr_share!U$1, agr_mes!$B$1:$XFD$1, 0), 0)/VLOOKUP($B23, gdp_tot_mes!$B:$XFD, MATCH(gdp_agr_share!U$1, gdp_tot_mes!$B$1:$XFD$1, 0), 0)</f>
        <v>0.21115242173311788</v>
      </c>
      <c r="V23" s="29">
        <f>VLOOKUP($B23, agr_mes!$B:$XFD, MATCH(gdp_agr_share!V$1, agr_mes!$B$1:$XFD$1, 0), 0)/VLOOKUP($B23, gdp_tot_mes!$B:$XFD, MATCH(gdp_agr_share!V$1, gdp_tot_mes!$B$1:$XFD$1, 0), 0)</f>
        <v>0.1638865073138823</v>
      </c>
      <c r="W23" s="29">
        <f>VLOOKUP($B23, agr_mes!$B:$XFD, MATCH(gdp_agr_share!W$1, agr_mes!$B$1:$XFD$1, 0), 0)/VLOOKUP($B23, gdp_tot_mes!$B:$XFD, MATCH(gdp_agr_share!W$1, gdp_tot_mes!$B$1:$XFD$1, 0), 0)</f>
        <v>0.21338411813278019</v>
      </c>
      <c r="X23" s="29">
        <f>VLOOKUP($B23, agr_mes!$B:$XFD, MATCH(gdp_agr_share!X$1, agr_mes!$B$1:$XFD$1, 0), 0)/VLOOKUP($B23, gdp_tot_mes!$B:$XFD, MATCH(gdp_agr_share!X$1, gdp_tot_mes!$B$1:$XFD$1, 0), 0)</f>
        <v>0.14088982243520648</v>
      </c>
      <c r="Y23" s="29">
        <f>VLOOKUP($B23, agr_mes!$B:$XFD, MATCH(gdp_agr_share!Y$1, agr_mes!$B$1:$XFD$1, 0), 0)/VLOOKUP($B23, gdp_tot_mes!$B:$XFD, MATCH(gdp_agr_share!Y$1, gdp_tot_mes!$B$1:$XFD$1, 0), 0)</f>
        <v>0.10645838784737878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25">
      <c r="A24" s="1" t="s">
        <v>64</v>
      </c>
      <c r="B24" s="1" t="s">
        <v>73</v>
      </c>
      <c r="C24" s="1" t="s">
        <v>74</v>
      </c>
      <c r="D24" s="29">
        <f>VLOOKUP($B24, agr_mes!$B:$XFD, MATCH(gdp_agr_share!D$1, agr_mes!$B$1:$XFD$1, 0), 0)/VLOOKUP($B24, gdp_tot_mes!$B:$XFD, MATCH(gdp_agr_share!D$1, gdp_tot_mes!$B$1:$XFD$1, 0), 0)</f>
        <v>0.2920998333281225</v>
      </c>
      <c r="E24" s="29">
        <f>VLOOKUP($B24, agr_mes!$B:$XFD, MATCH(gdp_agr_share!E$1, agr_mes!$B$1:$XFD$1, 0), 0)/VLOOKUP($B24, gdp_tot_mes!$B:$XFD, MATCH(gdp_agr_share!E$1, gdp_tot_mes!$B$1:$XFD$1, 0), 0)</f>
        <v>0.53024830882771712</v>
      </c>
      <c r="F24" s="29">
        <f>VLOOKUP($B24, agr_mes!$B:$XFD, MATCH(gdp_agr_share!F$1, agr_mes!$B$1:$XFD$1, 0), 0)/VLOOKUP($B24, gdp_tot_mes!$B:$XFD, MATCH(gdp_agr_share!F$1, gdp_tot_mes!$B$1:$XFD$1, 0), 0)</f>
        <v>0.5284504359191271</v>
      </c>
      <c r="G24" s="29">
        <f>VLOOKUP($B24, agr_mes!$B:$XFD, MATCH(gdp_agr_share!G$1, agr_mes!$B$1:$XFD$1, 0), 0)/VLOOKUP($B24, gdp_tot_mes!$B:$XFD, MATCH(gdp_agr_share!G$1, gdp_tot_mes!$B$1:$XFD$1, 0), 0)</f>
        <v>0.46983332598348027</v>
      </c>
      <c r="H24" s="29">
        <f>VLOOKUP($B24, agr_mes!$B:$XFD, MATCH(gdp_agr_share!H$1, agr_mes!$B$1:$XFD$1, 0), 0)/VLOOKUP($B24, gdp_tot_mes!$B:$XFD, MATCH(gdp_agr_share!H$1, gdp_tot_mes!$B$1:$XFD$1, 0), 0)</f>
        <v>0.35260555598593285</v>
      </c>
      <c r="I24" s="29">
        <f>VLOOKUP($B24, agr_mes!$B:$XFD, MATCH(gdp_agr_share!I$1, agr_mes!$B$1:$XFD$1, 0), 0)/VLOOKUP($B24, gdp_tot_mes!$B:$XFD, MATCH(gdp_agr_share!I$1, gdp_tot_mes!$B$1:$XFD$1, 0), 0)</f>
        <v>0.40168364636350157</v>
      </c>
      <c r="J24" s="29">
        <f>VLOOKUP($B24, agr_mes!$B:$XFD, MATCH(gdp_agr_share!J$1, agr_mes!$B$1:$XFD$1, 0), 0)/VLOOKUP($B24, gdp_tot_mes!$B:$XFD, MATCH(gdp_agr_share!J$1, gdp_tot_mes!$B$1:$XFD$1, 0), 0)</f>
        <v>0.35605469731549516</v>
      </c>
      <c r="K24" s="29">
        <f>VLOOKUP($B24, agr_mes!$B:$XFD, MATCH(gdp_agr_share!K$1, agr_mes!$B$1:$XFD$1, 0), 0)/VLOOKUP($B24, gdp_tot_mes!$B:$XFD, MATCH(gdp_agr_share!K$1, gdp_tot_mes!$B$1:$XFD$1, 0), 0)</f>
        <v>0.36560565477011941</v>
      </c>
      <c r="L24" s="30">
        <f t="shared" si="0"/>
        <v>0.35621581164726757</v>
      </c>
      <c r="M24" s="29">
        <f>VLOOKUP($B24, agr_mes!$B:$XFD, MATCH(gdp_agr_share!M$1, agr_mes!$B$1:$XFD$1, 0), 0)/VLOOKUP($B24, gdp_tot_mes!$B:$XFD, MATCH(gdp_agr_share!M$1, gdp_tot_mes!$B$1:$XFD$1, 0), 0)</f>
        <v>0.34494799989984537</v>
      </c>
      <c r="N24" s="29">
        <f>VLOOKUP($B24, agr_mes!$B:$XFD, MATCH(gdp_agr_share!N$1, agr_mes!$B$1:$XFD$1, 0), 0)/VLOOKUP($B24, gdp_tot_mes!$B:$XFD, MATCH(gdp_agr_share!N$1, gdp_tot_mes!$B$1:$XFD$1, 0), 0)</f>
        <v>0.19529411339277256</v>
      </c>
      <c r="O24" s="29">
        <f>VLOOKUP($B24, agr_mes!$B:$XFD, MATCH(gdp_agr_share!O$1, agr_mes!$B$1:$XFD$1, 0), 0)/VLOOKUP($B24, gdp_tot_mes!$B:$XFD, MATCH(gdp_agr_share!O$1, gdp_tot_mes!$B$1:$XFD$1, 0), 0)</f>
        <v>0.20901563774386747</v>
      </c>
      <c r="P24" s="29">
        <f>VLOOKUP($B24, agr_mes!$B:$XFD, MATCH(gdp_agr_share!P$1, agr_mes!$B$1:$XFD$1, 0), 0)/VLOOKUP($B24, gdp_tot_mes!$B:$XFD, MATCH(gdp_agr_share!P$1, gdp_tot_mes!$B$1:$XFD$1, 0), 0)</f>
        <v>0.18454484126011436</v>
      </c>
      <c r="Q24" s="29">
        <f>VLOOKUP($B24, agr_mes!$B:$XFD, MATCH(gdp_agr_share!Q$1, agr_mes!$B$1:$XFD$1, 0), 0)/VLOOKUP($B24, gdp_tot_mes!$B:$XFD, MATCH(gdp_agr_share!Q$1, gdp_tot_mes!$B$1:$XFD$1, 0), 0)</f>
        <v>0.20657106814529347</v>
      </c>
      <c r="R24" s="29">
        <f>VLOOKUP($B24, agr_mes!$B:$XFD, MATCH(gdp_agr_share!R$1, agr_mes!$B$1:$XFD$1, 0), 0)/VLOOKUP($B24, gdp_tot_mes!$B:$XFD, MATCH(gdp_agr_share!R$1, gdp_tot_mes!$B$1:$XFD$1, 0), 0)</f>
        <v>0.22532502201305432</v>
      </c>
      <c r="S24" s="29">
        <f>VLOOKUP($B24, agr_mes!$B:$XFD, MATCH(gdp_agr_share!S$1, agr_mes!$B$1:$XFD$1, 0), 0)/VLOOKUP($B24, gdp_tot_mes!$B:$XFD, MATCH(gdp_agr_share!S$1, gdp_tot_mes!$B$1:$XFD$1, 0), 0)</f>
        <v>0.20333085210328147</v>
      </c>
      <c r="T24" s="29">
        <f>VLOOKUP($B24, agr_mes!$B:$XFD, MATCH(gdp_agr_share!T$1, agr_mes!$B$1:$XFD$1, 0), 0)/VLOOKUP($B24, gdp_tot_mes!$B:$XFD, MATCH(gdp_agr_share!T$1, gdp_tot_mes!$B$1:$XFD$1, 0), 0)</f>
        <v>0.19399469303315595</v>
      </c>
      <c r="U24" s="29">
        <f>VLOOKUP($B24, agr_mes!$B:$XFD, MATCH(gdp_agr_share!U$1, agr_mes!$B$1:$XFD$1, 0), 0)/VLOOKUP($B24, gdp_tot_mes!$B:$XFD, MATCH(gdp_agr_share!U$1, gdp_tot_mes!$B$1:$XFD$1, 0), 0)</f>
        <v>0.21146080540203757</v>
      </c>
      <c r="V24" s="29">
        <f>VLOOKUP($B24, agr_mes!$B:$XFD, MATCH(gdp_agr_share!V$1, agr_mes!$B$1:$XFD$1, 0), 0)/VLOOKUP($B24, gdp_tot_mes!$B:$XFD, MATCH(gdp_agr_share!V$1, gdp_tot_mes!$B$1:$XFD$1, 0), 0)</f>
        <v>0.19373596625615164</v>
      </c>
      <c r="W24" s="29">
        <f>VLOOKUP($B24, agr_mes!$B:$XFD, MATCH(gdp_agr_share!W$1, agr_mes!$B$1:$XFD$1, 0), 0)/VLOOKUP($B24, gdp_tot_mes!$B:$XFD, MATCH(gdp_agr_share!W$1, gdp_tot_mes!$B$1:$XFD$1, 0), 0)</f>
        <v>0.20488969528625392</v>
      </c>
      <c r="X24" s="29">
        <f>VLOOKUP($B24, agr_mes!$B:$XFD, MATCH(gdp_agr_share!X$1, agr_mes!$B$1:$XFD$1, 0), 0)/VLOOKUP($B24, gdp_tot_mes!$B:$XFD, MATCH(gdp_agr_share!X$1, gdp_tot_mes!$B$1:$XFD$1, 0), 0)</f>
        <v>0.19324661203829574</v>
      </c>
      <c r="Y24" s="29">
        <f>VLOOKUP($B24, agr_mes!$B:$XFD, MATCH(gdp_agr_share!Y$1, agr_mes!$B$1:$XFD$1, 0), 0)/VLOOKUP($B24, gdp_tot_mes!$B:$XFD, MATCH(gdp_agr_share!Y$1, gdp_tot_mes!$B$1:$XFD$1, 0), 0)</f>
        <v>0.15016678730704247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25">
      <c r="A25" s="1" t="s">
        <v>64</v>
      </c>
      <c r="B25" s="1" t="s">
        <v>75</v>
      </c>
      <c r="C25" s="1" t="s">
        <v>76</v>
      </c>
      <c r="D25" s="29">
        <f>VLOOKUP($B25, agr_mes!$B:$XFD, MATCH(gdp_agr_share!D$1, agr_mes!$B$1:$XFD$1, 0), 0)/VLOOKUP($B25, gdp_tot_mes!$B:$XFD, MATCH(gdp_agr_share!D$1, gdp_tot_mes!$B$1:$XFD$1, 0), 0)</f>
        <v>0.49413567477126441</v>
      </c>
      <c r="E25" s="29">
        <f>VLOOKUP($B25, agr_mes!$B:$XFD, MATCH(gdp_agr_share!E$1, agr_mes!$B$1:$XFD$1, 0), 0)/VLOOKUP($B25, gdp_tot_mes!$B:$XFD, MATCH(gdp_agr_share!E$1, gdp_tot_mes!$B$1:$XFD$1, 0), 0)</f>
        <v>0.4520842588418485</v>
      </c>
      <c r="F25" s="29">
        <f>VLOOKUP($B25, agr_mes!$B:$XFD, MATCH(gdp_agr_share!F$1, agr_mes!$B$1:$XFD$1, 0), 0)/VLOOKUP($B25, gdp_tot_mes!$B:$XFD, MATCH(gdp_agr_share!F$1, gdp_tot_mes!$B$1:$XFD$1, 0), 0)</f>
        <v>0.51865116283015555</v>
      </c>
      <c r="G25" s="29">
        <f>VLOOKUP($B25, agr_mes!$B:$XFD, MATCH(gdp_agr_share!G$1, agr_mes!$B$1:$XFD$1, 0), 0)/VLOOKUP($B25, gdp_tot_mes!$B:$XFD, MATCH(gdp_agr_share!G$1, gdp_tot_mes!$B$1:$XFD$1, 0), 0)</f>
        <v>0.38366089943760856</v>
      </c>
      <c r="H25" s="29">
        <f>VLOOKUP($B25, agr_mes!$B:$XFD, MATCH(gdp_agr_share!H$1, agr_mes!$B$1:$XFD$1, 0), 0)/VLOOKUP($B25, gdp_tot_mes!$B:$XFD, MATCH(gdp_agr_share!H$1, gdp_tot_mes!$B$1:$XFD$1, 0), 0)</f>
        <v>0.32270835494688188</v>
      </c>
      <c r="I25" s="29">
        <f>VLOOKUP($B25, agr_mes!$B:$XFD, MATCH(gdp_agr_share!I$1, agr_mes!$B$1:$XFD$1, 0), 0)/VLOOKUP($B25, gdp_tot_mes!$B:$XFD, MATCH(gdp_agr_share!I$1, gdp_tot_mes!$B$1:$XFD$1, 0), 0)</f>
        <v>0.35798936053692898</v>
      </c>
      <c r="J25" s="29">
        <f>VLOOKUP($B25, agr_mes!$B:$XFD, MATCH(gdp_agr_share!J$1, agr_mes!$B$1:$XFD$1, 0), 0)/VLOOKUP($B25, gdp_tot_mes!$B:$XFD, MATCH(gdp_agr_share!J$1, gdp_tot_mes!$B$1:$XFD$1, 0), 0)</f>
        <v>0.31345368047286326</v>
      </c>
      <c r="K25" s="29">
        <f>VLOOKUP($B25, agr_mes!$B:$XFD, MATCH(gdp_agr_share!K$1, agr_mes!$B$1:$XFD$1, 0), 0)/VLOOKUP($B25, gdp_tot_mes!$B:$XFD, MATCH(gdp_agr_share!K$1, gdp_tot_mes!$B$1:$XFD$1, 0), 0)</f>
        <v>0.39668402484321447</v>
      </c>
      <c r="L25" s="30">
        <f t="shared" si="0"/>
        <v>0.38756892243216312</v>
      </c>
      <c r="M25" s="29">
        <f>VLOOKUP($B25, agr_mes!$B:$XFD, MATCH(gdp_agr_share!M$1, agr_mes!$B$1:$XFD$1, 0), 0)/VLOOKUP($B25, gdp_tot_mes!$B:$XFD, MATCH(gdp_agr_share!M$1, gdp_tot_mes!$B$1:$XFD$1, 0), 0)</f>
        <v>0.37663079953890155</v>
      </c>
      <c r="N25" s="29">
        <f>VLOOKUP($B25, agr_mes!$B:$XFD, MATCH(gdp_agr_share!N$1, agr_mes!$B$1:$XFD$1, 0), 0)/VLOOKUP($B25, gdp_tot_mes!$B:$XFD, MATCH(gdp_agr_share!N$1, gdp_tot_mes!$B$1:$XFD$1, 0), 0)</f>
        <v>0.14897080290816875</v>
      </c>
      <c r="O25" s="29">
        <f>VLOOKUP($B25, agr_mes!$B:$XFD, MATCH(gdp_agr_share!O$1, agr_mes!$B$1:$XFD$1, 0), 0)/VLOOKUP($B25, gdp_tot_mes!$B:$XFD, MATCH(gdp_agr_share!O$1, gdp_tot_mes!$B$1:$XFD$1, 0), 0)</f>
        <v>0.16400628239631176</v>
      </c>
      <c r="P25" s="29">
        <f>VLOOKUP($B25, agr_mes!$B:$XFD, MATCH(gdp_agr_share!P$1, agr_mes!$B$1:$XFD$1, 0), 0)/VLOOKUP($B25, gdp_tot_mes!$B:$XFD, MATCH(gdp_agr_share!P$1, gdp_tot_mes!$B$1:$XFD$1, 0), 0)</f>
        <v>0.14432486319899224</v>
      </c>
      <c r="Q25" s="29">
        <f>VLOOKUP($B25, agr_mes!$B:$XFD, MATCH(gdp_agr_share!Q$1, agr_mes!$B$1:$XFD$1, 0), 0)/VLOOKUP($B25, gdp_tot_mes!$B:$XFD, MATCH(gdp_agr_share!Q$1, gdp_tot_mes!$B$1:$XFD$1, 0), 0)</f>
        <v>0.19386886984768997</v>
      </c>
      <c r="R25" s="29">
        <f>VLOOKUP($B25, agr_mes!$B:$XFD, MATCH(gdp_agr_share!R$1, agr_mes!$B$1:$XFD$1, 0), 0)/VLOOKUP($B25, gdp_tot_mes!$B:$XFD, MATCH(gdp_agr_share!R$1, gdp_tot_mes!$B$1:$XFD$1, 0), 0)</f>
        <v>0.23762279629238117</v>
      </c>
      <c r="S25" s="29">
        <f>VLOOKUP($B25, agr_mes!$B:$XFD, MATCH(gdp_agr_share!S$1, agr_mes!$B$1:$XFD$1, 0), 0)/VLOOKUP($B25, gdp_tot_mes!$B:$XFD, MATCH(gdp_agr_share!S$1, gdp_tot_mes!$B$1:$XFD$1, 0), 0)</f>
        <v>0.18687267344998493</v>
      </c>
      <c r="T25" s="29">
        <f>VLOOKUP($B25, agr_mes!$B:$XFD, MATCH(gdp_agr_share!T$1, agr_mes!$B$1:$XFD$1, 0), 0)/VLOOKUP($B25, gdp_tot_mes!$B:$XFD, MATCH(gdp_agr_share!T$1, gdp_tot_mes!$B$1:$XFD$1, 0), 0)</f>
        <v>0.15700105559519761</v>
      </c>
      <c r="U25" s="29">
        <f>VLOOKUP($B25, agr_mes!$B:$XFD, MATCH(gdp_agr_share!U$1, agr_mes!$B$1:$XFD$1, 0), 0)/VLOOKUP($B25, gdp_tot_mes!$B:$XFD, MATCH(gdp_agr_share!U$1, gdp_tot_mes!$B$1:$XFD$1, 0), 0)</f>
        <v>0.17062123700050907</v>
      </c>
      <c r="V25" s="29">
        <f>VLOOKUP($B25, agr_mes!$B:$XFD, MATCH(gdp_agr_share!V$1, agr_mes!$B$1:$XFD$1, 0), 0)/VLOOKUP($B25, gdp_tot_mes!$B:$XFD, MATCH(gdp_agr_share!V$1, gdp_tot_mes!$B$1:$XFD$1, 0), 0)</f>
        <v>0.14167053745188135</v>
      </c>
      <c r="W25" s="29">
        <f>VLOOKUP($B25, agr_mes!$B:$XFD, MATCH(gdp_agr_share!W$1, agr_mes!$B$1:$XFD$1, 0), 0)/VLOOKUP($B25, gdp_tot_mes!$B:$XFD, MATCH(gdp_agr_share!W$1, gdp_tot_mes!$B$1:$XFD$1, 0), 0)</f>
        <v>0.14939638355567084</v>
      </c>
      <c r="X25" s="29">
        <f>VLOOKUP($B25, agr_mes!$B:$XFD, MATCH(gdp_agr_share!X$1, agr_mes!$B$1:$XFD$1, 0), 0)/VLOOKUP($B25, gdp_tot_mes!$B:$XFD, MATCH(gdp_agr_share!X$1, gdp_tot_mes!$B$1:$XFD$1, 0), 0)</f>
        <v>0.12760159707822133</v>
      </c>
      <c r="Y25" s="29">
        <f>VLOOKUP($B25, agr_mes!$B:$XFD, MATCH(gdp_agr_share!Y$1, agr_mes!$B$1:$XFD$1, 0), 0)/VLOOKUP($B25, gdp_tot_mes!$B:$XFD, MATCH(gdp_agr_share!Y$1, gdp_tot_mes!$B$1:$XFD$1, 0), 0)</f>
        <v>0.10581622280350934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25">
      <c r="A26" s="1" t="s">
        <v>64</v>
      </c>
      <c r="B26" s="1" t="s">
        <v>77</v>
      </c>
      <c r="C26" s="1" t="s">
        <v>78</v>
      </c>
      <c r="D26" s="29">
        <f>VLOOKUP($B26, agr_mes!$B:$XFD, MATCH(gdp_agr_share!D$1, agr_mes!$B$1:$XFD$1, 0), 0)/VLOOKUP($B26, gdp_tot_mes!$B:$XFD, MATCH(gdp_agr_share!D$1, gdp_tot_mes!$B$1:$XFD$1, 0), 0)</f>
        <v>0.6303039878773693</v>
      </c>
      <c r="E26" s="29">
        <f>VLOOKUP($B26, agr_mes!$B:$XFD, MATCH(gdp_agr_share!E$1, agr_mes!$B$1:$XFD$1, 0), 0)/VLOOKUP($B26, gdp_tot_mes!$B:$XFD, MATCH(gdp_agr_share!E$1, gdp_tot_mes!$B$1:$XFD$1, 0), 0)</f>
        <v>0.4781045502861469</v>
      </c>
      <c r="F26" s="29">
        <f>VLOOKUP($B26, agr_mes!$B:$XFD, MATCH(gdp_agr_share!F$1, agr_mes!$B$1:$XFD$1, 0), 0)/VLOOKUP($B26, gdp_tot_mes!$B:$XFD, MATCH(gdp_agr_share!F$1, gdp_tot_mes!$B$1:$XFD$1, 0), 0)</f>
        <v>0.46986406319099172</v>
      </c>
      <c r="G26" s="29">
        <f>VLOOKUP($B26, agr_mes!$B:$XFD, MATCH(gdp_agr_share!G$1, agr_mes!$B$1:$XFD$1, 0), 0)/VLOOKUP($B26, gdp_tot_mes!$B:$XFD, MATCH(gdp_agr_share!G$1, gdp_tot_mes!$B$1:$XFD$1, 0), 0)</f>
        <v>0.29972231237574387</v>
      </c>
      <c r="H26" s="29">
        <f>VLOOKUP($B26, agr_mes!$B:$XFD, MATCH(gdp_agr_share!H$1, agr_mes!$B$1:$XFD$1, 0), 0)/VLOOKUP($B26, gdp_tot_mes!$B:$XFD, MATCH(gdp_agr_share!H$1, gdp_tot_mes!$B$1:$XFD$1, 0), 0)</f>
        <v>0.31213741997263095</v>
      </c>
      <c r="I26" s="29">
        <f>VLOOKUP($B26, agr_mes!$B:$XFD, MATCH(gdp_agr_share!I$1, agr_mes!$B$1:$XFD$1, 0), 0)/VLOOKUP($B26, gdp_tot_mes!$B:$XFD, MATCH(gdp_agr_share!I$1, gdp_tot_mes!$B$1:$XFD$1, 0), 0)</f>
        <v>0.321279756004614</v>
      </c>
      <c r="J26" s="29">
        <f>VLOOKUP($B26, agr_mes!$B:$XFD, MATCH(gdp_agr_share!J$1, agr_mes!$B$1:$XFD$1, 0), 0)/VLOOKUP($B26, gdp_tot_mes!$B:$XFD, MATCH(gdp_agr_share!J$1, gdp_tot_mes!$B$1:$XFD$1, 0), 0)</f>
        <v>0.27986093489475261</v>
      </c>
      <c r="K26" s="29">
        <f>VLOOKUP($B26, agr_mes!$B:$XFD, MATCH(gdp_agr_share!K$1, agr_mes!$B$1:$XFD$1, 0), 0)/VLOOKUP($B26, gdp_tot_mes!$B:$XFD, MATCH(gdp_agr_share!K$1, gdp_tot_mes!$B$1:$XFD$1, 0), 0)</f>
        <v>0.26328229856424656</v>
      </c>
      <c r="L26" s="30">
        <f t="shared" si="0"/>
        <v>0.25074156119266305</v>
      </c>
      <c r="M26" s="29">
        <f>VLOOKUP($B26, agr_mes!$B:$XFD, MATCH(gdp_agr_share!M$1, agr_mes!$B$1:$XFD$1, 0), 0)/VLOOKUP($B26, gdp_tot_mes!$B:$XFD, MATCH(gdp_agr_share!M$1, gdp_tot_mes!$B$1:$XFD$1, 0), 0)</f>
        <v>0.2356926763467628</v>
      </c>
      <c r="N26" s="29">
        <f>VLOOKUP($B26, agr_mes!$B:$XFD, MATCH(gdp_agr_share!N$1, agr_mes!$B$1:$XFD$1, 0), 0)/VLOOKUP($B26, gdp_tot_mes!$B:$XFD, MATCH(gdp_agr_share!N$1, gdp_tot_mes!$B$1:$XFD$1, 0), 0)</f>
        <v>0.11924801747694037</v>
      </c>
      <c r="O26" s="29">
        <f>VLOOKUP($B26, agr_mes!$B:$XFD, MATCH(gdp_agr_share!O$1, agr_mes!$B$1:$XFD$1, 0), 0)/VLOOKUP($B26, gdp_tot_mes!$B:$XFD, MATCH(gdp_agr_share!O$1, gdp_tot_mes!$B$1:$XFD$1, 0), 0)</f>
        <v>0.10928473489702592</v>
      </c>
      <c r="P26" s="29">
        <f>VLOOKUP($B26, agr_mes!$B:$XFD, MATCH(gdp_agr_share!P$1, agr_mes!$B$1:$XFD$1, 0), 0)/VLOOKUP($B26, gdp_tot_mes!$B:$XFD, MATCH(gdp_agr_share!P$1, gdp_tot_mes!$B$1:$XFD$1, 0), 0)</f>
        <v>7.8427313376190036E-2</v>
      </c>
      <c r="Q26" s="29">
        <f>VLOOKUP($B26, agr_mes!$B:$XFD, MATCH(gdp_agr_share!Q$1, agr_mes!$B$1:$XFD$1, 0), 0)/VLOOKUP($B26, gdp_tot_mes!$B:$XFD, MATCH(gdp_agr_share!Q$1, gdp_tot_mes!$B$1:$XFD$1, 0), 0)</f>
        <v>0.11197495674340724</v>
      </c>
      <c r="R26" s="29">
        <f>VLOOKUP($B26, agr_mes!$B:$XFD, MATCH(gdp_agr_share!R$1, agr_mes!$B$1:$XFD$1, 0), 0)/VLOOKUP($B26, gdp_tot_mes!$B:$XFD, MATCH(gdp_agr_share!R$1, gdp_tot_mes!$B$1:$XFD$1, 0), 0)</f>
        <v>0.14666644577882532</v>
      </c>
      <c r="S26" s="29">
        <f>VLOOKUP($B26, agr_mes!$B:$XFD, MATCH(gdp_agr_share!S$1, agr_mes!$B$1:$XFD$1, 0), 0)/VLOOKUP($B26, gdp_tot_mes!$B:$XFD, MATCH(gdp_agr_share!S$1, gdp_tot_mes!$B$1:$XFD$1, 0), 0)</f>
        <v>9.6467351315338831E-2</v>
      </c>
      <c r="T26" s="29">
        <f>VLOOKUP($B26, agr_mes!$B:$XFD, MATCH(gdp_agr_share!T$1, agr_mes!$B$1:$XFD$1, 0), 0)/VLOOKUP($B26, gdp_tot_mes!$B:$XFD, MATCH(gdp_agr_share!T$1, gdp_tot_mes!$B$1:$XFD$1, 0), 0)</f>
        <v>8.9899503817013962E-2</v>
      </c>
      <c r="U26" s="29">
        <f>VLOOKUP($B26, agr_mes!$B:$XFD, MATCH(gdp_agr_share!U$1, agr_mes!$B$1:$XFD$1, 0), 0)/VLOOKUP($B26, gdp_tot_mes!$B:$XFD, MATCH(gdp_agr_share!U$1, gdp_tot_mes!$B$1:$XFD$1, 0), 0)</f>
        <v>0.13114125539788291</v>
      </c>
      <c r="V26" s="29">
        <f>VLOOKUP($B26, agr_mes!$B:$XFD, MATCH(gdp_agr_share!V$1, agr_mes!$B$1:$XFD$1, 0), 0)/VLOOKUP($B26, gdp_tot_mes!$B:$XFD, MATCH(gdp_agr_share!V$1, gdp_tot_mes!$B$1:$XFD$1, 0), 0)</f>
        <v>9.9264197297053991E-2</v>
      </c>
      <c r="W26" s="29">
        <f>VLOOKUP($B26, agr_mes!$B:$XFD, MATCH(gdp_agr_share!W$1, agr_mes!$B$1:$XFD$1, 0), 0)/VLOOKUP($B26, gdp_tot_mes!$B:$XFD, MATCH(gdp_agr_share!W$1, gdp_tot_mes!$B$1:$XFD$1, 0), 0)</f>
        <v>0.12267422186982414</v>
      </c>
      <c r="X26" s="29">
        <f>VLOOKUP($B26, agr_mes!$B:$XFD, MATCH(gdp_agr_share!X$1, agr_mes!$B$1:$XFD$1, 0), 0)/VLOOKUP($B26, gdp_tot_mes!$B:$XFD, MATCH(gdp_agr_share!X$1, gdp_tot_mes!$B$1:$XFD$1, 0), 0)</f>
        <v>0.10246618295698116</v>
      </c>
      <c r="Y26" s="29">
        <f>VLOOKUP($B26, agr_mes!$B:$XFD, MATCH(gdp_agr_share!Y$1, agr_mes!$B$1:$XFD$1, 0), 0)/VLOOKUP($B26, gdp_tot_mes!$B:$XFD, MATCH(gdp_agr_share!Y$1, gdp_tot_mes!$B$1:$XFD$1, 0), 0)</f>
        <v>6.8675936190400758E-2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s="26" customFormat="1" x14ac:dyDescent="0.25">
      <c r="A27" s="24" t="s">
        <v>79</v>
      </c>
      <c r="B27" s="24" t="s">
        <v>80</v>
      </c>
      <c r="C27" s="24" t="s">
        <v>81</v>
      </c>
      <c r="D27" s="29" t="e">
        <f>VLOOKUP($B27, agr_mes!$B:$XFD, MATCH(gdp_agr_share!D$1, agr_mes!$B$1:$XFD$1, 0), 0)/VLOOKUP($B27, gdp_tot_mes!$B:$XFD, MATCH(gdp_agr_share!D$1, gdp_tot_mes!$B$1:$XFD$1, 0), 0)</f>
        <v>#DIV/0!</v>
      </c>
      <c r="E27" s="29" t="e">
        <f>VLOOKUP($B27, agr_mes!$B:$XFD, MATCH(gdp_agr_share!E$1, agr_mes!$B$1:$XFD$1, 0), 0)/VLOOKUP($B27, gdp_tot_mes!$B:$XFD, MATCH(gdp_agr_share!E$1, gdp_tot_mes!$B$1:$XFD$1, 0), 0)</f>
        <v>#DIV/0!</v>
      </c>
      <c r="F27" s="29" t="e">
        <f>VLOOKUP($B27, agr_mes!$B:$XFD, MATCH(gdp_agr_share!F$1, agr_mes!$B$1:$XFD$1, 0), 0)/VLOOKUP($B27, gdp_tot_mes!$B:$XFD, MATCH(gdp_agr_share!F$1, gdp_tot_mes!$B$1:$XFD$1, 0), 0)</f>
        <v>#DIV/0!</v>
      </c>
      <c r="G27" s="29" t="e">
        <f>VLOOKUP($B27, agr_mes!$B:$XFD, MATCH(gdp_agr_share!G$1, agr_mes!$B$1:$XFD$1, 0), 0)/VLOOKUP($B27, gdp_tot_mes!$B:$XFD, MATCH(gdp_agr_share!G$1, gdp_tot_mes!$B$1:$XFD$1, 0), 0)</f>
        <v>#DIV/0!</v>
      </c>
      <c r="H27" s="29">
        <f>VLOOKUP($B27, agr_mes!$B:$XFD, MATCH(gdp_agr_share!H$1, agr_mes!$B$1:$XFD$1, 0), 0)/VLOOKUP($B27, gdp_tot_mes!$B:$XFD, MATCH(gdp_agr_share!H$1, gdp_tot_mes!$B$1:$XFD$1, 0), 0)</f>
        <v>3.625760615098421E-3</v>
      </c>
      <c r="I27" s="29">
        <f>VLOOKUP($B27, agr_mes!$B:$XFD, MATCH(gdp_agr_share!I$1, agr_mes!$B$1:$XFD$1, 0), 0)/VLOOKUP($B27, gdp_tot_mes!$B:$XFD, MATCH(gdp_agr_share!I$1, gdp_tot_mes!$B$1:$XFD$1, 0), 0)</f>
        <v>3.8550097095488112E-3</v>
      </c>
      <c r="J27" s="29">
        <f>VLOOKUP($B27, agr_mes!$B:$XFD, MATCH(gdp_agr_share!J$1, agr_mes!$B$1:$XFD$1, 0), 0)/VLOOKUP($B27, gdp_tot_mes!$B:$XFD, MATCH(gdp_agr_share!J$1, gdp_tot_mes!$B$1:$XFD$1, 0), 0)</f>
        <v>3.828192499526976E-3</v>
      </c>
      <c r="K27" s="29">
        <f>VLOOKUP($B27, agr_mes!$B:$XFD, MATCH(gdp_agr_share!K$1, agr_mes!$B$1:$XFD$1, 0), 0)/VLOOKUP($B27, gdp_tot_mes!$B:$XFD, MATCH(gdp_agr_share!K$1, gdp_tot_mes!$B$1:$XFD$1, 0), 0)</f>
        <v>3.4033722079557633E-3</v>
      </c>
      <c r="L27" s="30">
        <f t="shared" si="0"/>
        <v>4.5420642386526863E-3</v>
      </c>
      <c r="M27" s="29">
        <f>VLOOKUP($B27, agr_mes!$B:$XFD, MATCH(gdp_agr_share!M$1, agr_mes!$B$1:$XFD$1, 0), 0)/VLOOKUP($B27, gdp_tot_mes!$B:$XFD, MATCH(gdp_agr_share!M$1, gdp_tot_mes!$B$1:$XFD$1, 0), 0)</f>
        <v>5.9084946754889931E-3</v>
      </c>
      <c r="N27" s="29">
        <f>VLOOKUP($B27, agr_mes!$B:$XFD, MATCH(gdp_agr_share!N$1, agr_mes!$B$1:$XFD$1, 0), 0)/VLOOKUP($B27, gdp_tot_mes!$B:$XFD, MATCH(gdp_agr_share!N$1, gdp_tot_mes!$B$1:$XFD$1, 0), 0)</f>
        <v>2.141683979368079E-3</v>
      </c>
      <c r="O27" s="29">
        <f>VLOOKUP($B27, agr_mes!$B:$XFD, MATCH(gdp_agr_share!O$1, agr_mes!$B$1:$XFD$1, 0), 0)/VLOOKUP($B27, gdp_tot_mes!$B:$XFD, MATCH(gdp_agr_share!O$1, gdp_tot_mes!$B$1:$XFD$1, 0), 0)</f>
        <v>2.9372193937510847E-3</v>
      </c>
      <c r="P27" s="29">
        <f>VLOOKUP($B27, agr_mes!$B:$XFD, MATCH(gdp_agr_share!P$1, agr_mes!$B$1:$XFD$1, 0), 0)/VLOOKUP($B27, gdp_tot_mes!$B:$XFD, MATCH(gdp_agr_share!P$1, gdp_tot_mes!$B$1:$XFD$1, 0), 0)</f>
        <v>2.9984038713110586E-3</v>
      </c>
      <c r="Q27" s="29">
        <f>VLOOKUP($B27, agr_mes!$B:$XFD, MATCH(gdp_agr_share!Q$1, agr_mes!$B$1:$XFD$1, 0), 0)/VLOOKUP($B27, gdp_tot_mes!$B:$XFD, MATCH(gdp_agr_share!Q$1, gdp_tot_mes!$B$1:$XFD$1, 0), 0)</f>
        <v>2.946608905203789E-3</v>
      </c>
      <c r="R27" s="29">
        <f>VLOOKUP($B27, agr_mes!$B:$XFD, MATCH(gdp_agr_share!R$1, agr_mes!$B$1:$XFD$1, 0), 0)/VLOOKUP($B27, gdp_tot_mes!$B:$XFD, MATCH(gdp_agr_share!R$1, gdp_tot_mes!$B$1:$XFD$1, 0), 0)</f>
        <v>3.2127630485308651E-3</v>
      </c>
      <c r="S27" s="29">
        <f>VLOOKUP($B27, agr_mes!$B:$XFD, MATCH(gdp_agr_share!S$1, agr_mes!$B$1:$XFD$1, 0), 0)/VLOOKUP($B27, gdp_tot_mes!$B:$XFD, MATCH(gdp_agr_share!S$1, gdp_tot_mes!$B$1:$XFD$1, 0), 0)</f>
        <v>2.9399766044622255E-3</v>
      </c>
      <c r="T27" s="29">
        <f>VLOOKUP($B27, agr_mes!$B:$XFD, MATCH(gdp_agr_share!T$1, agr_mes!$B$1:$XFD$1, 0), 0)/VLOOKUP($B27, gdp_tot_mes!$B:$XFD, MATCH(gdp_agr_share!T$1, gdp_tot_mes!$B$1:$XFD$1, 0), 0)</f>
        <v>2.8942901741929945E-3</v>
      </c>
      <c r="U27" s="29">
        <f>VLOOKUP($B27, agr_mes!$B:$XFD, MATCH(gdp_agr_share!U$1, agr_mes!$B$1:$XFD$1, 0), 0)/VLOOKUP($B27, gdp_tot_mes!$B:$XFD, MATCH(gdp_agr_share!U$1, gdp_tot_mes!$B$1:$XFD$1, 0), 0)</f>
        <v>2.1526904446249307E-3</v>
      </c>
      <c r="V27" s="29">
        <f>VLOOKUP($B27, agr_mes!$B:$XFD, MATCH(gdp_agr_share!V$1, agr_mes!$B$1:$XFD$1, 0), 0)/VLOOKUP($B27, gdp_tot_mes!$B:$XFD, MATCH(gdp_agr_share!V$1, gdp_tot_mes!$B$1:$XFD$1, 0), 0)</f>
        <v>2.6216745957914583E-3</v>
      </c>
      <c r="W27" s="29">
        <f>VLOOKUP($B27, agr_mes!$B:$XFD, MATCH(gdp_agr_share!W$1, agr_mes!$B$1:$XFD$1, 0), 0)/VLOOKUP($B27, gdp_tot_mes!$B:$XFD, MATCH(gdp_agr_share!W$1, gdp_tot_mes!$B$1:$XFD$1, 0), 0)</f>
        <v>2.6882144716660313E-3</v>
      </c>
      <c r="X27" s="29">
        <f>VLOOKUP($B27, agr_mes!$B:$XFD, MATCH(gdp_agr_share!X$1, agr_mes!$B$1:$XFD$1, 0), 0)/VLOOKUP($B27, gdp_tot_mes!$B:$XFD, MATCH(gdp_agr_share!X$1, gdp_tot_mes!$B$1:$XFD$1, 0), 0)</f>
        <v>2.7751731162312522E-3</v>
      </c>
      <c r="Y27" s="29">
        <f>VLOOKUP($B27, agr_mes!$B:$XFD, MATCH(gdp_agr_share!Y$1, agr_mes!$B$1:$XFD$1, 0), 0)/VLOOKUP($B27, gdp_tot_mes!$B:$XFD, MATCH(gdp_agr_share!Y$1, gdp_tot_mes!$B$1:$XFD$1, 0), 0)</f>
        <v>2.1867295351611846E-3</v>
      </c>
      <c r="Z27" s="25"/>
      <c r="AA27" s="27"/>
      <c r="AB27" s="27"/>
      <c r="AC27" s="25"/>
      <c r="AD27" s="25"/>
      <c r="AE27" s="25"/>
      <c r="AF27" s="25"/>
      <c r="AG27" s="25"/>
      <c r="AH27" s="25"/>
      <c r="AI27" s="25"/>
      <c r="AJ27" s="25"/>
    </row>
    <row r="28" spans="1:36" x14ac:dyDescent="0.25">
      <c r="A28" s="1" t="s">
        <v>82</v>
      </c>
      <c r="B28" s="1" t="s">
        <v>83</v>
      </c>
      <c r="C28" s="1" t="s">
        <v>84</v>
      </c>
      <c r="D28" s="29">
        <f>VLOOKUP($B28, agr_mes!$B:$XFD, MATCH(gdp_agr_share!D$1, agr_mes!$B$1:$XFD$1, 0), 0)/VLOOKUP($B28, gdp_tot_mes!$B:$XFD, MATCH(gdp_agr_share!D$1, gdp_tot_mes!$B$1:$XFD$1, 0), 0)</f>
        <v>0.76098203439344958</v>
      </c>
      <c r="E28" s="29">
        <f>VLOOKUP($B28, agr_mes!$B:$XFD, MATCH(gdp_agr_share!E$1, agr_mes!$B$1:$XFD$1, 0), 0)/VLOOKUP($B28, gdp_tot_mes!$B:$XFD, MATCH(gdp_agr_share!E$1, gdp_tot_mes!$B$1:$XFD$1, 0), 0)</f>
        <v>0.68109119300826604</v>
      </c>
      <c r="F28" s="29">
        <f>VLOOKUP($B28, agr_mes!$B:$XFD, MATCH(gdp_agr_share!F$1, agr_mes!$B$1:$XFD$1, 0), 0)/VLOOKUP($B28, gdp_tot_mes!$B:$XFD, MATCH(gdp_agr_share!F$1, gdp_tot_mes!$B$1:$XFD$1, 0), 0)</f>
        <v>0.56266952583933372</v>
      </c>
      <c r="G28" s="29">
        <f>VLOOKUP($B28, agr_mes!$B:$XFD, MATCH(gdp_agr_share!G$1, agr_mes!$B$1:$XFD$1, 0), 0)/VLOOKUP($B28, gdp_tot_mes!$B:$XFD, MATCH(gdp_agr_share!G$1, gdp_tot_mes!$B$1:$XFD$1, 0), 0)</f>
        <v>0.50611351333634813</v>
      </c>
      <c r="H28" s="29">
        <f>VLOOKUP($B28, agr_mes!$B:$XFD, MATCH(gdp_agr_share!H$1, agr_mes!$B$1:$XFD$1, 0), 0)/VLOOKUP($B28, gdp_tot_mes!$B:$XFD, MATCH(gdp_agr_share!H$1, gdp_tot_mes!$B$1:$XFD$1, 0), 0)</f>
        <v>0.43241083704716426</v>
      </c>
      <c r="I28" s="29">
        <f>VLOOKUP($B28, agr_mes!$B:$XFD, MATCH(gdp_agr_share!I$1, agr_mes!$B$1:$XFD$1, 0), 0)/VLOOKUP($B28, gdp_tot_mes!$B:$XFD, MATCH(gdp_agr_share!I$1, gdp_tot_mes!$B$1:$XFD$1, 0), 0)</f>
        <v>0.36908006088287371</v>
      </c>
      <c r="J28" s="29">
        <f>VLOOKUP($B28, agr_mes!$B:$XFD, MATCH(gdp_agr_share!J$1, agr_mes!$B$1:$XFD$1, 0), 0)/VLOOKUP($B28, gdp_tot_mes!$B:$XFD, MATCH(gdp_agr_share!J$1, gdp_tot_mes!$B$1:$XFD$1, 0), 0)</f>
        <v>0.43236235033975967</v>
      </c>
      <c r="K28" s="29">
        <f>VLOOKUP($B28, agr_mes!$B:$XFD, MATCH(gdp_agr_share!K$1, agr_mes!$B$1:$XFD$1, 0), 0)/VLOOKUP($B28, gdp_tot_mes!$B:$XFD, MATCH(gdp_agr_share!K$1, gdp_tot_mes!$B$1:$XFD$1, 0), 0)</f>
        <v>0.45967007139586902</v>
      </c>
      <c r="L28" s="30">
        <f t="shared" si="0"/>
        <v>0.44940033991694778</v>
      </c>
      <c r="M28" s="29">
        <f>VLOOKUP($B28, agr_mes!$B:$XFD, MATCH(gdp_agr_share!M$1, agr_mes!$B$1:$XFD$1, 0), 0)/VLOOKUP($B28, gdp_tot_mes!$B:$XFD, MATCH(gdp_agr_share!M$1, gdp_tot_mes!$B$1:$XFD$1, 0), 0)</f>
        <v>0.43707666214224233</v>
      </c>
      <c r="N28" s="29">
        <f>VLOOKUP($B28, agr_mes!$B:$XFD, MATCH(gdp_agr_share!N$1, agr_mes!$B$1:$XFD$1, 0), 0)/VLOOKUP($B28, gdp_tot_mes!$B:$XFD, MATCH(gdp_agr_share!N$1, gdp_tot_mes!$B$1:$XFD$1, 0), 0)</f>
        <v>0.19122308458016388</v>
      </c>
      <c r="O28" s="29">
        <f>VLOOKUP($B28, agr_mes!$B:$XFD, MATCH(gdp_agr_share!O$1, agr_mes!$B$1:$XFD$1, 0), 0)/VLOOKUP($B28, gdp_tot_mes!$B:$XFD, MATCH(gdp_agr_share!O$1, gdp_tot_mes!$B$1:$XFD$1, 0), 0)</f>
        <v>0.25955741934284166</v>
      </c>
      <c r="P28" s="29">
        <f>VLOOKUP($B28, agr_mes!$B:$XFD, MATCH(gdp_agr_share!P$1, agr_mes!$B$1:$XFD$1, 0), 0)/VLOOKUP($B28, gdp_tot_mes!$B:$XFD, MATCH(gdp_agr_share!P$1, gdp_tot_mes!$B$1:$XFD$1, 0), 0)</f>
        <v>0.17740286416517723</v>
      </c>
      <c r="Q28" s="29">
        <f>VLOOKUP($B28, agr_mes!$B:$XFD, MATCH(gdp_agr_share!Q$1, agr_mes!$B$1:$XFD$1, 0), 0)/VLOOKUP($B28, gdp_tot_mes!$B:$XFD, MATCH(gdp_agr_share!Q$1, gdp_tot_mes!$B$1:$XFD$1, 0), 0)</f>
        <v>6.227112268630064E-2</v>
      </c>
      <c r="R28" s="29">
        <f>VLOOKUP($B28, agr_mes!$B:$XFD, MATCH(gdp_agr_share!R$1, agr_mes!$B$1:$XFD$1, 0), 0)/VLOOKUP($B28, gdp_tot_mes!$B:$XFD, MATCH(gdp_agr_share!R$1, gdp_tot_mes!$B$1:$XFD$1, 0), 0)</f>
        <v>6.9469973647153099E-2</v>
      </c>
      <c r="S28" s="29">
        <f>VLOOKUP($B28, agr_mes!$B:$XFD, MATCH(gdp_agr_share!S$1, agr_mes!$B$1:$XFD$1, 0), 0)/VLOOKUP($B28, gdp_tot_mes!$B:$XFD, MATCH(gdp_agr_share!S$1, gdp_tot_mes!$B$1:$XFD$1, 0), 0)</f>
        <v>7.7054616010842111E-2</v>
      </c>
      <c r="T28" s="29">
        <f>VLOOKUP($B28, agr_mes!$B:$XFD, MATCH(gdp_agr_share!T$1, agr_mes!$B$1:$XFD$1, 0), 0)/VLOOKUP($B28, gdp_tot_mes!$B:$XFD, MATCH(gdp_agr_share!T$1, gdp_tot_mes!$B$1:$XFD$1, 0), 0)</f>
        <v>8.3820562297053383E-2</v>
      </c>
      <c r="U28" s="29">
        <f>VLOOKUP($B28, agr_mes!$B:$XFD, MATCH(gdp_agr_share!U$1, agr_mes!$B$1:$XFD$1, 0), 0)/VLOOKUP($B28, gdp_tot_mes!$B:$XFD, MATCH(gdp_agr_share!U$1, gdp_tot_mes!$B$1:$XFD$1, 0), 0)</f>
        <v>9.4568858016380028E-2</v>
      </c>
      <c r="V28" s="29">
        <f>VLOOKUP($B28, agr_mes!$B:$XFD, MATCH(gdp_agr_share!V$1, agr_mes!$B$1:$XFD$1, 0), 0)/VLOOKUP($B28, gdp_tot_mes!$B:$XFD, MATCH(gdp_agr_share!V$1, gdp_tot_mes!$B$1:$XFD$1, 0), 0)</f>
        <v>9.6610821238517872E-2</v>
      </c>
      <c r="W28" s="29">
        <f>VLOOKUP($B28, agr_mes!$B:$XFD, MATCH(gdp_agr_share!W$1, agr_mes!$B$1:$XFD$1, 0), 0)/VLOOKUP($B28, gdp_tot_mes!$B:$XFD, MATCH(gdp_agr_share!W$1, gdp_tot_mes!$B$1:$XFD$1, 0), 0)</f>
        <v>0.1000571339771278</v>
      </c>
      <c r="X28" s="29">
        <f>VLOOKUP($B28, agr_mes!$B:$XFD, MATCH(gdp_agr_share!X$1, agr_mes!$B$1:$XFD$1, 0), 0)/VLOOKUP($B28, gdp_tot_mes!$B:$XFD, MATCH(gdp_agr_share!X$1, gdp_tot_mes!$B$1:$XFD$1, 0), 0)</f>
        <v>9.0324005816899311E-2</v>
      </c>
      <c r="Y28" s="29">
        <f>VLOOKUP($B28, agr_mes!$B:$XFD, MATCH(gdp_agr_share!Y$1, agr_mes!$B$1:$XFD$1, 0), 0)/VLOOKUP($B28, gdp_tot_mes!$B:$XFD, MATCH(gdp_agr_share!Y$1, gdp_tot_mes!$B$1:$XFD$1, 0), 0)</f>
        <v>8.265792956824318E-2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25">
      <c r="A29" s="1" t="s">
        <v>82</v>
      </c>
      <c r="B29" s="1" t="s">
        <v>85</v>
      </c>
      <c r="C29" s="1" t="s">
        <v>86</v>
      </c>
      <c r="D29" s="29">
        <f>VLOOKUP($B29, agr_mes!$B:$XFD, MATCH(gdp_agr_share!D$1, agr_mes!$B$1:$XFD$1, 0), 0)/VLOOKUP($B29, gdp_tot_mes!$B:$XFD, MATCH(gdp_agr_share!D$1, gdp_tot_mes!$B$1:$XFD$1, 0), 0)</f>
        <v>0.72120759625335307</v>
      </c>
      <c r="E29" s="29">
        <f>VLOOKUP($B29, agr_mes!$B:$XFD, MATCH(gdp_agr_share!E$1, agr_mes!$B$1:$XFD$1, 0), 0)/VLOOKUP($B29, gdp_tot_mes!$B:$XFD, MATCH(gdp_agr_share!E$1, gdp_tot_mes!$B$1:$XFD$1, 0), 0)</f>
        <v>0.67073641114194049</v>
      </c>
      <c r="F29" s="29">
        <f>VLOOKUP($B29, agr_mes!$B:$XFD, MATCH(gdp_agr_share!F$1, agr_mes!$B$1:$XFD$1, 0), 0)/VLOOKUP($B29, gdp_tot_mes!$B:$XFD, MATCH(gdp_agr_share!F$1, gdp_tot_mes!$B$1:$XFD$1, 0), 0)</f>
        <v>0.600194993064878</v>
      </c>
      <c r="G29" s="29">
        <f>VLOOKUP($B29, agr_mes!$B:$XFD, MATCH(gdp_agr_share!G$1, agr_mes!$B$1:$XFD$1, 0), 0)/VLOOKUP($B29, gdp_tot_mes!$B:$XFD, MATCH(gdp_agr_share!G$1, gdp_tot_mes!$B$1:$XFD$1, 0), 0)</f>
        <v>0.62044194151823251</v>
      </c>
      <c r="H29" s="29">
        <f>VLOOKUP($B29, agr_mes!$B:$XFD, MATCH(gdp_agr_share!H$1, agr_mes!$B$1:$XFD$1, 0), 0)/VLOOKUP($B29, gdp_tot_mes!$B:$XFD, MATCH(gdp_agr_share!H$1, gdp_tot_mes!$B$1:$XFD$1, 0), 0)</f>
        <v>0.37389331533103154</v>
      </c>
      <c r="I29" s="29">
        <f>VLOOKUP($B29, agr_mes!$B:$XFD, MATCH(gdp_agr_share!I$1, agr_mes!$B$1:$XFD$1, 0), 0)/VLOOKUP($B29, gdp_tot_mes!$B:$XFD, MATCH(gdp_agr_share!I$1, gdp_tot_mes!$B$1:$XFD$1, 0), 0)</f>
        <v>0.36892729769626081</v>
      </c>
      <c r="J29" s="29">
        <f>VLOOKUP($B29, agr_mes!$B:$XFD, MATCH(gdp_agr_share!J$1, agr_mes!$B$1:$XFD$1, 0), 0)/VLOOKUP($B29, gdp_tot_mes!$B:$XFD, MATCH(gdp_agr_share!J$1, gdp_tot_mes!$B$1:$XFD$1, 0), 0)</f>
        <v>0.21688419160626501</v>
      </c>
      <c r="K29" s="29">
        <f>VLOOKUP($B29, agr_mes!$B:$XFD, MATCH(gdp_agr_share!K$1, agr_mes!$B$1:$XFD$1, 0), 0)/VLOOKUP($B29, gdp_tot_mes!$B:$XFD, MATCH(gdp_agr_share!K$1, gdp_tot_mes!$B$1:$XFD$1, 0), 0)</f>
        <v>0.3585516136190624</v>
      </c>
      <c r="L29" s="30">
        <f t="shared" si="0"/>
        <v>0.35267486908293855</v>
      </c>
      <c r="M29" s="29">
        <f>VLOOKUP($B29, agr_mes!$B:$XFD, MATCH(gdp_agr_share!M$1, agr_mes!$B$1:$XFD$1, 0), 0)/VLOOKUP($B29, gdp_tot_mes!$B:$XFD, MATCH(gdp_agr_share!M$1, gdp_tot_mes!$B$1:$XFD$1, 0), 0)</f>
        <v>0.34562277563958987</v>
      </c>
      <c r="N29" s="29">
        <f>VLOOKUP($B29, agr_mes!$B:$XFD, MATCH(gdp_agr_share!N$1, agr_mes!$B$1:$XFD$1, 0), 0)/VLOOKUP($B29, gdp_tot_mes!$B:$XFD, MATCH(gdp_agr_share!N$1, gdp_tot_mes!$B$1:$XFD$1, 0), 0)</f>
        <v>0.27447063396496357</v>
      </c>
      <c r="O29" s="29">
        <f>VLOOKUP($B29, agr_mes!$B:$XFD, MATCH(gdp_agr_share!O$1, agr_mes!$B$1:$XFD$1, 0), 0)/VLOOKUP($B29, gdp_tot_mes!$B:$XFD, MATCH(gdp_agr_share!O$1, gdp_tot_mes!$B$1:$XFD$1, 0), 0)</f>
        <v>0.33326939128188848</v>
      </c>
      <c r="P29" s="29">
        <f>VLOOKUP($B29, agr_mes!$B:$XFD, MATCH(gdp_agr_share!P$1, agr_mes!$B$1:$XFD$1, 0), 0)/VLOOKUP($B29, gdp_tot_mes!$B:$XFD, MATCH(gdp_agr_share!P$1, gdp_tot_mes!$B$1:$XFD$1, 0), 0)</f>
        <v>0.21858049353975975</v>
      </c>
      <c r="Q29" s="29">
        <f>VLOOKUP($B29, agr_mes!$B:$XFD, MATCH(gdp_agr_share!Q$1, agr_mes!$B$1:$XFD$1, 0), 0)/VLOOKUP($B29, gdp_tot_mes!$B:$XFD, MATCH(gdp_agr_share!Q$1, gdp_tot_mes!$B$1:$XFD$1, 0), 0)</f>
        <v>7.6730915324391899E-2</v>
      </c>
      <c r="R29" s="29">
        <f>VLOOKUP($B29, agr_mes!$B:$XFD, MATCH(gdp_agr_share!R$1, agr_mes!$B$1:$XFD$1, 0), 0)/VLOOKUP($B29, gdp_tot_mes!$B:$XFD, MATCH(gdp_agr_share!R$1, gdp_tot_mes!$B$1:$XFD$1, 0), 0)</f>
        <v>7.47983693430751E-2</v>
      </c>
      <c r="S29" s="29">
        <f>VLOOKUP($B29, agr_mes!$B:$XFD, MATCH(gdp_agr_share!S$1, agr_mes!$B$1:$XFD$1, 0), 0)/VLOOKUP($B29, gdp_tot_mes!$B:$XFD, MATCH(gdp_agr_share!S$1, gdp_tot_mes!$B$1:$XFD$1, 0), 0)</f>
        <v>7.8851456019861793E-2</v>
      </c>
      <c r="T29" s="29">
        <f>VLOOKUP($B29, agr_mes!$B:$XFD, MATCH(gdp_agr_share!T$1, agr_mes!$B$1:$XFD$1, 0), 0)/VLOOKUP($B29, gdp_tot_mes!$B:$XFD, MATCH(gdp_agr_share!T$1, gdp_tot_mes!$B$1:$XFD$1, 0), 0)</f>
        <v>7.9769903228465652E-2</v>
      </c>
      <c r="U29" s="29">
        <f>VLOOKUP($B29, agr_mes!$B:$XFD, MATCH(gdp_agr_share!U$1, agr_mes!$B$1:$XFD$1, 0), 0)/VLOOKUP($B29, gdp_tot_mes!$B:$XFD, MATCH(gdp_agr_share!U$1, gdp_tot_mes!$B$1:$XFD$1, 0), 0)</f>
        <v>7.6948266514897487E-2</v>
      </c>
      <c r="V29" s="29">
        <f>VLOOKUP($B29, agr_mes!$B:$XFD, MATCH(gdp_agr_share!V$1, agr_mes!$B$1:$XFD$1, 0), 0)/VLOOKUP($B29, gdp_tot_mes!$B:$XFD, MATCH(gdp_agr_share!V$1, gdp_tot_mes!$B$1:$XFD$1, 0), 0)</f>
        <v>7.3926673482388058E-2</v>
      </c>
      <c r="W29" s="29">
        <f>VLOOKUP($B29, agr_mes!$B:$XFD, MATCH(gdp_agr_share!W$1, agr_mes!$B$1:$XFD$1, 0), 0)/VLOOKUP($B29, gdp_tot_mes!$B:$XFD, MATCH(gdp_agr_share!W$1, gdp_tot_mes!$B$1:$XFD$1, 0), 0)</f>
        <v>7.3903533586256245E-2</v>
      </c>
      <c r="X29" s="29">
        <f>VLOOKUP($B29, agr_mes!$B:$XFD, MATCH(gdp_agr_share!X$1, agr_mes!$B$1:$XFD$1, 0), 0)/VLOOKUP($B29, gdp_tot_mes!$B:$XFD, MATCH(gdp_agr_share!X$1, gdp_tot_mes!$B$1:$XFD$1, 0), 0)</f>
        <v>8.0535684361676615E-2</v>
      </c>
      <c r="Y29" s="29">
        <f>VLOOKUP($B29, agr_mes!$B:$XFD, MATCH(gdp_agr_share!Y$1, agr_mes!$B$1:$XFD$1, 0), 0)/VLOOKUP($B29, gdp_tot_mes!$B:$XFD, MATCH(gdp_agr_share!Y$1, gdp_tot_mes!$B$1:$XFD$1, 0), 0)</f>
        <v>7.7904186960033608E-2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5">
      <c r="A30" s="1" t="s">
        <v>82</v>
      </c>
      <c r="B30" s="1" t="s">
        <v>87</v>
      </c>
      <c r="C30" s="1" t="s">
        <v>88</v>
      </c>
      <c r="D30" s="29">
        <f>VLOOKUP($B30, agr_mes!$B:$XFD, MATCH(gdp_agr_share!D$1, agr_mes!$B$1:$XFD$1, 0), 0)/VLOOKUP($B30, gdp_tot_mes!$B:$XFD, MATCH(gdp_agr_share!D$1, gdp_tot_mes!$B$1:$XFD$1, 0), 0)</f>
        <v>0.64270981191922483</v>
      </c>
      <c r="E30" s="29">
        <f>VLOOKUP($B30, agr_mes!$B:$XFD, MATCH(gdp_agr_share!E$1, agr_mes!$B$1:$XFD$1, 0), 0)/VLOOKUP($B30, gdp_tot_mes!$B:$XFD, MATCH(gdp_agr_share!E$1, gdp_tot_mes!$B$1:$XFD$1, 0), 0)</f>
        <v>0.32921301978298873</v>
      </c>
      <c r="F30" s="29">
        <f>VLOOKUP($B30, agr_mes!$B:$XFD, MATCH(gdp_agr_share!F$1, agr_mes!$B$1:$XFD$1, 0), 0)/VLOOKUP($B30, gdp_tot_mes!$B:$XFD, MATCH(gdp_agr_share!F$1, gdp_tot_mes!$B$1:$XFD$1, 0), 0)</f>
        <v>0.28078451020170414</v>
      </c>
      <c r="G30" s="29">
        <f>VLOOKUP($B30, agr_mes!$B:$XFD, MATCH(gdp_agr_share!G$1, agr_mes!$B$1:$XFD$1, 0), 0)/VLOOKUP($B30, gdp_tot_mes!$B:$XFD, MATCH(gdp_agr_share!G$1, gdp_tot_mes!$B$1:$XFD$1, 0), 0)</f>
        <v>0.13641767957931886</v>
      </c>
      <c r="H30" s="29">
        <f>VLOOKUP($B30, agr_mes!$B:$XFD, MATCH(gdp_agr_share!H$1, agr_mes!$B$1:$XFD$1, 0), 0)/VLOOKUP($B30, gdp_tot_mes!$B:$XFD, MATCH(gdp_agr_share!H$1, gdp_tot_mes!$B$1:$XFD$1, 0), 0)</f>
        <v>7.8399081337353294E-2</v>
      </c>
      <c r="I30" s="29">
        <f>VLOOKUP($B30, agr_mes!$B:$XFD, MATCH(gdp_agr_share!I$1, agr_mes!$B$1:$XFD$1, 0), 0)/VLOOKUP($B30, gdp_tot_mes!$B:$XFD, MATCH(gdp_agr_share!I$1, gdp_tot_mes!$B$1:$XFD$1, 0), 0)</f>
        <v>7.8357058598039681E-2</v>
      </c>
      <c r="J30" s="29">
        <f>VLOOKUP($B30, agr_mes!$B:$XFD, MATCH(gdp_agr_share!J$1, agr_mes!$B$1:$XFD$1, 0), 0)/VLOOKUP($B30, gdp_tot_mes!$B:$XFD, MATCH(gdp_agr_share!J$1, gdp_tot_mes!$B$1:$XFD$1, 0), 0)</f>
        <v>5.5556176470386118E-2</v>
      </c>
      <c r="K30" s="29">
        <f>VLOOKUP($B30, agr_mes!$B:$XFD, MATCH(gdp_agr_share!K$1, agr_mes!$B$1:$XFD$1, 0), 0)/VLOOKUP($B30, gdp_tot_mes!$B:$XFD, MATCH(gdp_agr_share!K$1, gdp_tot_mes!$B$1:$XFD$1, 0), 0)</f>
        <v>8.698745907908513E-2</v>
      </c>
      <c r="L30" s="30">
        <f t="shared" si="0"/>
        <v>7.2558422087507499E-2</v>
      </c>
      <c r="M30" s="29">
        <f>VLOOKUP($B30, agr_mes!$B:$XFD, MATCH(gdp_agr_share!M$1, agr_mes!$B$1:$XFD$1, 0), 0)/VLOOKUP($B30, gdp_tot_mes!$B:$XFD, MATCH(gdp_agr_share!M$1, gdp_tot_mes!$B$1:$XFD$1, 0), 0)</f>
        <v>5.5243577697614343E-2</v>
      </c>
      <c r="N30" s="29">
        <f>VLOOKUP($B30, agr_mes!$B:$XFD, MATCH(gdp_agr_share!N$1, agr_mes!$B$1:$XFD$1, 0), 0)/VLOOKUP($B30, gdp_tot_mes!$B:$XFD, MATCH(gdp_agr_share!N$1, gdp_tot_mes!$B$1:$XFD$1, 0), 0)</f>
        <v>3.9729605090419541E-2</v>
      </c>
      <c r="O30" s="29">
        <f>VLOOKUP($B30, agr_mes!$B:$XFD, MATCH(gdp_agr_share!O$1, agr_mes!$B$1:$XFD$1, 0), 0)/VLOOKUP($B30, gdp_tot_mes!$B:$XFD, MATCH(gdp_agr_share!O$1, gdp_tot_mes!$B$1:$XFD$1, 0), 0)</f>
        <v>4.2262033449922347E-2</v>
      </c>
      <c r="P30" s="29">
        <f>VLOOKUP($B30, agr_mes!$B:$XFD, MATCH(gdp_agr_share!P$1, agr_mes!$B$1:$XFD$1, 0), 0)/VLOOKUP($B30, gdp_tot_mes!$B:$XFD, MATCH(gdp_agr_share!P$1, gdp_tot_mes!$B$1:$XFD$1, 0), 0)</f>
        <v>2.6880746516064379E-2</v>
      </c>
      <c r="Q30" s="29">
        <f>VLOOKUP($B30, agr_mes!$B:$XFD, MATCH(gdp_agr_share!Q$1, agr_mes!$B$1:$XFD$1, 0), 0)/VLOOKUP($B30, gdp_tot_mes!$B:$XFD, MATCH(gdp_agr_share!Q$1, gdp_tot_mes!$B$1:$XFD$1, 0), 0)</f>
        <v>1.2298183485312619E-2</v>
      </c>
      <c r="R30" s="29">
        <f>VLOOKUP($B30, agr_mes!$B:$XFD, MATCH(gdp_agr_share!R$1, agr_mes!$B$1:$XFD$1, 0), 0)/VLOOKUP($B30, gdp_tot_mes!$B:$XFD, MATCH(gdp_agr_share!R$1, gdp_tot_mes!$B$1:$XFD$1, 0), 0)</f>
        <v>1.3179477290897744E-2</v>
      </c>
      <c r="S30" s="29">
        <f>VLOOKUP($B30, agr_mes!$B:$XFD, MATCH(gdp_agr_share!S$1, agr_mes!$B$1:$XFD$1, 0), 0)/VLOOKUP($B30, gdp_tot_mes!$B:$XFD, MATCH(gdp_agr_share!S$1, gdp_tot_mes!$B$1:$XFD$1, 0), 0)</f>
        <v>1.2598726230973476E-2</v>
      </c>
      <c r="T30" s="29">
        <f>VLOOKUP($B30, agr_mes!$B:$XFD, MATCH(gdp_agr_share!T$1, agr_mes!$B$1:$XFD$1, 0), 0)/VLOOKUP($B30, gdp_tot_mes!$B:$XFD, MATCH(gdp_agr_share!T$1, gdp_tot_mes!$B$1:$XFD$1, 0), 0)</f>
        <v>1.3866536856620476E-2</v>
      </c>
      <c r="U30" s="29">
        <f>VLOOKUP($B30, agr_mes!$B:$XFD, MATCH(gdp_agr_share!U$1, agr_mes!$B$1:$XFD$1, 0), 0)/VLOOKUP($B30, gdp_tot_mes!$B:$XFD, MATCH(gdp_agr_share!U$1, gdp_tot_mes!$B$1:$XFD$1, 0), 0)</f>
        <v>1.3895845934683604E-2</v>
      </c>
      <c r="V30" s="29">
        <f>VLOOKUP($B30, agr_mes!$B:$XFD, MATCH(gdp_agr_share!V$1, agr_mes!$B$1:$XFD$1, 0), 0)/VLOOKUP($B30, gdp_tot_mes!$B:$XFD, MATCH(gdp_agr_share!V$1, gdp_tot_mes!$B$1:$XFD$1, 0), 0)</f>
        <v>1.1508146085694454E-2</v>
      </c>
      <c r="W30" s="29">
        <f>VLOOKUP($B30, agr_mes!$B:$XFD, MATCH(gdp_agr_share!W$1, agr_mes!$B$1:$XFD$1, 0), 0)/VLOOKUP($B30, gdp_tot_mes!$B:$XFD, MATCH(gdp_agr_share!W$1, gdp_tot_mes!$B$1:$XFD$1, 0), 0)</f>
        <v>1.1869474330950133E-2</v>
      </c>
      <c r="X30" s="29">
        <f>VLOOKUP($B30, agr_mes!$B:$XFD, MATCH(gdp_agr_share!X$1, agr_mes!$B$1:$XFD$1, 0), 0)/VLOOKUP($B30, gdp_tot_mes!$B:$XFD, MATCH(gdp_agr_share!X$1, gdp_tot_mes!$B$1:$XFD$1, 0), 0)</f>
        <v>1.3085970762102632E-2</v>
      </c>
      <c r="Y30" s="29">
        <f>VLOOKUP($B30, agr_mes!$B:$XFD, MATCH(gdp_agr_share!Y$1, agr_mes!$B$1:$XFD$1, 0), 0)/VLOOKUP($B30, gdp_tot_mes!$B:$XFD, MATCH(gdp_agr_share!Y$1, gdp_tot_mes!$B$1:$XFD$1, 0), 0)</f>
        <v>1.1188385189625135E-2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25">
      <c r="A31" s="1" t="s">
        <v>82</v>
      </c>
      <c r="B31" s="1" t="s">
        <v>89</v>
      </c>
      <c r="C31" s="1" t="s">
        <v>90</v>
      </c>
      <c r="D31" s="29">
        <f>VLOOKUP($B31, agr_mes!$B:$XFD, MATCH(gdp_agr_share!D$1, agr_mes!$B$1:$XFD$1, 0), 0)/VLOOKUP($B31, gdp_tot_mes!$B:$XFD, MATCH(gdp_agr_share!D$1, gdp_tot_mes!$B$1:$XFD$1, 0), 0)</f>
        <v>0.80940458500190771</v>
      </c>
      <c r="E31" s="29">
        <f>VLOOKUP($B31, agr_mes!$B:$XFD, MATCH(gdp_agr_share!E$1, agr_mes!$B$1:$XFD$1, 0), 0)/VLOOKUP($B31, gdp_tot_mes!$B:$XFD, MATCH(gdp_agr_share!E$1, gdp_tot_mes!$B$1:$XFD$1, 0), 0)</f>
        <v>0.58551843359370215</v>
      </c>
      <c r="F31" s="29">
        <f>VLOOKUP($B31, agr_mes!$B:$XFD, MATCH(gdp_agr_share!F$1, agr_mes!$B$1:$XFD$1, 0), 0)/VLOOKUP($B31, gdp_tot_mes!$B:$XFD, MATCH(gdp_agr_share!F$1, gdp_tot_mes!$B$1:$XFD$1, 0), 0)</f>
        <v>0.48085302992392981</v>
      </c>
      <c r="G31" s="29">
        <f>VLOOKUP($B31, agr_mes!$B:$XFD, MATCH(gdp_agr_share!G$1, agr_mes!$B$1:$XFD$1, 0), 0)/VLOOKUP($B31, gdp_tot_mes!$B:$XFD, MATCH(gdp_agr_share!G$1, gdp_tot_mes!$B$1:$XFD$1, 0), 0)</f>
        <v>0.37968962082138802</v>
      </c>
      <c r="H31" s="29">
        <f>VLOOKUP($B31, agr_mes!$B:$XFD, MATCH(gdp_agr_share!H$1, agr_mes!$B$1:$XFD$1, 0), 0)/VLOOKUP($B31, gdp_tot_mes!$B:$XFD, MATCH(gdp_agr_share!H$1, gdp_tot_mes!$B$1:$XFD$1, 0), 0)</f>
        <v>0.31618969263019658</v>
      </c>
      <c r="I31" s="29">
        <f>VLOOKUP($B31, agr_mes!$B:$XFD, MATCH(gdp_agr_share!I$1, agr_mes!$B$1:$XFD$1, 0), 0)/VLOOKUP($B31, gdp_tot_mes!$B:$XFD, MATCH(gdp_agr_share!I$1, gdp_tot_mes!$B$1:$XFD$1, 0), 0)</f>
        <v>0.28085395509618782</v>
      </c>
      <c r="J31" s="29">
        <f>VLOOKUP($B31, agr_mes!$B:$XFD, MATCH(gdp_agr_share!J$1, agr_mes!$B$1:$XFD$1, 0), 0)/VLOOKUP($B31, gdp_tot_mes!$B:$XFD, MATCH(gdp_agr_share!J$1, gdp_tot_mes!$B$1:$XFD$1, 0), 0)</f>
        <v>0.28688552145847251</v>
      </c>
      <c r="K31" s="29">
        <f>VLOOKUP($B31, agr_mes!$B:$XFD, MATCH(gdp_agr_share!K$1, agr_mes!$B$1:$XFD$1, 0), 0)/VLOOKUP($B31, gdp_tot_mes!$B:$XFD, MATCH(gdp_agr_share!K$1, gdp_tot_mes!$B$1:$XFD$1, 0), 0)</f>
        <v>0.34918519467578474</v>
      </c>
      <c r="L31" s="30">
        <f t="shared" si="0"/>
        <v>0.3448430600890483</v>
      </c>
      <c r="M31" s="29">
        <f>VLOOKUP($B31, agr_mes!$B:$XFD, MATCH(gdp_agr_share!M$1, agr_mes!$B$1:$XFD$1, 0), 0)/VLOOKUP($B31, gdp_tot_mes!$B:$XFD, MATCH(gdp_agr_share!M$1, gdp_tot_mes!$B$1:$XFD$1, 0), 0)</f>
        <v>0.33963249858496464</v>
      </c>
      <c r="N31" s="29">
        <f>VLOOKUP($B31, agr_mes!$B:$XFD, MATCH(gdp_agr_share!N$1, agr_mes!$B$1:$XFD$1, 0), 0)/VLOOKUP($B31, gdp_tot_mes!$B:$XFD, MATCH(gdp_agr_share!N$1, gdp_tot_mes!$B$1:$XFD$1, 0), 0)</f>
        <v>0.23751003872880067</v>
      </c>
      <c r="O31" s="29">
        <f>VLOOKUP($B31, agr_mes!$B:$XFD, MATCH(gdp_agr_share!O$1, agr_mes!$B$1:$XFD$1, 0), 0)/VLOOKUP($B31, gdp_tot_mes!$B:$XFD, MATCH(gdp_agr_share!O$1, gdp_tot_mes!$B$1:$XFD$1, 0), 0)</f>
        <v>0.2449197221801874</v>
      </c>
      <c r="P31" s="29">
        <f>VLOOKUP($B31, agr_mes!$B:$XFD, MATCH(gdp_agr_share!P$1, agr_mes!$B$1:$XFD$1, 0), 0)/VLOOKUP($B31, gdp_tot_mes!$B:$XFD, MATCH(gdp_agr_share!P$1, gdp_tot_mes!$B$1:$XFD$1, 0), 0)</f>
        <v>0.13892743963656343</v>
      </c>
      <c r="Q31" s="29">
        <f>VLOOKUP($B31, agr_mes!$B:$XFD, MATCH(gdp_agr_share!Q$1, agr_mes!$B$1:$XFD$1, 0), 0)/VLOOKUP($B31, gdp_tot_mes!$B:$XFD, MATCH(gdp_agr_share!Q$1, gdp_tot_mes!$B$1:$XFD$1, 0), 0)</f>
        <v>5.3229856074408E-2</v>
      </c>
      <c r="R31" s="29">
        <f>VLOOKUP($B31, agr_mes!$B:$XFD, MATCH(gdp_agr_share!R$1, agr_mes!$B$1:$XFD$1, 0), 0)/VLOOKUP($B31, gdp_tot_mes!$B:$XFD, MATCH(gdp_agr_share!R$1, gdp_tot_mes!$B$1:$XFD$1, 0), 0)</f>
        <v>5.0145769631450121E-2</v>
      </c>
      <c r="S31" s="29">
        <f>VLOOKUP($B31, agr_mes!$B:$XFD, MATCH(gdp_agr_share!S$1, agr_mes!$B$1:$XFD$1, 0), 0)/VLOOKUP($B31, gdp_tot_mes!$B:$XFD, MATCH(gdp_agr_share!S$1, gdp_tot_mes!$B$1:$XFD$1, 0), 0)</f>
        <v>6.3319599074441027E-2</v>
      </c>
      <c r="T31" s="29">
        <f>VLOOKUP($B31, agr_mes!$B:$XFD, MATCH(gdp_agr_share!T$1, agr_mes!$B$1:$XFD$1, 0), 0)/VLOOKUP($B31, gdp_tot_mes!$B:$XFD, MATCH(gdp_agr_share!T$1, gdp_tot_mes!$B$1:$XFD$1, 0), 0)</f>
        <v>6.766839408422301E-2</v>
      </c>
      <c r="U31" s="29">
        <f>VLOOKUP($B31, agr_mes!$B:$XFD, MATCH(gdp_agr_share!U$1, agr_mes!$B$1:$XFD$1, 0), 0)/VLOOKUP($B31, gdp_tot_mes!$B:$XFD, MATCH(gdp_agr_share!U$1, gdp_tot_mes!$B$1:$XFD$1, 0), 0)</f>
        <v>7.5821095448206907E-2</v>
      </c>
      <c r="V31" s="29">
        <f>VLOOKUP($B31, agr_mes!$B:$XFD, MATCH(gdp_agr_share!V$1, agr_mes!$B$1:$XFD$1, 0), 0)/VLOOKUP($B31, gdp_tot_mes!$B:$XFD, MATCH(gdp_agr_share!V$1, gdp_tot_mes!$B$1:$XFD$1, 0), 0)</f>
        <v>5.2849287113400749E-2</v>
      </c>
      <c r="W31" s="29">
        <f>VLOOKUP($B31, agr_mes!$B:$XFD, MATCH(gdp_agr_share!W$1, agr_mes!$B$1:$XFD$1, 0), 0)/VLOOKUP($B31, gdp_tot_mes!$B:$XFD, MATCH(gdp_agr_share!W$1, gdp_tot_mes!$B$1:$XFD$1, 0), 0)</f>
        <v>5.6253465943409235E-2</v>
      </c>
      <c r="X31" s="29">
        <f>VLOOKUP($B31, agr_mes!$B:$XFD, MATCH(gdp_agr_share!X$1, agr_mes!$B$1:$XFD$1, 0), 0)/VLOOKUP($B31, gdp_tot_mes!$B:$XFD, MATCH(gdp_agr_share!X$1, gdp_tot_mes!$B$1:$XFD$1, 0), 0)</f>
        <v>5.1061108782863511E-2</v>
      </c>
      <c r="Y31" s="29">
        <f>VLOOKUP($B31, agr_mes!$B:$XFD, MATCH(gdp_agr_share!Y$1, agr_mes!$B$1:$XFD$1, 0), 0)/VLOOKUP($B31, gdp_tot_mes!$B:$XFD, MATCH(gdp_agr_share!Y$1, gdp_tot_mes!$B$1:$XFD$1, 0), 0)</f>
        <v>4.9082014067725492E-2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25">
      <c r="A32" s="1" t="s">
        <v>91</v>
      </c>
      <c r="B32" s="1" t="s">
        <v>92</v>
      </c>
      <c r="C32" s="1" t="s">
        <v>93</v>
      </c>
      <c r="D32" s="29">
        <f>VLOOKUP($B32, agr_mes!$B:$XFD, MATCH(gdp_agr_share!D$1, agr_mes!$B$1:$XFD$1, 0), 0)/VLOOKUP($B32, gdp_tot_mes!$B:$XFD, MATCH(gdp_agr_share!D$1, gdp_tot_mes!$B$1:$XFD$1, 0), 0)</f>
        <v>0.49603386572071423</v>
      </c>
      <c r="E32" s="29">
        <f>VLOOKUP($B32, agr_mes!$B:$XFD, MATCH(gdp_agr_share!E$1, agr_mes!$B$1:$XFD$1, 0), 0)/VLOOKUP($B32, gdp_tot_mes!$B:$XFD, MATCH(gdp_agr_share!E$1, gdp_tot_mes!$B$1:$XFD$1, 0), 0)</f>
        <v>0.54897815112812487</v>
      </c>
      <c r="F32" s="29">
        <f>VLOOKUP($B32, agr_mes!$B:$XFD, MATCH(gdp_agr_share!F$1, agr_mes!$B$1:$XFD$1, 0), 0)/VLOOKUP($B32, gdp_tot_mes!$B:$XFD, MATCH(gdp_agr_share!F$1, gdp_tot_mes!$B$1:$XFD$1, 0), 0)</f>
        <v>0.79989598540997331</v>
      </c>
      <c r="G32" s="29">
        <f>VLOOKUP($B32, agr_mes!$B:$XFD, MATCH(gdp_agr_share!G$1, agr_mes!$B$1:$XFD$1, 0), 0)/VLOOKUP($B32, gdp_tot_mes!$B:$XFD, MATCH(gdp_agr_share!G$1, gdp_tot_mes!$B$1:$XFD$1, 0), 0)</f>
        <v>0.77489724389641068</v>
      </c>
      <c r="H32" s="29">
        <f>VLOOKUP($B32, agr_mes!$B:$XFD, MATCH(gdp_agr_share!H$1, agr_mes!$B$1:$XFD$1, 0), 0)/VLOOKUP($B32, gdp_tot_mes!$B:$XFD, MATCH(gdp_agr_share!H$1, gdp_tot_mes!$B$1:$XFD$1, 0), 0)</f>
        <v>0.52841425943678899</v>
      </c>
      <c r="I32" s="29">
        <f>VLOOKUP($B32, agr_mes!$B:$XFD, MATCH(gdp_agr_share!I$1, agr_mes!$B$1:$XFD$1, 0), 0)/VLOOKUP($B32, gdp_tot_mes!$B:$XFD, MATCH(gdp_agr_share!I$1, gdp_tot_mes!$B$1:$XFD$1, 0), 0)</f>
        <v>0.57739866876334356</v>
      </c>
      <c r="J32" s="29">
        <f>VLOOKUP($B32, agr_mes!$B:$XFD, MATCH(gdp_agr_share!J$1, agr_mes!$B$1:$XFD$1, 0), 0)/VLOOKUP($B32, gdp_tot_mes!$B:$XFD, MATCH(gdp_agr_share!J$1, gdp_tot_mes!$B$1:$XFD$1, 0), 0)</f>
        <v>0.60044787682820788</v>
      </c>
      <c r="K32" s="29">
        <f>VLOOKUP($B32, agr_mes!$B:$XFD, MATCH(gdp_agr_share!K$1, agr_mes!$B$1:$XFD$1, 0), 0)/VLOOKUP($B32, gdp_tot_mes!$B:$XFD, MATCH(gdp_agr_share!K$1, gdp_tot_mes!$B$1:$XFD$1, 0), 0)</f>
        <v>0.47459558764444637</v>
      </c>
      <c r="L32" s="30">
        <f t="shared" si="0"/>
        <v>0.49768611012781866</v>
      </c>
      <c r="M32" s="29">
        <f>VLOOKUP($B32, agr_mes!$B:$XFD, MATCH(gdp_agr_share!M$1, agr_mes!$B$1:$XFD$1, 0), 0)/VLOOKUP($B32, gdp_tot_mes!$B:$XFD, MATCH(gdp_agr_share!M$1, gdp_tot_mes!$B$1:$XFD$1, 0), 0)</f>
        <v>0.52539473710786544</v>
      </c>
      <c r="N32" s="29">
        <f>VLOOKUP($B32, agr_mes!$B:$XFD, MATCH(gdp_agr_share!N$1, agr_mes!$B$1:$XFD$1, 0), 0)/VLOOKUP($B32, gdp_tot_mes!$B:$XFD, MATCH(gdp_agr_share!N$1, gdp_tot_mes!$B$1:$XFD$1, 0), 0)</f>
        <v>0.23118955546232628</v>
      </c>
      <c r="O32" s="29">
        <f>VLOOKUP($B32, agr_mes!$B:$XFD, MATCH(gdp_agr_share!O$1, agr_mes!$B$1:$XFD$1, 0), 0)/VLOOKUP($B32, gdp_tot_mes!$B:$XFD, MATCH(gdp_agr_share!O$1, gdp_tot_mes!$B$1:$XFD$1, 0), 0)</f>
        <v>0.25205755797414831</v>
      </c>
      <c r="P32" s="29">
        <f>VLOOKUP($B32, agr_mes!$B:$XFD, MATCH(gdp_agr_share!P$1, agr_mes!$B$1:$XFD$1, 0), 0)/VLOOKUP($B32, gdp_tot_mes!$B:$XFD, MATCH(gdp_agr_share!P$1, gdp_tot_mes!$B$1:$XFD$1, 0), 0)</f>
        <v>0.27512522772124853</v>
      </c>
      <c r="Q32" s="29">
        <f>VLOOKUP($B32, agr_mes!$B:$XFD, MATCH(gdp_agr_share!Q$1, agr_mes!$B$1:$XFD$1, 0), 0)/VLOOKUP($B32, gdp_tot_mes!$B:$XFD, MATCH(gdp_agr_share!Q$1, gdp_tot_mes!$B$1:$XFD$1, 0), 0)</f>
        <v>0.30133479790720785</v>
      </c>
      <c r="R32" s="29">
        <f>VLOOKUP($B32, agr_mes!$B:$XFD, MATCH(gdp_agr_share!R$1, agr_mes!$B$1:$XFD$1, 0), 0)/VLOOKUP($B32, gdp_tot_mes!$B:$XFD, MATCH(gdp_agr_share!R$1, gdp_tot_mes!$B$1:$XFD$1, 0), 0)</f>
        <v>0.29918416551801924</v>
      </c>
      <c r="S32" s="29">
        <f>VLOOKUP($B32, agr_mes!$B:$XFD, MATCH(gdp_agr_share!S$1, agr_mes!$B$1:$XFD$1, 0), 0)/VLOOKUP($B32, gdp_tot_mes!$B:$XFD, MATCH(gdp_agr_share!S$1, gdp_tot_mes!$B$1:$XFD$1, 0), 0)</f>
        <v>0.29203252022017873</v>
      </c>
      <c r="T32" s="29">
        <f>VLOOKUP($B32, agr_mes!$B:$XFD, MATCH(gdp_agr_share!T$1, agr_mes!$B$1:$XFD$1, 0), 0)/VLOOKUP($B32, gdp_tot_mes!$B:$XFD, MATCH(gdp_agr_share!T$1, gdp_tot_mes!$B$1:$XFD$1, 0), 0)</f>
        <v>0.22963168736823961</v>
      </c>
      <c r="U32" s="29">
        <f>VLOOKUP($B32, agr_mes!$B:$XFD, MATCH(gdp_agr_share!U$1, agr_mes!$B$1:$XFD$1, 0), 0)/VLOOKUP($B32, gdp_tot_mes!$B:$XFD, MATCH(gdp_agr_share!U$1, gdp_tot_mes!$B$1:$XFD$1, 0), 0)</f>
        <v>0.19351530504709191</v>
      </c>
      <c r="V32" s="29">
        <f>VLOOKUP($B32, agr_mes!$B:$XFD, MATCH(gdp_agr_share!V$1, agr_mes!$B$1:$XFD$1, 0), 0)/VLOOKUP($B32, gdp_tot_mes!$B:$XFD, MATCH(gdp_agr_share!V$1, gdp_tot_mes!$B$1:$XFD$1, 0), 0)</f>
        <v>0.21430393912118628</v>
      </c>
      <c r="W32" s="29">
        <f>VLOOKUP($B32, agr_mes!$B:$XFD, MATCH(gdp_agr_share!W$1, agr_mes!$B$1:$XFD$1, 0), 0)/VLOOKUP($B32, gdp_tot_mes!$B:$XFD, MATCH(gdp_agr_share!W$1, gdp_tot_mes!$B$1:$XFD$1, 0), 0)</f>
        <v>0.24626106378316365</v>
      </c>
      <c r="X32" s="29">
        <f>VLOOKUP($B32, agr_mes!$B:$XFD, MATCH(gdp_agr_share!X$1, agr_mes!$B$1:$XFD$1, 0), 0)/VLOOKUP($B32, gdp_tot_mes!$B:$XFD, MATCH(gdp_agr_share!X$1, gdp_tot_mes!$B$1:$XFD$1, 0), 0)</f>
        <v>0.25971845665879917</v>
      </c>
      <c r="Y32" s="29">
        <f>VLOOKUP($B32, agr_mes!$B:$XFD, MATCH(gdp_agr_share!Y$1, agr_mes!$B$1:$XFD$1, 0), 0)/VLOOKUP($B32, gdp_tot_mes!$B:$XFD, MATCH(gdp_agr_share!Y$1, gdp_tot_mes!$B$1:$XFD$1, 0), 0)</f>
        <v>0.28766964813335955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25">
      <c r="A33" s="1" t="s">
        <v>91</v>
      </c>
      <c r="B33" s="1" t="s">
        <v>94</v>
      </c>
      <c r="C33" s="1" t="s">
        <v>95</v>
      </c>
      <c r="D33" s="29">
        <f>VLOOKUP($B33, agr_mes!$B:$XFD, MATCH(gdp_agr_share!D$1, agr_mes!$B$1:$XFD$1, 0), 0)/VLOOKUP($B33, gdp_tot_mes!$B:$XFD, MATCH(gdp_agr_share!D$1, gdp_tot_mes!$B$1:$XFD$1, 0), 0)</f>
        <v>0.58141839465870038</v>
      </c>
      <c r="E33" s="29">
        <f>VLOOKUP($B33, agr_mes!$B:$XFD, MATCH(gdp_agr_share!E$1, agr_mes!$B$1:$XFD$1, 0), 0)/VLOOKUP($B33, gdp_tot_mes!$B:$XFD, MATCH(gdp_agr_share!E$1, gdp_tot_mes!$B$1:$XFD$1, 0), 0)</f>
        <v>0.90502989567260039</v>
      </c>
      <c r="F33" s="29">
        <f>VLOOKUP($B33, agr_mes!$B:$XFD, MATCH(gdp_agr_share!F$1, agr_mes!$B$1:$XFD$1, 0), 0)/VLOOKUP($B33, gdp_tot_mes!$B:$XFD, MATCH(gdp_agr_share!F$1, gdp_tot_mes!$B$1:$XFD$1, 0), 0)</f>
        <v>0.90550887327505247</v>
      </c>
      <c r="G33" s="29">
        <f>VLOOKUP($B33, agr_mes!$B:$XFD, MATCH(gdp_agr_share!G$1, agr_mes!$B$1:$XFD$1, 0), 0)/VLOOKUP($B33, gdp_tot_mes!$B:$XFD, MATCH(gdp_agr_share!G$1, gdp_tot_mes!$B$1:$XFD$1, 0), 0)</f>
        <v>0.82486182075346182</v>
      </c>
      <c r="H33" s="29">
        <f>VLOOKUP($B33, agr_mes!$B:$XFD, MATCH(gdp_agr_share!H$1, agr_mes!$B$1:$XFD$1, 0), 0)/VLOOKUP($B33, gdp_tot_mes!$B:$XFD, MATCH(gdp_agr_share!H$1, gdp_tot_mes!$B$1:$XFD$1, 0), 0)</f>
        <v>0.42651412867900801</v>
      </c>
      <c r="I33" s="29">
        <f>VLOOKUP($B33, agr_mes!$B:$XFD, MATCH(gdp_agr_share!I$1, agr_mes!$B$1:$XFD$1, 0), 0)/VLOOKUP($B33, gdp_tot_mes!$B:$XFD, MATCH(gdp_agr_share!I$1, gdp_tot_mes!$B$1:$XFD$1, 0), 0)</f>
        <v>0.50492296905499379</v>
      </c>
      <c r="J33" s="29">
        <f>VLOOKUP($B33, agr_mes!$B:$XFD, MATCH(gdp_agr_share!J$1, agr_mes!$B$1:$XFD$1, 0), 0)/VLOOKUP($B33, gdp_tot_mes!$B:$XFD, MATCH(gdp_agr_share!J$1, gdp_tot_mes!$B$1:$XFD$1, 0), 0)</f>
        <v>0.27614259948919151</v>
      </c>
      <c r="K33" s="29">
        <f>VLOOKUP($B33, agr_mes!$B:$XFD, MATCH(gdp_agr_share!K$1, agr_mes!$B$1:$XFD$1, 0), 0)/VLOOKUP($B33, gdp_tot_mes!$B:$XFD, MATCH(gdp_agr_share!K$1, gdp_tot_mes!$B$1:$XFD$1, 0), 0)</f>
        <v>0.22458123042388362</v>
      </c>
      <c r="L33" s="30">
        <f t="shared" si="0"/>
        <v>0.2342174543690459</v>
      </c>
      <c r="M33" s="29">
        <f>VLOOKUP($B33, agr_mes!$B:$XFD, MATCH(gdp_agr_share!M$1, agr_mes!$B$1:$XFD$1, 0), 0)/VLOOKUP($B33, gdp_tot_mes!$B:$XFD, MATCH(gdp_agr_share!M$1, gdp_tot_mes!$B$1:$XFD$1, 0), 0)</f>
        <v>0.24578092310324062</v>
      </c>
      <c r="N33" s="29">
        <f>VLOOKUP($B33, agr_mes!$B:$XFD, MATCH(gdp_agr_share!N$1, agr_mes!$B$1:$XFD$1, 0), 0)/VLOOKUP($B33, gdp_tot_mes!$B:$XFD, MATCH(gdp_agr_share!N$1, gdp_tot_mes!$B$1:$XFD$1, 0), 0)</f>
        <v>0.10694866183522402</v>
      </c>
      <c r="O33" s="29">
        <f>VLOOKUP($B33, agr_mes!$B:$XFD, MATCH(gdp_agr_share!O$1, agr_mes!$B$1:$XFD$1, 0), 0)/VLOOKUP($B33, gdp_tot_mes!$B:$XFD, MATCH(gdp_agr_share!O$1, gdp_tot_mes!$B$1:$XFD$1, 0), 0)</f>
        <v>0.11859135220362128</v>
      </c>
      <c r="P33" s="29">
        <f>VLOOKUP($B33, agr_mes!$B:$XFD, MATCH(gdp_agr_share!P$1, agr_mes!$B$1:$XFD$1, 0), 0)/VLOOKUP($B33, gdp_tot_mes!$B:$XFD, MATCH(gdp_agr_share!P$1, gdp_tot_mes!$B$1:$XFD$1, 0), 0)</f>
        <v>0.11862945052806638</v>
      </c>
      <c r="Q33" s="29">
        <f>VLOOKUP($B33, agr_mes!$B:$XFD, MATCH(gdp_agr_share!Q$1, agr_mes!$B$1:$XFD$1, 0), 0)/VLOOKUP($B33, gdp_tot_mes!$B:$XFD, MATCH(gdp_agr_share!Q$1, gdp_tot_mes!$B$1:$XFD$1, 0), 0)</f>
        <v>0.13662768917749751</v>
      </c>
      <c r="R33" s="29">
        <f>VLOOKUP($B33, agr_mes!$B:$XFD, MATCH(gdp_agr_share!R$1, agr_mes!$B$1:$XFD$1, 0), 0)/VLOOKUP($B33, gdp_tot_mes!$B:$XFD, MATCH(gdp_agr_share!R$1, gdp_tot_mes!$B$1:$XFD$1, 0), 0)</f>
        <v>0.13804256716648775</v>
      </c>
      <c r="S33" s="29">
        <f>VLOOKUP($B33, agr_mes!$B:$XFD, MATCH(gdp_agr_share!S$1, agr_mes!$B$1:$XFD$1, 0), 0)/VLOOKUP($B33, gdp_tot_mes!$B:$XFD, MATCH(gdp_agr_share!S$1, gdp_tot_mes!$B$1:$XFD$1, 0), 0)</f>
        <v>0.14124360020521912</v>
      </c>
      <c r="T33" s="29">
        <f>VLOOKUP($B33, agr_mes!$B:$XFD, MATCH(gdp_agr_share!T$1, agr_mes!$B$1:$XFD$1, 0), 0)/VLOOKUP($B33, gdp_tot_mes!$B:$XFD, MATCH(gdp_agr_share!T$1, gdp_tot_mes!$B$1:$XFD$1, 0), 0)</f>
        <v>0.1121358373450117</v>
      </c>
      <c r="U33" s="29">
        <f>VLOOKUP($B33, agr_mes!$B:$XFD, MATCH(gdp_agr_share!U$1, agr_mes!$B$1:$XFD$1, 0), 0)/VLOOKUP($B33, gdp_tot_mes!$B:$XFD, MATCH(gdp_agr_share!U$1, gdp_tot_mes!$B$1:$XFD$1, 0), 0)</f>
        <v>9.218473199806794E-2</v>
      </c>
      <c r="V33" s="29">
        <f>VLOOKUP($B33, agr_mes!$B:$XFD, MATCH(gdp_agr_share!V$1, agr_mes!$B$1:$XFD$1, 0), 0)/VLOOKUP($B33, gdp_tot_mes!$B:$XFD, MATCH(gdp_agr_share!V$1, gdp_tot_mes!$B$1:$XFD$1, 0), 0)</f>
        <v>8.8100173418889538E-2</v>
      </c>
      <c r="W33" s="29">
        <f>VLOOKUP($B33, agr_mes!$B:$XFD, MATCH(gdp_agr_share!W$1, agr_mes!$B$1:$XFD$1, 0), 0)/VLOOKUP($B33, gdp_tot_mes!$B:$XFD, MATCH(gdp_agr_share!W$1, gdp_tot_mes!$B$1:$XFD$1, 0), 0)</f>
        <v>0.11379596502014891</v>
      </c>
      <c r="X33" s="29">
        <f>VLOOKUP($B33, agr_mes!$B:$XFD, MATCH(gdp_agr_share!X$1, agr_mes!$B$1:$XFD$1, 0), 0)/VLOOKUP($B33, gdp_tot_mes!$B:$XFD, MATCH(gdp_agr_share!X$1, gdp_tot_mes!$B$1:$XFD$1, 0), 0)</f>
        <v>0.12540439623274849</v>
      </c>
      <c r="Y33" s="29">
        <f>VLOOKUP($B33, agr_mes!$B:$XFD, MATCH(gdp_agr_share!Y$1, agr_mes!$B$1:$XFD$1, 0), 0)/VLOOKUP($B33, gdp_tot_mes!$B:$XFD, MATCH(gdp_agr_share!Y$1, gdp_tot_mes!$B$1:$XFD$1, 0), 0)</f>
        <v>0.10841189216184367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25">
      <c r="A34" s="1" t="s">
        <v>91</v>
      </c>
      <c r="B34" s="1" t="s">
        <v>96</v>
      </c>
      <c r="C34" s="1" t="s">
        <v>97</v>
      </c>
      <c r="D34" s="29">
        <f>VLOOKUP($B34, agr_mes!$B:$XFD, MATCH(gdp_agr_share!D$1, agr_mes!$B$1:$XFD$1, 0), 0)/VLOOKUP($B34, gdp_tot_mes!$B:$XFD, MATCH(gdp_agr_share!D$1, gdp_tot_mes!$B$1:$XFD$1, 0), 0)</f>
        <v>0.77847982170772245</v>
      </c>
      <c r="E34" s="29">
        <f>VLOOKUP($B34, agr_mes!$B:$XFD, MATCH(gdp_agr_share!E$1, agr_mes!$B$1:$XFD$1, 0), 0)/VLOOKUP($B34, gdp_tot_mes!$B:$XFD, MATCH(gdp_agr_share!E$1, gdp_tot_mes!$B$1:$XFD$1, 0), 0)</f>
        <v>0.53897153199854186</v>
      </c>
      <c r="F34" s="29">
        <f>VLOOKUP($B34, agr_mes!$B:$XFD, MATCH(gdp_agr_share!F$1, agr_mes!$B$1:$XFD$1, 0), 0)/VLOOKUP($B34, gdp_tot_mes!$B:$XFD, MATCH(gdp_agr_share!F$1, gdp_tot_mes!$B$1:$XFD$1, 0), 0)</f>
        <v>0.2685139740582605</v>
      </c>
      <c r="G34" s="29">
        <f>VLOOKUP($B34, agr_mes!$B:$XFD, MATCH(gdp_agr_share!G$1, agr_mes!$B$1:$XFD$1, 0), 0)/VLOOKUP($B34, gdp_tot_mes!$B:$XFD, MATCH(gdp_agr_share!G$1, gdp_tot_mes!$B$1:$XFD$1, 0), 0)</f>
        <v>0.28266924827452572</v>
      </c>
      <c r="H34" s="29">
        <f>VLOOKUP($B34, agr_mes!$B:$XFD, MATCH(gdp_agr_share!H$1, agr_mes!$B$1:$XFD$1, 0), 0)/VLOOKUP($B34, gdp_tot_mes!$B:$XFD, MATCH(gdp_agr_share!H$1, gdp_tot_mes!$B$1:$XFD$1, 0), 0)</f>
        <v>0.17641441960628787</v>
      </c>
      <c r="I34" s="29">
        <f>VLOOKUP($B34, agr_mes!$B:$XFD, MATCH(gdp_agr_share!I$1, agr_mes!$B$1:$XFD$1, 0), 0)/VLOOKUP($B34, gdp_tot_mes!$B:$XFD, MATCH(gdp_agr_share!I$1, gdp_tot_mes!$B$1:$XFD$1, 0), 0)</f>
        <v>0.195106778251633</v>
      </c>
      <c r="J34" s="29">
        <f>VLOOKUP($B34, agr_mes!$B:$XFD, MATCH(gdp_agr_share!J$1, agr_mes!$B$1:$XFD$1, 0), 0)/VLOOKUP($B34, gdp_tot_mes!$B:$XFD, MATCH(gdp_agr_share!J$1, gdp_tot_mes!$B$1:$XFD$1, 0), 0)</f>
        <v>0.1300245686370779</v>
      </c>
      <c r="K34" s="29">
        <f>VLOOKUP($B34, agr_mes!$B:$XFD, MATCH(gdp_agr_share!K$1, agr_mes!$B$1:$XFD$1, 0), 0)/VLOOKUP($B34, gdp_tot_mes!$B:$XFD, MATCH(gdp_agr_share!K$1, gdp_tot_mes!$B$1:$XFD$1, 0), 0)</f>
        <v>9.6249172399080526E-2</v>
      </c>
      <c r="L34" s="30">
        <f t="shared" si="0"/>
        <v>8.5620228272610038E-2</v>
      </c>
      <c r="M34" s="29">
        <f>VLOOKUP($B34, agr_mes!$B:$XFD, MATCH(gdp_agr_share!M$1, agr_mes!$B$1:$XFD$1, 0), 0)/VLOOKUP($B34, gdp_tot_mes!$B:$XFD, MATCH(gdp_agr_share!M$1, gdp_tot_mes!$B$1:$XFD$1, 0), 0)</f>
        <v>7.2865495320845436E-2</v>
      </c>
      <c r="N34" s="29">
        <f>VLOOKUP($B34, agr_mes!$B:$XFD, MATCH(gdp_agr_share!N$1, agr_mes!$B$1:$XFD$1, 0), 0)/VLOOKUP($B34, gdp_tot_mes!$B:$XFD, MATCH(gdp_agr_share!N$1, gdp_tot_mes!$B$1:$XFD$1, 0), 0)</f>
        <v>3.1296239980735906E-2</v>
      </c>
      <c r="O34" s="29">
        <f>VLOOKUP($B34, agr_mes!$B:$XFD, MATCH(gdp_agr_share!O$1, agr_mes!$B$1:$XFD$1, 0), 0)/VLOOKUP($B34, gdp_tot_mes!$B:$XFD, MATCH(gdp_agr_share!O$1, gdp_tot_mes!$B$1:$XFD$1, 0), 0)</f>
        <v>3.6543006783928432E-2</v>
      </c>
      <c r="P34" s="29">
        <f>VLOOKUP($B34, agr_mes!$B:$XFD, MATCH(gdp_agr_share!P$1, agr_mes!$B$1:$XFD$1, 0), 0)/VLOOKUP($B34, gdp_tot_mes!$B:$XFD, MATCH(gdp_agr_share!P$1, gdp_tot_mes!$B$1:$XFD$1, 0), 0)</f>
        <v>3.8078604338745221E-2</v>
      </c>
      <c r="Q34" s="29">
        <f>VLOOKUP($B34, agr_mes!$B:$XFD, MATCH(gdp_agr_share!Q$1, agr_mes!$B$1:$XFD$1, 0), 0)/VLOOKUP($B34, gdp_tot_mes!$B:$XFD, MATCH(gdp_agr_share!Q$1, gdp_tot_mes!$B$1:$XFD$1, 0), 0)</f>
        <v>3.6833668334394234E-2</v>
      </c>
      <c r="R34" s="29">
        <f>VLOOKUP($B34, agr_mes!$B:$XFD, MATCH(gdp_agr_share!R$1, agr_mes!$B$1:$XFD$1, 0), 0)/VLOOKUP($B34, gdp_tot_mes!$B:$XFD, MATCH(gdp_agr_share!R$1, gdp_tot_mes!$B$1:$XFD$1, 0), 0)</f>
        <v>3.9802165342189166E-2</v>
      </c>
      <c r="S34" s="29">
        <f>VLOOKUP($B34, agr_mes!$B:$XFD, MATCH(gdp_agr_share!S$1, agr_mes!$B$1:$XFD$1, 0), 0)/VLOOKUP($B34, gdp_tot_mes!$B:$XFD, MATCH(gdp_agr_share!S$1, gdp_tot_mes!$B$1:$XFD$1, 0), 0)</f>
        <v>3.8324410655534845E-2</v>
      </c>
      <c r="T34" s="29">
        <f>VLOOKUP($B34, agr_mes!$B:$XFD, MATCH(gdp_agr_share!T$1, agr_mes!$B$1:$XFD$1, 0), 0)/VLOOKUP($B34, gdp_tot_mes!$B:$XFD, MATCH(gdp_agr_share!T$1, gdp_tot_mes!$B$1:$XFD$1, 0), 0)</f>
        <v>2.9765815325799833E-2</v>
      </c>
      <c r="U34" s="29">
        <f>VLOOKUP($B34, agr_mes!$B:$XFD, MATCH(gdp_agr_share!U$1, agr_mes!$B$1:$XFD$1, 0), 0)/VLOOKUP($B34, gdp_tot_mes!$B:$XFD, MATCH(gdp_agr_share!U$1, gdp_tot_mes!$B$1:$XFD$1, 0), 0)</f>
        <v>2.4009303191905303E-2</v>
      </c>
      <c r="V34" s="29">
        <f>VLOOKUP($B34, agr_mes!$B:$XFD, MATCH(gdp_agr_share!V$1, agr_mes!$B$1:$XFD$1, 0), 0)/VLOOKUP($B34, gdp_tot_mes!$B:$XFD, MATCH(gdp_agr_share!V$1, gdp_tot_mes!$B$1:$XFD$1, 0), 0)</f>
        <v>2.7788557643658073E-2</v>
      </c>
      <c r="W34" s="29">
        <f>VLOOKUP($B34, agr_mes!$B:$XFD, MATCH(gdp_agr_share!W$1, agr_mes!$B$1:$XFD$1, 0), 0)/VLOOKUP($B34, gdp_tot_mes!$B:$XFD, MATCH(gdp_agr_share!W$1, gdp_tot_mes!$B$1:$XFD$1, 0), 0)</f>
        <v>2.6613723461647032E-2</v>
      </c>
      <c r="X34" s="29">
        <f>VLOOKUP($B34, agr_mes!$B:$XFD, MATCH(gdp_agr_share!X$1, agr_mes!$B$1:$XFD$1, 0), 0)/VLOOKUP($B34, gdp_tot_mes!$B:$XFD, MATCH(gdp_agr_share!X$1, gdp_tot_mes!$B$1:$XFD$1, 0), 0)</f>
        <v>2.698922693462882E-2</v>
      </c>
      <c r="Y34" s="29">
        <f>VLOOKUP($B34, agr_mes!$B:$XFD, MATCH(gdp_agr_share!Y$1, agr_mes!$B$1:$XFD$1, 0), 0)/VLOOKUP($B34, gdp_tot_mes!$B:$XFD, MATCH(gdp_agr_share!Y$1, gdp_tot_mes!$B$1:$XFD$1, 0), 0)</f>
        <v>2.630145141644295E-2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25">
      <c r="A35" s="1" t="s">
        <v>91</v>
      </c>
      <c r="B35" s="1" t="s">
        <v>98</v>
      </c>
      <c r="C35" s="1" t="s">
        <v>99</v>
      </c>
      <c r="D35" s="29">
        <f>VLOOKUP($B35, agr_mes!$B:$XFD, MATCH(gdp_agr_share!D$1, agr_mes!$B$1:$XFD$1, 0), 0)/VLOOKUP($B35, gdp_tot_mes!$B:$XFD, MATCH(gdp_agr_share!D$1, gdp_tot_mes!$B$1:$XFD$1, 0), 0)</f>
        <v>0.6461774432103331</v>
      </c>
      <c r="E35" s="29">
        <f>VLOOKUP($B35, agr_mes!$B:$XFD, MATCH(gdp_agr_share!E$1, agr_mes!$B$1:$XFD$1, 0), 0)/VLOOKUP($B35, gdp_tot_mes!$B:$XFD, MATCH(gdp_agr_share!E$1, gdp_tot_mes!$B$1:$XFD$1, 0), 0)</f>
        <v>0.74184505782890742</v>
      </c>
      <c r="F35" s="29">
        <f>VLOOKUP($B35, agr_mes!$B:$XFD, MATCH(gdp_agr_share!F$1, agr_mes!$B$1:$XFD$1, 0), 0)/VLOOKUP($B35, gdp_tot_mes!$B:$XFD, MATCH(gdp_agr_share!F$1, gdp_tot_mes!$B$1:$XFD$1, 0), 0)</f>
        <v>0.82230344889375351</v>
      </c>
      <c r="G35" s="29">
        <f>VLOOKUP($B35, agr_mes!$B:$XFD, MATCH(gdp_agr_share!G$1, agr_mes!$B$1:$XFD$1, 0), 0)/VLOOKUP($B35, gdp_tot_mes!$B:$XFD, MATCH(gdp_agr_share!G$1, gdp_tot_mes!$B$1:$XFD$1, 0), 0)</f>
        <v>0.62107314139669523</v>
      </c>
      <c r="H35" s="29">
        <f>VLOOKUP($B35, agr_mes!$B:$XFD, MATCH(gdp_agr_share!H$1, agr_mes!$B$1:$XFD$1, 0), 0)/VLOOKUP($B35, gdp_tot_mes!$B:$XFD, MATCH(gdp_agr_share!H$1, gdp_tot_mes!$B$1:$XFD$1, 0), 0)</f>
        <v>0.40021421426165343</v>
      </c>
      <c r="I35" s="29">
        <f>VLOOKUP($B35, agr_mes!$B:$XFD, MATCH(gdp_agr_share!I$1, agr_mes!$B$1:$XFD$1, 0), 0)/VLOOKUP($B35, gdp_tot_mes!$B:$XFD, MATCH(gdp_agr_share!I$1, gdp_tot_mes!$B$1:$XFD$1, 0), 0)</f>
        <v>0.46999488505268761</v>
      </c>
      <c r="J35" s="29">
        <f>VLOOKUP($B35, agr_mes!$B:$XFD, MATCH(gdp_agr_share!J$1, agr_mes!$B$1:$XFD$1, 0), 0)/VLOOKUP($B35, gdp_tot_mes!$B:$XFD, MATCH(gdp_agr_share!J$1, gdp_tot_mes!$B$1:$XFD$1, 0), 0)</f>
        <v>0.31779155831404632</v>
      </c>
      <c r="K35" s="29">
        <f>VLOOKUP($B35, agr_mes!$B:$XFD, MATCH(gdp_agr_share!K$1, agr_mes!$B$1:$XFD$1, 0), 0)/VLOOKUP($B35, gdp_tot_mes!$B:$XFD, MATCH(gdp_agr_share!K$1, gdp_tot_mes!$B$1:$XFD$1, 0), 0)</f>
        <v>0.30883779547146956</v>
      </c>
      <c r="L35" s="30">
        <f t="shared" si="0"/>
        <v>0.2532222640031494</v>
      </c>
      <c r="M35" s="29">
        <f>VLOOKUP($B35, agr_mes!$B:$XFD, MATCH(gdp_agr_share!M$1, agr_mes!$B$1:$XFD$1, 0), 0)/VLOOKUP($B35, gdp_tot_mes!$B:$XFD, MATCH(gdp_agr_share!M$1, gdp_tot_mes!$B$1:$XFD$1, 0), 0)</f>
        <v>0.18648362624116518</v>
      </c>
      <c r="N35" s="29">
        <f>VLOOKUP($B35, agr_mes!$B:$XFD, MATCH(gdp_agr_share!N$1, agr_mes!$B$1:$XFD$1, 0), 0)/VLOOKUP($B35, gdp_tot_mes!$B:$XFD, MATCH(gdp_agr_share!N$1, gdp_tot_mes!$B$1:$XFD$1, 0), 0)</f>
        <v>0.12496250332688499</v>
      </c>
      <c r="O35" s="29">
        <f>VLOOKUP($B35, agr_mes!$B:$XFD, MATCH(gdp_agr_share!O$1, agr_mes!$B$1:$XFD$1, 0), 0)/VLOOKUP($B35, gdp_tot_mes!$B:$XFD, MATCH(gdp_agr_share!O$1, gdp_tot_mes!$B$1:$XFD$1, 0), 0)</f>
        <v>0.1373042632760833</v>
      </c>
      <c r="P35" s="29">
        <f>VLOOKUP($B35, agr_mes!$B:$XFD, MATCH(gdp_agr_share!P$1, agr_mes!$B$1:$XFD$1, 0), 0)/VLOOKUP($B35, gdp_tot_mes!$B:$XFD, MATCH(gdp_agr_share!P$1, gdp_tot_mes!$B$1:$XFD$1, 0), 0)</f>
        <v>0.1501565473657544</v>
      </c>
      <c r="Q35" s="29">
        <f>VLOOKUP($B35, agr_mes!$B:$XFD, MATCH(gdp_agr_share!Q$1, agr_mes!$B$1:$XFD$1, 0), 0)/VLOOKUP($B35, gdp_tot_mes!$B:$XFD, MATCH(gdp_agr_share!Q$1, gdp_tot_mes!$B$1:$XFD$1, 0), 0)</f>
        <v>0.15601771675822712</v>
      </c>
      <c r="R35" s="29">
        <f>VLOOKUP($B35, agr_mes!$B:$XFD, MATCH(gdp_agr_share!R$1, agr_mes!$B$1:$XFD$1, 0), 0)/VLOOKUP($B35, gdp_tot_mes!$B:$XFD, MATCH(gdp_agr_share!R$1, gdp_tot_mes!$B$1:$XFD$1, 0), 0)</f>
        <v>0.16924945797416402</v>
      </c>
      <c r="S35" s="29">
        <f>VLOOKUP($B35, agr_mes!$B:$XFD, MATCH(gdp_agr_share!S$1, agr_mes!$B$1:$XFD$1, 0), 0)/VLOOKUP($B35, gdp_tot_mes!$B:$XFD, MATCH(gdp_agr_share!S$1, gdp_tot_mes!$B$1:$XFD$1, 0), 0)</f>
        <v>0.15137785175228799</v>
      </c>
      <c r="T35" s="29">
        <f>VLOOKUP($B35, agr_mes!$B:$XFD, MATCH(gdp_agr_share!T$1, agr_mes!$B$1:$XFD$1, 0), 0)/VLOOKUP($B35, gdp_tot_mes!$B:$XFD, MATCH(gdp_agr_share!T$1, gdp_tot_mes!$B$1:$XFD$1, 0), 0)</f>
        <v>0.12517793207268887</v>
      </c>
      <c r="U35" s="29">
        <f>VLOOKUP($B35, agr_mes!$B:$XFD, MATCH(gdp_agr_share!U$1, agr_mes!$B$1:$XFD$1, 0), 0)/VLOOKUP($B35, gdp_tot_mes!$B:$XFD, MATCH(gdp_agr_share!U$1, gdp_tot_mes!$B$1:$XFD$1, 0), 0)</f>
        <v>9.814795528767159E-2</v>
      </c>
      <c r="V35" s="29">
        <f>VLOOKUP($B35, agr_mes!$B:$XFD, MATCH(gdp_agr_share!V$1, agr_mes!$B$1:$XFD$1, 0), 0)/VLOOKUP($B35, gdp_tot_mes!$B:$XFD, MATCH(gdp_agr_share!V$1, gdp_tot_mes!$B$1:$XFD$1, 0), 0)</f>
        <v>0.13105586950435369</v>
      </c>
      <c r="W35" s="29">
        <f>VLOOKUP($B35, agr_mes!$B:$XFD, MATCH(gdp_agr_share!W$1, agr_mes!$B$1:$XFD$1, 0), 0)/VLOOKUP($B35, gdp_tot_mes!$B:$XFD, MATCH(gdp_agr_share!W$1, gdp_tot_mes!$B$1:$XFD$1, 0), 0)</f>
        <v>0.13912961564159279</v>
      </c>
      <c r="X35" s="29">
        <f>VLOOKUP($B35, agr_mes!$B:$XFD, MATCH(gdp_agr_share!X$1, agr_mes!$B$1:$XFD$1, 0), 0)/VLOOKUP($B35, gdp_tot_mes!$B:$XFD, MATCH(gdp_agr_share!X$1, gdp_tot_mes!$B$1:$XFD$1, 0), 0)</f>
        <v>0.13725180768046111</v>
      </c>
      <c r="Y35" s="29">
        <f>VLOOKUP($B35, agr_mes!$B:$XFD, MATCH(gdp_agr_share!Y$1, agr_mes!$B$1:$XFD$1, 0), 0)/VLOOKUP($B35, gdp_tot_mes!$B:$XFD, MATCH(gdp_agr_share!Y$1, gdp_tot_mes!$B$1:$XFD$1, 0), 0)</f>
        <v>0.14762175865745186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25">
      <c r="A36" s="1" t="s">
        <v>91</v>
      </c>
      <c r="B36" s="1" t="s">
        <v>100</v>
      </c>
      <c r="C36" s="1" t="s">
        <v>101</v>
      </c>
      <c r="D36" s="29">
        <f>VLOOKUP($B36, agr_mes!$B:$XFD, MATCH(gdp_agr_share!D$1, agr_mes!$B$1:$XFD$1, 0), 0)/VLOOKUP($B36, gdp_tot_mes!$B:$XFD, MATCH(gdp_agr_share!D$1, gdp_tot_mes!$B$1:$XFD$1, 0), 0)</f>
        <v>0.81185984413258849</v>
      </c>
      <c r="E36" s="29">
        <f>VLOOKUP($B36, agr_mes!$B:$XFD, MATCH(gdp_agr_share!E$1, agr_mes!$B$1:$XFD$1, 0), 0)/VLOOKUP($B36, gdp_tot_mes!$B:$XFD, MATCH(gdp_agr_share!E$1, gdp_tot_mes!$B$1:$XFD$1, 0), 0)</f>
        <v>0.60095590761468787</v>
      </c>
      <c r="F36" s="29">
        <f>VLOOKUP($B36, agr_mes!$B:$XFD, MATCH(gdp_agr_share!F$1, agr_mes!$B$1:$XFD$1, 0), 0)/VLOOKUP($B36, gdp_tot_mes!$B:$XFD, MATCH(gdp_agr_share!F$1, gdp_tot_mes!$B$1:$XFD$1, 0), 0)</f>
        <v>0.50330035259718631</v>
      </c>
      <c r="G36" s="29">
        <f>VLOOKUP($B36, agr_mes!$B:$XFD, MATCH(gdp_agr_share!G$1, agr_mes!$B$1:$XFD$1, 0), 0)/VLOOKUP($B36, gdp_tot_mes!$B:$XFD, MATCH(gdp_agr_share!G$1, gdp_tot_mes!$B$1:$XFD$1, 0), 0)</f>
        <v>0.51248472422333458</v>
      </c>
      <c r="H36" s="29">
        <f>VLOOKUP($B36, agr_mes!$B:$XFD, MATCH(gdp_agr_share!H$1, agr_mes!$B$1:$XFD$1, 0), 0)/VLOOKUP($B36, gdp_tot_mes!$B:$XFD, MATCH(gdp_agr_share!H$1, gdp_tot_mes!$B$1:$XFD$1, 0), 0)</f>
        <v>0.48425328765270076</v>
      </c>
      <c r="I36" s="29">
        <f>VLOOKUP($B36, agr_mes!$B:$XFD, MATCH(gdp_agr_share!I$1, agr_mes!$B$1:$XFD$1, 0), 0)/VLOOKUP($B36, gdp_tot_mes!$B:$XFD, MATCH(gdp_agr_share!I$1, gdp_tot_mes!$B$1:$XFD$1, 0), 0)</f>
        <v>0.53109289925680325</v>
      </c>
      <c r="J36" s="29">
        <f>VLOOKUP($B36, agr_mes!$B:$XFD, MATCH(gdp_agr_share!J$1, agr_mes!$B$1:$XFD$1, 0), 0)/VLOOKUP($B36, gdp_tot_mes!$B:$XFD, MATCH(gdp_agr_share!J$1, gdp_tot_mes!$B$1:$XFD$1, 0), 0)</f>
        <v>0.46187411704802411</v>
      </c>
      <c r="K36" s="29">
        <f>VLOOKUP($B36, agr_mes!$B:$XFD, MATCH(gdp_agr_share!K$1, agr_mes!$B$1:$XFD$1, 0), 0)/VLOOKUP($B36, gdp_tot_mes!$B:$XFD, MATCH(gdp_agr_share!K$1, gdp_tot_mes!$B$1:$XFD$1, 0), 0)</f>
        <v>0.32001046472358613</v>
      </c>
      <c r="L36" s="30">
        <f t="shared" si="0"/>
        <v>0.36079977535259755</v>
      </c>
      <c r="M36" s="29">
        <f>VLOOKUP($B36, agr_mes!$B:$XFD, MATCH(gdp_agr_share!M$1, agr_mes!$B$1:$XFD$1, 0), 0)/VLOOKUP($B36, gdp_tot_mes!$B:$XFD, MATCH(gdp_agr_share!M$1, gdp_tot_mes!$B$1:$XFD$1, 0), 0)</f>
        <v>0.40974694810741119</v>
      </c>
      <c r="N36" s="29">
        <f>VLOOKUP($B36, agr_mes!$B:$XFD, MATCH(gdp_agr_share!N$1, agr_mes!$B$1:$XFD$1, 0), 0)/VLOOKUP($B36, gdp_tot_mes!$B:$XFD, MATCH(gdp_agr_share!N$1, gdp_tot_mes!$B$1:$XFD$1, 0), 0)</f>
        <v>0.23990707637765329</v>
      </c>
      <c r="O36" s="29">
        <f>VLOOKUP($B36, agr_mes!$B:$XFD, MATCH(gdp_agr_share!O$1, agr_mes!$B$1:$XFD$1, 0), 0)/VLOOKUP($B36, gdp_tot_mes!$B:$XFD, MATCH(gdp_agr_share!O$1, gdp_tot_mes!$B$1:$XFD$1, 0), 0)</f>
        <v>0.25899854123438132</v>
      </c>
      <c r="P36" s="29">
        <f>VLOOKUP($B36, agr_mes!$B:$XFD, MATCH(gdp_agr_share!P$1, agr_mes!$B$1:$XFD$1, 0), 0)/VLOOKUP($B36, gdp_tot_mes!$B:$XFD, MATCH(gdp_agr_share!P$1, gdp_tot_mes!$B$1:$XFD$1, 0), 0)</f>
        <v>0.26562535059331083</v>
      </c>
      <c r="Q36" s="29">
        <f>VLOOKUP($B36, agr_mes!$B:$XFD, MATCH(gdp_agr_share!Q$1, agr_mes!$B$1:$XFD$1, 0), 0)/VLOOKUP($B36, gdp_tot_mes!$B:$XFD, MATCH(gdp_agr_share!Q$1, gdp_tot_mes!$B$1:$XFD$1, 0), 0)</f>
        <v>0.25743270661715828</v>
      </c>
      <c r="R36" s="29">
        <f>VLOOKUP($B36, agr_mes!$B:$XFD, MATCH(gdp_agr_share!R$1, agr_mes!$B$1:$XFD$1, 0), 0)/VLOOKUP($B36, gdp_tot_mes!$B:$XFD, MATCH(gdp_agr_share!R$1, gdp_tot_mes!$B$1:$XFD$1, 0), 0)</f>
        <v>0.25346121419294876</v>
      </c>
      <c r="S36" s="29">
        <f>VLOOKUP($B36, agr_mes!$B:$XFD, MATCH(gdp_agr_share!S$1, agr_mes!$B$1:$XFD$1, 0), 0)/VLOOKUP($B36, gdp_tot_mes!$B:$XFD, MATCH(gdp_agr_share!S$1, gdp_tot_mes!$B$1:$XFD$1, 0), 0)</f>
        <v>0.25400045398599935</v>
      </c>
      <c r="T36" s="29">
        <f>VLOOKUP($B36, agr_mes!$B:$XFD, MATCH(gdp_agr_share!T$1, agr_mes!$B$1:$XFD$1, 0), 0)/VLOOKUP($B36, gdp_tot_mes!$B:$XFD, MATCH(gdp_agr_share!T$1, gdp_tot_mes!$B$1:$XFD$1, 0), 0)</f>
        <v>0.17908580012836131</v>
      </c>
      <c r="U36" s="29">
        <f>VLOOKUP($B36, agr_mes!$B:$XFD, MATCH(gdp_agr_share!U$1, agr_mes!$B$1:$XFD$1, 0), 0)/VLOOKUP($B36, gdp_tot_mes!$B:$XFD, MATCH(gdp_agr_share!U$1, gdp_tot_mes!$B$1:$XFD$1, 0), 0)</f>
        <v>0.14299794016013934</v>
      </c>
      <c r="V36" s="29">
        <f>VLOOKUP($B36, agr_mes!$B:$XFD, MATCH(gdp_agr_share!V$1, agr_mes!$B$1:$XFD$1, 0), 0)/VLOOKUP($B36, gdp_tot_mes!$B:$XFD, MATCH(gdp_agr_share!V$1, gdp_tot_mes!$B$1:$XFD$1, 0), 0)</f>
        <v>0.16828296499963366</v>
      </c>
      <c r="W36" s="29">
        <f>VLOOKUP($B36, agr_mes!$B:$XFD, MATCH(gdp_agr_share!W$1, agr_mes!$B$1:$XFD$1, 0), 0)/VLOOKUP($B36, gdp_tot_mes!$B:$XFD, MATCH(gdp_agr_share!W$1, gdp_tot_mes!$B$1:$XFD$1, 0), 0)</f>
        <v>0.19696876362390892</v>
      </c>
      <c r="X36" s="29">
        <f>VLOOKUP($B36, agr_mes!$B:$XFD, MATCH(gdp_agr_share!X$1, agr_mes!$B$1:$XFD$1, 0), 0)/VLOOKUP($B36, gdp_tot_mes!$B:$XFD, MATCH(gdp_agr_share!X$1, gdp_tot_mes!$B$1:$XFD$1, 0), 0)</f>
        <v>0.2139314017530568</v>
      </c>
      <c r="Y36" s="29">
        <f>VLOOKUP($B36, agr_mes!$B:$XFD, MATCH(gdp_agr_share!Y$1, agr_mes!$B$1:$XFD$1, 0), 0)/VLOOKUP($B36, gdp_tot_mes!$B:$XFD, MATCH(gdp_agr_share!Y$1, gdp_tot_mes!$B$1:$XFD$1, 0), 0)</f>
        <v>0.21991161217695596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25">
      <c r="A37" s="1" t="s">
        <v>102</v>
      </c>
      <c r="B37" s="1" t="s">
        <v>103</v>
      </c>
      <c r="C37" s="1" t="s">
        <v>104</v>
      </c>
      <c r="D37" s="29">
        <f>VLOOKUP($B37, agr_mes!$B:$XFD, MATCH(gdp_agr_share!D$1, agr_mes!$B$1:$XFD$1, 0), 0)/VLOOKUP($B37, gdp_tot_mes!$B:$XFD, MATCH(gdp_agr_share!D$1, gdp_tot_mes!$B$1:$XFD$1, 0), 0)</f>
        <v>0.12166692493768849</v>
      </c>
      <c r="E37" s="29">
        <f>VLOOKUP($B37, agr_mes!$B:$XFD, MATCH(gdp_agr_share!E$1, agr_mes!$B$1:$XFD$1, 0), 0)/VLOOKUP($B37, gdp_tot_mes!$B:$XFD, MATCH(gdp_agr_share!E$1, gdp_tot_mes!$B$1:$XFD$1, 0), 0)</f>
        <v>0.28127075808919677</v>
      </c>
      <c r="F37" s="29">
        <f>VLOOKUP($B37, agr_mes!$B:$XFD, MATCH(gdp_agr_share!F$1, agr_mes!$B$1:$XFD$1, 0), 0)/VLOOKUP($B37, gdp_tot_mes!$B:$XFD, MATCH(gdp_agr_share!F$1, gdp_tot_mes!$B$1:$XFD$1, 0), 0)</f>
        <v>0.15755240628891606</v>
      </c>
      <c r="G37" s="29">
        <f>VLOOKUP($B37, agr_mes!$B:$XFD, MATCH(gdp_agr_share!G$1, agr_mes!$B$1:$XFD$1, 0), 0)/VLOOKUP($B37, gdp_tot_mes!$B:$XFD, MATCH(gdp_agr_share!G$1, gdp_tot_mes!$B$1:$XFD$1, 0), 0)</f>
        <v>0.1982719290349183</v>
      </c>
      <c r="H37" s="29">
        <f>VLOOKUP($B37, agr_mes!$B:$XFD, MATCH(gdp_agr_share!H$1, agr_mes!$B$1:$XFD$1, 0), 0)/VLOOKUP($B37, gdp_tot_mes!$B:$XFD, MATCH(gdp_agr_share!H$1, gdp_tot_mes!$B$1:$XFD$1, 0), 0)</f>
        <v>0.24452435031250216</v>
      </c>
      <c r="I37" s="29">
        <f>VLOOKUP($B37, agr_mes!$B:$XFD, MATCH(gdp_agr_share!I$1, agr_mes!$B$1:$XFD$1, 0), 0)/VLOOKUP($B37, gdp_tot_mes!$B:$XFD, MATCH(gdp_agr_share!I$1, gdp_tot_mes!$B$1:$XFD$1, 0), 0)</f>
        <v>0.24842747465838719</v>
      </c>
      <c r="J37" s="29">
        <f>VLOOKUP($B37, agr_mes!$B:$XFD, MATCH(gdp_agr_share!J$1, agr_mes!$B$1:$XFD$1, 0), 0)/VLOOKUP($B37, gdp_tot_mes!$B:$XFD, MATCH(gdp_agr_share!J$1, gdp_tot_mes!$B$1:$XFD$1, 0), 0)</f>
        <v>0.20863680025762091</v>
      </c>
      <c r="K37" s="29">
        <f>VLOOKUP($B37, agr_mes!$B:$XFD, MATCH(gdp_agr_share!K$1, agr_mes!$B$1:$XFD$1, 0), 0)/VLOOKUP($B37, gdp_tot_mes!$B:$XFD, MATCH(gdp_agr_share!K$1, gdp_tot_mes!$B$1:$XFD$1, 0), 0)</f>
        <v>0.10307410480137641</v>
      </c>
      <c r="L37" s="30">
        <f t="shared" si="0"/>
        <v>9.2518233918814835E-2</v>
      </c>
      <c r="M37" s="29">
        <f>VLOOKUP($B37, agr_mes!$B:$XFD, MATCH(gdp_agr_share!M$1, agr_mes!$B$1:$XFD$1, 0), 0)/VLOOKUP($B37, gdp_tot_mes!$B:$XFD, MATCH(gdp_agr_share!M$1, gdp_tot_mes!$B$1:$XFD$1, 0), 0)</f>
        <v>7.9851188859740949E-2</v>
      </c>
      <c r="N37" s="29">
        <f>VLOOKUP($B37, agr_mes!$B:$XFD, MATCH(gdp_agr_share!N$1, agr_mes!$B$1:$XFD$1, 0), 0)/VLOOKUP($B37, gdp_tot_mes!$B:$XFD, MATCH(gdp_agr_share!N$1, gdp_tot_mes!$B$1:$XFD$1, 0), 0)</f>
        <v>6.6716628382941914E-2</v>
      </c>
      <c r="O37" s="29">
        <f>VLOOKUP($B37, agr_mes!$B:$XFD, MATCH(gdp_agr_share!O$1, agr_mes!$B$1:$XFD$1, 0), 0)/VLOOKUP($B37, gdp_tot_mes!$B:$XFD, MATCH(gdp_agr_share!O$1, gdp_tot_mes!$B$1:$XFD$1, 0), 0)</f>
        <v>6.3466987060513694E-2</v>
      </c>
      <c r="P37" s="29">
        <f>VLOOKUP($B37, agr_mes!$B:$XFD, MATCH(gdp_agr_share!P$1, agr_mes!$B$1:$XFD$1, 0), 0)/VLOOKUP($B37, gdp_tot_mes!$B:$XFD, MATCH(gdp_agr_share!P$1, gdp_tot_mes!$B$1:$XFD$1, 0), 0)</f>
        <v>6.6168503342037624E-2</v>
      </c>
      <c r="Q37" s="29">
        <f>VLOOKUP($B37, agr_mes!$B:$XFD, MATCH(gdp_agr_share!Q$1, agr_mes!$B$1:$XFD$1, 0), 0)/VLOOKUP($B37, gdp_tot_mes!$B:$XFD, MATCH(gdp_agr_share!Q$1, gdp_tot_mes!$B$1:$XFD$1, 0), 0)</f>
        <v>4.5051434189567093E-2</v>
      </c>
      <c r="R37" s="29">
        <f>VLOOKUP($B37, agr_mes!$B:$XFD, MATCH(gdp_agr_share!R$1, agr_mes!$B$1:$XFD$1, 0), 0)/VLOOKUP($B37, gdp_tot_mes!$B:$XFD, MATCH(gdp_agr_share!R$1, gdp_tot_mes!$B$1:$XFD$1, 0), 0)</f>
        <v>5.0731845290281352E-2</v>
      </c>
      <c r="S37" s="29">
        <f>VLOOKUP($B37, agr_mes!$B:$XFD, MATCH(gdp_agr_share!S$1, agr_mes!$B$1:$XFD$1, 0), 0)/VLOOKUP($B37, gdp_tot_mes!$B:$XFD, MATCH(gdp_agr_share!S$1, gdp_tot_mes!$B$1:$XFD$1, 0), 0)</f>
        <v>4.6262227373365175E-2</v>
      </c>
      <c r="T37" s="29">
        <f>VLOOKUP($B37, agr_mes!$B:$XFD, MATCH(gdp_agr_share!T$1, agr_mes!$B$1:$XFD$1, 0), 0)/VLOOKUP($B37, gdp_tot_mes!$B:$XFD, MATCH(gdp_agr_share!T$1, gdp_tot_mes!$B$1:$XFD$1, 0), 0)</f>
        <v>4.0761681065804259E-2</v>
      </c>
      <c r="U37" s="29">
        <f>VLOOKUP($B37, agr_mes!$B:$XFD, MATCH(gdp_agr_share!U$1, agr_mes!$B$1:$XFD$1, 0), 0)/VLOOKUP($B37, gdp_tot_mes!$B:$XFD, MATCH(gdp_agr_share!U$1, gdp_tot_mes!$B$1:$XFD$1, 0), 0)</f>
        <v>3.6236671891054416E-2</v>
      </c>
      <c r="V37" s="29">
        <f>VLOOKUP($B37, agr_mes!$B:$XFD, MATCH(gdp_agr_share!V$1, agr_mes!$B$1:$XFD$1, 0), 0)/VLOOKUP($B37, gdp_tot_mes!$B:$XFD, MATCH(gdp_agr_share!V$1, gdp_tot_mes!$B$1:$XFD$1, 0), 0)</f>
        <v>3.6695373113235008E-2</v>
      </c>
      <c r="W37" s="29">
        <f>VLOOKUP($B37, agr_mes!$B:$XFD, MATCH(gdp_agr_share!W$1, agr_mes!$B$1:$XFD$1, 0), 0)/VLOOKUP($B37, gdp_tot_mes!$B:$XFD, MATCH(gdp_agr_share!W$1, gdp_tot_mes!$B$1:$XFD$1, 0), 0)</f>
        <v>4.1028217569249008E-2</v>
      </c>
      <c r="X37" s="29">
        <f>VLOOKUP($B37, agr_mes!$B:$XFD, MATCH(gdp_agr_share!X$1, agr_mes!$B$1:$XFD$1, 0), 0)/VLOOKUP($B37, gdp_tot_mes!$B:$XFD, MATCH(gdp_agr_share!X$1, gdp_tot_mes!$B$1:$XFD$1, 0), 0)</f>
        <v>3.259380451484252E-2</v>
      </c>
      <c r="Y37" s="29">
        <f>VLOOKUP($B37, agr_mes!$B:$XFD, MATCH(gdp_agr_share!Y$1, agr_mes!$B$1:$XFD$1, 0), 0)/VLOOKUP($B37, gdp_tot_mes!$B:$XFD, MATCH(gdp_agr_share!Y$1, gdp_tot_mes!$B$1:$XFD$1, 0), 0)</f>
        <v>3.2647117451015735E-2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x14ac:dyDescent="0.25">
      <c r="A38" s="1" t="s">
        <v>102</v>
      </c>
      <c r="B38" s="1" t="s">
        <v>105</v>
      </c>
      <c r="C38" s="1" t="s">
        <v>106</v>
      </c>
      <c r="D38" s="29">
        <f>VLOOKUP($B38, agr_mes!$B:$XFD, MATCH(gdp_agr_share!D$1, agr_mes!$B$1:$XFD$1, 0), 0)/VLOOKUP($B38, gdp_tot_mes!$B:$XFD, MATCH(gdp_agr_share!D$1, gdp_tot_mes!$B$1:$XFD$1, 0), 0)</f>
        <v>0.29835169259613892</v>
      </c>
      <c r="E38" s="29">
        <f>VLOOKUP($B38, agr_mes!$B:$XFD, MATCH(gdp_agr_share!E$1, agr_mes!$B$1:$XFD$1, 0), 0)/VLOOKUP($B38, gdp_tot_mes!$B:$XFD, MATCH(gdp_agr_share!E$1, gdp_tot_mes!$B$1:$XFD$1, 0), 0)</f>
        <v>0.64608110150203812</v>
      </c>
      <c r="F38" s="29">
        <f>VLOOKUP($B38, agr_mes!$B:$XFD, MATCH(gdp_agr_share!F$1, agr_mes!$B$1:$XFD$1, 0), 0)/VLOOKUP($B38, gdp_tot_mes!$B:$XFD, MATCH(gdp_agr_share!F$1, gdp_tot_mes!$B$1:$XFD$1, 0), 0)</f>
        <v>0.48746473732959933</v>
      </c>
      <c r="G38" s="29">
        <f>VLOOKUP($B38, agr_mes!$B:$XFD, MATCH(gdp_agr_share!G$1, agr_mes!$B$1:$XFD$1, 0), 0)/VLOOKUP($B38, gdp_tot_mes!$B:$XFD, MATCH(gdp_agr_share!G$1, gdp_tot_mes!$B$1:$XFD$1, 0), 0)</f>
        <v>0.58705075112152638</v>
      </c>
      <c r="H38" s="29">
        <f>VLOOKUP($B38, agr_mes!$B:$XFD, MATCH(gdp_agr_share!H$1, agr_mes!$B$1:$XFD$1, 0), 0)/VLOOKUP($B38, gdp_tot_mes!$B:$XFD, MATCH(gdp_agr_share!H$1, gdp_tot_mes!$B$1:$XFD$1, 0), 0)</f>
        <v>0.52137750685081741</v>
      </c>
      <c r="I38" s="29">
        <f>VLOOKUP($B38, agr_mes!$B:$XFD, MATCH(gdp_agr_share!I$1, agr_mes!$B$1:$XFD$1, 0), 0)/VLOOKUP($B38, gdp_tot_mes!$B:$XFD, MATCH(gdp_agr_share!I$1, gdp_tot_mes!$B$1:$XFD$1, 0), 0)</f>
        <v>0.47789473610269434</v>
      </c>
      <c r="J38" s="29">
        <f>VLOOKUP($B38, agr_mes!$B:$XFD, MATCH(gdp_agr_share!J$1, agr_mes!$B$1:$XFD$1, 0), 0)/VLOOKUP($B38, gdp_tot_mes!$B:$XFD, MATCH(gdp_agr_share!J$1, gdp_tot_mes!$B$1:$XFD$1, 0), 0)</f>
        <v>0.34561308768455984</v>
      </c>
      <c r="K38" s="29">
        <f>VLOOKUP($B38, agr_mes!$B:$XFD, MATCH(gdp_agr_share!K$1, agr_mes!$B$1:$XFD$1, 0), 0)/VLOOKUP($B38, gdp_tot_mes!$B:$XFD, MATCH(gdp_agr_share!K$1, gdp_tot_mes!$B$1:$XFD$1, 0), 0)</f>
        <v>0.34001645277702008</v>
      </c>
      <c r="L38" s="30">
        <f t="shared" si="0"/>
        <v>0.32864530189874852</v>
      </c>
      <c r="M38" s="29">
        <f>VLOOKUP($B38, agr_mes!$B:$XFD, MATCH(gdp_agr_share!M$1, agr_mes!$B$1:$XFD$1, 0), 0)/VLOOKUP($B38, gdp_tot_mes!$B:$XFD, MATCH(gdp_agr_share!M$1, gdp_tot_mes!$B$1:$XFD$1, 0), 0)</f>
        <v>0.31499992084482265</v>
      </c>
      <c r="N38" s="29">
        <f>VLOOKUP($B38, agr_mes!$B:$XFD, MATCH(gdp_agr_share!N$1, agr_mes!$B$1:$XFD$1, 0), 0)/VLOOKUP($B38, gdp_tot_mes!$B:$XFD, MATCH(gdp_agr_share!N$1, gdp_tot_mes!$B$1:$XFD$1, 0), 0)</f>
        <v>0.18928168187129848</v>
      </c>
      <c r="O38" s="29">
        <f>VLOOKUP($B38, agr_mes!$B:$XFD, MATCH(gdp_agr_share!O$1, agr_mes!$B$1:$XFD$1, 0), 0)/VLOOKUP($B38, gdp_tot_mes!$B:$XFD, MATCH(gdp_agr_share!O$1, gdp_tot_mes!$B$1:$XFD$1, 0), 0)</f>
        <v>0.19400119370565971</v>
      </c>
      <c r="P38" s="29">
        <f>VLOOKUP($B38, agr_mes!$B:$XFD, MATCH(gdp_agr_share!P$1, agr_mes!$B$1:$XFD$1, 0), 0)/VLOOKUP($B38, gdp_tot_mes!$B:$XFD, MATCH(gdp_agr_share!P$1, gdp_tot_mes!$B$1:$XFD$1, 0), 0)</f>
        <v>0.20671783014984207</v>
      </c>
      <c r="Q38" s="29">
        <f>VLOOKUP($B38, agr_mes!$B:$XFD, MATCH(gdp_agr_share!Q$1, agr_mes!$B$1:$XFD$1, 0), 0)/VLOOKUP($B38, gdp_tot_mes!$B:$XFD, MATCH(gdp_agr_share!Q$1, gdp_tot_mes!$B$1:$XFD$1, 0), 0)</f>
        <v>0.15306396083816415</v>
      </c>
      <c r="R38" s="29">
        <f>VLOOKUP($B38, agr_mes!$B:$XFD, MATCH(gdp_agr_share!R$1, agr_mes!$B$1:$XFD$1, 0), 0)/VLOOKUP($B38, gdp_tot_mes!$B:$XFD, MATCH(gdp_agr_share!R$1, gdp_tot_mes!$B$1:$XFD$1, 0), 0)</f>
        <v>0.18076965197491202</v>
      </c>
      <c r="S38" s="29">
        <f>VLOOKUP($B38, agr_mes!$B:$XFD, MATCH(gdp_agr_share!S$1, agr_mes!$B$1:$XFD$1, 0), 0)/VLOOKUP($B38, gdp_tot_mes!$B:$XFD, MATCH(gdp_agr_share!S$1, gdp_tot_mes!$B$1:$XFD$1, 0), 0)</f>
        <v>0.17515284934696407</v>
      </c>
      <c r="T38" s="29">
        <f>VLOOKUP($B38, agr_mes!$B:$XFD, MATCH(gdp_agr_share!T$1, agr_mes!$B$1:$XFD$1, 0), 0)/VLOOKUP($B38, gdp_tot_mes!$B:$XFD, MATCH(gdp_agr_share!T$1, gdp_tot_mes!$B$1:$XFD$1, 0), 0)</f>
        <v>0.14855978853103383</v>
      </c>
      <c r="U38" s="29">
        <f>VLOOKUP($B38, agr_mes!$B:$XFD, MATCH(gdp_agr_share!U$1, agr_mes!$B$1:$XFD$1, 0), 0)/VLOOKUP($B38, gdp_tot_mes!$B:$XFD, MATCH(gdp_agr_share!U$1, gdp_tot_mes!$B$1:$XFD$1, 0), 0)</f>
        <v>0.13336211967815015</v>
      </c>
      <c r="V38" s="29">
        <f>VLOOKUP($B38, agr_mes!$B:$XFD, MATCH(gdp_agr_share!V$1, agr_mes!$B$1:$XFD$1, 0), 0)/VLOOKUP($B38, gdp_tot_mes!$B:$XFD, MATCH(gdp_agr_share!V$1, gdp_tot_mes!$B$1:$XFD$1, 0), 0)</f>
        <v>0.12568160427508762</v>
      </c>
      <c r="W38" s="29">
        <f>VLOOKUP($B38, agr_mes!$B:$XFD, MATCH(gdp_agr_share!W$1, agr_mes!$B$1:$XFD$1, 0), 0)/VLOOKUP($B38, gdp_tot_mes!$B:$XFD, MATCH(gdp_agr_share!W$1, gdp_tot_mes!$B$1:$XFD$1, 0), 0)</f>
        <v>0.15177173696854465</v>
      </c>
      <c r="X38" s="29">
        <f>VLOOKUP($B38, agr_mes!$B:$XFD, MATCH(gdp_agr_share!X$1, agr_mes!$B$1:$XFD$1, 0), 0)/VLOOKUP($B38, gdp_tot_mes!$B:$XFD, MATCH(gdp_agr_share!X$1, gdp_tot_mes!$B$1:$XFD$1, 0), 0)</f>
        <v>0.12558521765326427</v>
      </c>
      <c r="Y38" s="29">
        <f>VLOOKUP($B38, agr_mes!$B:$XFD, MATCH(gdp_agr_share!Y$1, agr_mes!$B$1:$XFD$1, 0), 0)/VLOOKUP($B38, gdp_tot_mes!$B:$XFD, MATCH(gdp_agr_share!Y$1, gdp_tot_mes!$B$1:$XFD$1, 0), 0)</f>
        <v>0.13494767263054405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25">
      <c r="A39" s="1" t="s">
        <v>102</v>
      </c>
      <c r="B39" s="1" t="s">
        <v>107</v>
      </c>
      <c r="C39" s="1" t="s">
        <v>108</v>
      </c>
      <c r="D39" s="29">
        <f>VLOOKUP($B39, agr_mes!$B:$XFD, MATCH(gdp_agr_share!D$1, agr_mes!$B$1:$XFD$1, 0), 0)/VLOOKUP($B39, gdp_tot_mes!$B:$XFD, MATCH(gdp_agr_share!D$1, gdp_tot_mes!$B$1:$XFD$1, 0), 0)</f>
        <v>0.78137990454126138</v>
      </c>
      <c r="E39" s="29">
        <f>VLOOKUP($B39, agr_mes!$B:$XFD, MATCH(gdp_agr_share!E$1, agr_mes!$B$1:$XFD$1, 0), 0)/VLOOKUP($B39, gdp_tot_mes!$B:$XFD, MATCH(gdp_agr_share!E$1, gdp_tot_mes!$B$1:$XFD$1, 0), 0)</f>
        <v>0.74412869976193519</v>
      </c>
      <c r="F39" s="29">
        <f>VLOOKUP($B39, agr_mes!$B:$XFD, MATCH(gdp_agr_share!F$1, agr_mes!$B$1:$XFD$1, 0), 0)/VLOOKUP($B39, gdp_tot_mes!$B:$XFD, MATCH(gdp_agr_share!F$1, gdp_tot_mes!$B$1:$XFD$1, 0), 0)</f>
        <v>0.6341049283372745</v>
      </c>
      <c r="G39" s="29">
        <f>VLOOKUP($B39, agr_mes!$B:$XFD, MATCH(gdp_agr_share!G$1, agr_mes!$B$1:$XFD$1, 0), 0)/VLOOKUP($B39, gdp_tot_mes!$B:$XFD, MATCH(gdp_agr_share!G$1, gdp_tot_mes!$B$1:$XFD$1, 0), 0)</f>
        <v>0.52828694419604239</v>
      </c>
      <c r="H39" s="29">
        <f>VLOOKUP($B39, agr_mes!$B:$XFD, MATCH(gdp_agr_share!H$1, agr_mes!$B$1:$XFD$1, 0), 0)/VLOOKUP($B39, gdp_tot_mes!$B:$XFD, MATCH(gdp_agr_share!H$1, gdp_tot_mes!$B$1:$XFD$1, 0), 0)</f>
        <v>0.53688262651363805</v>
      </c>
      <c r="I39" s="29">
        <f>VLOOKUP($B39, agr_mes!$B:$XFD, MATCH(gdp_agr_share!I$1, agr_mes!$B$1:$XFD$1, 0), 0)/VLOOKUP($B39, gdp_tot_mes!$B:$XFD, MATCH(gdp_agr_share!I$1, gdp_tot_mes!$B$1:$XFD$1, 0), 0)</f>
        <v>0.54394009704734647</v>
      </c>
      <c r="J39" s="29">
        <f>VLOOKUP($B39, agr_mes!$B:$XFD, MATCH(gdp_agr_share!J$1, agr_mes!$B$1:$XFD$1, 0), 0)/VLOOKUP($B39, gdp_tot_mes!$B:$XFD, MATCH(gdp_agr_share!J$1, gdp_tot_mes!$B$1:$XFD$1, 0), 0)</f>
        <v>0.4821187415094571</v>
      </c>
      <c r="K39" s="29">
        <f>VLOOKUP($B39, agr_mes!$B:$XFD, MATCH(gdp_agr_share!K$1, agr_mes!$B$1:$XFD$1, 0), 0)/VLOOKUP($B39, gdp_tot_mes!$B:$XFD, MATCH(gdp_agr_share!K$1, gdp_tot_mes!$B$1:$XFD$1, 0), 0)</f>
        <v>0.4744659333696592</v>
      </c>
      <c r="L39" s="30">
        <f t="shared" si="0"/>
        <v>0.46023786572767195</v>
      </c>
      <c r="M39" s="29">
        <f>VLOOKUP($B39, agr_mes!$B:$XFD, MATCH(gdp_agr_share!M$1, agr_mes!$B$1:$XFD$1, 0), 0)/VLOOKUP($B39, gdp_tot_mes!$B:$XFD, MATCH(gdp_agr_share!M$1, gdp_tot_mes!$B$1:$XFD$1, 0), 0)</f>
        <v>0.44316418455728723</v>
      </c>
      <c r="N39" s="29">
        <f>VLOOKUP($B39, agr_mes!$B:$XFD, MATCH(gdp_agr_share!N$1, agr_mes!$B$1:$XFD$1, 0), 0)/VLOOKUP($B39, gdp_tot_mes!$B:$XFD, MATCH(gdp_agr_share!N$1, gdp_tot_mes!$B$1:$XFD$1, 0), 0)</f>
        <v>0.25995442377778266</v>
      </c>
      <c r="O39" s="29">
        <f>VLOOKUP($B39, agr_mes!$B:$XFD, MATCH(gdp_agr_share!O$1, agr_mes!$B$1:$XFD$1, 0), 0)/VLOOKUP($B39, gdp_tot_mes!$B:$XFD, MATCH(gdp_agr_share!O$1, gdp_tot_mes!$B$1:$XFD$1, 0), 0)</f>
        <v>0.26199349250691539</v>
      </c>
      <c r="P39" s="29">
        <f>VLOOKUP($B39, agr_mes!$B:$XFD, MATCH(gdp_agr_share!P$1, agr_mes!$B$1:$XFD$1, 0), 0)/VLOOKUP($B39, gdp_tot_mes!$B:$XFD, MATCH(gdp_agr_share!P$1, gdp_tot_mes!$B$1:$XFD$1, 0), 0)</f>
        <v>0.27523908687686527</v>
      </c>
      <c r="Q39" s="29">
        <f>VLOOKUP($B39, agr_mes!$B:$XFD, MATCH(gdp_agr_share!Q$1, agr_mes!$B$1:$XFD$1, 0), 0)/VLOOKUP($B39, gdp_tot_mes!$B:$XFD, MATCH(gdp_agr_share!Q$1, gdp_tot_mes!$B$1:$XFD$1, 0), 0)</f>
        <v>0.22229850672159487</v>
      </c>
      <c r="R39" s="29">
        <f>VLOOKUP($B39, agr_mes!$B:$XFD, MATCH(gdp_agr_share!R$1, agr_mes!$B$1:$XFD$1, 0), 0)/VLOOKUP($B39, gdp_tot_mes!$B:$XFD, MATCH(gdp_agr_share!R$1, gdp_tot_mes!$B$1:$XFD$1, 0), 0)</f>
        <v>0.25909564980736488</v>
      </c>
      <c r="S39" s="29">
        <f>VLOOKUP($B39, agr_mes!$B:$XFD, MATCH(gdp_agr_share!S$1, agr_mes!$B$1:$XFD$1, 0), 0)/VLOOKUP($B39, gdp_tot_mes!$B:$XFD, MATCH(gdp_agr_share!S$1, gdp_tot_mes!$B$1:$XFD$1, 0), 0)</f>
        <v>0.25135519684780333</v>
      </c>
      <c r="T39" s="29">
        <f>VLOOKUP($B39, agr_mes!$B:$XFD, MATCH(gdp_agr_share!T$1, agr_mes!$B$1:$XFD$1, 0), 0)/VLOOKUP($B39, gdp_tot_mes!$B:$XFD, MATCH(gdp_agr_share!T$1, gdp_tot_mes!$B$1:$XFD$1, 0), 0)</f>
        <v>0.20643370871579922</v>
      </c>
      <c r="U39" s="29">
        <f>VLOOKUP($B39, agr_mes!$B:$XFD, MATCH(gdp_agr_share!U$1, agr_mes!$B$1:$XFD$1, 0), 0)/VLOOKUP($B39, gdp_tot_mes!$B:$XFD, MATCH(gdp_agr_share!U$1, gdp_tot_mes!$B$1:$XFD$1, 0), 0)</f>
        <v>0.18196265513617682</v>
      </c>
      <c r="V39" s="29">
        <f>VLOOKUP($B39, agr_mes!$B:$XFD, MATCH(gdp_agr_share!V$1, agr_mes!$B$1:$XFD$1, 0), 0)/VLOOKUP($B39, gdp_tot_mes!$B:$XFD, MATCH(gdp_agr_share!V$1, gdp_tot_mes!$B$1:$XFD$1, 0), 0)</f>
        <v>0.1710582218411846</v>
      </c>
      <c r="W39" s="29">
        <f>VLOOKUP($B39, agr_mes!$B:$XFD, MATCH(gdp_agr_share!W$1, agr_mes!$B$1:$XFD$1, 0), 0)/VLOOKUP($B39, gdp_tot_mes!$B:$XFD, MATCH(gdp_agr_share!W$1, gdp_tot_mes!$B$1:$XFD$1, 0), 0)</f>
        <v>0.21159265255568271</v>
      </c>
      <c r="X39" s="29">
        <f>VLOOKUP($B39, agr_mes!$B:$XFD, MATCH(gdp_agr_share!X$1, agr_mes!$B$1:$XFD$1, 0), 0)/VLOOKUP($B39, gdp_tot_mes!$B:$XFD, MATCH(gdp_agr_share!X$1, gdp_tot_mes!$B$1:$XFD$1, 0), 0)</f>
        <v>0.17555730193742997</v>
      </c>
      <c r="Y39" s="29">
        <f>VLOOKUP($B39, agr_mes!$B:$XFD, MATCH(gdp_agr_share!Y$1, agr_mes!$B$1:$XFD$1, 0), 0)/VLOOKUP($B39, gdp_tot_mes!$B:$XFD, MATCH(gdp_agr_share!Y$1, gdp_tot_mes!$B$1:$XFD$1, 0), 0)</f>
        <v>0.17840601210716436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x14ac:dyDescent="0.25">
      <c r="A40" s="1" t="s">
        <v>102</v>
      </c>
      <c r="B40" s="1" t="s">
        <v>109</v>
      </c>
      <c r="C40" s="1" t="s">
        <v>110</v>
      </c>
      <c r="D40" s="29">
        <f>VLOOKUP($B40, agr_mes!$B:$XFD, MATCH(gdp_agr_share!D$1, agr_mes!$B$1:$XFD$1, 0), 0)/VLOOKUP($B40, gdp_tot_mes!$B:$XFD, MATCH(gdp_agr_share!D$1, gdp_tot_mes!$B$1:$XFD$1, 0), 0)</f>
        <v>0.51485798813930517</v>
      </c>
      <c r="E40" s="29">
        <f>VLOOKUP($B40, agr_mes!$B:$XFD, MATCH(gdp_agr_share!E$1, agr_mes!$B$1:$XFD$1, 0), 0)/VLOOKUP($B40, gdp_tot_mes!$B:$XFD, MATCH(gdp_agr_share!E$1, gdp_tot_mes!$B$1:$XFD$1, 0), 0)</f>
        <v>0.77078256919056243</v>
      </c>
      <c r="F40" s="29">
        <f>VLOOKUP($B40, agr_mes!$B:$XFD, MATCH(gdp_agr_share!F$1, agr_mes!$B$1:$XFD$1, 0), 0)/VLOOKUP($B40, gdp_tot_mes!$B:$XFD, MATCH(gdp_agr_share!F$1, gdp_tot_mes!$B$1:$XFD$1, 0), 0)</f>
        <v>0.46663085640021928</v>
      </c>
      <c r="G40" s="29">
        <f>VLOOKUP($B40, agr_mes!$B:$XFD, MATCH(gdp_agr_share!G$1, agr_mes!$B$1:$XFD$1, 0), 0)/VLOOKUP($B40, gdp_tot_mes!$B:$XFD, MATCH(gdp_agr_share!G$1, gdp_tot_mes!$B$1:$XFD$1, 0), 0)</f>
        <v>0.54196508232332852</v>
      </c>
      <c r="H40" s="29">
        <f>VLOOKUP($B40, agr_mes!$B:$XFD, MATCH(gdp_agr_share!H$1, agr_mes!$B$1:$XFD$1, 0), 0)/VLOOKUP($B40, gdp_tot_mes!$B:$XFD, MATCH(gdp_agr_share!H$1, gdp_tot_mes!$B$1:$XFD$1, 0), 0)</f>
        <v>0.50750502131776676</v>
      </c>
      <c r="I40" s="29">
        <f>VLOOKUP($B40, agr_mes!$B:$XFD, MATCH(gdp_agr_share!I$1, agr_mes!$B$1:$XFD$1, 0), 0)/VLOOKUP($B40, gdp_tot_mes!$B:$XFD, MATCH(gdp_agr_share!I$1, gdp_tot_mes!$B$1:$XFD$1, 0), 0)</f>
        <v>0.51677727706562593</v>
      </c>
      <c r="J40" s="29">
        <f>VLOOKUP($B40, agr_mes!$B:$XFD, MATCH(gdp_agr_share!J$1, agr_mes!$B$1:$XFD$1, 0), 0)/VLOOKUP($B40, gdp_tot_mes!$B:$XFD, MATCH(gdp_agr_share!J$1, gdp_tot_mes!$B$1:$XFD$1, 0), 0)</f>
        <v>0.36623897594615473</v>
      </c>
      <c r="K40" s="29">
        <f>VLOOKUP($B40, agr_mes!$B:$XFD, MATCH(gdp_agr_share!K$1, agr_mes!$B$1:$XFD$1, 0), 0)/VLOOKUP($B40, gdp_tot_mes!$B:$XFD, MATCH(gdp_agr_share!K$1, gdp_tot_mes!$B$1:$XFD$1, 0), 0)</f>
        <v>0.3323984664760643</v>
      </c>
      <c r="L40" s="30">
        <f t="shared" si="0"/>
        <v>0.34221843217521508</v>
      </c>
      <c r="M40" s="29">
        <f>VLOOKUP($B40, agr_mes!$B:$XFD, MATCH(gdp_agr_share!M$1, agr_mes!$B$1:$XFD$1, 0), 0)/VLOOKUP($B40, gdp_tot_mes!$B:$XFD, MATCH(gdp_agr_share!M$1, gdp_tot_mes!$B$1:$XFD$1, 0), 0)</f>
        <v>0.35400239101419606</v>
      </c>
      <c r="N40" s="29">
        <f>VLOOKUP($B40, agr_mes!$B:$XFD, MATCH(gdp_agr_share!N$1, agr_mes!$B$1:$XFD$1, 0), 0)/VLOOKUP($B40, gdp_tot_mes!$B:$XFD, MATCH(gdp_agr_share!N$1, gdp_tot_mes!$B$1:$XFD$1, 0), 0)</f>
        <v>0.19996469748758733</v>
      </c>
      <c r="O40" s="29">
        <f>VLOOKUP($B40, agr_mes!$B:$XFD, MATCH(gdp_agr_share!O$1, agr_mes!$B$1:$XFD$1, 0), 0)/VLOOKUP($B40, gdp_tot_mes!$B:$XFD, MATCH(gdp_agr_share!O$1, gdp_tot_mes!$B$1:$XFD$1, 0), 0)</f>
        <v>0.19153812409088772</v>
      </c>
      <c r="P40" s="29">
        <f>VLOOKUP($B40, agr_mes!$B:$XFD, MATCH(gdp_agr_share!P$1, agr_mes!$B$1:$XFD$1, 0), 0)/VLOOKUP($B40, gdp_tot_mes!$B:$XFD, MATCH(gdp_agr_share!P$1, gdp_tot_mes!$B$1:$XFD$1, 0), 0)</f>
        <v>0.20166839083926411</v>
      </c>
      <c r="Q40" s="29">
        <f>VLOOKUP($B40, agr_mes!$B:$XFD, MATCH(gdp_agr_share!Q$1, agr_mes!$B$1:$XFD$1, 0), 0)/VLOOKUP($B40, gdp_tot_mes!$B:$XFD, MATCH(gdp_agr_share!Q$1, gdp_tot_mes!$B$1:$XFD$1, 0), 0)</f>
        <v>0.15768241623122098</v>
      </c>
      <c r="R40" s="29">
        <f>VLOOKUP($B40, agr_mes!$B:$XFD, MATCH(gdp_agr_share!R$1, agr_mes!$B$1:$XFD$1, 0), 0)/VLOOKUP($B40, gdp_tot_mes!$B:$XFD, MATCH(gdp_agr_share!R$1, gdp_tot_mes!$B$1:$XFD$1, 0), 0)</f>
        <v>0.20587480113100848</v>
      </c>
      <c r="S40" s="29">
        <f>VLOOKUP($B40, agr_mes!$B:$XFD, MATCH(gdp_agr_share!S$1, agr_mes!$B$1:$XFD$1, 0), 0)/VLOOKUP($B40, gdp_tot_mes!$B:$XFD, MATCH(gdp_agr_share!S$1, gdp_tot_mes!$B$1:$XFD$1, 0), 0)</f>
        <v>0.19777823911031539</v>
      </c>
      <c r="T40" s="29">
        <f>VLOOKUP($B40, agr_mes!$B:$XFD, MATCH(gdp_agr_share!T$1, agr_mes!$B$1:$XFD$1, 0), 0)/VLOOKUP($B40, gdp_tot_mes!$B:$XFD, MATCH(gdp_agr_share!T$1, gdp_tot_mes!$B$1:$XFD$1, 0), 0)</f>
        <v>0.14175597886454785</v>
      </c>
      <c r="U40" s="29">
        <f>VLOOKUP($B40, agr_mes!$B:$XFD, MATCH(gdp_agr_share!U$1, agr_mes!$B$1:$XFD$1, 0), 0)/VLOOKUP($B40, gdp_tot_mes!$B:$XFD, MATCH(gdp_agr_share!U$1, gdp_tot_mes!$B$1:$XFD$1, 0), 0)</f>
        <v>0.12177887973219655</v>
      </c>
      <c r="V40" s="29">
        <f>VLOOKUP($B40, agr_mes!$B:$XFD, MATCH(gdp_agr_share!V$1, agr_mes!$B$1:$XFD$1, 0), 0)/VLOOKUP($B40, gdp_tot_mes!$B:$XFD, MATCH(gdp_agr_share!V$1, gdp_tot_mes!$B$1:$XFD$1, 0), 0)</f>
        <v>0.11409426565159443</v>
      </c>
      <c r="W40" s="29">
        <f>VLOOKUP($B40, agr_mes!$B:$XFD, MATCH(gdp_agr_share!W$1, agr_mes!$B$1:$XFD$1, 0), 0)/VLOOKUP($B40, gdp_tot_mes!$B:$XFD, MATCH(gdp_agr_share!W$1, gdp_tot_mes!$B$1:$XFD$1, 0), 0)</f>
        <v>0.1680082460204414</v>
      </c>
      <c r="X40" s="29">
        <f>VLOOKUP($B40, agr_mes!$B:$XFD, MATCH(gdp_agr_share!X$1, agr_mes!$B$1:$XFD$1, 0), 0)/VLOOKUP($B40, gdp_tot_mes!$B:$XFD, MATCH(gdp_agr_share!X$1, gdp_tot_mes!$B$1:$XFD$1, 0), 0)</f>
        <v>0.12323865254415227</v>
      </c>
      <c r="Y40" s="29">
        <f>VLOOKUP($B40, agr_mes!$B:$XFD, MATCH(gdp_agr_share!Y$1, agr_mes!$B$1:$XFD$1, 0), 0)/VLOOKUP($B40, gdp_tot_mes!$B:$XFD, MATCH(gdp_agr_share!Y$1, gdp_tot_mes!$B$1:$XFD$1, 0), 0)</f>
        <v>0.11520551611395764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25">
      <c r="A41" s="1" t="s">
        <v>102</v>
      </c>
      <c r="B41" s="1" t="s">
        <v>111</v>
      </c>
      <c r="C41" s="1" t="s">
        <v>112</v>
      </c>
      <c r="D41" s="29">
        <f>VLOOKUP($B41, agr_mes!$B:$XFD, MATCH(gdp_agr_share!D$1, agr_mes!$B$1:$XFD$1, 0), 0)/VLOOKUP($B41, gdp_tot_mes!$B:$XFD, MATCH(gdp_agr_share!D$1, gdp_tot_mes!$B$1:$XFD$1, 0), 0)</f>
        <v>0.39332780866393702</v>
      </c>
      <c r="E41" s="29">
        <f>VLOOKUP($B41, agr_mes!$B:$XFD, MATCH(gdp_agr_share!E$1, agr_mes!$B$1:$XFD$1, 0), 0)/VLOOKUP($B41, gdp_tot_mes!$B:$XFD, MATCH(gdp_agr_share!E$1, gdp_tot_mes!$B$1:$XFD$1, 0), 0)</f>
        <v>0.80591983563328762</v>
      </c>
      <c r="F41" s="29">
        <f>VLOOKUP($B41, agr_mes!$B:$XFD, MATCH(gdp_agr_share!F$1, agr_mes!$B$1:$XFD$1, 0), 0)/VLOOKUP($B41, gdp_tot_mes!$B:$XFD, MATCH(gdp_agr_share!F$1, gdp_tot_mes!$B$1:$XFD$1, 0), 0)</f>
        <v>0.50634849742813637</v>
      </c>
      <c r="G41" s="29">
        <f>VLOOKUP($B41, agr_mes!$B:$XFD, MATCH(gdp_agr_share!G$1, agr_mes!$B$1:$XFD$1, 0), 0)/VLOOKUP($B41, gdp_tot_mes!$B:$XFD, MATCH(gdp_agr_share!G$1, gdp_tot_mes!$B$1:$XFD$1, 0), 0)</f>
        <v>0.36670237054173072</v>
      </c>
      <c r="H41" s="29">
        <f>VLOOKUP($B41, agr_mes!$B:$XFD, MATCH(gdp_agr_share!H$1, agr_mes!$B$1:$XFD$1, 0), 0)/VLOOKUP($B41, gdp_tot_mes!$B:$XFD, MATCH(gdp_agr_share!H$1, gdp_tot_mes!$B$1:$XFD$1, 0), 0)</f>
        <v>0.52997752896206196</v>
      </c>
      <c r="I41" s="29">
        <f>VLOOKUP($B41, agr_mes!$B:$XFD, MATCH(gdp_agr_share!I$1, agr_mes!$B$1:$XFD$1, 0), 0)/VLOOKUP($B41, gdp_tot_mes!$B:$XFD, MATCH(gdp_agr_share!I$1, gdp_tot_mes!$B$1:$XFD$1, 0), 0)</f>
        <v>0.5646651607203429</v>
      </c>
      <c r="J41" s="29">
        <f>VLOOKUP($B41, agr_mes!$B:$XFD, MATCH(gdp_agr_share!J$1, agr_mes!$B$1:$XFD$1, 0), 0)/VLOOKUP($B41, gdp_tot_mes!$B:$XFD, MATCH(gdp_agr_share!J$1, gdp_tot_mes!$B$1:$XFD$1, 0), 0)</f>
        <v>0.43326648348755153</v>
      </c>
      <c r="K41" s="29">
        <f>VLOOKUP($B41, agr_mes!$B:$XFD, MATCH(gdp_agr_share!K$1, agr_mes!$B$1:$XFD$1, 0), 0)/VLOOKUP($B41, gdp_tot_mes!$B:$XFD, MATCH(gdp_agr_share!K$1, gdp_tot_mes!$B$1:$XFD$1, 0), 0)</f>
        <v>0.46675552103381529</v>
      </c>
      <c r="L41" s="30">
        <f t="shared" si="0"/>
        <v>0.44472277350252254</v>
      </c>
      <c r="M41" s="29">
        <f>VLOOKUP($B41, agr_mes!$B:$XFD, MATCH(gdp_agr_share!M$1, agr_mes!$B$1:$XFD$1, 0), 0)/VLOOKUP($B41, gdp_tot_mes!$B:$XFD, MATCH(gdp_agr_share!M$1, gdp_tot_mes!$B$1:$XFD$1, 0), 0)</f>
        <v>0.41828347646497122</v>
      </c>
      <c r="N41" s="29">
        <f>VLOOKUP($B41, agr_mes!$B:$XFD, MATCH(gdp_agr_share!N$1, agr_mes!$B$1:$XFD$1, 0), 0)/VLOOKUP($B41, gdp_tot_mes!$B:$XFD, MATCH(gdp_agr_share!N$1, gdp_tot_mes!$B$1:$XFD$1, 0), 0)</f>
        <v>0.35610525277302951</v>
      </c>
      <c r="O41" s="29">
        <f>VLOOKUP($B41, agr_mes!$B:$XFD, MATCH(gdp_agr_share!O$1, agr_mes!$B$1:$XFD$1, 0), 0)/VLOOKUP($B41, gdp_tot_mes!$B:$XFD, MATCH(gdp_agr_share!O$1, gdp_tot_mes!$B$1:$XFD$1, 0), 0)</f>
        <v>0.34887688457331917</v>
      </c>
      <c r="P41" s="29">
        <f>VLOOKUP($B41, agr_mes!$B:$XFD, MATCH(gdp_agr_share!P$1, agr_mes!$B$1:$XFD$1, 0), 0)/VLOOKUP($B41, gdp_tot_mes!$B:$XFD, MATCH(gdp_agr_share!P$1, gdp_tot_mes!$B$1:$XFD$1, 0), 0)</f>
        <v>0.35908370635371722</v>
      </c>
      <c r="Q41" s="29">
        <f>VLOOKUP($B41, agr_mes!$B:$XFD, MATCH(gdp_agr_share!Q$1, agr_mes!$B$1:$XFD$1, 0), 0)/VLOOKUP($B41, gdp_tot_mes!$B:$XFD, MATCH(gdp_agr_share!Q$1, gdp_tot_mes!$B$1:$XFD$1, 0), 0)</f>
        <v>0.36193616581935012</v>
      </c>
      <c r="R41" s="29">
        <f>VLOOKUP($B41, agr_mes!$B:$XFD, MATCH(gdp_agr_share!R$1, agr_mes!$B$1:$XFD$1, 0), 0)/VLOOKUP($B41, gdp_tot_mes!$B:$XFD, MATCH(gdp_agr_share!R$1, gdp_tot_mes!$B$1:$XFD$1, 0), 0)</f>
        <v>0.5048329569292197</v>
      </c>
      <c r="S41" s="29">
        <f>VLOOKUP($B41, agr_mes!$B:$XFD, MATCH(gdp_agr_share!S$1, agr_mes!$B$1:$XFD$1, 0), 0)/VLOOKUP($B41, gdp_tot_mes!$B:$XFD, MATCH(gdp_agr_share!S$1, gdp_tot_mes!$B$1:$XFD$1, 0), 0)</f>
        <v>0.46709854490420533</v>
      </c>
      <c r="T41" s="29">
        <f>VLOOKUP($B41, agr_mes!$B:$XFD, MATCH(gdp_agr_share!T$1, agr_mes!$B$1:$XFD$1, 0), 0)/VLOOKUP($B41, gdp_tot_mes!$B:$XFD, MATCH(gdp_agr_share!T$1, gdp_tot_mes!$B$1:$XFD$1, 0), 0)</f>
        <v>0.40340285472104387</v>
      </c>
      <c r="U41" s="29">
        <f>VLOOKUP($B41, agr_mes!$B:$XFD, MATCH(gdp_agr_share!U$1, agr_mes!$B$1:$XFD$1, 0), 0)/VLOOKUP($B41, gdp_tot_mes!$B:$XFD, MATCH(gdp_agr_share!U$1, gdp_tot_mes!$B$1:$XFD$1, 0), 0)</f>
        <v>0.28064536178611932</v>
      </c>
      <c r="V41" s="29">
        <f>VLOOKUP($B41, agr_mes!$B:$XFD, MATCH(gdp_agr_share!V$1, agr_mes!$B$1:$XFD$1, 0), 0)/VLOOKUP($B41, gdp_tot_mes!$B:$XFD, MATCH(gdp_agr_share!V$1, gdp_tot_mes!$B$1:$XFD$1, 0), 0)</f>
        <v>0.36409591134705932</v>
      </c>
      <c r="W41" s="29">
        <f>VLOOKUP($B41, agr_mes!$B:$XFD, MATCH(gdp_agr_share!W$1, agr_mes!$B$1:$XFD$1, 0), 0)/VLOOKUP($B41, gdp_tot_mes!$B:$XFD, MATCH(gdp_agr_share!W$1, gdp_tot_mes!$B$1:$XFD$1, 0), 0)</f>
        <v>0.51526898627649564</v>
      </c>
      <c r="X41" s="29">
        <f>VLOOKUP($B41, agr_mes!$B:$XFD, MATCH(gdp_agr_share!X$1, agr_mes!$B$1:$XFD$1, 0), 0)/VLOOKUP($B41, gdp_tot_mes!$B:$XFD, MATCH(gdp_agr_share!X$1, gdp_tot_mes!$B$1:$XFD$1, 0), 0)</f>
        <v>0.4149551533626869</v>
      </c>
      <c r="Y41" s="29">
        <f>VLOOKUP($B41, agr_mes!$B:$XFD, MATCH(gdp_agr_share!Y$1, agr_mes!$B$1:$XFD$1, 0), 0)/VLOOKUP($B41, gdp_tot_mes!$B:$XFD, MATCH(gdp_agr_share!Y$1, gdp_tot_mes!$B$1:$XFD$1, 0), 0)</f>
        <v>0.36466728403531445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x14ac:dyDescent="0.25">
      <c r="A42" s="1" t="s">
        <v>113</v>
      </c>
      <c r="B42" s="1" t="s">
        <v>114</v>
      </c>
      <c r="C42" s="1" t="s">
        <v>115</v>
      </c>
      <c r="D42" s="29">
        <f>VLOOKUP($B42, agr_mes!$B:$XFD, MATCH(gdp_agr_share!D$1, agr_mes!$B$1:$XFD$1, 0), 0)/VLOOKUP($B42, gdp_tot_mes!$B:$XFD, MATCH(gdp_agr_share!D$1, gdp_tot_mes!$B$1:$XFD$1, 0), 0)</f>
        <v>0.6629983061841741</v>
      </c>
      <c r="E42" s="29">
        <f>VLOOKUP($B42, agr_mes!$B:$XFD, MATCH(gdp_agr_share!E$1, agr_mes!$B$1:$XFD$1, 0), 0)/VLOOKUP($B42, gdp_tot_mes!$B:$XFD, MATCH(gdp_agr_share!E$1, gdp_tot_mes!$B$1:$XFD$1, 0), 0)</f>
        <v>0.6452015172226262</v>
      </c>
      <c r="F42" s="29">
        <f>VLOOKUP($B42, agr_mes!$B:$XFD, MATCH(gdp_agr_share!F$1, agr_mes!$B$1:$XFD$1, 0), 0)/VLOOKUP($B42, gdp_tot_mes!$B:$XFD, MATCH(gdp_agr_share!F$1, gdp_tot_mes!$B$1:$XFD$1, 0), 0)</f>
        <v>0.85970394202122447</v>
      </c>
      <c r="G42" s="29">
        <f>VLOOKUP($B42, agr_mes!$B:$XFD, MATCH(gdp_agr_share!G$1, agr_mes!$B$1:$XFD$1, 0), 0)/VLOOKUP($B42, gdp_tot_mes!$B:$XFD, MATCH(gdp_agr_share!G$1, gdp_tot_mes!$B$1:$XFD$1, 0), 0)</f>
        <v>0.60736078027449114</v>
      </c>
      <c r="H42" s="29">
        <f>VLOOKUP($B42, agr_mes!$B:$XFD, MATCH(gdp_agr_share!H$1, agr_mes!$B$1:$XFD$1, 0), 0)/VLOOKUP($B42, gdp_tot_mes!$B:$XFD, MATCH(gdp_agr_share!H$1, gdp_tot_mes!$B$1:$XFD$1, 0), 0)</f>
        <v>0.37613437058249105</v>
      </c>
      <c r="I42" s="29">
        <f>VLOOKUP($B42, agr_mes!$B:$XFD, MATCH(gdp_agr_share!I$1, agr_mes!$B$1:$XFD$1, 0), 0)/VLOOKUP($B42, gdp_tot_mes!$B:$XFD, MATCH(gdp_agr_share!I$1, gdp_tot_mes!$B$1:$XFD$1, 0), 0)</f>
        <v>0.45502885450991853</v>
      </c>
      <c r="J42" s="29">
        <f>VLOOKUP($B42, agr_mes!$B:$XFD, MATCH(gdp_agr_share!J$1, agr_mes!$B$1:$XFD$1, 0), 0)/VLOOKUP($B42, gdp_tot_mes!$B:$XFD, MATCH(gdp_agr_share!J$1, gdp_tot_mes!$B$1:$XFD$1, 0), 0)</f>
        <v>0.58339902757821394</v>
      </c>
      <c r="K42" s="29">
        <f>VLOOKUP($B42, agr_mes!$B:$XFD, MATCH(gdp_agr_share!K$1, agr_mes!$B$1:$XFD$1, 0), 0)/VLOOKUP($B42, gdp_tot_mes!$B:$XFD, MATCH(gdp_agr_share!K$1, gdp_tot_mes!$B$1:$XFD$1, 0), 0)</f>
        <v>0.50567032784526089</v>
      </c>
      <c r="L42" s="30">
        <f t="shared" si="0"/>
        <v>0.48955602082118033</v>
      </c>
      <c r="M42" s="29">
        <f>VLOOKUP($B42, agr_mes!$B:$XFD, MATCH(gdp_agr_share!M$1, agr_mes!$B$1:$XFD$1, 0), 0)/VLOOKUP($B42, gdp_tot_mes!$B:$XFD, MATCH(gdp_agr_share!M$1, gdp_tot_mes!$B$1:$XFD$1, 0), 0)</f>
        <v>0.47021885239228367</v>
      </c>
      <c r="N42" s="29">
        <f>VLOOKUP($B42, agr_mes!$B:$XFD, MATCH(gdp_agr_share!N$1, agr_mes!$B$1:$XFD$1, 0), 0)/VLOOKUP($B42, gdp_tot_mes!$B:$XFD, MATCH(gdp_agr_share!N$1, gdp_tot_mes!$B$1:$XFD$1, 0), 0)</f>
        <v>0.41017578699399387</v>
      </c>
      <c r="O42" s="29">
        <f>VLOOKUP($B42, agr_mes!$B:$XFD, MATCH(gdp_agr_share!O$1, agr_mes!$B$1:$XFD$1, 0), 0)/VLOOKUP($B42, gdp_tot_mes!$B:$XFD, MATCH(gdp_agr_share!O$1, gdp_tot_mes!$B$1:$XFD$1, 0), 0)</f>
        <v>0.3791250782412296</v>
      </c>
      <c r="P42" s="29">
        <f>VLOOKUP($B42, agr_mes!$B:$XFD, MATCH(gdp_agr_share!P$1, agr_mes!$B$1:$XFD$1, 0), 0)/VLOOKUP($B42, gdp_tot_mes!$B:$XFD, MATCH(gdp_agr_share!P$1, gdp_tot_mes!$B$1:$XFD$1, 0), 0)</f>
        <v>0.32511929417323443</v>
      </c>
      <c r="Q42" s="29">
        <f>VLOOKUP($B42, agr_mes!$B:$XFD, MATCH(gdp_agr_share!Q$1, agr_mes!$B$1:$XFD$1, 0), 0)/VLOOKUP($B42, gdp_tot_mes!$B:$XFD, MATCH(gdp_agr_share!Q$1, gdp_tot_mes!$B$1:$XFD$1, 0), 0)</f>
        <v>0.23015062113338047</v>
      </c>
      <c r="R42" s="29">
        <f>VLOOKUP($B42, agr_mes!$B:$XFD, MATCH(gdp_agr_share!R$1, agr_mes!$B$1:$XFD$1, 0), 0)/VLOOKUP($B42, gdp_tot_mes!$B:$XFD, MATCH(gdp_agr_share!R$1, gdp_tot_mes!$B$1:$XFD$1, 0), 0)</f>
        <v>0.25818020036529904</v>
      </c>
      <c r="S42" s="29">
        <f>VLOOKUP($B42, agr_mes!$B:$XFD, MATCH(gdp_agr_share!S$1, agr_mes!$B$1:$XFD$1, 0), 0)/VLOOKUP($B42, gdp_tot_mes!$B:$XFD, MATCH(gdp_agr_share!S$1, gdp_tot_mes!$B$1:$XFD$1, 0), 0)</f>
        <v>0.26416428031580574</v>
      </c>
      <c r="T42" s="29">
        <f>VLOOKUP($B42, agr_mes!$B:$XFD, MATCH(gdp_agr_share!T$1, agr_mes!$B$1:$XFD$1, 0), 0)/VLOOKUP($B42, gdp_tot_mes!$B:$XFD, MATCH(gdp_agr_share!T$1, gdp_tot_mes!$B$1:$XFD$1, 0), 0)</f>
        <v>0.2519548401130447</v>
      </c>
      <c r="U42" s="29">
        <f>VLOOKUP($B42, agr_mes!$B:$XFD, MATCH(gdp_agr_share!U$1, agr_mes!$B$1:$XFD$1, 0), 0)/VLOOKUP($B42, gdp_tot_mes!$B:$XFD, MATCH(gdp_agr_share!U$1, gdp_tot_mes!$B$1:$XFD$1, 0), 0)</f>
        <v>0.23555941812750725</v>
      </c>
      <c r="V42" s="29">
        <f>VLOOKUP($B42, agr_mes!$B:$XFD, MATCH(gdp_agr_share!V$1, agr_mes!$B$1:$XFD$1, 0), 0)/VLOOKUP($B42, gdp_tot_mes!$B:$XFD, MATCH(gdp_agr_share!V$1, gdp_tot_mes!$B$1:$XFD$1, 0), 0)</f>
        <v>0.24199806355134545</v>
      </c>
      <c r="W42" s="29">
        <f>VLOOKUP($B42, agr_mes!$B:$XFD, MATCH(gdp_agr_share!W$1, agr_mes!$B$1:$XFD$1, 0), 0)/VLOOKUP($B42, gdp_tot_mes!$B:$XFD, MATCH(gdp_agr_share!W$1, gdp_tot_mes!$B$1:$XFD$1, 0), 0)</f>
        <v>0.24195113279283056</v>
      </c>
      <c r="X42" s="29">
        <f>VLOOKUP($B42, agr_mes!$B:$XFD, MATCH(gdp_agr_share!X$1, agr_mes!$B$1:$XFD$1, 0), 0)/VLOOKUP($B42, gdp_tot_mes!$B:$XFD, MATCH(gdp_agr_share!X$1, gdp_tot_mes!$B$1:$XFD$1, 0), 0)</f>
        <v>0.24426487641226882</v>
      </c>
      <c r="Y42" s="29">
        <f>VLOOKUP($B42, agr_mes!$B:$XFD, MATCH(gdp_agr_share!Y$1, agr_mes!$B$1:$XFD$1, 0), 0)/VLOOKUP($B42, gdp_tot_mes!$B:$XFD, MATCH(gdp_agr_share!Y$1, gdp_tot_mes!$B$1:$XFD$1, 0), 0)</f>
        <v>0.23157378360883357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x14ac:dyDescent="0.25">
      <c r="A43" s="1" t="s">
        <v>113</v>
      </c>
      <c r="B43" s="1" t="s">
        <v>116</v>
      </c>
      <c r="C43" s="1" t="s">
        <v>117</v>
      </c>
      <c r="D43" s="29">
        <f>VLOOKUP($B43, agr_mes!$B:$XFD, MATCH(gdp_agr_share!D$1, agr_mes!$B$1:$XFD$1, 0), 0)/VLOOKUP($B43, gdp_tot_mes!$B:$XFD, MATCH(gdp_agr_share!D$1, gdp_tot_mes!$B$1:$XFD$1, 0), 0)</f>
        <v>0.52565442500757431</v>
      </c>
      <c r="E43" s="29">
        <f>VLOOKUP($B43, agr_mes!$B:$XFD, MATCH(gdp_agr_share!E$1, agr_mes!$B$1:$XFD$1, 0), 0)/VLOOKUP($B43, gdp_tot_mes!$B:$XFD, MATCH(gdp_agr_share!E$1, gdp_tot_mes!$B$1:$XFD$1, 0), 0)</f>
        <v>0.58530430712772574</v>
      </c>
      <c r="F43" s="29">
        <f>VLOOKUP($B43, agr_mes!$B:$XFD, MATCH(gdp_agr_share!F$1, agr_mes!$B$1:$XFD$1, 0), 0)/VLOOKUP($B43, gdp_tot_mes!$B:$XFD, MATCH(gdp_agr_share!F$1, gdp_tot_mes!$B$1:$XFD$1, 0), 0)</f>
        <v>0.69395336139730057</v>
      </c>
      <c r="G43" s="29">
        <f>VLOOKUP($B43, agr_mes!$B:$XFD, MATCH(gdp_agr_share!G$1, agr_mes!$B$1:$XFD$1, 0), 0)/VLOOKUP($B43, gdp_tot_mes!$B:$XFD, MATCH(gdp_agr_share!G$1, gdp_tot_mes!$B$1:$XFD$1, 0), 0)</f>
        <v>0.52365000713143062</v>
      </c>
      <c r="H43" s="29">
        <f>VLOOKUP($B43, agr_mes!$B:$XFD, MATCH(gdp_agr_share!H$1, agr_mes!$B$1:$XFD$1, 0), 0)/VLOOKUP($B43, gdp_tot_mes!$B:$XFD, MATCH(gdp_agr_share!H$1, gdp_tot_mes!$B$1:$XFD$1, 0), 0)</f>
        <v>0.39989364188859944</v>
      </c>
      <c r="I43" s="29">
        <f>VLOOKUP($B43, agr_mes!$B:$XFD, MATCH(gdp_agr_share!I$1, agr_mes!$B$1:$XFD$1, 0), 0)/VLOOKUP($B43, gdp_tot_mes!$B:$XFD, MATCH(gdp_agr_share!I$1, gdp_tot_mes!$B$1:$XFD$1, 0), 0)</f>
        <v>0.35989653107255798</v>
      </c>
      <c r="J43" s="29">
        <f>VLOOKUP($B43, agr_mes!$B:$XFD, MATCH(gdp_agr_share!J$1, agr_mes!$B$1:$XFD$1, 0), 0)/VLOOKUP($B43, gdp_tot_mes!$B:$XFD, MATCH(gdp_agr_share!J$1, gdp_tot_mes!$B$1:$XFD$1, 0), 0)</f>
        <v>0.37615480341091989</v>
      </c>
      <c r="K43" s="29">
        <f>VLOOKUP($B43, agr_mes!$B:$XFD, MATCH(gdp_agr_share!K$1, agr_mes!$B$1:$XFD$1, 0), 0)/VLOOKUP($B43, gdp_tot_mes!$B:$XFD, MATCH(gdp_agr_share!K$1, gdp_tot_mes!$B$1:$XFD$1, 0), 0)</f>
        <v>0.29033278849746336</v>
      </c>
      <c r="L43" s="30">
        <f t="shared" si="0"/>
        <v>0.25641709094975973</v>
      </c>
      <c r="M43" s="29">
        <f>VLOOKUP($B43, agr_mes!$B:$XFD, MATCH(gdp_agr_share!M$1, agr_mes!$B$1:$XFD$1, 0), 0)/VLOOKUP($B43, gdp_tot_mes!$B:$XFD, MATCH(gdp_agr_share!M$1, gdp_tot_mes!$B$1:$XFD$1, 0), 0)</f>
        <v>0.21571825389251534</v>
      </c>
      <c r="N43" s="29">
        <f>VLOOKUP($B43, agr_mes!$B:$XFD, MATCH(gdp_agr_share!N$1, agr_mes!$B$1:$XFD$1, 0), 0)/VLOOKUP($B43, gdp_tot_mes!$B:$XFD, MATCH(gdp_agr_share!N$1, gdp_tot_mes!$B$1:$XFD$1, 0), 0)</f>
        <v>0.14674160975501588</v>
      </c>
      <c r="O43" s="29">
        <f>VLOOKUP($B43, agr_mes!$B:$XFD, MATCH(gdp_agr_share!O$1, agr_mes!$B$1:$XFD$1, 0), 0)/VLOOKUP($B43, gdp_tot_mes!$B:$XFD, MATCH(gdp_agr_share!O$1, gdp_tot_mes!$B$1:$XFD$1, 0), 0)</f>
        <v>0.13970812874149496</v>
      </c>
      <c r="P43" s="29">
        <f>VLOOKUP($B43, agr_mes!$B:$XFD, MATCH(gdp_agr_share!P$1, agr_mes!$B$1:$XFD$1, 0), 0)/VLOOKUP($B43, gdp_tot_mes!$B:$XFD, MATCH(gdp_agr_share!P$1, gdp_tot_mes!$B$1:$XFD$1, 0), 0)</f>
        <v>0.12323815032305355</v>
      </c>
      <c r="Q43" s="29">
        <f>VLOOKUP($B43, agr_mes!$B:$XFD, MATCH(gdp_agr_share!Q$1, agr_mes!$B$1:$XFD$1, 0), 0)/VLOOKUP($B43, gdp_tot_mes!$B:$XFD, MATCH(gdp_agr_share!Q$1, gdp_tot_mes!$B$1:$XFD$1, 0), 0)</f>
        <v>8.6462811111490151E-2</v>
      </c>
      <c r="R43" s="29">
        <f>VLOOKUP($B43, agr_mes!$B:$XFD, MATCH(gdp_agr_share!R$1, agr_mes!$B$1:$XFD$1, 0), 0)/VLOOKUP($B43, gdp_tot_mes!$B:$XFD, MATCH(gdp_agr_share!R$1, gdp_tot_mes!$B$1:$XFD$1, 0), 0)</f>
        <v>8.7008086768034856E-2</v>
      </c>
      <c r="S43" s="29">
        <f>VLOOKUP($B43, agr_mes!$B:$XFD, MATCH(gdp_agr_share!S$1, agr_mes!$B$1:$XFD$1, 0), 0)/VLOOKUP($B43, gdp_tot_mes!$B:$XFD, MATCH(gdp_agr_share!S$1, gdp_tot_mes!$B$1:$XFD$1, 0), 0)</f>
        <v>0.10205752790618182</v>
      </c>
      <c r="T43" s="29">
        <f>VLOOKUP($B43, agr_mes!$B:$XFD, MATCH(gdp_agr_share!T$1, agr_mes!$B$1:$XFD$1, 0), 0)/VLOOKUP($B43, gdp_tot_mes!$B:$XFD, MATCH(gdp_agr_share!T$1, gdp_tot_mes!$B$1:$XFD$1, 0), 0)</f>
        <v>9.9807471797066089E-2</v>
      </c>
      <c r="U43" s="29">
        <f>VLOOKUP($B43, agr_mes!$B:$XFD, MATCH(gdp_agr_share!U$1, agr_mes!$B$1:$XFD$1, 0), 0)/VLOOKUP($B43, gdp_tot_mes!$B:$XFD, MATCH(gdp_agr_share!U$1, gdp_tot_mes!$B$1:$XFD$1, 0), 0)</f>
        <v>8.9959694467874329E-2</v>
      </c>
      <c r="V43" s="29">
        <f>VLOOKUP($B43, agr_mes!$B:$XFD, MATCH(gdp_agr_share!V$1, agr_mes!$B$1:$XFD$1, 0), 0)/VLOOKUP($B43, gdp_tot_mes!$B:$XFD, MATCH(gdp_agr_share!V$1, gdp_tot_mes!$B$1:$XFD$1, 0), 0)</f>
        <v>8.8231441286922979E-2</v>
      </c>
      <c r="W43" s="29">
        <f>VLOOKUP($B43, agr_mes!$B:$XFD, MATCH(gdp_agr_share!W$1, agr_mes!$B$1:$XFD$1, 0), 0)/VLOOKUP($B43, gdp_tot_mes!$B:$XFD, MATCH(gdp_agr_share!W$1, gdp_tot_mes!$B$1:$XFD$1, 0), 0)</f>
        <v>8.8461538691373909E-2</v>
      </c>
      <c r="X43" s="29">
        <f>VLOOKUP($B43, agr_mes!$B:$XFD, MATCH(gdp_agr_share!X$1, agr_mes!$B$1:$XFD$1, 0), 0)/VLOOKUP($B43, gdp_tot_mes!$B:$XFD, MATCH(gdp_agr_share!X$1, gdp_tot_mes!$B$1:$XFD$1, 0), 0)</f>
        <v>8.8887739821866429E-2</v>
      </c>
      <c r="Y43" s="29">
        <f>VLOOKUP($B43, agr_mes!$B:$XFD, MATCH(gdp_agr_share!Y$1, agr_mes!$B$1:$XFD$1, 0), 0)/VLOOKUP($B43, gdp_tot_mes!$B:$XFD, MATCH(gdp_agr_share!Y$1, gdp_tot_mes!$B$1:$XFD$1, 0), 0)</f>
        <v>9.057608216721387E-2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x14ac:dyDescent="0.25">
      <c r="A44" s="1" t="s">
        <v>113</v>
      </c>
      <c r="B44" s="1" t="s">
        <v>118</v>
      </c>
      <c r="C44" s="1" t="s">
        <v>119</v>
      </c>
      <c r="D44" s="29">
        <f>VLOOKUP($B44, agr_mes!$B:$XFD, MATCH(gdp_agr_share!D$1, agr_mes!$B$1:$XFD$1, 0), 0)/VLOOKUP($B44, gdp_tot_mes!$B:$XFD, MATCH(gdp_agr_share!D$1, gdp_tot_mes!$B$1:$XFD$1, 0), 0)</f>
        <v>0.52144631102809202</v>
      </c>
      <c r="E44" s="29">
        <f>VLOOKUP($B44, agr_mes!$B:$XFD, MATCH(gdp_agr_share!E$1, agr_mes!$B$1:$XFD$1, 0), 0)/VLOOKUP($B44, gdp_tot_mes!$B:$XFD, MATCH(gdp_agr_share!E$1, gdp_tot_mes!$B$1:$XFD$1, 0), 0)</f>
        <v>0.55959203072295571</v>
      </c>
      <c r="F44" s="29">
        <f>VLOOKUP($B44, agr_mes!$B:$XFD, MATCH(gdp_agr_share!F$1, agr_mes!$B$1:$XFD$1, 0), 0)/VLOOKUP($B44, gdp_tot_mes!$B:$XFD, MATCH(gdp_agr_share!F$1, gdp_tot_mes!$B$1:$XFD$1, 0), 0)</f>
        <v>0.73260000902716949</v>
      </c>
      <c r="G44" s="29">
        <f>VLOOKUP($B44, agr_mes!$B:$XFD, MATCH(gdp_agr_share!G$1, agr_mes!$B$1:$XFD$1, 0), 0)/VLOOKUP($B44, gdp_tot_mes!$B:$XFD, MATCH(gdp_agr_share!G$1, gdp_tot_mes!$B$1:$XFD$1, 0), 0)</f>
        <v>0.55313111532528092</v>
      </c>
      <c r="H44" s="29">
        <f>VLOOKUP($B44, agr_mes!$B:$XFD, MATCH(gdp_agr_share!H$1, agr_mes!$B$1:$XFD$1, 0), 0)/VLOOKUP($B44, gdp_tot_mes!$B:$XFD, MATCH(gdp_agr_share!H$1, gdp_tot_mes!$B$1:$XFD$1, 0), 0)</f>
        <v>0.32234883328635572</v>
      </c>
      <c r="I44" s="29">
        <f>VLOOKUP($B44, agr_mes!$B:$XFD, MATCH(gdp_agr_share!I$1, agr_mes!$B$1:$XFD$1, 0), 0)/VLOOKUP($B44, gdp_tot_mes!$B:$XFD, MATCH(gdp_agr_share!I$1, gdp_tot_mes!$B$1:$XFD$1, 0), 0)</f>
        <v>0.41780828270441145</v>
      </c>
      <c r="J44" s="29">
        <f>VLOOKUP($B44, agr_mes!$B:$XFD, MATCH(gdp_agr_share!J$1, agr_mes!$B$1:$XFD$1, 0), 0)/VLOOKUP($B44, gdp_tot_mes!$B:$XFD, MATCH(gdp_agr_share!J$1, gdp_tot_mes!$B$1:$XFD$1, 0), 0)</f>
        <v>0.42675213748801116</v>
      </c>
      <c r="K44" s="29">
        <f>VLOOKUP($B44, agr_mes!$B:$XFD, MATCH(gdp_agr_share!K$1, agr_mes!$B$1:$XFD$1, 0), 0)/VLOOKUP($B44, gdp_tot_mes!$B:$XFD, MATCH(gdp_agr_share!K$1, gdp_tot_mes!$B$1:$XFD$1, 0), 0)</f>
        <v>0.44297076388114931</v>
      </c>
      <c r="L44" s="30">
        <f t="shared" si="0"/>
        <v>0.42280970919731942</v>
      </c>
      <c r="M44" s="29">
        <f>VLOOKUP($B44, agr_mes!$B:$XFD, MATCH(gdp_agr_share!M$1, agr_mes!$B$1:$XFD$1, 0), 0)/VLOOKUP($B44, gdp_tot_mes!$B:$XFD, MATCH(gdp_agr_share!M$1, gdp_tot_mes!$B$1:$XFD$1, 0), 0)</f>
        <v>0.39861644357672349</v>
      </c>
      <c r="N44" s="29">
        <f>VLOOKUP($B44, agr_mes!$B:$XFD, MATCH(gdp_agr_share!N$1, agr_mes!$B$1:$XFD$1, 0), 0)/VLOOKUP($B44, gdp_tot_mes!$B:$XFD, MATCH(gdp_agr_share!N$1, gdp_tot_mes!$B$1:$XFD$1, 0), 0)</f>
        <v>0.191399273885173</v>
      </c>
      <c r="O44" s="29">
        <f>VLOOKUP($B44, agr_mes!$B:$XFD, MATCH(gdp_agr_share!O$1, agr_mes!$B$1:$XFD$1, 0), 0)/VLOOKUP($B44, gdp_tot_mes!$B:$XFD, MATCH(gdp_agr_share!O$1, gdp_tot_mes!$B$1:$XFD$1, 0), 0)</f>
        <v>0.23616415894587001</v>
      </c>
      <c r="P44" s="29">
        <f>VLOOKUP($B44, agr_mes!$B:$XFD, MATCH(gdp_agr_share!P$1, agr_mes!$B$1:$XFD$1, 0), 0)/VLOOKUP($B44, gdp_tot_mes!$B:$XFD, MATCH(gdp_agr_share!P$1, gdp_tot_mes!$B$1:$XFD$1, 0), 0)</f>
        <v>0.19406446199513419</v>
      </c>
      <c r="Q44" s="29">
        <f>VLOOKUP($B44, agr_mes!$B:$XFD, MATCH(gdp_agr_share!Q$1, agr_mes!$B$1:$XFD$1, 0), 0)/VLOOKUP($B44, gdp_tot_mes!$B:$XFD, MATCH(gdp_agr_share!Q$1, gdp_tot_mes!$B$1:$XFD$1, 0), 0)</f>
        <v>0.1039946289991609</v>
      </c>
      <c r="R44" s="29">
        <f>VLOOKUP($B44, agr_mes!$B:$XFD, MATCH(gdp_agr_share!R$1, agr_mes!$B$1:$XFD$1, 0), 0)/VLOOKUP($B44, gdp_tot_mes!$B:$XFD, MATCH(gdp_agr_share!R$1, gdp_tot_mes!$B$1:$XFD$1, 0), 0)</f>
        <v>0.1570473220460864</v>
      </c>
      <c r="S44" s="29">
        <f>VLOOKUP($B44, agr_mes!$B:$XFD, MATCH(gdp_agr_share!S$1, agr_mes!$B$1:$XFD$1, 0), 0)/VLOOKUP($B44, gdp_tot_mes!$B:$XFD, MATCH(gdp_agr_share!S$1, gdp_tot_mes!$B$1:$XFD$1, 0), 0)</f>
        <v>0.11983096759167437</v>
      </c>
      <c r="T44" s="29">
        <f>VLOOKUP($B44, agr_mes!$B:$XFD, MATCH(gdp_agr_share!T$1, agr_mes!$B$1:$XFD$1, 0), 0)/VLOOKUP($B44, gdp_tot_mes!$B:$XFD, MATCH(gdp_agr_share!T$1, gdp_tot_mes!$B$1:$XFD$1, 0), 0)</f>
        <v>0.11358659517756285</v>
      </c>
      <c r="U44" s="29">
        <f>VLOOKUP($B44, agr_mes!$B:$XFD, MATCH(gdp_agr_share!U$1, agr_mes!$B$1:$XFD$1, 0), 0)/VLOOKUP($B44, gdp_tot_mes!$B:$XFD, MATCH(gdp_agr_share!U$1, gdp_tot_mes!$B$1:$XFD$1, 0), 0)</f>
        <v>0.10023441414863331</v>
      </c>
      <c r="V44" s="29">
        <f>VLOOKUP($B44, agr_mes!$B:$XFD, MATCH(gdp_agr_share!V$1, agr_mes!$B$1:$XFD$1, 0), 0)/VLOOKUP($B44, gdp_tot_mes!$B:$XFD, MATCH(gdp_agr_share!V$1, gdp_tot_mes!$B$1:$XFD$1, 0), 0)</f>
        <v>0.13732678610684085</v>
      </c>
      <c r="W44" s="29">
        <f>VLOOKUP($B44, agr_mes!$B:$XFD, MATCH(gdp_agr_share!W$1, agr_mes!$B$1:$XFD$1, 0), 0)/VLOOKUP($B44, gdp_tot_mes!$B:$XFD, MATCH(gdp_agr_share!W$1, gdp_tot_mes!$B$1:$XFD$1, 0), 0)</f>
        <v>0.11253748658692496</v>
      </c>
      <c r="X44" s="29">
        <f>VLOOKUP($B44, agr_mes!$B:$XFD, MATCH(gdp_agr_share!X$1, agr_mes!$B$1:$XFD$1, 0), 0)/VLOOKUP($B44, gdp_tot_mes!$B:$XFD, MATCH(gdp_agr_share!X$1, gdp_tot_mes!$B$1:$XFD$1, 0), 0)</f>
        <v>0.1059127491543462</v>
      </c>
      <c r="Y44" s="29">
        <f>VLOOKUP($B44, agr_mes!$B:$XFD, MATCH(gdp_agr_share!Y$1, agr_mes!$B$1:$XFD$1, 0), 0)/VLOOKUP($B44, gdp_tot_mes!$B:$XFD, MATCH(gdp_agr_share!Y$1, gdp_tot_mes!$B$1:$XFD$1, 0), 0)</f>
        <v>9.5107462909360452E-2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x14ac:dyDescent="0.25">
      <c r="A45" s="1" t="s">
        <v>113</v>
      </c>
      <c r="B45" s="1" t="s">
        <v>120</v>
      </c>
      <c r="C45" s="1" t="s">
        <v>121</v>
      </c>
      <c r="D45" s="29">
        <f>VLOOKUP($B45, agr_mes!$B:$XFD, MATCH(gdp_agr_share!D$1, agr_mes!$B$1:$XFD$1, 0), 0)/VLOOKUP($B45, gdp_tot_mes!$B:$XFD, MATCH(gdp_agr_share!D$1, gdp_tot_mes!$B$1:$XFD$1, 0), 0)</f>
        <v>0.69674907240899597</v>
      </c>
      <c r="E45" s="29">
        <f>VLOOKUP($B45, agr_mes!$B:$XFD, MATCH(gdp_agr_share!E$1, agr_mes!$B$1:$XFD$1, 0), 0)/VLOOKUP($B45, gdp_tot_mes!$B:$XFD, MATCH(gdp_agr_share!E$1, gdp_tot_mes!$B$1:$XFD$1, 0), 0)</f>
        <v>0.51275754173802268</v>
      </c>
      <c r="F45" s="29">
        <f>VLOOKUP($B45, agr_mes!$B:$XFD, MATCH(gdp_agr_share!F$1, agr_mes!$B$1:$XFD$1, 0), 0)/VLOOKUP($B45, gdp_tot_mes!$B:$XFD, MATCH(gdp_agr_share!F$1, gdp_tot_mes!$B$1:$XFD$1, 0), 0)</f>
        <v>0.66400373412349678</v>
      </c>
      <c r="G45" s="29">
        <f>VLOOKUP($B45, agr_mes!$B:$XFD, MATCH(gdp_agr_share!G$1, agr_mes!$B$1:$XFD$1, 0), 0)/VLOOKUP($B45, gdp_tot_mes!$B:$XFD, MATCH(gdp_agr_share!G$1, gdp_tot_mes!$B$1:$XFD$1, 0), 0)</f>
        <v>0.37337656701304861</v>
      </c>
      <c r="H45" s="29">
        <f>VLOOKUP($B45, agr_mes!$B:$XFD, MATCH(gdp_agr_share!H$1, agr_mes!$B$1:$XFD$1, 0), 0)/VLOOKUP($B45, gdp_tot_mes!$B:$XFD, MATCH(gdp_agr_share!H$1, gdp_tot_mes!$B$1:$XFD$1, 0), 0)</f>
        <v>0.33022535625020566</v>
      </c>
      <c r="I45" s="29">
        <f>VLOOKUP($B45, agr_mes!$B:$XFD, MATCH(gdp_agr_share!I$1, agr_mes!$B$1:$XFD$1, 0), 0)/VLOOKUP($B45, gdp_tot_mes!$B:$XFD, MATCH(gdp_agr_share!I$1, gdp_tot_mes!$B$1:$XFD$1, 0), 0)</f>
        <v>0.36812009799513257</v>
      </c>
      <c r="J45" s="29">
        <f>VLOOKUP($B45, agr_mes!$B:$XFD, MATCH(gdp_agr_share!J$1, agr_mes!$B$1:$XFD$1, 0), 0)/VLOOKUP($B45, gdp_tot_mes!$B:$XFD, MATCH(gdp_agr_share!J$1, gdp_tot_mes!$B$1:$XFD$1, 0), 0)</f>
        <v>0.48402272977146749</v>
      </c>
      <c r="K45" s="29">
        <f>VLOOKUP($B45, agr_mes!$B:$XFD, MATCH(gdp_agr_share!K$1, agr_mes!$B$1:$XFD$1, 0), 0)/VLOOKUP($B45, gdp_tot_mes!$B:$XFD, MATCH(gdp_agr_share!K$1, gdp_tot_mes!$B$1:$XFD$1, 0), 0)</f>
        <v>0.38712238363146123</v>
      </c>
      <c r="L45" s="30">
        <f t="shared" si="0"/>
        <v>0.31575779998118458</v>
      </c>
      <c r="M45" s="29">
        <f>VLOOKUP($B45, agr_mes!$B:$XFD, MATCH(gdp_agr_share!M$1, agr_mes!$B$1:$XFD$1, 0), 0)/VLOOKUP($B45, gdp_tot_mes!$B:$XFD, MATCH(gdp_agr_share!M$1, gdp_tot_mes!$B$1:$XFD$1, 0), 0)</f>
        <v>0.23012029960085262</v>
      </c>
      <c r="N45" s="29">
        <f>VLOOKUP($B45, agr_mes!$B:$XFD, MATCH(gdp_agr_share!N$1, agr_mes!$B$1:$XFD$1, 0), 0)/VLOOKUP($B45, gdp_tot_mes!$B:$XFD, MATCH(gdp_agr_share!N$1, gdp_tot_mes!$B$1:$XFD$1, 0), 0)</f>
        <v>0.14942213669129037</v>
      </c>
      <c r="O45" s="29">
        <f>VLOOKUP($B45, agr_mes!$B:$XFD, MATCH(gdp_agr_share!O$1, agr_mes!$B$1:$XFD$1, 0), 0)/VLOOKUP($B45, gdp_tot_mes!$B:$XFD, MATCH(gdp_agr_share!O$1, gdp_tot_mes!$B$1:$XFD$1, 0), 0)</f>
        <v>0.14148690907736133</v>
      </c>
      <c r="P45" s="29">
        <f>VLOOKUP($B45, agr_mes!$B:$XFD, MATCH(gdp_agr_share!P$1, agr_mes!$B$1:$XFD$1, 0), 0)/VLOOKUP($B45, gdp_tot_mes!$B:$XFD, MATCH(gdp_agr_share!P$1, gdp_tot_mes!$B$1:$XFD$1, 0), 0)</f>
        <v>0.11376964032904674</v>
      </c>
      <c r="Q45" s="29">
        <f>VLOOKUP($B45, agr_mes!$B:$XFD, MATCH(gdp_agr_share!Q$1, agr_mes!$B$1:$XFD$1, 0), 0)/VLOOKUP($B45, gdp_tot_mes!$B:$XFD, MATCH(gdp_agr_share!Q$1, gdp_tot_mes!$B$1:$XFD$1, 0), 0)</f>
        <v>9.2264901435233498E-2</v>
      </c>
      <c r="R45" s="29">
        <f>VLOOKUP($B45, agr_mes!$B:$XFD, MATCH(gdp_agr_share!R$1, agr_mes!$B$1:$XFD$1, 0), 0)/VLOOKUP($B45, gdp_tot_mes!$B:$XFD, MATCH(gdp_agr_share!R$1, gdp_tot_mes!$B$1:$XFD$1, 0), 0)</f>
        <v>0.10156983162842587</v>
      </c>
      <c r="S45" s="29">
        <f>VLOOKUP($B45, agr_mes!$B:$XFD, MATCH(gdp_agr_share!S$1, agr_mes!$B$1:$XFD$1, 0), 0)/VLOOKUP($B45, gdp_tot_mes!$B:$XFD, MATCH(gdp_agr_share!S$1, gdp_tot_mes!$B$1:$XFD$1, 0), 0)</f>
        <v>0.10887747352120125</v>
      </c>
      <c r="T45" s="29">
        <f>VLOOKUP($B45, agr_mes!$B:$XFD, MATCH(gdp_agr_share!T$1, agr_mes!$B$1:$XFD$1, 0), 0)/VLOOKUP($B45, gdp_tot_mes!$B:$XFD, MATCH(gdp_agr_share!T$1, gdp_tot_mes!$B$1:$XFD$1, 0), 0)</f>
        <v>9.6627550525982403E-2</v>
      </c>
      <c r="U45" s="29">
        <f>VLOOKUP($B45, agr_mes!$B:$XFD, MATCH(gdp_agr_share!U$1, agr_mes!$B$1:$XFD$1, 0), 0)/VLOOKUP($B45, gdp_tot_mes!$B:$XFD, MATCH(gdp_agr_share!U$1, gdp_tot_mes!$B$1:$XFD$1, 0), 0)</f>
        <v>0.10513545550563996</v>
      </c>
      <c r="V45" s="29">
        <f>VLOOKUP($B45, agr_mes!$B:$XFD, MATCH(gdp_agr_share!V$1, agr_mes!$B$1:$XFD$1, 0), 0)/VLOOKUP($B45, gdp_tot_mes!$B:$XFD, MATCH(gdp_agr_share!V$1, gdp_tot_mes!$B$1:$XFD$1, 0), 0)</f>
        <v>0.1055115607002733</v>
      </c>
      <c r="W45" s="29">
        <f>VLOOKUP($B45, agr_mes!$B:$XFD, MATCH(gdp_agr_share!W$1, agr_mes!$B$1:$XFD$1, 0), 0)/VLOOKUP($B45, gdp_tot_mes!$B:$XFD, MATCH(gdp_agr_share!W$1, gdp_tot_mes!$B$1:$XFD$1, 0), 0)</f>
        <v>9.0928669715556201E-2</v>
      </c>
      <c r="X45" s="29">
        <f>VLOOKUP($B45, agr_mes!$B:$XFD, MATCH(gdp_agr_share!X$1, agr_mes!$B$1:$XFD$1, 0), 0)/VLOOKUP($B45, gdp_tot_mes!$B:$XFD, MATCH(gdp_agr_share!X$1, gdp_tot_mes!$B$1:$XFD$1, 0), 0)</f>
        <v>8.5703370830614342E-2</v>
      </c>
      <c r="Y45" s="29">
        <f>VLOOKUP($B45, agr_mes!$B:$XFD, MATCH(gdp_agr_share!Y$1, agr_mes!$B$1:$XFD$1, 0), 0)/VLOOKUP($B45, gdp_tot_mes!$B:$XFD, MATCH(gdp_agr_share!Y$1, gdp_tot_mes!$B$1:$XFD$1, 0), 0)</f>
        <v>0.11584181658318198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x14ac:dyDescent="0.25">
      <c r="A46" s="1" t="s">
        <v>113</v>
      </c>
      <c r="B46" s="1" t="s">
        <v>122</v>
      </c>
      <c r="C46" s="1" t="s">
        <v>123</v>
      </c>
      <c r="D46" s="29">
        <f>VLOOKUP($B46, agr_mes!$B:$XFD, MATCH(gdp_agr_share!D$1, agr_mes!$B$1:$XFD$1, 0), 0)/VLOOKUP($B46, gdp_tot_mes!$B:$XFD, MATCH(gdp_agr_share!D$1, gdp_tot_mes!$B$1:$XFD$1, 0), 0)</f>
        <v>0.67997326691077353</v>
      </c>
      <c r="E46" s="29">
        <f>VLOOKUP($B46, agr_mes!$B:$XFD, MATCH(gdp_agr_share!E$1, agr_mes!$B$1:$XFD$1, 0), 0)/VLOOKUP($B46, gdp_tot_mes!$B:$XFD, MATCH(gdp_agr_share!E$1, gdp_tot_mes!$B$1:$XFD$1, 0), 0)</f>
        <v>0.4426481884635784</v>
      </c>
      <c r="F46" s="29">
        <f>VLOOKUP($B46, agr_mes!$B:$XFD, MATCH(gdp_agr_share!F$1, agr_mes!$B$1:$XFD$1, 0), 0)/VLOOKUP($B46, gdp_tot_mes!$B:$XFD, MATCH(gdp_agr_share!F$1, gdp_tot_mes!$B$1:$XFD$1, 0), 0)</f>
        <v>0.45131410970183933</v>
      </c>
      <c r="G46" s="29">
        <f>VLOOKUP($B46, agr_mes!$B:$XFD, MATCH(gdp_agr_share!G$1, agr_mes!$B$1:$XFD$1, 0), 0)/VLOOKUP($B46, gdp_tot_mes!$B:$XFD, MATCH(gdp_agr_share!G$1, gdp_tot_mes!$B$1:$XFD$1, 0), 0)</f>
        <v>0.30232445715619427</v>
      </c>
      <c r="H46" s="29">
        <f>VLOOKUP($B46, agr_mes!$B:$XFD, MATCH(gdp_agr_share!H$1, agr_mes!$B$1:$XFD$1, 0), 0)/VLOOKUP($B46, gdp_tot_mes!$B:$XFD, MATCH(gdp_agr_share!H$1, gdp_tot_mes!$B$1:$XFD$1, 0), 0)</f>
        <v>0.24639261441222057</v>
      </c>
      <c r="I46" s="29">
        <f>VLOOKUP($B46, agr_mes!$B:$XFD, MATCH(gdp_agr_share!I$1, agr_mes!$B$1:$XFD$1, 0), 0)/VLOOKUP($B46, gdp_tot_mes!$B:$XFD, MATCH(gdp_agr_share!I$1, gdp_tot_mes!$B$1:$XFD$1, 0), 0)</f>
        <v>0.24145774799299297</v>
      </c>
      <c r="J46" s="29">
        <f>VLOOKUP($B46, agr_mes!$B:$XFD, MATCH(gdp_agr_share!J$1, agr_mes!$B$1:$XFD$1, 0), 0)/VLOOKUP($B46, gdp_tot_mes!$B:$XFD, MATCH(gdp_agr_share!J$1, gdp_tot_mes!$B$1:$XFD$1, 0), 0)</f>
        <v>0.27854648929010362</v>
      </c>
      <c r="K46" s="29">
        <f>VLOOKUP($B46, agr_mes!$B:$XFD, MATCH(gdp_agr_share!K$1, agr_mes!$B$1:$XFD$1, 0), 0)/VLOOKUP($B46, gdp_tot_mes!$B:$XFD, MATCH(gdp_agr_share!K$1, gdp_tot_mes!$B$1:$XFD$1, 0), 0)</f>
        <v>0.27160301007400794</v>
      </c>
      <c r="L46" s="30">
        <f t="shared" si="0"/>
        <v>0.25918912467330157</v>
      </c>
      <c r="M46" s="29">
        <f>VLOOKUP($B46, agr_mes!$B:$XFD, MATCH(gdp_agr_share!M$1, agr_mes!$B$1:$XFD$1, 0), 0)/VLOOKUP($B46, gdp_tot_mes!$B:$XFD, MATCH(gdp_agr_share!M$1, gdp_tot_mes!$B$1:$XFD$1, 0), 0)</f>
        <v>0.24429246219245399</v>
      </c>
      <c r="N46" s="29">
        <f>VLOOKUP($B46, agr_mes!$B:$XFD, MATCH(gdp_agr_share!N$1, agr_mes!$B$1:$XFD$1, 0), 0)/VLOOKUP($B46, gdp_tot_mes!$B:$XFD, MATCH(gdp_agr_share!N$1, gdp_tot_mes!$B$1:$XFD$1, 0), 0)</f>
        <v>0.1761351759690836</v>
      </c>
      <c r="O46" s="29">
        <f>VLOOKUP($B46, agr_mes!$B:$XFD, MATCH(gdp_agr_share!O$1, agr_mes!$B$1:$XFD$1, 0), 0)/VLOOKUP($B46, gdp_tot_mes!$B:$XFD, MATCH(gdp_agr_share!O$1, gdp_tot_mes!$B$1:$XFD$1, 0), 0)</f>
        <v>0.16306182242849021</v>
      </c>
      <c r="P46" s="29">
        <f>VLOOKUP($B46, agr_mes!$B:$XFD, MATCH(gdp_agr_share!P$1, agr_mes!$B$1:$XFD$1, 0), 0)/VLOOKUP($B46, gdp_tot_mes!$B:$XFD, MATCH(gdp_agr_share!P$1, gdp_tot_mes!$B$1:$XFD$1, 0), 0)</f>
        <v>0.15798022965928579</v>
      </c>
      <c r="Q46" s="29">
        <f>VLOOKUP($B46, agr_mes!$B:$XFD, MATCH(gdp_agr_share!Q$1, agr_mes!$B$1:$XFD$1, 0), 0)/VLOOKUP($B46, gdp_tot_mes!$B:$XFD, MATCH(gdp_agr_share!Q$1, gdp_tot_mes!$B$1:$XFD$1, 0), 0)</f>
        <v>9.5812219649156899E-2</v>
      </c>
      <c r="R46" s="29">
        <f>VLOOKUP($B46, agr_mes!$B:$XFD, MATCH(gdp_agr_share!R$1, agr_mes!$B$1:$XFD$1, 0), 0)/VLOOKUP($B46, gdp_tot_mes!$B:$XFD, MATCH(gdp_agr_share!R$1, gdp_tot_mes!$B$1:$XFD$1, 0), 0)</f>
        <v>9.7482562411035978E-2</v>
      </c>
      <c r="S46" s="29">
        <f>VLOOKUP($B46, agr_mes!$B:$XFD, MATCH(gdp_agr_share!S$1, agr_mes!$B$1:$XFD$1, 0), 0)/VLOOKUP($B46, gdp_tot_mes!$B:$XFD, MATCH(gdp_agr_share!S$1, gdp_tot_mes!$B$1:$XFD$1, 0), 0)</f>
        <v>0.11527084507266783</v>
      </c>
      <c r="T46" s="29">
        <f>VLOOKUP($B46, agr_mes!$B:$XFD, MATCH(gdp_agr_share!T$1, agr_mes!$B$1:$XFD$1, 0), 0)/VLOOKUP($B46, gdp_tot_mes!$B:$XFD, MATCH(gdp_agr_share!T$1, gdp_tot_mes!$B$1:$XFD$1, 0), 0)</f>
        <v>0.10388922592225881</v>
      </c>
      <c r="U46" s="29">
        <f>VLOOKUP($B46, agr_mes!$B:$XFD, MATCH(gdp_agr_share!U$1, agr_mes!$B$1:$XFD$1, 0), 0)/VLOOKUP($B46, gdp_tot_mes!$B:$XFD, MATCH(gdp_agr_share!U$1, gdp_tot_mes!$B$1:$XFD$1, 0), 0)</f>
        <v>0.10247359748464734</v>
      </c>
      <c r="V46" s="29">
        <f>VLOOKUP($B46, agr_mes!$B:$XFD, MATCH(gdp_agr_share!V$1, agr_mes!$B$1:$XFD$1, 0), 0)/VLOOKUP($B46, gdp_tot_mes!$B:$XFD, MATCH(gdp_agr_share!V$1, gdp_tot_mes!$B$1:$XFD$1, 0), 0)</f>
        <v>9.4873907805396507E-2</v>
      </c>
      <c r="W46" s="29">
        <f>VLOOKUP($B46, agr_mes!$B:$XFD, MATCH(gdp_agr_share!W$1, agr_mes!$B$1:$XFD$1, 0), 0)/VLOOKUP($B46, gdp_tot_mes!$B:$XFD, MATCH(gdp_agr_share!W$1, gdp_tot_mes!$B$1:$XFD$1, 0), 0)</f>
        <v>9.8977105863130035E-2</v>
      </c>
      <c r="X46" s="29">
        <f>VLOOKUP($B46, agr_mes!$B:$XFD, MATCH(gdp_agr_share!X$1, agr_mes!$B$1:$XFD$1, 0), 0)/VLOOKUP($B46, gdp_tot_mes!$B:$XFD, MATCH(gdp_agr_share!X$1, gdp_tot_mes!$B$1:$XFD$1, 0), 0)</f>
        <v>9.6479862661078497E-2</v>
      </c>
      <c r="Y46" s="29">
        <f>VLOOKUP($B46, agr_mes!$B:$XFD, MATCH(gdp_agr_share!Y$1, agr_mes!$B$1:$XFD$1, 0), 0)/VLOOKUP($B46, gdp_tot_mes!$B:$XFD, MATCH(gdp_agr_share!Y$1, gdp_tot_mes!$B$1:$XFD$1, 0), 0)</f>
        <v>9.7332341862488334E-2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x14ac:dyDescent="0.25">
      <c r="A47" s="1" t="s">
        <v>113</v>
      </c>
      <c r="B47" s="1" t="s">
        <v>124</v>
      </c>
      <c r="C47" s="1" t="s">
        <v>125</v>
      </c>
      <c r="D47" s="29">
        <f>VLOOKUP($B47, agr_mes!$B:$XFD, MATCH(gdp_agr_share!D$1, agr_mes!$B$1:$XFD$1, 0), 0)/VLOOKUP($B47, gdp_tot_mes!$B:$XFD, MATCH(gdp_agr_share!D$1, gdp_tot_mes!$B$1:$XFD$1, 0), 0)</f>
        <v>0.62338939198760901</v>
      </c>
      <c r="E47" s="29">
        <f>VLOOKUP($B47, agr_mes!$B:$XFD, MATCH(gdp_agr_share!E$1, agr_mes!$B$1:$XFD$1, 0), 0)/VLOOKUP($B47, gdp_tot_mes!$B:$XFD, MATCH(gdp_agr_share!E$1, gdp_tot_mes!$B$1:$XFD$1, 0), 0)</f>
        <v>0.46607909490710603</v>
      </c>
      <c r="F47" s="29">
        <f>VLOOKUP($B47, agr_mes!$B:$XFD, MATCH(gdp_agr_share!F$1, agr_mes!$B$1:$XFD$1, 0), 0)/VLOOKUP($B47, gdp_tot_mes!$B:$XFD, MATCH(gdp_agr_share!F$1, gdp_tot_mes!$B$1:$XFD$1, 0), 0)</f>
        <v>0.50532397158509934</v>
      </c>
      <c r="G47" s="29">
        <f>VLOOKUP($B47, agr_mes!$B:$XFD, MATCH(gdp_agr_share!G$1, agr_mes!$B$1:$XFD$1, 0), 0)/VLOOKUP($B47, gdp_tot_mes!$B:$XFD, MATCH(gdp_agr_share!G$1, gdp_tot_mes!$B$1:$XFD$1, 0), 0)</f>
        <v>0.37353756921144587</v>
      </c>
      <c r="H47" s="29">
        <f>VLOOKUP($B47, agr_mes!$B:$XFD, MATCH(gdp_agr_share!H$1, agr_mes!$B$1:$XFD$1, 0), 0)/VLOOKUP($B47, gdp_tot_mes!$B:$XFD, MATCH(gdp_agr_share!H$1, gdp_tot_mes!$B$1:$XFD$1, 0), 0)</f>
        <v>0.31416974265970588</v>
      </c>
      <c r="I47" s="29">
        <f>VLOOKUP($B47, agr_mes!$B:$XFD, MATCH(gdp_agr_share!I$1, agr_mes!$B$1:$XFD$1, 0), 0)/VLOOKUP($B47, gdp_tot_mes!$B:$XFD, MATCH(gdp_agr_share!I$1, gdp_tot_mes!$B$1:$XFD$1, 0), 0)</f>
        <v>0.3351449494369117</v>
      </c>
      <c r="J47" s="29">
        <f>VLOOKUP($B47, agr_mes!$B:$XFD, MATCH(gdp_agr_share!J$1, agr_mes!$B$1:$XFD$1, 0), 0)/VLOOKUP($B47, gdp_tot_mes!$B:$XFD, MATCH(gdp_agr_share!J$1, gdp_tot_mes!$B$1:$XFD$1, 0), 0)</f>
        <v>0.38224414606790941</v>
      </c>
      <c r="K47" s="29">
        <f>VLOOKUP($B47, agr_mes!$B:$XFD, MATCH(gdp_agr_share!K$1, agr_mes!$B$1:$XFD$1, 0), 0)/VLOOKUP($B47, gdp_tot_mes!$B:$XFD, MATCH(gdp_agr_share!K$1, gdp_tot_mes!$B$1:$XFD$1, 0), 0)</f>
        <v>0.30512555951008979</v>
      </c>
      <c r="L47" s="30">
        <f t="shared" si="0"/>
        <v>0.31258524388069298</v>
      </c>
      <c r="M47" s="29">
        <f>VLOOKUP($B47, agr_mes!$B:$XFD, MATCH(gdp_agr_share!M$1, agr_mes!$B$1:$XFD$1, 0), 0)/VLOOKUP($B47, gdp_tot_mes!$B:$XFD, MATCH(gdp_agr_share!M$1, gdp_tot_mes!$B$1:$XFD$1, 0), 0)</f>
        <v>0.32153686512541685</v>
      </c>
      <c r="N47" s="29">
        <f>VLOOKUP($B47, agr_mes!$B:$XFD, MATCH(gdp_agr_share!N$1, agr_mes!$B$1:$XFD$1, 0), 0)/VLOOKUP($B47, gdp_tot_mes!$B:$XFD, MATCH(gdp_agr_share!N$1, gdp_tot_mes!$B$1:$XFD$1, 0), 0)</f>
        <v>0.20568812097823005</v>
      </c>
      <c r="O47" s="29">
        <f>VLOOKUP($B47, agr_mes!$B:$XFD, MATCH(gdp_agr_share!O$1, agr_mes!$B$1:$XFD$1, 0), 0)/VLOOKUP($B47, gdp_tot_mes!$B:$XFD, MATCH(gdp_agr_share!O$1, gdp_tot_mes!$B$1:$XFD$1, 0), 0)</f>
        <v>0.1967890583160127</v>
      </c>
      <c r="P47" s="29">
        <f>VLOOKUP($B47, agr_mes!$B:$XFD, MATCH(gdp_agr_share!P$1, agr_mes!$B$1:$XFD$1, 0), 0)/VLOOKUP($B47, gdp_tot_mes!$B:$XFD, MATCH(gdp_agr_share!P$1, gdp_tot_mes!$B$1:$XFD$1, 0), 0)</f>
        <v>0.17663730003861555</v>
      </c>
      <c r="Q47" s="29">
        <f>VLOOKUP($B47, agr_mes!$B:$XFD, MATCH(gdp_agr_share!Q$1, agr_mes!$B$1:$XFD$1, 0), 0)/VLOOKUP($B47, gdp_tot_mes!$B:$XFD, MATCH(gdp_agr_share!Q$1, gdp_tot_mes!$B$1:$XFD$1, 0), 0)</f>
        <v>0.12322726497914663</v>
      </c>
      <c r="R47" s="29">
        <f>VLOOKUP($B47, agr_mes!$B:$XFD, MATCH(gdp_agr_share!R$1, agr_mes!$B$1:$XFD$1, 0), 0)/VLOOKUP($B47, gdp_tot_mes!$B:$XFD, MATCH(gdp_agr_share!R$1, gdp_tot_mes!$B$1:$XFD$1, 0), 0)</f>
        <v>0.13036829738118016</v>
      </c>
      <c r="S47" s="29">
        <f>VLOOKUP($B47, agr_mes!$B:$XFD, MATCH(gdp_agr_share!S$1, agr_mes!$B$1:$XFD$1, 0), 0)/VLOOKUP($B47, gdp_tot_mes!$B:$XFD, MATCH(gdp_agr_share!S$1, gdp_tot_mes!$B$1:$XFD$1, 0), 0)</f>
        <v>0.15807887332400367</v>
      </c>
      <c r="T47" s="29">
        <f>VLOOKUP($B47, agr_mes!$B:$XFD, MATCH(gdp_agr_share!T$1, agr_mes!$B$1:$XFD$1, 0), 0)/VLOOKUP($B47, gdp_tot_mes!$B:$XFD, MATCH(gdp_agr_share!T$1, gdp_tot_mes!$B$1:$XFD$1, 0), 0)</f>
        <v>0.12919527831289776</v>
      </c>
      <c r="U47" s="29">
        <f>VLOOKUP($B47, agr_mes!$B:$XFD, MATCH(gdp_agr_share!U$1, agr_mes!$B$1:$XFD$1, 0), 0)/VLOOKUP($B47, gdp_tot_mes!$B:$XFD, MATCH(gdp_agr_share!U$1, gdp_tot_mes!$B$1:$XFD$1, 0), 0)</f>
        <v>0.12633333282619169</v>
      </c>
      <c r="V47" s="29">
        <f>VLOOKUP($B47, agr_mes!$B:$XFD, MATCH(gdp_agr_share!V$1, agr_mes!$B$1:$XFD$1, 0), 0)/VLOOKUP($B47, gdp_tot_mes!$B:$XFD, MATCH(gdp_agr_share!V$1, gdp_tot_mes!$B$1:$XFD$1, 0), 0)</f>
        <v>0.16424642408347087</v>
      </c>
      <c r="W47" s="29">
        <f>VLOOKUP($B47, agr_mes!$B:$XFD, MATCH(gdp_agr_share!W$1, agr_mes!$B$1:$XFD$1, 0), 0)/VLOOKUP($B47, gdp_tot_mes!$B:$XFD, MATCH(gdp_agr_share!W$1, gdp_tot_mes!$B$1:$XFD$1, 0), 0)</f>
        <v>0.13658388273895927</v>
      </c>
      <c r="X47" s="29">
        <f>VLOOKUP($B47, agr_mes!$B:$XFD, MATCH(gdp_agr_share!X$1, agr_mes!$B$1:$XFD$1, 0), 0)/VLOOKUP($B47, gdp_tot_mes!$B:$XFD, MATCH(gdp_agr_share!X$1, gdp_tot_mes!$B$1:$XFD$1, 0), 0)</f>
        <v>0.12825112556616194</v>
      </c>
      <c r="Y47" s="29">
        <f>VLOOKUP($B47, agr_mes!$B:$XFD, MATCH(gdp_agr_share!Y$1, agr_mes!$B$1:$XFD$1, 0), 0)/VLOOKUP($B47, gdp_tot_mes!$B:$XFD, MATCH(gdp_agr_share!Y$1, gdp_tot_mes!$B$1:$XFD$1, 0), 0)</f>
        <v>0.14340155946477381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x14ac:dyDescent="0.25">
      <c r="A48" s="1" t="s">
        <v>113</v>
      </c>
      <c r="B48" s="1" t="s">
        <v>126</v>
      </c>
      <c r="C48" s="1" t="s">
        <v>127</v>
      </c>
      <c r="D48" s="29">
        <f>VLOOKUP($B48, agr_mes!$B:$XFD, MATCH(gdp_agr_share!D$1, agr_mes!$B$1:$XFD$1, 0), 0)/VLOOKUP($B48, gdp_tot_mes!$B:$XFD, MATCH(gdp_agr_share!D$1, gdp_tot_mes!$B$1:$XFD$1, 0), 0)</f>
        <v>0.43648401089929573</v>
      </c>
      <c r="E48" s="29">
        <f>VLOOKUP($B48, agr_mes!$B:$XFD, MATCH(gdp_agr_share!E$1, agr_mes!$B$1:$XFD$1, 0), 0)/VLOOKUP($B48, gdp_tot_mes!$B:$XFD, MATCH(gdp_agr_share!E$1, gdp_tot_mes!$B$1:$XFD$1, 0), 0)</f>
        <v>0.11967999292173091</v>
      </c>
      <c r="F48" s="29">
        <f>VLOOKUP($B48, agr_mes!$B:$XFD, MATCH(gdp_agr_share!F$1, agr_mes!$B$1:$XFD$1, 0), 0)/VLOOKUP($B48, gdp_tot_mes!$B:$XFD, MATCH(gdp_agr_share!F$1, gdp_tot_mes!$B$1:$XFD$1, 0), 0)</f>
        <v>0.11930234155178922</v>
      </c>
      <c r="G48" s="29">
        <f>VLOOKUP($B48, agr_mes!$B:$XFD, MATCH(gdp_agr_share!G$1, agr_mes!$B$1:$XFD$1, 0), 0)/VLOOKUP($B48, gdp_tot_mes!$B:$XFD, MATCH(gdp_agr_share!G$1, gdp_tot_mes!$B$1:$XFD$1, 0), 0)</f>
        <v>5.5539617078191834E-2</v>
      </c>
      <c r="H48" s="29">
        <f>VLOOKUP($B48, agr_mes!$B:$XFD, MATCH(gdp_agr_share!H$1, agr_mes!$B$1:$XFD$1, 0), 0)/VLOOKUP($B48, gdp_tot_mes!$B:$XFD, MATCH(gdp_agr_share!H$1, gdp_tot_mes!$B$1:$XFD$1, 0), 0)</f>
        <v>4.8517699494905718E-2</v>
      </c>
      <c r="I48" s="29">
        <f>VLOOKUP($B48, agr_mes!$B:$XFD, MATCH(gdp_agr_share!I$1, agr_mes!$B$1:$XFD$1, 0), 0)/VLOOKUP($B48, gdp_tot_mes!$B:$XFD, MATCH(gdp_agr_share!I$1, gdp_tot_mes!$B$1:$XFD$1, 0), 0)</f>
        <v>2.5643909378978251E-2</v>
      </c>
      <c r="J48" s="29">
        <f>VLOOKUP($B48, agr_mes!$B:$XFD, MATCH(gdp_agr_share!J$1, agr_mes!$B$1:$XFD$1, 0), 0)/VLOOKUP($B48, gdp_tot_mes!$B:$XFD, MATCH(gdp_agr_share!J$1, gdp_tot_mes!$B$1:$XFD$1, 0), 0)</f>
        <v>2.8770419021293226E-2</v>
      </c>
      <c r="K48" s="29">
        <f>VLOOKUP($B48, agr_mes!$B:$XFD, MATCH(gdp_agr_share!K$1, agr_mes!$B$1:$XFD$1, 0), 0)/VLOOKUP($B48, gdp_tot_mes!$B:$XFD, MATCH(gdp_agr_share!K$1, gdp_tot_mes!$B$1:$XFD$1, 0), 0)</f>
        <v>2.5742418884558586E-2</v>
      </c>
      <c r="L48" s="30">
        <f t="shared" si="0"/>
        <v>2.0894715779634598E-2</v>
      </c>
      <c r="M48" s="29">
        <f>VLOOKUP($B48, agr_mes!$B:$XFD, MATCH(gdp_agr_share!M$1, agr_mes!$B$1:$XFD$1, 0), 0)/VLOOKUP($B48, gdp_tot_mes!$B:$XFD, MATCH(gdp_agr_share!M$1, gdp_tot_mes!$B$1:$XFD$1, 0), 0)</f>
        <v>1.5077472053725812E-2</v>
      </c>
      <c r="N48" s="29">
        <f>VLOOKUP($B48, agr_mes!$B:$XFD, MATCH(gdp_agr_share!N$1, agr_mes!$B$1:$XFD$1, 0), 0)/VLOOKUP($B48, gdp_tot_mes!$B:$XFD, MATCH(gdp_agr_share!N$1, gdp_tot_mes!$B$1:$XFD$1, 0), 0)</f>
        <v>1.3587034696155411E-2</v>
      </c>
      <c r="O48" s="29">
        <f>VLOOKUP($B48, agr_mes!$B:$XFD, MATCH(gdp_agr_share!O$1, agr_mes!$B$1:$XFD$1, 0), 0)/VLOOKUP($B48, gdp_tot_mes!$B:$XFD, MATCH(gdp_agr_share!O$1, gdp_tot_mes!$B$1:$XFD$1, 0), 0)</f>
        <v>1.2861608292126415E-2</v>
      </c>
      <c r="P48" s="29">
        <f>VLOOKUP($B48, agr_mes!$B:$XFD, MATCH(gdp_agr_share!P$1, agr_mes!$B$1:$XFD$1, 0), 0)/VLOOKUP($B48, gdp_tot_mes!$B:$XFD, MATCH(gdp_agr_share!P$1, gdp_tot_mes!$B$1:$XFD$1, 0), 0)</f>
        <v>1.089861455545062E-2</v>
      </c>
      <c r="Q48" s="29">
        <f>VLOOKUP($B48, agr_mes!$B:$XFD, MATCH(gdp_agr_share!Q$1, agr_mes!$B$1:$XFD$1, 0), 0)/VLOOKUP($B48, gdp_tot_mes!$B:$XFD, MATCH(gdp_agr_share!Q$1, gdp_tot_mes!$B$1:$XFD$1, 0), 0)</f>
        <v>6.5509603966505863E-3</v>
      </c>
      <c r="R48" s="29">
        <f>VLOOKUP($B48, agr_mes!$B:$XFD, MATCH(gdp_agr_share!R$1, agr_mes!$B$1:$XFD$1, 0), 0)/VLOOKUP($B48, gdp_tot_mes!$B:$XFD, MATCH(gdp_agr_share!R$1, gdp_tot_mes!$B$1:$XFD$1, 0), 0)</f>
        <v>8.1697205277068818E-3</v>
      </c>
      <c r="S48" s="29">
        <f>VLOOKUP($B48, agr_mes!$B:$XFD, MATCH(gdp_agr_share!S$1, agr_mes!$B$1:$XFD$1, 0), 0)/VLOOKUP($B48, gdp_tot_mes!$B:$XFD, MATCH(gdp_agr_share!S$1, gdp_tot_mes!$B$1:$XFD$1, 0), 0)</f>
        <v>8.5364504770112492E-3</v>
      </c>
      <c r="T48" s="29">
        <f>VLOOKUP($B48, agr_mes!$B:$XFD, MATCH(gdp_agr_share!T$1, agr_mes!$B$1:$XFD$1, 0), 0)/VLOOKUP($B48, gdp_tot_mes!$B:$XFD, MATCH(gdp_agr_share!T$1, gdp_tot_mes!$B$1:$XFD$1, 0), 0)</f>
        <v>7.8270886338794414E-3</v>
      </c>
      <c r="U48" s="29">
        <f>VLOOKUP($B48, agr_mes!$B:$XFD, MATCH(gdp_agr_share!U$1, agr_mes!$B$1:$XFD$1, 0), 0)/VLOOKUP($B48, gdp_tot_mes!$B:$XFD, MATCH(gdp_agr_share!U$1, gdp_tot_mes!$B$1:$XFD$1, 0), 0)</f>
        <v>7.0957272861351733E-3</v>
      </c>
      <c r="V48" s="29">
        <f>VLOOKUP($B48, agr_mes!$B:$XFD, MATCH(gdp_agr_share!V$1, agr_mes!$B$1:$XFD$1, 0), 0)/VLOOKUP($B48, gdp_tot_mes!$B:$XFD, MATCH(gdp_agr_share!V$1, gdp_tot_mes!$B$1:$XFD$1, 0), 0)</f>
        <v>6.6766208386417406E-3</v>
      </c>
      <c r="W48" s="29">
        <f>VLOOKUP($B48, agr_mes!$B:$XFD, MATCH(gdp_agr_share!W$1, agr_mes!$B$1:$XFD$1, 0), 0)/VLOOKUP($B48, gdp_tot_mes!$B:$XFD, MATCH(gdp_agr_share!W$1, gdp_tot_mes!$B$1:$XFD$1, 0), 0)</f>
        <v>5.8912628034165498E-3</v>
      </c>
      <c r="X48" s="29">
        <f>VLOOKUP($B48, agr_mes!$B:$XFD, MATCH(gdp_agr_share!X$1, agr_mes!$B$1:$XFD$1, 0), 0)/VLOOKUP($B48, gdp_tot_mes!$B:$XFD, MATCH(gdp_agr_share!X$1, gdp_tot_mes!$B$1:$XFD$1, 0), 0)</f>
        <v>6.3468194336604063E-3</v>
      </c>
      <c r="Y48" s="29">
        <f>VLOOKUP($B48, agr_mes!$B:$XFD, MATCH(gdp_agr_share!Y$1, agr_mes!$B$1:$XFD$1, 0), 0)/VLOOKUP($B48, gdp_tot_mes!$B:$XFD, MATCH(gdp_agr_share!Y$1, gdp_tot_mes!$B$1:$XFD$1, 0), 0)</f>
        <v>5.4519629430694692E-3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x14ac:dyDescent="0.25">
      <c r="A49" s="1" t="s">
        <v>113</v>
      </c>
      <c r="B49" s="1" t="s">
        <v>128</v>
      </c>
      <c r="C49" s="1" t="s">
        <v>129</v>
      </c>
      <c r="D49" s="29">
        <f>VLOOKUP($B49, agr_mes!$B:$XFD, MATCH(gdp_agr_share!D$1, agr_mes!$B$1:$XFD$1, 0), 0)/VLOOKUP($B49, gdp_tot_mes!$B:$XFD, MATCH(gdp_agr_share!D$1, gdp_tot_mes!$B$1:$XFD$1, 0), 0)</f>
        <v>0.78541058006661435</v>
      </c>
      <c r="E49" s="29">
        <f>VLOOKUP($B49, agr_mes!$B:$XFD, MATCH(gdp_agr_share!E$1, agr_mes!$B$1:$XFD$1, 0), 0)/VLOOKUP($B49, gdp_tot_mes!$B:$XFD, MATCH(gdp_agr_share!E$1, gdp_tot_mes!$B$1:$XFD$1, 0), 0)</f>
        <v>0.62392334187412624</v>
      </c>
      <c r="F49" s="29">
        <f>VLOOKUP($B49, agr_mes!$B:$XFD, MATCH(gdp_agr_share!F$1, agr_mes!$B$1:$XFD$1, 0), 0)/VLOOKUP($B49, gdp_tot_mes!$B:$XFD, MATCH(gdp_agr_share!F$1, gdp_tot_mes!$B$1:$XFD$1, 0), 0)</f>
        <v>0.61028504417289731</v>
      </c>
      <c r="G49" s="29">
        <f>VLOOKUP($B49, agr_mes!$B:$XFD, MATCH(gdp_agr_share!G$1, agr_mes!$B$1:$XFD$1, 0), 0)/VLOOKUP($B49, gdp_tot_mes!$B:$XFD, MATCH(gdp_agr_share!G$1, gdp_tot_mes!$B$1:$XFD$1, 0), 0)</f>
        <v>0.42752176341067583</v>
      </c>
      <c r="H49" s="29">
        <f>VLOOKUP($B49, agr_mes!$B:$XFD, MATCH(gdp_agr_share!H$1, agr_mes!$B$1:$XFD$1, 0), 0)/VLOOKUP($B49, gdp_tot_mes!$B:$XFD, MATCH(gdp_agr_share!H$1, gdp_tot_mes!$B$1:$XFD$1, 0), 0)</f>
        <v>0.18534204451055614</v>
      </c>
      <c r="I49" s="29">
        <f>VLOOKUP($B49, agr_mes!$B:$XFD, MATCH(gdp_agr_share!I$1, agr_mes!$B$1:$XFD$1, 0), 0)/VLOOKUP($B49, gdp_tot_mes!$B:$XFD, MATCH(gdp_agr_share!I$1, gdp_tot_mes!$B$1:$XFD$1, 0), 0)</f>
        <v>0.23373835196335929</v>
      </c>
      <c r="J49" s="29">
        <f>VLOOKUP($B49, agr_mes!$B:$XFD, MATCH(gdp_agr_share!J$1, agr_mes!$B$1:$XFD$1, 0), 0)/VLOOKUP($B49, gdp_tot_mes!$B:$XFD, MATCH(gdp_agr_share!J$1, gdp_tot_mes!$B$1:$XFD$1, 0), 0)</f>
        <v>0.16862932375476108</v>
      </c>
      <c r="K49" s="29">
        <f>VLOOKUP($B49, agr_mes!$B:$XFD, MATCH(gdp_agr_share!K$1, agr_mes!$B$1:$XFD$1, 0), 0)/VLOOKUP($B49, gdp_tot_mes!$B:$XFD, MATCH(gdp_agr_share!K$1, gdp_tot_mes!$B$1:$XFD$1, 0), 0)</f>
        <v>0.16639253068376966</v>
      </c>
      <c r="L49" s="30">
        <f t="shared" si="0"/>
        <v>0.15158098734302916</v>
      </c>
      <c r="M49" s="29">
        <f>VLOOKUP($B49, agr_mes!$B:$XFD, MATCH(gdp_agr_share!M$1, agr_mes!$B$1:$XFD$1, 0), 0)/VLOOKUP($B49, gdp_tot_mes!$B:$XFD, MATCH(gdp_agr_share!M$1, gdp_tot_mes!$B$1:$XFD$1, 0), 0)</f>
        <v>0.13380713533414054</v>
      </c>
      <c r="N49" s="29">
        <f>VLOOKUP($B49, agr_mes!$B:$XFD, MATCH(gdp_agr_share!N$1, agr_mes!$B$1:$XFD$1, 0), 0)/VLOOKUP($B49, gdp_tot_mes!$B:$XFD, MATCH(gdp_agr_share!N$1, gdp_tot_mes!$B$1:$XFD$1, 0), 0)</f>
        <v>8.2224783133593826E-2</v>
      </c>
      <c r="O49" s="29">
        <f>VLOOKUP($B49, agr_mes!$B:$XFD, MATCH(gdp_agr_share!O$1, agr_mes!$B$1:$XFD$1, 0), 0)/VLOOKUP($B49, gdp_tot_mes!$B:$XFD, MATCH(gdp_agr_share!O$1, gdp_tot_mes!$B$1:$XFD$1, 0), 0)</f>
        <v>7.3837375010126299E-2</v>
      </c>
      <c r="P49" s="29">
        <f>VLOOKUP($B49, agr_mes!$B:$XFD, MATCH(gdp_agr_share!P$1, agr_mes!$B$1:$XFD$1, 0), 0)/VLOOKUP($B49, gdp_tot_mes!$B:$XFD, MATCH(gdp_agr_share!P$1, gdp_tot_mes!$B$1:$XFD$1, 0), 0)</f>
        <v>6.6684028583963204E-2</v>
      </c>
      <c r="Q49" s="29">
        <f>VLOOKUP($B49, agr_mes!$B:$XFD, MATCH(gdp_agr_share!Q$1, agr_mes!$B$1:$XFD$1, 0), 0)/VLOOKUP($B49, gdp_tot_mes!$B:$XFD, MATCH(gdp_agr_share!Q$1, gdp_tot_mes!$B$1:$XFD$1, 0), 0)</f>
        <v>4.4498584655746937E-2</v>
      </c>
      <c r="R49" s="29">
        <f>VLOOKUP($B49, agr_mes!$B:$XFD, MATCH(gdp_agr_share!R$1, agr_mes!$B$1:$XFD$1, 0), 0)/VLOOKUP($B49, gdp_tot_mes!$B:$XFD, MATCH(gdp_agr_share!R$1, gdp_tot_mes!$B$1:$XFD$1, 0), 0)</f>
        <v>4.6964862130284134E-2</v>
      </c>
      <c r="S49" s="29">
        <f>VLOOKUP($B49, agr_mes!$B:$XFD, MATCH(gdp_agr_share!S$1, agr_mes!$B$1:$XFD$1, 0), 0)/VLOOKUP($B49, gdp_tot_mes!$B:$XFD, MATCH(gdp_agr_share!S$1, gdp_tot_mes!$B$1:$XFD$1, 0), 0)</f>
        <v>4.303424867452274E-2</v>
      </c>
      <c r="T49" s="29">
        <f>VLOOKUP($B49, agr_mes!$B:$XFD, MATCH(gdp_agr_share!T$1, agr_mes!$B$1:$XFD$1, 0), 0)/VLOOKUP($B49, gdp_tot_mes!$B:$XFD, MATCH(gdp_agr_share!T$1, gdp_tot_mes!$B$1:$XFD$1, 0), 0)</f>
        <v>4.5793539982372775E-2</v>
      </c>
      <c r="U49" s="29">
        <f>VLOOKUP($B49, agr_mes!$B:$XFD, MATCH(gdp_agr_share!U$1, agr_mes!$B$1:$XFD$1, 0), 0)/VLOOKUP($B49, gdp_tot_mes!$B:$XFD, MATCH(gdp_agr_share!U$1, gdp_tot_mes!$B$1:$XFD$1, 0), 0)</f>
        <v>4.7572316993572943E-2</v>
      </c>
      <c r="V49" s="29">
        <f>VLOOKUP($B49, agr_mes!$B:$XFD, MATCH(gdp_agr_share!V$1, agr_mes!$B$1:$XFD$1, 0), 0)/VLOOKUP($B49, gdp_tot_mes!$B:$XFD, MATCH(gdp_agr_share!V$1, gdp_tot_mes!$B$1:$XFD$1, 0), 0)</f>
        <v>4.0569526181062167E-2</v>
      </c>
      <c r="W49" s="29">
        <f>VLOOKUP($B49, agr_mes!$B:$XFD, MATCH(gdp_agr_share!W$1, agr_mes!$B$1:$XFD$1, 0), 0)/VLOOKUP($B49, gdp_tot_mes!$B:$XFD, MATCH(gdp_agr_share!W$1, gdp_tot_mes!$B$1:$XFD$1, 0), 0)</f>
        <v>4.2857553633755895E-2</v>
      </c>
      <c r="X49" s="29">
        <f>VLOOKUP($B49, agr_mes!$B:$XFD, MATCH(gdp_agr_share!X$1, agr_mes!$B$1:$XFD$1, 0), 0)/VLOOKUP($B49, gdp_tot_mes!$B:$XFD, MATCH(gdp_agr_share!X$1, gdp_tot_mes!$B$1:$XFD$1, 0), 0)</f>
        <v>4.3925680336043528E-2</v>
      </c>
      <c r="Y49" s="29">
        <f>VLOOKUP($B49, agr_mes!$B:$XFD, MATCH(gdp_agr_share!Y$1, agr_mes!$B$1:$XFD$1, 0), 0)/VLOOKUP($B49, gdp_tot_mes!$B:$XFD, MATCH(gdp_agr_share!Y$1, gdp_tot_mes!$B$1:$XFD$1, 0), 0)</f>
        <v>3.5721320775222401E-2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x14ac:dyDescent="0.25">
      <c r="A50" s="1" t="s">
        <v>113</v>
      </c>
      <c r="B50" s="1" t="s">
        <v>130</v>
      </c>
      <c r="C50" s="1" t="s">
        <v>131</v>
      </c>
      <c r="D50" s="29">
        <f>VLOOKUP($B50, agr_mes!$B:$XFD, MATCH(gdp_agr_share!D$1, agr_mes!$B$1:$XFD$1, 0), 0)/VLOOKUP($B50, gdp_tot_mes!$B:$XFD, MATCH(gdp_agr_share!D$1, gdp_tot_mes!$B$1:$XFD$1, 0), 0)</f>
        <v>0.64640307608043246</v>
      </c>
      <c r="E50" s="29">
        <f>VLOOKUP($B50, agr_mes!$B:$XFD, MATCH(gdp_agr_share!E$1, agr_mes!$B$1:$XFD$1, 0), 0)/VLOOKUP($B50, gdp_tot_mes!$B:$XFD, MATCH(gdp_agr_share!E$1, gdp_tot_mes!$B$1:$XFD$1, 0), 0)</f>
        <v>0.50518769711051459</v>
      </c>
      <c r="F50" s="29">
        <f>VLOOKUP($B50, agr_mes!$B:$XFD, MATCH(gdp_agr_share!F$1, agr_mes!$B$1:$XFD$1, 0), 0)/VLOOKUP($B50, gdp_tot_mes!$B:$XFD, MATCH(gdp_agr_share!F$1, gdp_tot_mes!$B$1:$XFD$1, 0), 0)</f>
        <v>0.48039289490172643</v>
      </c>
      <c r="G50" s="29">
        <f>VLOOKUP($B50, agr_mes!$B:$XFD, MATCH(gdp_agr_share!G$1, agr_mes!$B$1:$XFD$1, 0), 0)/VLOOKUP($B50, gdp_tot_mes!$B:$XFD, MATCH(gdp_agr_share!G$1, gdp_tot_mes!$B$1:$XFD$1, 0), 0)</f>
        <v>0.29210943774299691</v>
      </c>
      <c r="H50" s="29">
        <f>VLOOKUP($B50, agr_mes!$B:$XFD, MATCH(gdp_agr_share!H$1, agr_mes!$B$1:$XFD$1, 0), 0)/VLOOKUP($B50, gdp_tot_mes!$B:$XFD, MATCH(gdp_agr_share!H$1, gdp_tot_mes!$B$1:$XFD$1, 0), 0)</f>
        <v>0.22903639525523642</v>
      </c>
      <c r="I50" s="29">
        <f>VLOOKUP($B50, agr_mes!$B:$XFD, MATCH(gdp_agr_share!I$1, agr_mes!$B$1:$XFD$1, 0), 0)/VLOOKUP($B50, gdp_tot_mes!$B:$XFD, MATCH(gdp_agr_share!I$1, gdp_tot_mes!$B$1:$XFD$1, 0), 0)</f>
        <v>0.21841629742552462</v>
      </c>
      <c r="J50" s="29">
        <f>VLOOKUP($B50, agr_mes!$B:$XFD, MATCH(gdp_agr_share!J$1, agr_mes!$B$1:$XFD$1, 0), 0)/VLOOKUP($B50, gdp_tot_mes!$B:$XFD, MATCH(gdp_agr_share!J$1, gdp_tot_mes!$B$1:$XFD$1, 0), 0)</f>
        <v>0.29871154743815781</v>
      </c>
      <c r="K50" s="29">
        <f>VLOOKUP($B50, agr_mes!$B:$XFD, MATCH(gdp_agr_share!K$1, agr_mes!$B$1:$XFD$1, 0), 0)/VLOOKUP($B50, gdp_tot_mes!$B:$XFD, MATCH(gdp_agr_share!K$1, gdp_tot_mes!$B$1:$XFD$1, 0), 0)</f>
        <v>0.25625767049749221</v>
      </c>
      <c r="L50" s="30">
        <f t="shared" si="0"/>
        <v>0.24868942449960732</v>
      </c>
      <c r="M50" s="29">
        <f>VLOOKUP($B50, agr_mes!$B:$XFD, MATCH(gdp_agr_share!M$1, agr_mes!$B$1:$XFD$1, 0), 0)/VLOOKUP($B50, gdp_tot_mes!$B:$XFD, MATCH(gdp_agr_share!M$1, gdp_tot_mes!$B$1:$XFD$1, 0), 0)</f>
        <v>0.23960752930214543</v>
      </c>
      <c r="N50" s="29">
        <f>VLOOKUP($B50, agr_mes!$B:$XFD, MATCH(gdp_agr_share!N$1, agr_mes!$B$1:$XFD$1, 0), 0)/VLOOKUP($B50, gdp_tot_mes!$B:$XFD, MATCH(gdp_agr_share!N$1, gdp_tot_mes!$B$1:$XFD$1, 0), 0)</f>
        <v>0.16722369557956662</v>
      </c>
      <c r="O50" s="29">
        <f>VLOOKUP($B50, agr_mes!$B:$XFD, MATCH(gdp_agr_share!O$1, agr_mes!$B$1:$XFD$1, 0), 0)/VLOOKUP($B50, gdp_tot_mes!$B:$XFD, MATCH(gdp_agr_share!O$1, gdp_tot_mes!$B$1:$XFD$1, 0), 0)</f>
        <v>0.14719056037872941</v>
      </c>
      <c r="P50" s="29">
        <f>VLOOKUP($B50, agr_mes!$B:$XFD, MATCH(gdp_agr_share!P$1, agr_mes!$B$1:$XFD$1, 0), 0)/VLOOKUP($B50, gdp_tot_mes!$B:$XFD, MATCH(gdp_agr_share!P$1, gdp_tot_mes!$B$1:$XFD$1, 0), 0)</f>
        <v>0.13493791783722087</v>
      </c>
      <c r="Q50" s="29">
        <f>VLOOKUP($B50, agr_mes!$B:$XFD, MATCH(gdp_agr_share!Q$1, agr_mes!$B$1:$XFD$1, 0), 0)/VLOOKUP($B50, gdp_tot_mes!$B:$XFD, MATCH(gdp_agr_share!Q$1, gdp_tot_mes!$B$1:$XFD$1, 0), 0)</f>
        <v>7.9517078854644596E-2</v>
      </c>
      <c r="R50" s="29">
        <f>VLOOKUP($B50, agr_mes!$B:$XFD, MATCH(gdp_agr_share!R$1, agr_mes!$B$1:$XFD$1, 0), 0)/VLOOKUP($B50, gdp_tot_mes!$B:$XFD, MATCH(gdp_agr_share!R$1, gdp_tot_mes!$B$1:$XFD$1, 0), 0)</f>
        <v>8.2870322709852492E-2</v>
      </c>
      <c r="S50" s="29">
        <f>VLOOKUP($B50, agr_mes!$B:$XFD, MATCH(gdp_agr_share!S$1, agr_mes!$B$1:$XFD$1, 0), 0)/VLOOKUP($B50, gdp_tot_mes!$B:$XFD, MATCH(gdp_agr_share!S$1, gdp_tot_mes!$B$1:$XFD$1, 0), 0)</f>
        <v>8.6059691836041965E-2</v>
      </c>
      <c r="T50" s="29">
        <f>VLOOKUP($B50, agr_mes!$B:$XFD, MATCH(gdp_agr_share!T$1, agr_mes!$B$1:$XFD$1, 0), 0)/VLOOKUP($B50, gdp_tot_mes!$B:$XFD, MATCH(gdp_agr_share!T$1, gdp_tot_mes!$B$1:$XFD$1, 0), 0)</f>
        <v>8.1561935757754084E-2</v>
      </c>
      <c r="U50" s="29">
        <f>VLOOKUP($B50, agr_mes!$B:$XFD, MATCH(gdp_agr_share!U$1, agr_mes!$B$1:$XFD$1, 0), 0)/VLOOKUP($B50, gdp_tot_mes!$B:$XFD, MATCH(gdp_agr_share!U$1, gdp_tot_mes!$B$1:$XFD$1, 0), 0)</f>
        <v>8.1519065263564269E-2</v>
      </c>
      <c r="V50" s="29">
        <f>VLOOKUP($B50, agr_mes!$B:$XFD, MATCH(gdp_agr_share!V$1, agr_mes!$B$1:$XFD$1, 0), 0)/VLOOKUP($B50, gdp_tot_mes!$B:$XFD, MATCH(gdp_agr_share!V$1, gdp_tot_mes!$B$1:$XFD$1, 0), 0)</f>
        <v>8.4958773489356015E-2</v>
      </c>
      <c r="W50" s="29">
        <f>VLOOKUP($B50, agr_mes!$B:$XFD, MATCH(gdp_agr_share!W$1, agr_mes!$B$1:$XFD$1, 0), 0)/VLOOKUP($B50, gdp_tot_mes!$B:$XFD, MATCH(gdp_agr_share!W$1, gdp_tot_mes!$B$1:$XFD$1, 0), 0)</f>
        <v>7.129613403557053E-2</v>
      </c>
      <c r="X50" s="29">
        <f>VLOOKUP($B50, agr_mes!$B:$XFD, MATCH(gdp_agr_share!X$1, agr_mes!$B$1:$XFD$1, 0), 0)/VLOOKUP($B50, gdp_tot_mes!$B:$XFD, MATCH(gdp_agr_share!X$1, gdp_tot_mes!$B$1:$XFD$1, 0), 0)</f>
        <v>7.716327491822729E-2</v>
      </c>
      <c r="Y50" s="29">
        <f>VLOOKUP($B50, agr_mes!$B:$XFD, MATCH(gdp_agr_share!Y$1, agr_mes!$B$1:$XFD$1, 0), 0)/VLOOKUP($B50, gdp_tot_mes!$B:$XFD, MATCH(gdp_agr_share!Y$1, gdp_tot_mes!$B$1:$XFD$1, 0), 0)</f>
        <v>7.0631987711707672E-2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x14ac:dyDescent="0.25">
      <c r="A51" s="1" t="s">
        <v>113</v>
      </c>
      <c r="B51" s="1" t="s">
        <v>132</v>
      </c>
      <c r="C51" s="1" t="s">
        <v>133</v>
      </c>
      <c r="D51" s="29">
        <f>VLOOKUP($B51, agr_mes!$B:$XFD, MATCH(gdp_agr_share!D$1, agr_mes!$B$1:$XFD$1, 0), 0)/VLOOKUP($B51, gdp_tot_mes!$B:$XFD, MATCH(gdp_agr_share!D$1, gdp_tot_mes!$B$1:$XFD$1, 0), 0)</f>
        <v>0.75250737531422318</v>
      </c>
      <c r="E51" s="29">
        <f>VLOOKUP($B51, agr_mes!$B:$XFD, MATCH(gdp_agr_share!E$1, agr_mes!$B$1:$XFD$1, 0), 0)/VLOOKUP($B51, gdp_tot_mes!$B:$XFD, MATCH(gdp_agr_share!E$1, gdp_tot_mes!$B$1:$XFD$1, 0), 0)</f>
        <v>0.49846365214194477</v>
      </c>
      <c r="F51" s="29">
        <f>VLOOKUP($B51, agr_mes!$B:$XFD, MATCH(gdp_agr_share!F$1, agr_mes!$B$1:$XFD$1, 0), 0)/VLOOKUP($B51, gdp_tot_mes!$B:$XFD, MATCH(gdp_agr_share!F$1, gdp_tot_mes!$B$1:$XFD$1, 0), 0)</f>
        <v>0.42419113511326489</v>
      </c>
      <c r="G51" s="29">
        <f>VLOOKUP($B51, agr_mes!$B:$XFD, MATCH(gdp_agr_share!G$1, agr_mes!$B$1:$XFD$1, 0), 0)/VLOOKUP($B51, gdp_tot_mes!$B:$XFD, MATCH(gdp_agr_share!G$1, gdp_tot_mes!$B$1:$XFD$1, 0), 0)</f>
        <v>0.33799221718189981</v>
      </c>
      <c r="H51" s="29">
        <f>VLOOKUP($B51, agr_mes!$B:$XFD, MATCH(gdp_agr_share!H$1, agr_mes!$B$1:$XFD$1, 0), 0)/VLOOKUP($B51, gdp_tot_mes!$B:$XFD, MATCH(gdp_agr_share!H$1, gdp_tot_mes!$B$1:$XFD$1, 0), 0)</f>
        <v>0.30218552099670759</v>
      </c>
      <c r="I51" s="29">
        <f>VLOOKUP($B51, agr_mes!$B:$XFD, MATCH(gdp_agr_share!I$1, agr_mes!$B$1:$XFD$1, 0), 0)/VLOOKUP($B51, gdp_tot_mes!$B:$XFD, MATCH(gdp_agr_share!I$1, gdp_tot_mes!$B$1:$XFD$1, 0), 0)</f>
        <v>0.31628598927101714</v>
      </c>
      <c r="J51" s="29">
        <f>VLOOKUP($B51, agr_mes!$B:$XFD, MATCH(gdp_agr_share!J$1, agr_mes!$B$1:$XFD$1, 0), 0)/VLOOKUP($B51, gdp_tot_mes!$B:$XFD, MATCH(gdp_agr_share!J$1, gdp_tot_mes!$B$1:$XFD$1, 0), 0)</f>
        <v>0.29911971553363131</v>
      </c>
      <c r="K51" s="29">
        <f>VLOOKUP($B51, agr_mes!$B:$XFD, MATCH(gdp_agr_share!K$1, agr_mes!$B$1:$XFD$1, 0), 0)/VLOOKUP($B51, gdp_tot_mes!$B:$XFD, MATCH(gdp_agr_share!K$1, gdp_tot_mes!$B$1:$XFD$1, 0), 0)</f>
        <v>0.45979649221133573</v>
      </c>
      <c r="L51" s="30">
        <f t="shared" si="0"/>
        <v>0.38918748155852101</v>
      </c>
      <c r="M51" s="29">
        <f>VLOOKUP($B51, agr_mes!$B:$XFD, MATCH(gdp_agr_share!M$1, agr_mes!$B$1:$XFD$1, 0), 0)/VLOOKUP($B51, gdp_tot_mes!$B:$XFD, MATCH(gdp_agr_share!M$1, gdp_tot_mes!$B$1:$XFD$1, 0), 0)</f>
        <v>0.30445666877514332</v>
      </c>
      <c r="N51" s="29">
        <f>VLOOKUP($B51, agr_mes!$B:$XFD, MATCH(gdp_agr_share!N$1, agr_mes!$B$1:$XFD$1, 0), 0)/VLOOKUP($B51, gdp_tot_mes!$B:$XFD, MATCH(gdp_agr_share!N$1, gdp_tot_mes!$B$1:$XFD$1, 0), 0)</f>
        <v>0.16404270020251166</v>
      </c>
      <c r="O51" s="29">
        <f>VLOOKUP($B51, agr_mes!$B:$XFD, MATCH(gdp_agr_share!O$1, agr_mes!$B$1:$XFD$1, 0), 0)/VLOOKUP($B51, gdp_tot_mes!$B:$XFD, MATCH(gdp_agr_share!O$1, gdp_tot_mes!$B$1:$XFD$1, 0), 0)</f>
        <v>0.15878022491089672</v>
      </c>
      <c r="P51" s="29">
        <f>VLOOKUP($B51, agr_mes!$B:$XFD, MATCH(gdp_agr_share!P$1, agr_mes!$B$1:$XFD$1, 0), 0)/VLOOKUP($B51, gdp_tot_mes!$B:$XFD, MATCH(gdp_agr_share!P$1, gdp_tot_mes!$B$1:$XFD$1, 0), 0)</f>
        <v>0.13593402323517109</v>
      </c>
      <c r="Q51" s="29">
        <f>VLOOKUP($B51, agr_mes!$B:$XFD, MATCH(gdp_agr_share!Q$1, agr_mes!$B$1:$XFD$1, 0), 0)/VLOOKUP($B51, gdp_tot_mes!$B:$XFD, MATCH(gdp_agr_share!Q$1, gdp_tot_mes!$B$1:$XFD$1, 0), 0)</f>
        <v>8.6591400748247366E-2</v>
      </c>
      <c r="R51" s="29">
        <f>VLOOKUP($B51, agr_mes!$B:$XFD, MATCH(gdp_agr_share!R$1, agr_mes!$B$1:$XFD$1, 0), 0)/VLOOKUP($B51, gdp_tot_mes!$B:$XFD, MATCH(gdp_agr_share!R$1, gdp_tot_mes!$B$1:$XFD$1, 0), 0)</f>
        <v>7.6686248818301397E-2</v>
      </c>
      <c r="S51" s="29">
        <f>VLOOKUP($B51, agr_mes!$B:$XFD, MATCH(gdp_agr_share!S$1, agr_mes!$B$1:$XFD$1, 0), 0)/VLOOKUP($B51, gdp_tot_mes!$B:$XFD, MATCH(gdp_agr_share!S$1, gdp_tot_mes!$B$1:$XFD$1, 0), 0)</f>
        <v>0.10455114619568634</v>
      </c>
      <c r="T51" s="29">
        <f>VLOOKUP($B51, agr_mes!$B:$XFD, MATCH(gdp_agr_share!T$1, agr_mes!$B$1:$XFD$1, 0), 0)/VLOOKUP($B51, gdp_tot_mes!$B:$XFD, MATCH(gdp_agr_share!T$1, gdp_tot_mes!$B$1:$XFD$1, 0), 0)</f>
        <v>8.3928405180449042E-2</v>
      </c>
      <c r="U51" s="29">
        <f>VLOOKUP($B51, agr_mes!$B:$XFD, MATCH(gdp_agr_share!U$1, agr_mes!$B$1:$XFD$1, 0), 0)/VLOOKUP($B51, gdp_tot_mes!$B:$XFD, MATCH(gdp_agr_share!U$1, gdp_tot_mes!$B$1:$XFD$1, 0), 0)</f>
        <v>0.10602991441915199</v>
      </c>
      <c r="V51" s="29">
        <f>VLOOKUP($B51, agr_mes!$B:$XFD, MATCH(gdp_agr_share!V$1, agr_mes!$B$1:$XFD$1, 0), 0)/VLOOKUP($B51, gdp_tot_mes!$B:$XFD, MATCH(gdp_agr_share!V$1, gdp_tot_mes!$B$1:$XFD$1, 0), 0)</f>
        <v>8.0557390743545954E-2</v>
      </c>
      <c r="W51" s="29">
        <f>VLOOKUP($B51, agr_mes!$B:$XFD, MATCH(gdp_agr_share!W$1, agr_mes!$B$1:$XFD$1, 0), 0)/VLOOKUP($B51, gdp_tot_mes!$B:$XFD, MATCH(gdp_agr_share!W$1, gdp_tot_mes!$B$1:$XFD$1, 0), 0)</f>
        <v>8.6346344617892118E-2</v>
      </c>
      <c r="X51" s="29">
        <f>VLOOKUP($B51, agr_mes!$B:$XFD, MATCH(gdp_agr_share!X$1, agr_mes!$B$1:$XFD$1, 0), 0)/VLOOKUP($B51, gdp_tot_mes!$B:$XFD, MATCH(gdp_agr_share!X$1, gdp_tot_mes!$B$1:$XFD$1, 0), 0)</f>
        <v>7.6449653211195304E-2</v>
      </c>
      <c r="Y51" s="29">
        <f>VLOOKUP($B51, agr_mes!$B:$XFD, MATCH(gdp_agr_share!Y$1, agr_mes!$B$1:$XFD$1, 0), 0)/VLOOKUP($B51, gdp_tot_mes!$B:$XFD, MATCH(gdp_agr_share!Y$1, gdp_tot_mes!$B$1:$XFD$1, 0), 0)</f>
        <v>7.9540880704850242E-2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x14ac:dyDescent="0.25">
      <c r="A52" s="1" t="s">
        <v>113</v>
      </c>
      <c r="B52" s="1" t="s">
        <v>134</v>
      </c>
      <c r="C52" s="1" t="s">
        <v>135</v>
      </c>
      <c r="D52" s="29">
        <f>VLOOKUP($B52, agr_mes!$B:$XFD, MATCH(gdp_agr_share!D$1, agr_mes!$B$1:$XFD$1, 0), 0)/VLOOKUP($B52, gdp_tot_mes!$B:$XFD, MATCH(gdp_agr_share!D$1, gdp_tot_mes!$B$1:$XFD$1, 0), 0)</f>
        <v>0.59289371531721069</v>
      </c>
      <c r="E52" s="29">
        <f>VLOOKUP($B52, agr_mes!$B:$XFD, MATCH(gdp_agr_share!E$1, agr_mes!$B$1:$XFD$1, 0), 0)/VLOOKUP($B52, gdp_tot_mes!$B:$XFD, MATCH(gdp_agr_share!E$1, gdp_tot_mes!$B$1:$XFD$1, 0), 0)</f>
        <v>0.31850385734613612</v>
      </c>
      <c r="F52" s="29">
        <f>VLOOKUP($B52, agr_mes!$B:$XFD, MATCH(gdp_agr_share!F$1, agr_mes!$B$1:$XFD$1, 0), 0)/VLOOKUP($B52, gdp_tot_mes!$B:$XFD, MATCH(gdp_agr_share!F$1, gdp_tot_mes!$B$1:$XFD$1, 0), 0)</f>
        <v>0.33561839573765245</v>
      </c>
      <c r="G52" s="29">
        <f>VLOOKUP($B52, agr_mes!$B:$XFD, MATCH(gdp_agr_share!G$1, agr_mes!$B$1:$XFD$1, 0), 0)/VLOOKUP($B52, gdp_tot_mes!$B:$XFD, MATCH(gdp_agr_share!G$1, gdp_tot_mes!$B$1:$XFD$1, 0), 0)</f>
        <v>0.20962458592502042</v>
      </c>
      <c r="H52" s="29">
        <f>VLOOKUP($B52, agr_mes!$B:$XFD, MATCH(gdp_agr_share!H$1, agr_mes!$B$1:$XFD$1, 0), 0)/VLOOKUP($B52, gdp_tot_mes!$B:$XFD, MATCH(gdp_agr_share!H$1, gdp_tot_mes!$B$1:$XFD$1, 0), 0)</f>
        <v>0.14677365367397718</v>
      </c>
      <c r="I52" s="29">
        <f>VLOOKUP($B52, agr_mes!$B:$XFD, MATCH(gdp_agr_share!I$1, agr_mes!$B$1:$XFD$1, 0), 0)/VLOOKUP($B52, gdp_tot_mes!$B:$XFD, MATCH(gdp_agr_share!I$1, gdp_tot_mes!$B$1:$XFD$1, 0), 0)</f>
        <v>0.15885181928128198</v>
      </c>
      <c r="J52" s="29">
        <f>VLOOKUP($B52, agr_mes!$B:$XFD, MATCH(gdp_agr_share!J$1, agr_mes!$B$1:$XFD$1, 0), 0)/VLOOKUP($B52, gdp_tot_mes!$B:$XFD, MATCH(gdp_agr_share!J$1, gdp_tot_mes!$B$1:$XFD$1, 0), 0)</f>
        <v>0.18987692302218853</v>
      </c>
      <c r="K52" s="29">
        <f>VLOOKUP($B52, agr_mes!$B:$XFD, MATCH(gdp_agr_share!K$1, agr_mes!$B$1:$XFD$1, 0), 0)/VLOOKUP($B52, gdp_tot_mes!$B:$XFD, MATCH(gdp_agr_share!K$1, gdp_tot_mes!$B$1:$XFD$1, 0), 0)</f>
        <v>0.23895070623894155</v>
      </c>
      <c r="L52" s="30">
        <f t="shared" si="0"/>
        <v>0.21486337150898321</v>
      </c>
      <c r="M52" s="29">
        <f>VLOOKUP($B52, agr_mes!$B:$XFD, MATCH(gdp_agr_share!M$1, agr_mes!$B$1:$XFD$1, 0), 0)/VLOOKUP($B52, gdp_tot_mes!$B:$XFD, MATCH(gdp_agr_share!M$1, gdp_tot_mes!$B$1:$XFD$1, 0), 0)</f>
        <v>0.18595856983303324</v>
      </c>
      <c r="N52" s="29">
        <f>VLOOKUP($B52, agr_mes!$B:$XFD, MATCH(gdp_agr_share!N$1, agr_mes!$B$1:$XFD$1, 0), 0)/VLOOKUP($B52, gdp_tot_mes!$B:$XFD, MATCH(gdp_agr_share!N$1, gdp_tot_mes!$B$1:$XFD$1, 0), 0)</f>
        <v>0.14455752712904096</v>
      </c>
      <c r="O52" s="29">
        <f>VLOOKUP($B52, agr_mes!$B:$XFD, MATCH(gdp_agr_share!O$1, agr_mes!$B$1:$XFD$1, 0), 0)/VLOOKUP($B52, gdp_tot_mes!$B:$XFD, MATCH(gdp_agr_share!O$1, gdp_tot_mes!$B$1:$XFD$1, 0), 0)</f>
        <v>0.12843784565238608</v>
      </c>
      <c r="P52" s="29">
        <f>VLOOKUP($B52, agr_mes!$B:$XFD, MATCH(gdp_agr_share!P$1, agr_mes!$B$1:$XFD$1, 0), 0)/VLOOKUP($B52, gdp_tot_mes!$B:$XFD, MATCH(gdp_agr_share!P$1, gdp_tot_mes!$B$1:$XFD$1, 0), 0)</f>
        <v>0.12319335532065903</v>
      </c>
      <c r="Q52" s="29">
        <f>VLOOKUP($B52, agr_mes!$B:$XFD, MATCH(gdp_agr_share!Q$1, agr_mes!$B$1:$XFD$1, 0), 0)/VLOOKUP($B52, gdp_tot_mes!$B:$XFD, MATCH(gdp_agr_share!Q$1, gdp_tot_mes!$B$1:$XFD$1, 0), 0)</f>
        <v>7.8546421278331877E-2</v>
      </c>
      <c r="R52" s="29">
        <f>VLOOKUP($B52, agr_mes!$B:$XFD, MATCH(gdp_agr_share!R$1, agr_mes!$B$1:$XFD$1, 0), 0)/VLOOKUP($B52, gdp_tot_mes!$B:$XFD, MATCH(gdp_agr_share!R$1, gdp_tot_mes!$B$1:$XFD$1, 0), 0)</f>
        <v>7.7399992507391754E-2</v>
      </c>
      <c r="S52" s="29">
        <f>VLOOKUP($B52, agr_mes!$B:$XFD, MATCH(gdp_agr_share!S$1, agr_mes!$B$1:$XFD$1, 0), 0)/VLOOKUP($B52, gdp_tot_mes!$B:$XFD, MATCH(gdp_agr_share!S$1, gdp_tot_mes!$B$1:$XFD$1, 0), 0)</f>
        <v>8.8793230116259669E-2</v>
      </c>
      <c r="T52" s="29">
        <f>VLOOKUP($B52, agr_mes!$B:$XFD, MATCH(gdp_agr_share!T$1, agr_mes!$B$1:$XFD$1, 0), 0)/VLOOKUP($B52, gdp_tot_mes!$B:$XFD, MATCH(gdp_agr_share!T$1, gdp_tot_mes!$B$1:$XFD$1, 0), 0)</f>
        <v>8.0644116617673178E-2</v>
      </c>
      <c r="U52" s="29">
        <f>VLOOKUP($B52, agr_mes!$B:$XFD, MATCH(gdp_agr_share!U$1, agr_mes!$B$1:$XFD$1, 0), 0)/VLOOKUP($B52, gdp_tot_mes!$B:$XFD, MATCH(gdp_agr_share!U$1, gdp_tot_mes!$B$1:$XFD$1, 0), 0)</f>
        <v>8.4751504597131599E-2</v>
      </c>
      <c r="V52" s="29">
        <f>VLOOKUP($B52, agr_mes!$B:$XFD, MATCH(gdp_agr_share!V$1, agr_mes!$B$1:$XFD$1, 0), 0)/VLOOKUP($B52, gdp_tot_mes!$B:$XFD, MATCH(gdp_agr_share!V$1, gdp_tot_mes!$B$1:$XFD$1, 0), 0)</f>
        <v>7.1071178832907894E-2</v>
      </c>
      <c r="W52" s="29">
        <f>VLOOKUP($B52, agr_mes!$B:$XFD, MATCH(gdp_agr_share!W$1, agr_mes!$B$1:$XFD$1, 0), 0)/VLOOKUP($B52, gdp_tot_mes!$B:$XFD, MATCH(gdp_agr_share!W$1, gdp_tot_mes!$B$1:$XFD$1, 0), 0)</f>
        <v>6.7431953531746316E-2</v>
      </c>
      <c r="X52" s="29">
        <f>VLOOKUP($B52, agr_mes!$B:$XFD, MATCH(gdp_agr_share!X$1, agr_mes!$B$1:$XFD$1, 0), 0)/VLOOKUP($B52, gdp_tot_mes!$B:$XFD, MATCH(gdp_agr_share!X$1, gdp_tot_mes!$B$1:$XFD$1, 0), 0)</f>
        <v>7.0156153586363887E-2</v>
      </c>
      <c r="Y52" s="29">
        <f>VLOOKUP($B52, agr_mes!$B:$XFD, MATCH(gdp_agr_share!Y$1, agr_mes!$B$1:$XFD$1, 0), 0)/VLOOKUP($B52, gdp_tot_mes!$B:$XFD, MATCH(gdp_agr_share!Y$1, gdp_tot_mes!$B$1:$XFD$1, 0), 0)</f>
        <v>6.8330862229364006E-2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x14ac:dyDescent="0.25">
      <c r="A53" s="1" t="s">
        <v>113</v>
      </c>
      <c r="B53" s="1" t="s">
        <v>136</v>
      </c>
      <c r="C53" s="1" t="s">
        <v>137</v>
      </c>
      <c r="D53" s="29">
        <f>VLOOKUP($B53, agr_mes!$B:$XFD, MATCH(gdp_agr_share!D$1, agr_mes!$B$1:$XFD$1, 0), 0)/VLOOKUP($B53, gdp_tot_mes!$B:$XFD, MATCH(gdp_agr_share!D$1, gdp_tot_mes!$B$1:$XFD$1, 0), 0)</f>
        <v>0.7507345939335095</v>
      </c>
      <c r="E53" s="29">
        <f>VLOOKUP($B53, agr_mes!$B:$XFD, MATCH(gdp_agr_share!E$1, agr_mes!$B$1:$XFD$1, 0), 0)/VLOOKUP($B53, gdp_tot_mes!$B:$XFD, MATCH(gdp_agr_share!E$1, gdp_tot_mes!$B$1:$XFD$1, 0), 0)</f>
        <v>0.43116676500377654</v>
      </c>
      <c r="F53" s="29">
        <f>VLOOKUP($B53, agr_mes!$B:$XFD, MATCH(gdp_agr_share!F$1, agr_mes!$B$1:$XFD$1, 0), 0)/VLOOKUP($B53, gdp_tot_mes!$B:$XFD, MATCH(gdp_agr_share!F$1, gdp_tot_mes!$B$1:$XFD$1, 0), 0)</f>
        <v>0.42450373347035292</v>
      </c>
      <c r="G53" s="29">
        <f>VLOOKUP($B53, agr_mes!$B:$XFD, MATCH(gdp_agr_share!G$1, agr_mes!$B$1:$XFD$1, 0), 0)/VLOOKUP($B53, gdp_tot_mes!$B:$XFD, MATCH(gdp_agr_share!G$1, gdp_tot_mes!$B$1:$XFD$1, 0), 0)</f>
        <v>0.32422076987329562</v>
      </c>
      <c r="H53" s="29">
        <f>VLOOKUP($B53, agr_mes!$B:$XFD, MATCH(gdp_agr_share!H$1, agr_mes!$B$1:$XFD$1, 0), 0)/VLOOKUP($B53, gdp_tot_mes!$B:$XFD, MATCH(gdp_agr_share!H$1, gdp_tot_mes!$B$1:$XFD$1, 0), 0)</f>
        <v>0.19408300186325828</v>
      </c>
      <c r="I53" s="29">
        <f>VLOOKUP($B53, agr_mes!$B:$XFD, MATCH(gdp_agr_share!I$1, agr_mes!$B$1:$XFD$1, 0), 0)/VLOOKUP($B53, gdp_tot_mes!$B:$XFD, MATCH(gdp_agr_share!I$1, gdp_tot_mes!$B$1:$XFD$1, 0), 0)</f>
        <v>0.22287709473461351</v>
      </c>
      <c r="J53" s="29">
        <f>VLOOKUP($B53, agr_mes!$B:$XFD, MATCH(gdp_agr_share!J$1, agr_mes!$B$1:$XFD$1, 0), 0)/VLOOKUP($B53, gdp_tot_mes!$B:$XFD, MATCH(gdp_agr_share!J$1, gdp_tot_mes!$B$1:$XFD$1, 0), 0)</f>
        <v>0.26002975490192592</v>
      </c>
      <c r="K53" s="29">
        <f>VLOOKUP($B53, agr_mes!$B:$XFD, MATCH(gdp_agr_share!K$1, agr_mes!$B$1:$XFD$1, 0), 0)/VLOOKUP($B53, gdp_tot_mes!$B:$XFD, MATCH(gdp_agr_share!K$1, gdp_tot_mes!$B$1:$XFD$1, 0), 0)</f>
        <v>0.20978732310858667</v>
      </c>
      <c r="L53" s="30">
        <f t="shared" si="0"/>
        <v>0.1972857933745146</v>
      </c>
      <c r="M53" s="29">
        <f>VLOOKUP($B53, agr_mes!$B:$XFD, MATCH(gdp_agr_share!M$1, agr_mes!$B$1:$XFD$1, 0), 0)/VLOOKUP($B53, gdp_tot_mes!$B:$XFD, MATCH(gdp_agr_share!M$1, gdp_tot_mes!$B$1:$XFD$1, 0), 0)</f>
        <v>0.1822839576936281</v>
      </c>
      <c r="N53" s="29">
        <f>VLOOKUP($B53, agr_mes!$B:$XFD, MATCH(gdp_agr_share!N$1, agr_mes!$B$1:$XFD$1, 0), 0)/VLOOKUP($B53, gdp_tot_mes!$B:$XFD, MATCH(gdp_agr_share!N$1, gdp_tot_mes!$B$1:$XFD$1, 0), 0)</f>
        <v>9.8319677920932977E-2</v>
      </c>
      <c r="O53" s="29">
        <f>VLOOKUP($B53, agr_mes!$B:$XFD, MATCH(gdp_agr_share!O$1, agr_mes!$B$1:$XFD$1, 0), 0)/VLOOKUP($B53, gdp_tot_mes!$B:$XFD, MATCH(gdp_agr_share!O$1, gdp_tot_mes!$B$1:$XFD$1, 0), 0)</f>
        <v>9.7434682662342856E-2</v>
      </c>
      <c r="P53" s="29">
        <f>VLOOKUP($B53, agr_mes!$B:$XFD, MATCH(gdp_agr_share!P$1, agr_mes!$B$1:$XFD$1, 0), 0)/VLOOKUP($B53, gdp_tot_mes!$B:$XFD, MATCH(gdp_agr_share!P$1, gdp_tot_mes!$B$1:$XFD$1, 0), 0)</f>
        <v>8.0649511702186497E-2</v>
      </c>
      <c r="Q53" s="29">
        <f>VLOOKUP($B53, agr_mes!$B:$XFD, MATCH(gdp_agr_share!Q$1, agr_mes!$B$1:$XFD$1, 0), 0)/VLOOKUP($B53, gdp_tot_mes!$B:$XFD, MATCH(gdp_agr_share!Q$1, gdp_tot_mes!$B$1:$XFD$1, 0), 0)</f>
        <v>5.3522510450302617E-2</v>
      </c>
      <c r="R53" s="29">
        <f>VLOOKUP($B53, agr_mes!$B:$XFD, MATCH(gdp_agr_share!R$1, agr_mes!$B$1:$XFD$1, 0), 0)/VLOOKUP($B53, gdp_tot_mes!$B:$XFD, MATCH(gdp_agr_share!R$1, gdp_tot_mes!$B$1:$XFD$1, 0), 0)</f>
        <v>5.7999896912482453E-2</v>
      </c>
      <c r="S53" s="29">
        <f>VLOOKUP($B53, agr_mes!$B:$XFD, MATCH(gdp_agr_share!S$1, agr_mes!$B$1:$XFD$1, 0), 0)/VLOOKUP($B53, gdp_tot_mes!$B:$XFD, MATCH(gdp_agr_share!S$1, gdp_tot_mes!$B$1:$XFD$1, 0), 0)</f>
        <v>6.4341732821452224E-2</v>
      </c>
      <c r="T53" s="29">
        <f>VLOOKUP($B53, agr_mes!$B:$XFD, MATCH(gdp_agr_share!T$1, agr_mes!$B$1:$XFD$1, 0), 0)/VLOOKUP($B53, gdp_tot_mes!$B:$XFD, MATCH(gdp_agr_share!T$1, gdp_tot_mes!$B$1:$XFD$1, 0), 0)</f>
        <v>5.9619126098337985E-2</v>
      </c>
      <c r="U53" s="29">
        <f>VLOOKUP($B53, agr_mes!$B:$XFD, MATCH(gdp_agr_share!U$1, agr_mes!$B$1:$XFD$1, 0), 0)/VLOOKUP($B53, gdp_tot_mes!$B:$XFD, MATCH(gdp_agr_share!U$1, gdp_tot_mes!$B$1:$XFD$1, 0), 0)</f>
        <v>6.2463791410239798E-2</v>
      </c>
      <c r="V53" s="29">
        <f>VLOOKUP($B53, agr_mes!$B:$XFD, MATCH(gdp_agr_share!V$1, agr_mes!$B$1:$XFD$1, 0), 0)/VLOOKUP($B53, gdp_tot_mes!$B:$XFD, MATCH(gdp_agr_share!V$1, gdp_tot_mes!$B$1:$XFD$1, 0), 0)</f>
        <v>5.8341618337220645E-2</v>
      </c>
      <c r="W53" s="29">
        <f>VLOOKUP($B53, agr_mes!$B:$XFD, MATCH(gdp_agr_share!W$1, agr_mes!$B$1:$XFD$1, 0), 0)/VLOOKUP($B53, gdp_tot_mes!$B:$XFD, MATCH(gdp_agr_share!W$1, gdp_tot_mes!$B$1:$XFD$1, 0), 0)</f>
        <v>5.7056386457719453E-2</v>
      </c>
      <c r="X53" s="29">
        <f>VLOOKUP($B53, agr_mes!$B:$XFD, MATCH(gdp_agr_share!X$1, agr_mes!$B$1:$XFD$1, 0), 0)/VLOOKUP($B53, gdp_tot_mes!$B:$XFD, MATCH(gdp_agr_share!X$1, gdp_tot_mes!$B$1:$XFD$1, 0), 0)</f>
        <v>5.6036915532364985E-2</v>
      </c>
      <c r="Y53" s="29">
        <f>VLOOKUP($B53, agr_mes!$B:$XFD, MATCH(gdp_agr_share!Y$1, agr_mes!$B$1:$XFD$1, 0), 0)/VLOOKUP($B53, gdp_tot_mes!$B:$XFD, MATCH(gdp_agr_share!Y$1, gdp_tot_mes!$B$1:$XFD$1, 0), 0)</f>
        <v>5.7230755195667601E-2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x14ac:dyDescent="0.25">
      <c r="A54" s="1" t="s">
        <v>138</v>
      </c>
      <c r="B54" s="1" t="s">
        <v>139</v>
      </c>
      <c r="C54" s="1" t="s">
        <v>140</v>
      </c>
      <c r="D54" s="29">
        <f>VLOOKUP($B54, agr_mes!$B:$XFD, MATCH(gdp_agr_share!D$1, agr_mes!$B$1:$XFD$1, 0), 0)/VLOOKUP($B54, gdp_tot_mes!$B:$XFD, MATCH(gdp_agr_share!D$1, gdp_tot_mes!$B$1:$XFD$1, 0), 0)</f>
        <v>0.34588415905456921</v>
      </c>
      <c r="E54" s="29">
        <f>VLOOKUP($B54, agr_mes!$B:$XFD, MATCH(gdp_agr_share!E$1, agr_mes!$B$1:$XFD$1, 0), 0)/VLOOKUP($B54, gdp_tot_mes!$B:$XFD, MATCH(gdp_agr_share!E$1, gdp_tot_mes!$B$1:$XFD$1, 0), 0)</f>
        <v>0.27336919189545666</v>
      </c>
      <c r="F54" s="29">
        <f>VLOOKUP($B54, agr_mes!$B:$XFD, MATCH(gdp_agr_share!F$1, agr_mes!$B$1:$XFD$1, 0), 0)/VLOOKUP($B54, gdp_tot_mes!$B:$XFD, MATCH(gdp_agr_share!F$1, gdp_tot_mes!$B$1:$XFD$1, 0), 0)</f>
        <v>0.30412956712425609</v>
      </c>
      <c r="G54" s="29">
        <f>VLOOKUP($B54, agr_mes!$B:$XFD, MATCH(gdp_agr_share!G$1, agr_mes!$B$1:$XFD$1, 0), 0)/VLOOKUP($B54, gdp_tot_mes!$B:$XFD, MATCH(gdp_agr_share!G$1, gdp_tot_mes!$B$1:$XFD$1, 0), 0)</f>
        <v>0.26805080216168037</v>
      </c>
      <c r="H54" s="29">
        <f>VLOOKUP($B54, agr_mes!$B:$XFD, MATCH(gdp_agr_share!H$1, agr_mes!$B$1:$XFD$1, 0), 0)/VLOOKUP($B54, gdp_tot_mes!$B:$XFD, MATCH(gdp_agr_share!H$1, gdp_tot_mes!$B$1:$XFD$1, 0), 0)</f>
        <v>0.3576700602420631</v>
      </c>
      <c r="I54" s="29">
        <f>VLOOKUP($B54, agr_mes!$B:$XFD, MATCH(gdp_agr_share!I$1, agr_mes!$B$1:$XFD$1, 0), 0)/VLOOKUP($B54, gdp_tot_mes!$B:$XFD, MATCH(gdp_agr_share!I$1, gdp_tot_mes!$B$1:$XFD$1, 0), 0)</f>
        <v>0.39764248642897637</v>
      </c>
      <c r="J54" s="29">
        <f>VLOOKUP($B54, agr_mes!$B:$XFD, MATCH(gdp_agr_share!J$1, agr_mes!$B$1:$XFD$1, 0), 0)/VLOOKUP($B54, gdp_tot_mes!$B:$XFD, MATCH(gdp_agr_share!J$1, gdp_tot_mes!$B$1:$XFD$1, 0), 0)</f>
        <v>0.53434937685322481</v>
      </c>
      <c r="K54" s="29">
        <f>VLOOKUP($B54, agr_mes!$B:$XFD, MATCH(gdp_agr_share!K$1, agr_mes!$B$1:$XFD$1, 0), 0)/VLOOKUP($B54, gdp_tot_mes!$B:$XFD, MATCH(gdp_agr_share!K$1, gdp_tot_mes!$B$1:$XFD$1, 0), 0)</f>
        <v>0.36083246607543279</v>
      </c>
      <c r="L54" s="30">
        <f t="shared" si="0"/>
        <v>0.33490218708825248</v>
      </c>
      <c r="M54" s="29">
        <f>VLOOKUP($B54, agr_mes!$B:$XFD, MATCH(gdp_agr_share!M$1, agr_mes!$B$1:$XFD$1, 0), 0)/VLOOKUP($B54, gdp_tot_mes!$B:$XFD, MATCH(gdp_agr_share!M$1, gdp_tot_mes!$B$1:$XFD$1, 0), 0)</f>
        <v>0.30378585230363614</v>
      </c>
      <c r="N54" s="29">
        <f>VLOOKUP($B54, agr_mes!$B:$XFD, MATCH(gdp_agr_share!N$1, agr_mes!$B$1:$XFD$1, 0), 0)/VLOOKUP($B54, gdp_tot_mes!$B:$XFD, MATCH(gdp_agr_share!N$1, gdp_tot_mes!$B$1:$XFD$1, 0), 0)</f>
        <v>0.22097750091369153</v>
      </c>
      <c r="O54" s="29">
        <f>VLOOKUP($B54, agr_mes!$B:$XFD, MATCH(gdp_agr_share!O$1, agr_mes!$B$1:$XFD$1, 0), 0)/VLOOKUP($B54, gdp_tot_mes!$B:$XFD, MATCH(gdp_agr_share!O$1, gdp_tot_mes!$B$1:$XFD$1, 0), 0)</f>
        <v>0.18404782255086127</v>
      </c>
      <c r="P54" s="29">
        <f>VLOOKUP($B54, agr_mes!$B:$XFD, MATCH(gdp_agr_share!P$1, agr_mes!$B$1:$XFD$1, 0), 0)/VLOOKUP($B54, gdp_tot_mes!$B:$XFD, MATCH(gdp_agr_share!P$1, gdp_tot_mes!$B$1:$XFD$1, 0), 0)</f>
        <v>0.20122924254690017</v>
      </c>
      <c r="Q54" s="29">
        <f>VLOOKUP($B54, agr_mes!$B:$XFD, MATCH(gdp_agr_share!Q$1, agr_mes!$B$1:$XFD$1, 0), 0)/VLOOKUP($B54, gdp_tot_mes!$B:$XFD, MATCH(gdp_agr_share!Q$1, gdp_tot_mes!$B$1:$XFD$1, 0), 0)</f>
        <v>0.18860817157045409</v>
      </c>
      <c r="R54" s="29">
        <f>VLOOKUP($B54, agr_mes!$B:$XFD, MATCH(gdp_agr_share!R$1, agr_mes!$B$1:$XFD$1, 0), 0)/VLOOKUP($B54, gdp_tot_mes!$B:$XFD, MATCH(gdp_agr_share!R$1, gdp_tot_mes!$B$1:$XFD$1, 0), 0)</f>
        <v>0.19866942212124461</v>
      </c>
      <c r="S54" s="29">
        <f>VLOOKUP($B54, agr_mes!$B:$XFD, MATCH(gdp_agr_share!S$1, agr_mes!$B$1:$XFD$1, 0), 0)/VLOOKUP($B54, gdp_tot_mes!$B:$XFD, MATCH(gdp_agr_share!S$1, gdp_tot_mes!$B$1:$XFD$1, 0), 0)</f>
        <v>0.16867530908825049</v>
      </c>
      <c r="T54" s="29">
        <f>VLOOKUP($B54, agr_mes!$B:$XFD, MATCH(gdp_agr_share!T$1, agr_mes!$B$1:$XFD$1, 0), 0)/VLOOKUP($B54, gdp_tot_mes!$B:$XFD, MATCH(gdp_agr_share!T$1, gdp_tot_mes!$B$1:$XFD$1, 0), 0)</f>
        <v>0.11975688459397939</v>
      </c>
      <c r="U54" s="29">
        <f>VLOOKUP($B54, agr_mes!$B:$XFD, MATCH(gdp_agr_share!U$1, agr_mes!$B$1:$XFD$1, 0), 0)/VLOOKUP($B54, gdp_tot_mes!$B:$XFD, MATCH(gdp_agr_share!U$1, gdp_tot_mes!$B$1:$XFD$1, 0), 0)</f>
        <v>9.9742022127346092E-2</v>
      </c>
      <c r="V54" s="29">
        <f>VLOOKUP($B54, agr_mes!$B:$XFD, MATCH(gdp_agr_share!V$1, agr_mes!$B$1:$XFD$1, 0), 0)/VLOOKUP($B54, gdp_tot_mes!$B:$XFD, MATCH(gdp_agr_share!V$1, gdp_tot_mes!$B$1:$XFD$1, 0), 0)</f>
        <v>0.10096710899676878</v>
      </c>
      <c r="W54" s="29">
        <f>VLOOKUP($B54, agr_mes!$B:$XFD, MATCH(gdp_agr_share!W$1, agr_mes!$B$1:$XFD$1, 0), 0)/VLOOKUP($B54, gdp_tot_mes!$B:$XFD, MATCH(gdp_agr_share!W$1, gdp_tot_mes!$B$1:$XFD$1, 0), 0)</f>
        <v>0.11760546357732321</v>
      </c>
      <c r="X54" s="29">
        <f>VLOOKUP($B54, agr_mes!$B:$XFD, MATCH(gdp_agr_share!X$1, agr_mes!$B$1:$XFD$1, 0), 0)/VLOOKUP($B54, gdp_tot_mes!$B:$XFD, MATCH(gdp_agr_share!X$1, gdp_tot_mes!$B$1:$XFD$1, 0), 0)</f>
        <v>0.12177200802627638</v>
      </c>
      <c r="Y54" s="29">
        <f>VLOOKUP($B54, agr_mes!$B:$XFD, MATCH(gdp_agr_share!Y$1, agr_mes!$B$1:$XFD$1, 0), 0)/VLOOKUP($B54, gdp_tot_mes!$B:$XFD, MATCH(gdp_agr_share!Y$1, gdp_tot_mes!$B$1:$XFD$1, 0), 0)</f>
        <v>9.62007768104544E-2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25">
      <c r="A55" s="1" t="s">
        <v>138</v>
      </c>
      <c r="B55" s="1" t="s">
        <v>141</v>
      </c>
      <c r="C55" s="1" t="s">
        <v>142</v>
      </c>
      <c r="D55" s="29">
        <f>VLOOKUP($B55, agr_mes!$B:$XFD, MATCH(gdp_agr_share!D$1, agr_mes!$B$1:$XFD$1, 0), 0)/VLOOKUP($B55, gdp_tot_mes!$B:$XFD, MATCH(gdp_agr_share!D$1, gdp_tot_mes!$B$1:$XFD$1, 0), 0)</f>
        <v>0.61197460289616046</v>
      </c>
      <c r="E55" s="29">
        <f>VLOOKUP($B55, agr_mes!$B:$XFD, MATCH(gdp_agr_share!E$1, agr_mes!$B$1:$XFD$1, 0), 0)/VLOOKUP($B55, gdp_tot_mes!$B:$XFD, MATCH(gdp_agr_share!E$1, gdp_tot_mes!$B$1:$XFD$1, 0), 0)</f>
        <v>0.39005292068849418</v>
      </c>
      <c r="F55" s="29">
        <f>VLOOKUP($B55, agr_mes!$B:$XFD, MATCH(gdp_agr_share!F$1, agr_mes!$B$1:$XFD$1, 0), 0)/VLOOKUP($B55, gdp_tot_mes!$B:$XFD, MATCH(gdp_agr_share!F$1, gdp_tot_mes!$B$1:$XFD$1, 0), 0)</f>
        <v>0.32883149403877904</v>
      </c>
      <c r="G55" s="29">
        <f>VLOOKUP($B55, agr_mes!$B:$XFD, MATCH(gdp_agr_share!G$1, agr_mes!$B$1:$XFD$1, 0), 0)/VLOOKUP($B55, gdp_tot_mes!$B:$XFD, MATCH(gdp_agr_share!G$1, gdp_tot_mes!$B$1:$XFD$1, 0), 0)</f>
        <v>0.19562633074180974</v>
      </c>
      <c r="H55" s="29">
        <f>VLOOKUP($B55, agr_mes!$B:$XFD, MATCH(gdp_agr_share!H$1, agr_mes!$B$1:$XFD$1, 0), 0)/VLOOKUP($B55, gdp_tot_mes!$B:$XFD, MATCH(gdp_agr_share!H$1, gdp_tot_mes!$B$1:$XFD$1, 0), 0)</f>
        <v>0.21599138526310205</v>
      </c>
      <c r="I55" s="29">
        <f>VLOOKUP($B55, agr_mes!$B:$XFD, MATCH(gdp_agr_share!I$1, agr_mes!$B$1:$XFD$1, 0), 0)/VLOOKUP($B55, gdp_tot_mes!$B:$XFD, MATCH(gdp_agr_share!I$1, gdp_tot_mes!$B$1:$XFD$1, 0), 0)</f>
        <v>0.19387853635367652</v>
      </c>
      <c r="J55" s="29">
        <f>VLOOKUP($B55, agr_mes!$B:$XFD, MATCH(gdp_agr_share!J$1, agr_mes!$B$1:$XFD$1, 0), 0)/VLOOKUP($B55, gdp_tot_mes!$B:$XFD, MATCH(gdp_agr_share!J$1, gdp_tot_mes!$B$1:$XFD$1, 0), 0)</f>
        <v>0.19352371737024679</v>
      </c>
      <c r="K55" s="29">
        <f>VLOOKUP($B55, agr_mes!$B:$XFD, MATCH(gdp_agr_share!K$1, agr_mes!$B$1:$XFD$1, 0), 0)/VLOOKUP($B55, gdp_tot_mes!$B:$XFD, MATCH(gdp_agr_share!K$1, gdp_tot_mes!$B$1:$XFD$1, 0), 0)</f>
        <v>9.8596728331718869E-2</v>
      </c>
      <c r="L55" s="30">
        <f t="shared" si="0"/>
        <v>0.10875097632220311</v>
      </c>
      <c r="M55" s="29">
        <f>VLOOKUP($B55, agr_mes!$B:$XFD, MATCH(gdp_agr_share!M$1, agr_mes!$B$1:$XFD$1, 0), 0)/VLOOKUP($B55, gdp_tot_mes!$B:$XFD, MATCH(gdp_agr_share!M$1, gdp_tot_mes!$B$1:$XFD$1, 0), 0)</f>
        <v>0.12093607391078419</v>
      </c>
      <c r="N55" s="29">
        <f>VLOOKUP($B55, agr_mes!$B:$XFD, MATCH(gdp_agr_share!N$1, agr_mes!$B$1:$XFD$1, 0), 0)/VLOOKUP($B55, gdp_tot_mes!$B:$XFD, MATCH(gdp_agr_share!N$1, gdp_tot_mes!$B$1:$XFD$1, 0), 0)</f>
        <v>9.1036762201243307E-2</v>
      </c>
      <c r="O55" s="29">
        <f>VLOOKUP($B55, agr_mes!$B:$XFD, MATCH(gdp_agr_share!O$1, agr_mes!$B$1:$XFD$1, 0), 0)/VLOOKUP($B55, gdp_tot_mes!$B:$XFD, MATCH(gdp_agr_share!O$1, gdp_tot_mes!$B$1:$XFD$1, 0), 0)</f>
        <v>9.3145171837013041E-2</v>
      </c>
      <c r="P55" s="29">
        <f>VLOOKUP($B55, agr_mes!$B:$XFD, MATCH(gdp_agr_share!P$1, agr_mes!$B$1:$XFD$1, 0), 0)/VLOOKUP($B55, gdp_tot_mes!$B:$XFD, MATCH(gdp_agr_share!P$1, gdp_tot_mes!$B$1:$XFD$1, 0), 0)</f>
        <v>0.11129935966697793</v>
      </c>
      <c r="Q55" s="29">
        <f>VLOOKUP($B55, agr_mes!$B:$XFD, MATCH(gdp_agr_share!Q$1, agr_mes!$B$1:$XFD$1, 0), 0)/VLOOKUP($B55, gdp_tot_mes!$B:$XFD, MATCH(gdp_agr_share!Q$1, gdp_tot_mes!$B$1:$XFD$1, 0), 0)</f>
        <v>0.11149324454614196</v>
      </c>
      <c r="R55" s="29">
        <f>VLOOKUP($B55, agr_mes!$B:$XFD, MATCH(gdp_agr_share!R$1, agr_mes!$B$1:$XFD$1, 0), 0)/VLOOKUP($B55, gdp_tot_mes!$B:$XFD, MATCH(gdp_agr_share!R$1, gdp_tot_mes!$B$1:$XFD$1, 0), 0)</f>
        <v>0.1365707391121338</v>
      </c>
      <c r="S55" s="29">
        <f>VLOOKUP($B55, agr_mes!$B:$XFD, MATCH(gdp_agr_share!S$1, agr_mes!$B$1:$XFD$1, 0), 0)/VLOOKUP($B55, gdp_tot_mes!$B:$XFD, MATCH(gdp_agr_share!S$1, gdp_tot_mes!$B$1:$XFD$1, 0), 0)</f>
        <v>0.12135282588234197</v>
      </c>
      <c r="T55" s="29">
        <f>VLOOKUP($B55, agr_mes!$B:$XFD, MATCH(gdp_agr_share!T$1, agr_mes!$B$1:$XFD$1, 0), 0)/VLOOKUP($B55, gdp_tot_mes!$B:$XFD, MATCH(gdp_agr_share!T$1, gdp_tot_mes!$B$1:$XFD$1, 0), 0)</f>
        <v>8.0159527813842793E-2</v>
      </c>
      <c r="U55" s="29">
        <f>VLOOKUP($B55, agr_mes!$B:$XFD, MATCH(gdp_agr_share!U$1, agr_mes!$B$1:$XFD$1, 0), 0)/VLOOKUP($B55, gdp_tot_mes!$B:$XFD, MATCH(gdp_agr_share!U$1, gdp_tot_mes!$B$1:$XFD$1, 0), 0)</f>
        <v>7.281125177855309E-2</v>
      </c>
      <c r="V55" s="29">
        <f>VLOOKUP($B55, agr_mes!$B:$XFD, MATCH(gdp_agr_share!V$1, agr_mes!$B$1:$XFD$1, 0), 0)/VLOOKUP($B55, gdp_tot_mes!$B:$XFD, MATCH(gdp_agr_share!V$1, gdp_tot_mes!$B$1:$XFD$1, 0), 0)</f>
        <v>7.311624419377015E-2</v>
      </c>
      <c r="W55" s="29">
        <f>VLOOKUP($B55, agr_mes!$B:$XFD, MATCH(gdp_agr_share!W$1, agr_mes!$B$1:$XFD$1, 0), 0)/VLOOKUP($B55, gdp_tot_mes!$B:$XFD, MATCH(gdp_agr_share!W$1, gdp_tot_mes!$B$1:$XFD$1, 0), 0)</f>
        <v>8.7642958806229423E-2</v>
      </c>
      <c r="X55" s="29">
        <f>VLOOKUP($B55, agr_mes!$B:$XFD, MATCH(gdp_agr_share!X$1, agr_mes!$B$1:$XFD$1, 0), 0)/VLOOKUP($B55, gdp_tot_mes!$B:$XFD, MATCH(gdp_agr_share!X$1, gdp_tot_mes!$B$1:$XFD$1, 0), 0)</f>
        <v>8.3347806698025037E-2</v>
      </c>
      <c r="Y55" s="29">
        <f>VLOOKUP($B55, agr_mes!$B:$XFD, MATCH(gdp_agr_share!Y$1, agr_mes!$B$1:$XFD$1, 0), 0)/VLOOKUP($B55, gdp_tot_mes!$B:$XFD, MATCH(gdp_agr_share!Y$1, gdp_tot_mes!$B$1:$XFD$1, 0), 0)</f>
        <v>7.1191745209813972E-2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x14ac:dyDescent="0.25">
      <c r="A56" s="1" t="s">
        <v>138</v>
      </c>
      <c r="B56" s="1" t="s">
        <v>143</v>
      </c>
      <c r="C56" s="1" t="s">
        <v>144</v>
      </c>
      <c r="D56" s="29">
        <f>VLOOKUP($B56, agr_mes!$B:$XFD, MATCH(gdp_agr_share!D$1, agr_mes!$B$1:$XFD$1, 0), 0)/VLOOKUP($B56, gdp_tot_mes!$B:$XFD, MATCH(gdp_agr_share!D$1, gdp_tot_mes!$B$1:$XFD$1, 0), 0)</f>
        <v>0.53668736423269681</v>
      </c>
      <c r="E56" s="29">
        <f>VLOOKUP($B56, agr_mes!$B:$XFD, MATCH(gdp_agr_share!E$1, agr_mes!$B$1:$XFD$1, 0), 0)/VLOOKUP($B56, gdp_tot_mes!$B:$XFD, MATCH(gdp_agr_share!E$1, gdp_tot_mes!$B$1:$XFD$1, 0), 0)</f>
        <v>0.53181076312917719</v>
      </c>
      <c r="F56" s="29">
        <f>VLOOKUP($B56, agr_mes!$B:$XFD, MATCH(gdp_agr_share!F$1, agr_mes!$B$1:$XFD$1, 0), 0)/VLOOKUP($B56, gdp_tot_mes!$B:$XFD, MATCH(gdp_agr_share!F$1, gdp_tot_mes!$B$1:$XFD$1, 0), 0)</f>
        <v>0.62526315107536734</v>
      </c>
      <c r="G56" s="29">
        <f>VLOOKUP($B56, agr_mes!$B:$XFD, MATCH(gdp_agr_share!G$1, agr_mes!$B$1:$XFD$1, 0), 0)/VLOOKUP($B56, gdp_tot_mes!$B:$XFD, MATCH(gdp_agr_share!G$1, gdp_tot_mes!$B$1:$XFD$1, 0), 0)</f>
        <v>0.42530097644205106</v>
      </c>
      <c r="H56" s="29">
        <f>VLOOKUP($B56, agr_mes!$B:$XFD, MATCH(gdp_agr_share!H$1, agr_mes!$B$1:$XFD$1, 0), 0)/VLOOKUP($B56, gdp_tot_mes!$B:$XFD, MATCH(gdp_agr_share!H$1, gdp_tot_mes!$B$1:$XFD$1, 0), 0)</f>
        <v>0.35935145195674645</v>
      </c>
      <c r="I56" s="29">
        <f>VLOOKUP($B56, agr_mes!$B:$XFD, MATCH(gdp_agr_share!I$1, agr_mes!$B$1:$XFD$1, 0), 0)/VLOOKUP($B56, gdp_tot_mes!$B:$XFD, MATCH(gdp_agr_share!I$1, gdp_tot_mes!$B$1:$XFD$1, 0), 0)</f>
        <v>0.29059734092658279</v>
      </c>
      <c r="J56" s="29">
        <f>VLOOKUP($B56, agr_mes!$B:$XFD, MATCH(gdp_agr_share!J$1, agr_mes!$B$1:$XFD$1, 0), 0)/VLOOKUP($B56, gdp_tot_mes!$B:$XFD, MATCH(gdp_agr_share!J$1, gdp_tot_mes!$B$1:$XFD$1, 0), 0)</f>
        <v>0.57308083380783181</v>
      </c>
      <c r="K56" s="29">
        <f>VLOOKUP($B56, agr_mes!$B:$XFD, MATCH(gdp_agr_share!K$1, agr_mes!$B$1:$XFD$1, 0), 0)/VLOOKUP($B56, gdp_tot_mes!$B:$XFD, MATCH(gdp_agr_share!K$1, gdp_tot_mes!$B$1:$XFD$1, 0), 0)</f>
        <v>0.53849097107671906</v>
      </c>
      <c r="L56" s="30">
        <f t="shared" si="0"/>
        <v>0.54366326742551729</v>
      </c>
      <c r="M56" s="29">
        <f>VLOOKUP($B56, agr_mes!$B:$XFD, MATCH(gdp_agr_share!M$1, agr_mes!$B$1:$XFD$1, 0), 0)/VLOOKUP($B56, gdp_tot_mes!$B:$XFD, MATCH(gdp_agr_share!M$1, gdp_tot_mes!$B$1:$XFD$1, 0), 0)</f>
        <v>0.54987002304407528</v>
      </c>
      <c r="N56" s="29">
        <f>VLOOKUP($B56, agr_mes!$B:$XFD, MATCH(gdp_agr_share!N$1, agr_mes!$B$1:$XFD$1, 0), 0)/VLOOKUP($B56, gdp_tot_mes!$B:$XFD, MATCH(gdp_agr_share!N$1, gdp_tot_mes!$B$1:$XFD$1, 0), 0)</f>
        <v>0.28430872324189538</v>
      </c>
      <c r="O56" s="29">
        <f>VLOOKUP($B56, agr_mes!$B:$XFD, MATCH(gdp_agr_share!O$1, agr_mes!$B$1:$XFD$1, 0), 0)/VLOOKUP($B56, gdp_tot_mes!$B:$XFD, MATCH(gdp_agr_share!O$1, gdp_tot_mes!$B$1:$XFD$1, 0), 0)</f>
        <v>0.27735520892823268</v>
      </c>
      <c r="P56" s="29">
        <f>VLOOKUP($B56, agr_mes!$B:$XFD, MATCH(gdp_agr_share!P$1, agr_mes!$B$1:$XFD$1, 0), 0)/VLOOKUP($B56, gdp_tot_mes!$B:$XFD, MATCH(gdp_agr_share!P$1, gdp_tot_mes!$B$1:$XFD$1, 0), 0)</f>
        <v>0.30647494634164041</v>
      </c>
      <c r="Q56" s="29">
        <f>VLOOKUP($B56, agr_mes!$B:$XFD, MATCH(gdp_agr_share!Q$1, agr_mes!$B$1:$XFD$1, 0), 0)/VLOOKUP($B56, gdp_tot_mes!$B:$XFD, MATCH(gdp_agr_share!Q$1, gdp_tot_mes!$B$1:$XFD$1, 0), 0)</f>
        <v>0.49353684189120961</v>
      </c>
      <c r="R56" s="29">
        <f>VLOOKUP($B56, agr_mes!$B:$XFD, MATCH(gdp_agr_share!R$1, agr_mes!$B$1:$XFD$1, 0), 0)/VLOOKUP($B56, gdp_tot_mes!$B:$XFD, MATCH(gdp_agr_share!R$1, gdp_tot_mes!$B$1:$XFD$1, 0), 0)</f>
        <v>0.50698671263340811</v>
      </c>
      <c r="S56" s="29">
        <f>VLOOKUP($B56, agr_mes!$B:$XFD, MATCH(gdp_agr_share!S$1, agr_mes!$B$1:$XFD$1, 0), 0)/VLOOKUP($B56, gdp_tot_mes!$B:$XFD, MATCH(gdp_agr_share!S$1, gdp_tot_mes!$B$1:$XFD$1, 0), 0)</f>
        <v>0.41251147840803531</v>
      </c>
      <c r="T56" s="29">
        <f>VLOOKUP($B56, agr_mes!$B:$XFD, MATCH(gdp_agr_share!T$1, agr_mes!$B$1:$XFD$1, 0), 0)/VLOOKUP($B56, gdp_tot_mes!$B:$XFD, MATCH(gdp_agr_share!T$1, gdp_tot_mes!$B$1:$XFD$1, 0), 0)</f>
        <v>0.28477355399072929</v>
      </c>
      <c r="U56" s="29">
        <f>VLOOKUP($B56, agr_mes!$B:$XFD, MATCH(gdp_agr_share!U$1, agr_mes!$B$1:$XFD$1, 0), 0)/VLOOKUP($B56, gdp_tot_mes!$B:$XFD, MATCH(gdp_agr_share!U$1, gdp_tot_mes!$B$1:$XFD$1, 0), 0)</f>
        <v>0.25745735905144274</v>
      </c>
      <c r="V56" s="29">
        <f>VLOOKUP($B56, agr_mes!$B:$XFD, MATCH(gdp_agr_share!V$1, agr_mes!$B$1:$XFD$1, 0), 0)/VLOOKUP($B56, gdp_tot_mes!$B:$XFD, MATCH(gdp_agr_share!V$1, gdp_tot_mes!$B$1:$XFD$1, 0), 0)</f>
        <v>0.23266739477838677</v>
      </c>
      <c r="W56" s="29">
        <f>VLOOKUP($B56, agr_mes!$B:$XFD, MATCH(gdp_agr_share!W$1, agr_mes!$B$1:$XFD$1, 0), 0)/VLOOKUP($B56, gdp_tot_mes!$B:$XFD, MATCH(gdp_agr_share!W$1, gdp_tot_mes!$B$1:$XFD$1, 0), 0)</f>
        <v>0.2701399040912919</v>
      </c>
      <c r="X56" s="29">
        <f>VLOOKUP($B56, agr_mes!$B:$XFD, MATCH(gdp_agr_share!X$1, agr_mes!$B$1:$XFD$1, 0), 0)/VLOOKUP($B56, gdp_tot_mes!$B:$XFD, MATCH(gdp_agr_share!X$1, gdp_tot_mes!$B$1:$XFD$1, 0), 0)</f>
        <v>0.2555221204396359</v>
      </c>
      <c r="Y56" s="29">
        <f>VLOOKUP($B56, agr_mes!$B:$XFD, MATCH(gdp_agr_share!Y$1, agr_mes!$B$1:$XFD$1, 0), 0)/VLOOKUP($B56, gdp_tot_mes!$B:$XFD, MATCH(gdp_agr_share!Y$1, gdp_tot_mes!$B$1:$XFD$1, 0), 0)</f>
        <v>0.27541933940392777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25">
      <c r="A57" s="1" t="s">
        <v>138</v>
      </c>
      <c r="B57" s="1" t="s">
        <v>145</v>
      </c>
      <c r="C57" s="1" t="s">
        <v>146</v>
      </c>
      <c r="D57" s="29">
        <f>VLOOKUP($B57, agr_mes!$B:$XFD, MATCH(gdp_agr_share!D$1, agr_mes!$B$1:$XFD$1, 0), 0)/VLOOKUP($B57, gdp_tot_mes!$B:$XFD, MATCH(gdp_agr_share!D$1, gdp_tot_mes!$B$1:$XFD$1, 0), 0)</f>
        <v>0.68502062899147653</v>
      </c>
      <c r="E57" s="29">
        <f>VLOOKUP($B57, agr_mes!$B:$XFD, MATCH(gdp_agr_share!E$1, agr_mes!$B$1:$XFD$1, 0), 0)/VLOOKUP($B57, gdp_tot_mes!$B:$XFD, MATCH(gdp_agr_share!E$1, gdp_tot_mes!$B$1:$XFD$1, 0), 0)</f>
        <v>0.54854788247523956</v>
      </c>
      <c r="F57" s="29">
        <f>VLOOKUP($B57, agr_mes!$B:$XFD, MATCH(gdp_agr_share!F$1, agr_mes!$B$1:$XFD$1, 0), 0)/VLOOKUP($B57, gdp_tot_mes!$B:$XFD, MATCH(gdp_agr_share!F$1, gdp_tot_mes!$B$1:$XFD$1, 0), 0)</f>
        <v>0.70594986760173939</v>
      </c>
      <c r="G57" s="29">
        <f>VLOOKUP($B57, agr_mes!$B:$XFD, MATCH(gdp_agr_share!G$1, agr_mes!$B$1:$XFD$1, 0), 0)/VLOOKUP($B57, gdp_tot_mes!$B:$XFD, MATCH(gdp_agr_share!G$1, gdp_tot_mes!$B$1:$XFD$1, 0), 0)</f>
        <v>0.40239456373355459</v>
      </c>
      <c r="H57" s="29">
        <f>VLOOKUP($B57, agr_mes!$B:$XFD, MATCH(gdp_agr_share!H$1, agr_mes!$B$1:$XFD$1, 0), 0)/VLOOKUP($B57, gdp_tot_mes!$B:$XFD, MATCH(gdp_agr_share!H$1, gdp_tot_mes!$B$1:$XFD$1, 0), 0)</f>
        <v>0.44848356881666446</v>
      </c>
      <c r="I57" s="29">
        <f>VLOOKUP($B57, agr_mes!$B:$XFD, MATCH(gdp_agr_share!I$1, agr_mes!$B$1:$XFD$1, 0), 0)/VLOOKUP($B57, gdp_tot_mes!$B:$XFD, MATCH(gdp_agr_share!I$1, gdp_tot_mes!$B$1:$XFD$1, 0), 0)</f>
        <v>0.4211940234694333</v>
      </c>
      <c r="J57" s="29">
        <f>VLOOKUP($B57, agr_mes!$B:$XFD, MATCH(gdp_agr_share!J$1, agr_mes!$B$1:$XFD$1, 0), 0)/VLOOKUP($B57, gdp_tot_mes!$B:$XFD, MATCH(gdp_agr_share!J$1, gdp_tot_mes!$B$1:$XFD$1, 0), 0)</f>
        <v>0.55326723681331225</v>
      </c>
      <c r="K57" s="29">
        <f>VLOOKUP($B57, agr_mes!$B:$XFD, MATCH(gdp_agr_share!K$1, agr_mes!$B$1:$XFD$1, 0), 0)/VLOOKUP($B57, gdp_tot_mes!$B:$XFD, MATCH(gdp_agr_share!K$1, gdp_tot_mes!$B$1:$XFD$1, 0), 0)</f>
        <v>0.40704670171197127</v>
      </c>
      <c r="L57" s="30">
        <f t="shared" si="0"/>
        <v>0.41187078992390064</v>
      </c>
      <c r="M57" s="29">
        <f>VLOOKUP($B57, agr_mes!$B:$XFD, MATCH(gdp_agr_share!M$1, agr_mes!$B$1:$XFD$1, 0), 0)/VLOOKUP($B57, gdp_tot_mes!$B:$XFD, MATCH(gdp_agr_share!M$1, gdp_tot_mes!$B$1:$XFD$1, 0), 0)</f>
        <v>0.41765969577821582</v>
      </c>
      <c r="N57" s="29">
        <f>VLOOKUP($B57, agr_mes!$B:$XFD, MATCH(gdp_agr_share!N$1, agr_mes!$B$1:$XFD$1, 0), 0)/VLOOKUP($B57, gdp_tot_mes!$B:$XFD, MATCH(gdp_agr_share!N$1, gdp_tot_mes!$B$1:$XFD$1, 0), 0)</f>
        <v>0.23475105538661928</v>
      </c>
      <c r="O57" s="29">
        <f>VLOOKUP($B57, agr_mes!$B:$XFD, MATCH(gdp_agr_share!O$1, agr_mes!$B$1:$XFD$1, 0), 0)/VLOOKUP($B57, gdp_tot_mes!$B:$XFD, MATCH(gdp_agr_share!O$1, gdp_tot_mes!$B$1:$XFD$1, 0), 0)</f>
        <v>0.22189140890891368</v>
      </c>
      <c r="P57" s="29">
        <f>VLOOKUP($B57, agr_mes!$B:$XFD, MATCH(gdp_agr_share!P$1, agr_mes!$B$1:$XFD$1, 0), 0)/VLOOKUP($B57, gdp_tot_mes!$B:$XFD, MATCH(gdp_agr_share!P$1, gdp_tot_mes!$B$1:$XFD$1, 0), 0)</f>
        <v>0.26286981201219256</v>
      </c>
      <c r="Q57" s="29">
        <f>VLOOKUP($B57, agr_mes!$B:$XFD, MATCH(gdp_agr_share!Q$1, agr_mes!$B$1:$XFD$1, 0), 0)/VLOOKUP($B57, gdp_tot_mes!$B:$XFD, MATCH(gdp_agr_share!Q$1, gdp_tot_mes!$B$1:$XFD$1, 0), 0)</f>
        <v>0.29434802412304362</v>
      </c>
      <c r="R57" s="29">
        <f>VLOOKUP($B57, agr_mes!$B:$XFD, MATCH(gdp_agr_share!R$1, agr_mes!$B$1:$XFD$1, 0), 0)/VLOOKUP($B57, gdp_tot_mes!$B:$XFD, MATCH(gdp_agr_share!R$1, gdp_tot_mes!$B$1:$XFD$1, 0), 0)</f>
        <v>0.37280906064260089</v>
      </c>
      <c r="S57" s="29">
        <f>VLOOKUP($B57, agr_mes!$B:$XFD, MATCH(gdp_agr_share!S$1, agr_mes!$B$1:$XFD$1, 0), 0)/VLOOKUP($B57, gdp_tot_mes!$B:$XFD, MATCH(gdp_agr_share!S$1, gdp_tot_mes!$B$1:$XFD$1, 0), 0)</f>
        <v>0.28314508701240421</v>
      </c>
      <c r="T57" s="29">
        <f>VLOOKUP($B57, agr_mes!$B:$XFD, MATCH(gdp_agr_share!T$1, agr_mes!$B$1:$XFD$1, 0), 0)/VLOOKUP($B57, gdp_tot_mes!$B:$XFD, MATCH(gdp_agr_share!T$1, gdp_tot_mes!$B$1:$XFD$1, 0), 0)</f>
        <v>0.20926083472420515</v>
      </c>
      <c r="U57" s="29">
        <f>VLOOKUP($B57, agr_mes!$B:$XFD, MATCH(gdp_agr_share!U$1, agr_mes!$B$1:$XFD$1, 0), 0)/VLOOKUP($B57, gdp_tot_mes!$B:$XFD, MATCH(gdp_agr_share!U$1, gdp_tot_mes!$B$1:$XFD$1, 0), 0)</f>
        <v>0.21378836364960302</v>
      </c>
      <c r="V57" s="29">
        <f>VLOOKUP($B57, agr_mes!$B:$XFD, MATCH(gdp_agr_share!V$1, agr_mes!$B$1:$XFD$1, 0), 0)/VLOOKUP($B57, gdp_tot_mes!$B:$XFD, MATCH(gdp_agr_share!V$1, gdp_tot_mes!$B$1:$XFD$1, 0), 0)</f>
        <v>0.22885054653751499</v>
      </c>
      <c r="W57" s="29">
        <f>VLOOKUP($B57, agr_mes!$B:$XFD, MATCH(gdp_agr_share!W$1, agr_mes!$B$1:$XFD$1, 0), 0)/VLOOKUP($B57, gdp_tot_mes!$B:$XFD, MATCH(gdp_agr_share!W$1, gdp_tot_mes!$B$1:$XFD$1, 0), 0)</f>
        <v>0.27380703663878014</v>
      </c>
      <c r="X57" s="29">
        <f>VLOOKUP($B57, agr_mes!$B:$XFD, MATCH(gdp_agr_share!X$1, agr_mes!$B$1:$XFD$1, 0), 0)/VLOOKUP($B57, gdp_tot_mes!$B:$XFD, MATCH(gdp_agr_share!X$1, gdp_tot_mes!$B$1:$XFD$1, 0), 0)</f>
        <v>0.23313033624204457</v>
      </c>
      <c r="Y57" s="29">
        <f>VLOOKUP($B57, agr_mes!$B:$XFD, MATCH(gdp_agr_share!Y$1, agr_mes!$B$1:$XFD$1, 0), 0)/VLOOKUP($B57, gdp_tot_mes!$B:$XFD, MATCH(gdp_agr_share!Y$1, gdp_tot_mes!$B$1:$XFD$1, 0), 0)</f>
        <v>0.2410801569584812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x14ac:dyDescent="0.25">
      <c r="A58" s="1" t="s">
        <v>147</v>
      </c>
      <c r="B58" s="1" t="s">
        <v>148</v>
      </c>
      <c r="C58" s="1" t="s">
        <v>149</v>
      </c>
      <c r="D58" s="29">
        <f>VLOOKUP($B58, agr_mes!$B:$XFD, MATCH(gdp_agr_share!D$1, agr_mes!$B$1:$XFD$1, 0), 0)/VLOOKUP($B58, gdp_tot_mes!$B:$XFD, MATCH(gdp_agr_share!D$1, gdp_tot_mes!$B$1:$XFD$1, 0), 0)</f>
        <v>0.35215939276851094</v>
      </c>
      <c r="E58" s="29">
        <f>VLOOKUP($B58, agr_mes!$B:$XFD, MATCH(gdp_agr_share!E$1, agr_mes!$B$1:$XFD$1, 0), 0)/VLOOKUP($B58, gdp_tot_mes!$B:$XFD, MATCH(gdp_agr_share!E$1, gdp_tot_mes!$B$1:$XFD$1, 0), 0)</f>
        <v>5.171320699182317E-2</v>
      </c>
      <c r="F58" s="29">
        <f>VLOOKUP($B58, agr_mes!$B:$XFD, MATCH(gdp_agr_share!F$1, agr_mes!$B$1:$XFD$1, 0), 0)/VLOOKUP($B58, gdp_tot_mes!$B:$XFD, MATCH(gdp_agr_share!F$1, gdp_tot_mes!$B$1:$XFD$1, 0), 0)</f>
        <v>0.20314754506162228</v>
      </c>
      <c r="G58" s="29">
        <f>VLOOKUP($B58, agr_mes!$B:$XFD, MATCH(gdp_agr_share!G$1, agr_mes!$B$1:$XFD$1, 0), 0)/VLOOKUP($B58, gdp_tot_mes!$B:$XFD, MATCH(gdp_agr_share!G$1, gdp_tot_mes!$B$1:$XFD$1, 0), 0)</f>
        <v>0.81909379062340482</v>
      </c>
      <c r="H58" s="29">
        <f>VLOOKUP($B58, agr_mes!$B:$XFD, MATCH(gdp_agr_share!H$1, agr_mes!$B$1:$XFD$1, 0), 0)/VLOOKUP($B58, gdp_tot_mes!$B:$XFD, MATCH(gdp_agr_share!H$1, gdp_tot_mes!$B$1:$XFD$1, 0), 0)</f>
        <v>-0.42413594381502528</v>
      </c>
      <c r="I58" s="29">
        <f>VLOOKUP($B58, agr_mes!$B:$XFD, MATCH(gdp_agr_share!I$1, agr_mes!$B$1:$XFD$1, 0), 0)/VLOOKUP($B58, gdp_tot_mes!$B:$XFD, MATCH(gdp_agr_share!I$1, gdp_tot_mes!$B$1:$XFD$1, 0), 0)</f>
        <v>4.2785250459555328E-3</v>
      </c>
      <c r="J58" s="29">
        <f>VLOOKUP($B58, agr_mes!$B:$XFD, MATCH(gdp_agr_share!J$1, agr_mes!$B$1:$XFD$1, 0), 0)/VLOOKUP($B58, gdp_tot_mes!$B:$XFD, MATCH(gdp_agr_share!J$1, gdp_tot_mes!$B$1:$XFD$1, 0), 0)</f>
        <v>0.10207421206989964</v>
      </c>
      <c r="K58" s="29">
        <f>VLOOKUP($B58, agr_mes!$B:$XFD, MATCH(gdp_agr_share!K$1, agr_mes!$B$1:$XFD$1, 0), 0)/VLOOKUP($B58, gdp_tot_mes!$B:$XFD, MATCH(gdp_agr_share!K$1, gdp_tot_mes!$B$1:$XFD$1, 0), 0)</f>
        <v>0.14179965934832212</v>
      </c>
      <c r="L58" s="30">
        <f t="shared" si="0"/>
        <v>0.30806786913803308</v>
      </c>
      <c r="M58" s="29">
        <f>VLOOKUP($B58, agr_mes!$B:$XFD, MATCH(gdp_agr_share!M$1, agr_mes!$B$1:$XFD$1, 0), 0)/VLOOKUP($B58, gdp_tot_mes!$B:$XFD, MATCH(gdp_agr_share!M$1, gdp_tot_mes!$B$1:$XFD$1, 0), 0)</f>
        <v>0.50758972088568621</v>
      </c>
      <c r="N58" s="29">
        <f>VLOOKUP($B58, agr_mes!$B:$XFD, MATCH(gdp_agr_share!N$1, agr_mes!$B$1:$XFD$1, 0), 0)/VLOOKUP($B58, gdp_tot_mes!$B:$XFD, MATCH(gdp_agr_share!N$1, gdp_tot_mes!$B$1:$XFD$1, 0), 0)</f>
        <v>0.34354396676646642</v>
      </c>
      <c r="O58" s="29">
        <f>VLOOKUP($B58, agr_mes!$B:$XFD, MATCH(gdp_agr_share!O$1, agr_mes!$B$1:$XFD$1, 0), 0)/VLOOKUP($B58, gdp_tot_mes!$B:$XFD, MATCH(gdp_agr_share!O$1, gdp_tot_mes!$B$1:$XFD$1, 0), 0)</f>
        <v>0.39510902907514034</v>
      </c>
      <c r="P58" s="29">
        <f>VLOOKUP($B58, agr_mes!$B:$XFD, MATCH(gdp_agr_share!P$1, agr_mes!$B$1:$XFD$1, 0), 0)/VLOOKUP($B58, gdp_tot_mes!$B:$XFD, MATCH(gdp_agr_share!P$1, gdp_tot_mes!$B$1:$XFD$1, 0), 0)</f>
        <v>0.37056159431207836</v>
      </c>
      <c r="Q58" s="29">
        <f>VLOOKUP($B58, agr_mes!$B:$XFD, MATCH(gdp_agr_share!Q$1, agr_mes!$B$1:$XFD$1, 0), 0)/VLOOKUP($B58, gdp_tot_mes!$B:$XFD, MATCH(gdp_agr_share!Q$1, gdp_tot_mes!$B$1:$XFD$1, 0), 0)</f>
        <v>0.29042023734505307</v>
      </c>
      <c r="R58" s="29">
        <f>VLOOKUP($B58, agr_mes!$B:$XFD, MATCH(gdp_agr_share!R$1, agr_mes!$B$1:$XFD$1, 0), 0)/VLOOKUP($B58, gdp_tot_mes!$B:$XFD, MATCH(gdp_agr_share!R$1, gdp_tot_mes!$B$1:$XFD$1, 0), 0)</f>
        <v>0.36668839735608666</v>
      </c>
      <c r="S58" s="29">
        <f>VLOOKUP($B58, agr_mes!$B:$XFD, MATCH(gdp_agr_share!S$1, agr_mes!$B$1:$XFD$1, 0), 0)/VLOOKUP($B58, gdp_tot_mes!$B:$XFD, MATCH(gdp_agr_share!S$1, gdp_tot_mes!$B$1:$XFD$1, 0), 0)</f>
        <v>0.36248620419222882</v>
      </c>
      <c r="T58" s="29">
        <f>VLOOKUP($B58, agr_mes!$B:$XFD, MATCH(gdp_agr_share!T$1, agr_mes!$B$1:$XFD$1, 0), 0)/VLOOKUP($B58, gdp_tot_mes!$B:$XFD, MATCH(gdp_agr_share!T$1, gdp_tot_mes!$B$1:$XFD$1, 0), 0)</f>
        <v>0.3358182011855439</v>
      </c>
      <c r="U58" s="29">
        <f>VLOOKUP($B58, agr_mes!$B:$XFD, MATCH(gdp_agr_share!U$1, agr_mes!$B$1:$XFD$1, 0), 0)/VLOOKUP($B58, gdp_tot_mes!$B:$XFD, MATCH(gdp_agr_share!U$1, gdp_tot_mes!$B$1:$XFD$1, 0), 0)</f>
        <v>0.18728299763985989</v>
      </c>
      <c r="V58" s="29">
        <f>VLOOKUP($B58, agr_mes!$B:$XFD, MATCH(gdp_agr_share!V$1, agr_mes!$B$1:$XFD$1, 0), 0)/VLOOKUP($B58, gdp_tot_mes!$B:$XFD, MATCH(gdp_agr_share!V$1, gdp_tot_mes!$B$1:$XFD$1, 0), 0)</f>
        <v>0.23187942177577867</v>
      </c>
      <c r="W58" s="29">
        <f>VLOOKUP($B58, agr_mes!$B:$XFD, MATCH(gdp_agr_share!W$1, agr_mes!$B$1:$XFD$1, 0), 0)/VLOOKUP($B58, gdp_tot_mes!$B:$XFD, MATCH(gdp_agr_share!W$1, gdp_tot_mes!$B$1:$XFD$1, 0), 0)</f>
        <v>0.27624319698315702</v>
      </c>
      <c r="X58" s="29">
        <f>VLOOKUP($B58, agr_mes!$B:$XFD, MATCH(gdp_agr_share!X$1, agr_mes!$B$1:$XFD$1, 0), 0)/VLOOKUP($B58, gdp_tot_mes!$B:$XFD, MATCH(gdp_agr_share!X$1, gdp_tot_mes!$B$1:$XFD$1, 0), 0)</f>
        <v>0.25371618680230112</v>
      </c>
      <c r="Y58" s="29">
        <f>VLOOKUP($B58, agr_mes!$B:$XFD, MATCH(gdp_agr_share!Y$1, agr_mes!$B$1:$XFD$1, 0), 0)/VLOOKUP($B58, gdp_tot_mes!$B:$XFD, MATCH(gdp_agr_share!Y$1, gdp_tot_mes!$B$1:$XFD$1, 0), 0)</f>
        <v>0.18669894300127246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x14ac:dyDescent="0.25">
      <c r="A59" s="1" t="s">
        <v>147</v>
      </c>
      <c r="B59" s="1" t="s">
        <v>150</v>
      </c>
      <c r="C59" s="1" t="s">
        <v>151</v>
      </c>
      <c r="D59" s="29">
        <f>VLOOKUP($B59, agr_mes!$B:$XFD, MATCH(gdp_agr_share!D$1, agr_mes!$B$1:$XFD$1, 0), 0)/VLOOKUP($B59, gdp_tot_mes!$B:$XFD, MATCH(gdp_agr_share!D$1, gdp_tot_mes!$B$1:$XFD$1, 0), 0)</f>
        <v>0.50437738556547163</v>
      </c>
      <c r="E59" s="29">
        <f>VLOOKUP($B59, agr_mes!$B:$XFD, MATCH(gdp_agr_share!E$1, agr_mes!$B$1:$XFD$1, 0), 0)/VLOOKUP($B59, gdp_tot_mes!$B:$XFD, MATCH(gdp_agr_share!E$1, gdp_tot_mes!$B$1:$XFD$1, 0), 0)</f>
        <v>0.80513305080967323</v>
      </c>
      <c r="F59" s="29">
        <f>VLOOKUP($B59, agr_mes!$B:$XFD, MATCH(gdp_agr_share!F$1, agr_mes!$B$1:$XFD$1, 0), 0)/VLOOKUP($B59, gdp_tot_mes!$B:$XFD, MATCH(gdp_agr_share!F$1, gdp_tot_mes!$B$1:$XFD$1, 0), 0)</f>
        <v>0.94221496954066641</v>
      </c>
      <c r="G59" s="29">
        <f>VLOOKUP($B59, agr_mes!$B:$XFD, MATCH(gdp_agr_share!G$1, agr_mes!$B$1:$XFD$1, 0), 0)/VLOOKUP($B59, gdp_tot_mes!$B:$XFD, MATCH(gdp_agr_share!G$1, gdp_tot_mes!$B$1:$XFD$1, 0), 0)</f>
        <v>0.7307255942500781</v>
      </c>
      <c r="H59" s="29">
        <f>VLOOKUP($B59, agr_mes!$B:$XFD, MATCH(gdp_agr_share!H$1, agr_mes!$B$1:$XFD$1, 0), 0)/VLOOKUP($B59, gdp_tot_mes!$B:$XFD, MATCH(gdp_agr_share!H$1, gdp_tot_mes!$B$1:$XFD$1, 0), 0)</f>
        <v>-0.33568469226664294</v>
      </c>
      <c r="I59" s="29">
        <f>VLOOKUP($B59, agr_mes!$B:$XFD, MATCH(gdp_agr_share!I$1, agr_mes!$B$1:$XFD$1, 0), 0)/VLOOKUP($B59, gdp_tot_mes!$B:$XFD, MATCH(gdp_agr_share!I$1, gdp_tot_mes!$B$1:$XFD$1, 0), 0)</f>
        <v>3.4328570452877384E-2</v>
      </c>
      <c r="J59" s="29">
        <f>VLOOKUP($B59, agr_mes!$B:$XFD, MATCH(gdp_agr_share!J$1, agr_mes!$B$1:$XFD$1, 0), 0)/VLOOKUP($B59, gdp_tot_mes!$B:$XFD, MATCH(gdp_agr_share!J$1, gdp_tot_mes!$B$1:$XFD$1, 0), 0)</f>
        <v>0.39381397762175685</v>
      </c>
      <c r="K59" s="29">
        <f>VLOOKUP($B59, agr_mes!$B:$XFD, MATCH(gdp_agr_share!K$1, agr_mes!$B$1:$XFD$1, 0), 0)/VLOOKUP($B59, gdp_tot_mes!$B:$XFD, MATCH(gdp_agr_share!K$1, gdp_tot_mes!$B$1:$XFD$1, 0), 0)</f>
        <v>0.2670169212171275</v>
      </c>
      <c r="L59" s="30">
        <f t="shared" si="0"/>
        <v>0.33916523596753012</v>
      </c>
      <c r="M59" s="29">
        <f>VLOOKUP($B59, agr_mes!$B:$XFD, MATCH(gdp_agr_share!M$1, agr_mes!$B$1:$XFD$1, 0), 0)/VLOOKUP($B59, gdp_tot_mes!$B:$XFD, MATCH(gdp_agr_share!M$1, gdp_tot_mes!$B$1:$XFD$1, 0), 0)</f>
        <v>0.42574321366801332</v>
      </c>
      <c r="N59" s="29">
        <f>VLOOKUP($B59, agr_mes!$B:$XFD, MATCH(gdp_agr_share!N$1, agr_mes!$B$1:$XFD$1, 0), 0)/VLOOKUP($B59, gdp_tot_mes!$B:$XFD, MATCH(gdp_agr_share!N$1, gdp_tot_mes!$B$1:$XFD$1, 0), 0)</f>
        <v>0.34047266818479605</v>
      </c>
      <c r="O59" s="29">
        <f>VLOOKUP($B59, agr_mes!$B:$XFD, MATCH(gdp_agr_share!O$1, agr_mes!$B$1:$XFD$1, 0), 0)/VLOOKUP($B59, gdp_tot_mes!$B:$XFD, MATCH(gdp_agr_share!O$1, gdp_tot_mes!$B$1:$XFD$1, 0), 0)</f>
        <v>0.39777642593216445</v>
      </c>
      <c r="P59" s="29">
        <f>VLOOKUP($B59, agr_mes!$B:$XFD, MATCH(gdp_agr_share!P$1, agr_mes!$B$1:$XFD$1, 0), 0)/VLOOKUP($B59, gdp_tot_mes!$B:$XFD, MATCH(gdp_agr_share!P$1, gdp_tot_mes!$B$1:$XFD$1, 0), 0)</f>
        <v>0.36308148500487442</v>
      </c>
      <c r="Q59" s="29">
        <f>VLOOKUP($B59, agr_mes!$B:$XFD, MATCH(gdp_agr_share!Q$1, agr_mes!$B$1:$XFD$1, 0), 0)/VLOOKUP($B59, gdp_tot_mes!$B:$XFD, MATCH(gdp_agr_share!Q$1, gdp_tot_mes!$B$1:$XFD$1, 0), 0)</f>
        <v>0.26688073221387848</v>
      </c>
      <c r="R59" s="29">
        <f>VLOOKUP($B59, agr_mes!$B:$XFD, MATCH(gdp_agr_share!R$1, agr_mes!$B$1:$XFD$1, 0), 0)/VLOOKUP($B59, gdp_tot_mes!$B:$XFD, MATCH(gdp_agr_share!R$1, gdp_tot_mes!$B$1:$XFD$1, 0), 0)</f>
        <v>0.33599051304659439</v>
      </c>
      <c r="S59" s="29">
        <f>VLOOKUP($B59, agr_mes!$B:$XFD, MATCH(gdp_agr_share!S$1, agr_mes!$B$1:$XFD$1, 0), 0)/VLOOKUP($B59, gdp_tot_mes!$B:$XFD, MATCH(gdp_agr_share!S$1, gdp_tot_mes!$B$1:$XFD$1, 0), 0)</f>
        <v>0.34041491067992868</v>
      </c>
      <c r="T59" s="29">
        <f>VLOOKUP($B59, agr_mes!$B:$XFD, MATCH(gdp_agr_share!T$1, agr_mes!$B$1:$XFD$1, 0), 0)/VLOOKUP($B59, gdp_tot_mes!$B:$XFD, MATCH(gdp_agr_share!T$1, gdp_tot_mes!$B$1:$XFD$1, 0), 0)</f>
        <v>0.28844866036161904</v>
      </c>
      <c r="U59" s="29">
        <f>VLOOKUP($B59, agr_mes!$B:$XFD, MATCH(gdp_agr_share!U$1, agr_mes!$B$1:$XFD$1, 0), 0)/VLOOKUP($B59, gdp_tot_mes!$B:$XFD, MATCH(gdp_agr_share!U$1, gdp_tot_mes!$B$1:$XFD$1, 0), 0)</f>
        <v>0.16553339759708499</v>
      </c>
      <c r="V59" s="29">
        <f>VLOOKUP($B59, agr_mes!$B:$XFD, MATCH(gdp_agr_share!V$1, agr_mes!$B$1:$XFD$1, 0), 0)/VLOOKUP($B59, gdp_tot_mes!$B:$XFD, MATCH(gdp_agr_share!V$1, gdp_tot_mes!$B$1:$XFD$1, 0), 0)</f>
        <v>0.20384821936481634</v>
      </c>
      <c r="W59" s="29">
        <f>VLOOKUP($B59, agr_mes!$B:$XFD, MATCH(gdp_agr_share!W$1, agr_mes!$B$1:$XFD$1, 0), 0)/VLOOKUP($B59, gdp_tot_mes!$B:$XFD, MATCH(gdp_agr_share!W$1, gdp_tot_mes!$B$1:$XFD$1, 0), 0)</f>
        <v>0.23855932218242085</v>
      </c>
      <c r="X59" s="29">
        <f>VLOOKUP($B59, agr_mes!$B:$XFD, MATCH(gdp_agr_share!X$1, agr_mes!$B$1:$XFD$1, 0), 0)/VLOOKUP($B59, gdp_tot_mes!$B:$XFD, MATCH(gdp_agr_share!X$1, gdp_tot_mes!$B$1:$XFD$1, 0), 0)</f>
        <v>0.24758510326159458</v>
      </c>
      <c r="Y59" s="29">
        <f>VLOOKUP($B59, agr_mes!$B:$XFD, MATCH(gdp_agr_share!Y$1, agr_mes!$B$1:$XFD$1, 0), 0)/VLOOKUP($B59, gdp_tot_mes!$B:$XFD, MATCH(gdp_agr_share!Y$1, gdp_tot_mes!$B$1:$XFD$1, 0), 0)</f>
        <v>0.20696139426123486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x14ac:dyDescent="0.25">
      <c r="A60" s="1" t="s">
        <v>147</v>
      </c>
      <c r="B60" s="1" t="s">
        <v>152</v>
      </c>
      <c r="C60" s="1" t="s">
        <v>153</v>
      </c>
      <c r="D60" s="29">
        <f>VLOOKUP($B60, agr_mes!$B:$XFD, MATCH(gdp_agr_share!D$1, agr_mes!$B$1:$XFD$1, 0), 0)/VLOOKUP($B60, gdp_tot_mes!$B:$XFD, MATCH(gdp_agr_share!D$1, gdp_tot_mes!$B$1:$XFD$1, 0), 0)</f>
        <v>0.13522491037089798</v>
      </c>
      <c r="E60" s="29">
        <f>VLOOKUP($B60, agr_mes!$B:$XFD, MATCH(gdp_agr_share!E$1, agr_mes!$B$1:$XFD$1, 0), 0)/VLOOKUP($B60, gdp_tot_mes!$B:$XFD, MATCH(gdp_agr_share!E$1, gdp_tot_mes!$B$1:$XFD$1, 0), 0)</f>
        <v>0.69207536907665645</v>
      </c>
      <c r="F60" s="29">
        <f>VLOOKUP($B60, agr_mes!$B:$XFD, MATCH(gdp_agr_share!F$1, agr_mes!$B$1:$XFD$1, 0), 0)/VLOOKUP($B60, gdp_tot_mes!$B:$XFD, MATCH(gdp_agr_share!F$1, gdp_tot_mes!$B$1:$XFD$1, 0), 0)</f>
        <v>0.79330832912425775</v>
      </c>
      <c r="G60" s="29">
        <f>VLOOKUP($B60, agr_mes!$B:$XFD, MATCH(gdp_agr_share!G$1, agr_mes!$B$1:$XFD$1, 0), 0)/VLOOKUP($B60, gdp_tot_mes!$B:$XFD, MATCH(gdp_agr_share!G$1, gdp_tot_mes!$B$1:$XFD$1, 0), 0)</f>
        <v>0.9148251289934719</v>
      </c>
      <c r="H60" s="29">
        <f>VLOOKUP($B60, agr_mes!$B:$XFD, MATCH(gdp_agr_share!H$1, agr_mes!$B$1:$XFD$1, 0), 0)/VLOOKUP($B60, gdp_tot_mes!$B:$XFD, MATCH(gdp_agr_share!H$1, gdp_tot_mes!$B$1:$XFD$1, 0), 0)</f>
        <v>0.56958888475302838</v>
      </c>
      <c r="I60" s="29">
        <f>VLOOKUP($B60, agr_mes!$B:$XFD, MATCH(gdp_agr_share!I$1, agr_mes!$B$1:$XFD$1, 0), 0)/VLOOKUP($B60, gdp_tot_mes!$B:$XFD, MATCH(gdp_agr_share!I$1, gdp_tot_mes!$B$1:$XFD$1, 0), 0)</f>
        <v>0.40679869180499273</v>
      </c>
      <c r="J60" s="29">
        <f>VLOOKUP($B60, agr_mes!$B:$XFD, MATCH(gdp_agr_share!J$1, agr_mes!$B$1:$XFD$1, 0), 0)/VLOOKUP($B60, gdp_tot_mes!$B:$XFD, MATCH(gdp_agr_share!J$1, gdp_tot_mes!$B$1:$XFD$1, 0), 0)</f>
        <v>0.60308099537318904</v>
      </c>
      <c r="K60" s="29">
        <f>VLOOKUP($B60, agr_mes!$B:$XFD, MATCH(gdp_agr_share!K$1, agr_mes!$B$1:$XFD$1, 0), 0)/VLOOKUP($B60, gdp_tot_mes!$B:$XFD, MATCH(gdp_agr_share!K$1, gdp_tot_mes!$B$1:$XFD$1, 0), 0)</f>
        <v>0.37942012677717613</v>
      </c>
      <c r="L60" s="30">
        <f t="shared" si="0"/>
        <v>0.39359039167126497</v>
      </c>
      <c r="M60" s="29">
        <f>VLOOKUP($B60, agr_mes!$B:$XFD, MATCH(gdp_agr_share!M$1, agr_mes!$B$1:$XFD$1, 0), 0)/VLOOKUP($B60, gdp_tot_mes!$B:$XFD, MATCH(gdp_agr_share!M$1, gdp_tot_mes!$B$1:$XFD$1, 0), 0)</f>
        <v>0.4105947095441716</v>
      </c>
      <c r="N60" s="29">
        <f>VLOOKUP($B60, agr_mes!$B:$XFD, MATCH(gdp_agr_share!N$1, agr_mes!$B$1:$XFD$1, 0), 0)/VLOOKUP($B60, gdp_tot_mes!$B:$XFD, MATCH(gdp_agr_share!N$1, gdp_tot_mes!$B$1:$XFD$1, 0), 0)</f>
        <v>0.17978556710731683</v>
      </c>
      <c r="O60" s="29">
        <f>VLOOKUP($B60, agr_mes!$B:$XFD, MATCH(gdp_agr_share!O$1, agr_mes!$B$1:$XFD$1, 0), 0)/VLOOKUP($B60, gdp_tot_mes!$B:$XFD, MATCH(gdp_agr_share!O$1, gdp_tot_mes!$B$1:$XFD$1, 0), 0)</f>
        <v>0.21861034371612537</v>
      </c>
      <c r="P60" s="29">
        <f>VLOOKUP($B60, agr_mes!$B:$XFD, MATCH(gdp_agr_share!P$1, agr_mes!$B$1:$XFD$1, 0), 0)/VLOOKUP($B60, gdp_tot_mes!$B:$XFD, MATCH(gdp_agr_share!P$1, gdp_tot_mes!$B$1:$XFD$1, 0), 0)</f>
        <v>0.19825344462971312</v>
      </c>
      <c r="Q60" s="29">
        <f>VLOOKUP($B60, agr_mes!$B:$XFD, MATCH(gdp_agr_share!Q$1, agr_mes!$B$1:$XFD$1, 0), 0)/VLOOKUP($B60, gdp_tot_mes!$B:$XFD, MATCH(gdp_agr_share!Q$1, gdp_tot_mes!$B$1:$XFD$1, 0), 0)</f>
        <v>0.20736007972034695</v>
      </c>
      <c r="R60" s="29">
        <f>VLOOKUP($B60, agr_mes!$B:$XFD, MATCH(gdp_agr_share!R$1, agr_mes!$B$1:$XFD$1, 0), 0)/VLOOKUP($B60, gdp_tot_mes!$B:$XFD, MATCH(gdp_agr_share!R$1, gdp_tot_mes!$B$1:$XFD$1, 0), 0)</f>
        <v>0.27442758510434972</v>
      </c>
      <c r="S60" s="29">
        <f>VLOOKUP($B60, agr_mes!$B:$XFD, MATCH(gdp_agr_share!S$1, agr_mes!$B$1:$XFD$1, 0), 0)/VLOOKUP($B60, gdp_tot_mes!$B:$XFD, MATCH(gdp_agr_share!S$1, gdp_tot_mes!$B$1:$XFD$1, 0), 0)</f>
        <v>0.2499041358826127</v>
      </c>
      <c r="T60" s="29">
        <f>VLOOKUP($B60, agr_mes!$B:$XFD, MATCH(gdp_agr_share!T$1, agr_mes!$B$1:$XFD$1, 0), 0)/VLOOKUP($B60, gdp_tot_mes!$B:$XFD, MATCH(gdp_agr_share!T$1, gdp_tot_mes!$B$1:$XFD$1, 0), 0)</f>
        <v>0.18689212744137695</v>
      </c>
      <c r="U60" s="29">
        <f>VLOOKUP($B60, agr_mes!$B:$XFD, MATCH(gdp_agr_share!U$1, agr_mes!$B$1:$XFD$1, 0), 0)/VLOOKUP($B60, gdp_tot_mes!$B:$XFD, MATCH(gdp_agr_share!U$1, gdp_tot_mes!$B$1:$XFD$1, 0), 0)</f>
        <v>0.14144077346154507</v>
      </c>
      <c r="V60" s="29">
        <f>VLOOKUP($B60, agr_mes!$B:$XFD, MATCH(gdp_agr_share!V$1, agr_mes!$B$1:$XFD$1, 0), 0)/VLOOKUP($B60, gdp_tot_mes!$B:$XFD, MATCH(gdp_agr_share!V$1, gdp_tot_mes!$B$1:$XFD$1, 0), 0)</f>
        <v>0.18021903606487613</v>
      </c>
      <c r="W60" s="29">
        <f>VLOOKUP($B60, agr_mes!$B:$XFD, MATCH(gdp_agr_share!W$1, agr_mes!$B$1:$XFD$1, 0), 0)/VLOOKUP($B60, gdp_tot_mes!$B:$XFD, MATCH(gdp_agr_share!W$1, gdp_tot_mes!$B$1:$XFD$1, 0), 0)</f>
        <v>0.19752107015556888</v>
      </c>
      <c r="X60" s="29">
        <f>VLOOKUP($B60, agr_mes!$B:$XFD, MATCH(gdp_agr_share!X$1, agr_mes!$B$1:$XFD$1, 0), 0)/VLOOKUP($B60, gdp_tot_mes!$B:$XFD, MATCH(gdp_agr_share!X$1, gdp_tot_mes!$B$1:$XFD$1, 0), 0)</f>
        <v>0.19478766111183013</v>
      </c>
      <c r="Y60" s="29">
        <f>VLOOKUP($B60, agr_mes!$B:$XFD, MATCH(gdp_agr_share!Y$1, agr_mes!$B$1:$XFD$1, 0), 0)/VLOOKUP($B60, gdp_tot_mes!$B:$XFD, MATCH(gdp_agr_share!Y$1, gdp_tot_mes!$B$1:$XFD$1, 0), 0)</f>
        <v>0.23727475974979328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25">
      <c r="A61" s="1" t="s">
        <v>147</v>
      </c>
      <c r="B61" s="1" t="s">
        <v>154</v>
      </c>
      <c r="C61" s="1" t="s">
        <v>155</v>
      </c>
      <c r="D61" s="29">
        <f>VLOOKUP($B61, agr_mes!$B:$XFD, MATCH(gdp_agr_share!D$1, agr_mes!$B$1:$XFD$1, 0), 0)/VLOOKUP($B61, gdp_tot_mes!$B:$XFD, MATCH(gdp_agr_share!D$1, gdp_tot_mes!$B$1:$XFD$1, 0), 0)</f>
        <v>0.43702885015620374</v>
      </c>
      <c r="E61" s="29">
        <f>VLOOKUP($B61, agr_mes!$B:$XFD, MATCH(gdp_agr_share!E$1, agr_mes!$B$1:$XFD$1, 0), 0)/VLOOKUP($B61, gdp_tot_mes!$B:$XFD, MATCH(gdp_agr_share!E$1, gdp_tot_mes!$B$1:$XFD$1, 0), 0)</f>
        <v>0.49260550486569538</v>
      </c>
      <c r="F61" s="29">
        <f>VLOOKUP($B61, agr_mes!$B:$XFD, MATCH(gdp_agr_share!F$1, agr_mes!$B$1:$XFD$1, 0), 0)/VLOOKUP($B61, gdp_tot_mes!$B:$XFD, MATCH(gdp_agr_share!F$1, gdp_tot_mes!$B$1:$XFD$1, 0), 0)</f>
        <v>0.44551498693562758</v>
      </c>
      <c r="G61" s="29">
        <f>VLOOKUP($B61, agr_mes!$B:$XFD, MATCH(gdp_agr_share!G$1, agr_mes!$B$1:$XFD$1, 0), 0)/VLOOKUP($B61, gdp_tot_mes!$B:$XFD, MATCH(gdp_agr_share!G$1, gdp_tot_mes!$B$1:$XFD$1, 0), 0)</f>
        <v>0.3662266234580997</v>
      </c>
      <c r="H61" s="29">
        <f>VLOOKUP($B61, agr_mes!$B:$XFD, MATCH(gdp_agr_share!H$1, agr_mes!$B$1:$XFD$1, 0), 0)/VLOOKUP($B61, gdp_tot_mes!$B:$XFD, MATCH(gdp_agr_share!H$1, gdp_tot_mes!$B$1:$XFD$1, 0), 0)</f>
        <v>0.24483921573988757</v>
      </c>
      <c r="I61" s="29">
        <f>VLOOKUP($B61, agr_mes!$B:$XFD, MATCH(gdp_agr_share!I$1, agr_mes!$B$1:$XFD$1, 0), 0)/VLOOKUP($B61, gdp_tot_mes!$B:$XFD, MATCH(gdp_agr_share!I$1, gdp_tot_mes!$B$1:$XFD$1, 0), 0)</f>
        <v>0.15371907320252895</v>
      </c>
      <c r="J61" s="29">
        <f>VLOOKUP($B61, agr_mes!$B:$XFD, MATCH(gdp_agr_share!J$1, agr_mes!$B$1:$XFD$1, 0), 0)/VLOOKUP($B61, gdp_tot_mes!$B:$XFD, MATCH(gdp_agr_share!J$1, gdp_tot_mes!$B$1:$XFD$1, 0), 0)</f>
        <v>0.11146187369992201</v>
      </c>
      <c r="K61" s="29">
        <f>VLOOKUP($B61, agr_mes!$B:$XFD, MATCH(gdp_agr_share!K$1, agr_mes!$B$1:$XFD$1, 0), 0)/VLOOKUP($B61, gdp_tot_mes!$B:$XFD, MATCH(gdp_agr_share!K$1, gdp_tot_mes!$B$1:$XFD$1, 0), 0)</f>
        <v>6.9344713990515172E-2</v>
      </c>
      <c r="L61" s="30">
        <f t="shared" si="0"/>
        <v>5.5558063662315291E-2</v>
      </c>
      <c r="M61" s="29">
        <f>VLOOKUP($B61, agr_mes!$B:$XFD, MATCH(gdp_agr_share!M$1, agr_mes!$B$1:$XFD$1, 0), 0)/VLOOKUP($B61, gdp_tot_mes!$B:$XFD, MATCH(gdp_agr_share!M$1, gdp_tot_mes!$B$1:$XFD$1, 0), 0)</f>
        <v>3.9014083268475427E-2</v>
      </c>
      <c r="N61" s="29">
        <f>VLOOKUP($B61, agr_mes!$B:$XFD, MATCH(gdp_agr_share!N$1, agr_mes!$B$1:$XFD$1, 0), 0)/VLOOKUP($B61, gdp_tot_mes!$B:$XFD, MATCH(gdp_agr_share!N$1, gdp_tot_mes!$B$1:$XFD$1, 0), 0)</f>
        <v>3.0899828139063754E-2</v>
      </c>
      <c r="O61" s="29">
        <f>VLOOKUP($B61, agr_mes!$B:$XFD, MATCH(gdp_agr_share!O$1, agr_mes!$B$1:$XFD$1, 0), 0)/VLOOKUP($B61, gdp_tot_mes!$B:$XFD, MATCH(gdp_agr_share!O$1, gdp_tot_mes!$B$1:$XFD$1, 0), 0)</f>
        <v>4.00249028428507E-2</v>
      </c>
      <c r="P61" s="29">
        <f>VLOOKUP($B61, agr_mes!$B:$XFD, MATCH(gdp_agr_share!P$1, agr_mes!$B$1:$XFD$1, 0), 0)/VLOOKUP($B61, gdp_tot_mes!$B:$XFD, MATCH(gdp_agr_share!P$1, gdp_tot_mes!$B$1:$XFD$1, 0), 0)</f>
        <v>3.7276771806798871E-2</v>
      </c>
      <c r="Q61" s="29">
        <f>VLOOKUP($B61, agr_mes!$B:$XFD, MATCH(gdp_agr_share!Q$1, agr_mes!$B$1:$XFD$1, 0), 0)/VLOOKUP($B61, gdp_tot_mes!$B:$XFD, MATCH(gdp_agr_share!Q$1, gdp_tot_mes!$B$1:$XFD$1, 0), 0)</f>
        <v>2.8075395516062061E-2</v>
      </c>
      <c r="R61" s="29">
        <f>VLOOKUP($B61, agr_mes!$B:$XFD, MATCH(gdp_agr_share!R$1, agr_mes!$B$1:$XFD$1, 0), 0)/VLOOKUP($B61, gdp_tot_mes!$B:$XFD, MATCH(gdp_agr_share!R$1, gdp_tot_mes!$B$1:$XFD$1, 0), 0)</f>
        <v>3.6978837446168276E-2</v>
      </c>
      <c r="S61" s="29">
        <f>VLOOKUP($B61, agr_mes!$B:$XFD, MATCH(gdp_agr_share!S$1, agr_mes!$B$1:$XFD$1, 0), 0)/VLOOKUP($B61, gdp_tot_mes!$B:$XFD, MATCH(gdp_agr_share!S$1, gdp_tot_mes!$B$1:$XFD$1, 0), 0)</f>
        <v>3.4046425323011546E-2</v>
      </c>
      <c r="T61" s="29">
        <f>VLOOKUP($B61, agr_mes!$B:$XFD, MATCH(gdp_agr_share!T$1, agr_mes!$B$1:$XFD$1, 0), 0)/VLOOKUP($B61, gdp_tot_mes!$B:$XFD, MATCH(gdp_agr_share!T$1, gdp_tot_mes!$B$1:$XFD$1, 0), 0)</f>
        <v>3.0133264634129086E-2</v>
      </c>
      <c r="U61" s="29">
        <f>VLOOKUP($B61, agr_mes!$B:$XFD, MATCH(gdp_agr_share!U$1, agr_mes!$B$1:$XFD$1, 0), 0)/VLOOKUP($B61, gdp_tot_mes!$B:$XFD, MATCH(gdp_agr_share!U$1, gdp_tot_mes!$B$1:$XFD$1, 0), 0)</f>
        <v>1.9893450833457289E-2</v>
      </c>
      <c r="V61" s="29">
        <f>VLOOKUP($B61, agr_mes!$B:$XFD, MATCH(gdp_agr_share!V$1, agr_mes!$B$1:$XFD$1, 0), 0)/VLOOKUP($B61, gdp_tot_mes!$B:$XFD, MATCH(gdp_agr_share!V$1, gdp_tot_mes!$B$1:$XFD$1, 0), 0)</f>
        <v>2.1811612080224644E-2</v>
      </c>
      <c r="W61" s="29">
        <f>VLOOKUP($B61, agr_mes!$B:$XFD, MATCH(gdp_agr_share!W$1, agr_mes!$B$1:$XFD$1, 0), 0)/VLOOKUP($B61, gdp_tot_mes!$B:$XFD, MATCH(gdp_agr_share!W$1, gdp_tot_mes!$B$1:$XFD$1, 0), 0)</f>
        <v>2.7591239694776861E-2</v>
      </c>
      <c r="X61" s="29">
        <f>VLOOKUP($B61, agr_mes!$B:$XFD, MATCH(gdp_agr_share!X$1, agr_mes!$B$1:$XFD$1, 0), 0)/VLOOKUP($B61, gdp_tot_mes!$B:$XFD, MATCH(gdp_agr_share!X$1, gdp_tot_mes!$B$1:$XFD$1, 0), 0)</f>
        <v>2.6873310231378428E-2</v>
      </c>
      <c r="Y61" s="29">
        <f>VLOOKUP($B61, agr_mes!$B:$XFD, MATCH(gdp_agr_share!Y$1, agr_mes!$B$1:$XFD$1, 0), 0)/VLOOKUP($B61, gdp_tot_mes!$B:$XFD, MATCH(gdp_agr_share!Y$1, gdp_tot_mes!$B$1:$XFD$1, 0), 0)</f>
        <v>2.6043557538347899E-2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x14ac:dyDescent="0.25">
      <c r="A62" s="1" t="s">
        <v>147</v>
      </c>
      <c r="B62" s="1" t="s">
        <v>156</v>
      </c>
      <c r="C62" s="1" t="s">
        <v>157</v>
      </c>
      <c r="D62" s="29" t="e">
        <f>VLOOKUP($B62, agr_mes!$B:$XFD, MATCH(gdp_agr_share!D$1, agr_mes!$B$1:$XFD$1, 0), 0)/VLOOKUP($B62, gdp_tot_mes!$B:$XFD, MATCH(gdp_agr_share!D$1, gdp_tot_mes!$B$1:$XFD$1, 0), 0)</f>
        <v>#DIV/0!</v>
      </c>
      <c r="E62" s="29">
        <f>VLOOKUP($B62, agr_mes!$B:$XFD, MATCH(gdp_agr_share!E$1, agr_mes!$B$1:$XFD$1, 0), 0)/VLOOKUP($B62, gdp_tot_mes!$B:$XFD, MATCH(gdp_agr_share!E$1, gdp_tot_mes!$B$1:$XFD$1, 0), 0)</f>
        <v>0.54534609364389242</v>
      </c>
      <c r="F62" s="29">
        <f>VLOOKUP($B62, agr_mes!$B:$XFD, MATCH(gdp_agr_share!F$1, agr_mes!$B$1:$XFD$1, 0), 0)/VLOOKUP($B62, gdp_tot_mes!$B:$XFD, MATCH(gdp_agr_share!F$1, gdp_tot_mes!$B$1:$XFD$1, 0), 0)</f>
        <v>0.5195571877904076</v>
      </c>
      <c r="G62" s="29">
        <f>VLOOKUP($B62, agr_mes!$B:$XFD, MATCH(gdp_agr_share!G$1, agr_mes!$B$1:$XFD$1, 0), 0)/VLOOKUP($B62, gdp_tot_mes!$B:$XFD, MATCH(gdp_agr_share!G$1, gdp_tot_mes!$B$1:$XFD$1, 0), 0)</f>
        <v>0.55784932308057089</v>
      </c>
      <c r="H62" s="29">
        <f>VLOOKUP($B62, agr_mes!$B:$XFD, MATCH(gdp_agr_share!H$1, agr_mes!$B$1:$XFD$1, 0), 0)/VLOOKUP($B62, gdp_tot_mes!$B:$XFD, MATCH(gdp_agr_share!H$1, gdp_tot_mes!$B$1:$XFD$1, 0), 0)</f>
        <v>0.54876576341953109</v>
      </c>
      <c r="I62" s="29">
        <f>VLOOKUP($B62, agr_mes!$B:$XFD, MATCH(gdp_agr_share!I$1, agr_mes!$B$1:$XFD$1, 0), 0)/VLOOKUP($B62, gdp_tot_mes!$B:$XFD, MATCH(gdp_agr_share!I$1, gdp_tot_mes!$B$1:$XFD$1, 0), 0)</f>
        <v>0.40434524667970301</v>
      </c>
      <c r="J62" s="29">
        <f>VLOOKUP($B62, agr_mes!$B:$XFD, MATCH(gdp_agr_share!J$1, agr_mes!$B$1:$XFD$1, 0), 0)/VLOOKUP($B62, gdp_tot_mes!$B:$XFD, MATCH(gdp_agr_share!J$1, gdp_tot_mes!$B$1:$XFD$1, 0), 0)</f>
        <v>0.37278538572735342</v>
      </c>
      <c r="K62" s="29">
        <f>VLOOKUP($B62, agr_mes!$B:$XFD, MATCH(gdp_agr_share!K$1, agr_mes!$B$1:$XFD$1, 0), 0)/VLOOKUP($B62, gdp_tot_mes!$B:$XFD, MATCH(gdp_agr_share!K$1, gdp_tot_mes!$B$1:$XFD$1, 0), 0)</f>
        <v>0.24970197241213271</v>
      </c>
      <c r="L62" s="30">
        <f t="shared" si="0"/>
        <v>0.32521987091533411</v>
      </c>
      <c r="M62" s="29">
        <f>VLOOKUP($B62, agr_mes!$B:$XFD, MATCH(gdp_agr_share!M$1, agr_mes!$B$1:$XFD$1, 0), 0)/VLOOKUP($B62, gdp_tot_mes!$B:$XFD, MATCH(gdp_agr_share!M$1, gdp_tot_mes!$B$1:$XFD$1, 0), 0)</f>
        <v>0.41584134911917581</v>
      </c>
      <c r="N62" s="29">
        <f>VLOOKUP($B62, agr_mes!$B:$XFD, MATCH(gdp_agr_share!N$1, agr_mes!$B$1:$XFD$1, 0), 0)/VLOOKUP($B62, gdp_tot_mes!$B:$XFD, MATCH(gdp_agr_share!N$1, gdp_tot_mes!$B$1:$XFD$1, 0), 0)</f>
        <v>0.30213136877605762</v>
      </c>
      <c r="O62" s="29">
        <f>VLOOKUP($B62, agr_mes!$B:$XFD, MATCH(gdp_agr_share!O$1, agr_mes!$B$1:$XFD$1, 0), 0)/VLOOKUP($B62, gdp_tot_mes!$B:$XFD, MATCH(gdp_agr_share!O$1, gdp_tot_mes!$B$1:$XFD$1, 0), 0)</f>
        <v>0.34208060362763804</v>
      </c>
      <c r="P62" s="29">
        <f>VLOOKUP($B62, agr_mes!$B:$XFD, MATCH(gdp_agr_share!P$1, agr_mes!$B$1:$XFD$1, 0), 0)/VLOOKUP($B62, gdp_tot_mes!$B:$XFD, MATCH(gdp_agr_share!P$1, gdp_tot_mes!$B$1:$XFD$1, 0), 0)</f>
        <v>0.30800769570585268</v>
      </c>
      <c r="Q62" s="29">
        <f>VLOOKUP($B62, agr_mes!$B:$XFD, MATCH(gdp_agr_share!Q$1, agr_mes!$B$1:$XFD$1, 0), 0)/VLOOKUP($B62, gdp_tot_mes!$B:$XFD, MATCH(gdp_agr_share!Q$1, gdp_tot_mes!$B$1:$XFD$1, 0), 0)</f>
        <v>0.24570374342792292</v>
      </c>
      <c r="R62" s="29">
        <f>VLOOKUP($B62, agr_mes!$B:$XFD, MATCH(gdp_agr_share!R$1, agr_mes!$B$1:$XFD$1, 0), 0)/VLOOKUP($B62, gdp_tot_mes!$B:$XFD, MATCH(gdp_agr_share!R$1, gdp_tot_mes!$B$1:$XFD$1, 0), 0)</f>
        <v>0.29143118367193022</v>
      </c>
      <c r="S62" s="29">
        <f>VLOOKUP($B62, agr_mes!$B:$XFD, MATCH(gdp_agr_share!S$1, agr_mes!$B$1:$XFD$1, 0), 0)/VLOOKUP($B62, gdp_tot_mes!$B:$XFD, MATCH(gdp_agr_share!S$1, gdp_tot_mes!$B$1:$XFD$1, 0), 0)</f>
        <v>0.29339154507115278</v>
      </c>
      <c r="T62" s="29">
        <f>VLOOKUP($B62, agr_mes!$B:$XFD, MATCH(gdp_agr_share!T$1, agr_mes!$B$1:$XFD$1, 0), 0)/VLOOKUP($B62, gdp_tot_mes!$B:$XFD, MATCH(gdp_agr_share!T$1, gdp_tot_mes!$B$1:$XFD$1, 0), 0)</f>
        <v>0.28698551781568699</v>
      </c>
      <c r="U62" s="29">
        <f>VLOOKUP($B62, agr_mes!$B:$XFD, MATCH(gdp_agr_share!U$1, agr_mes!$B$1:$XFD$1, 0), 0)/VLOOKUP($B62, gdp_tot_mes!$B:$XFD, MATCH(gdp_agr_share!U$1, gdp_tot_mes!$B$1:$XFD$1, 0), 0)</f>
        <v>0.13420394499452484</v>
      </c>
      <c r="V62" s="29">
        <f>VLOOKUP($B62, agr_mes!$B:$XFD, MATCH(gdp_agr_share!V$1, agr_mes!$B$1:$XFD$1, 0), 0)/VLOOKUP($B62, gdp_tot_mes!$B:$XFD, MATCH(gdp_agr_share!V$1, gdp_tot_mes!$B$1:$XFD$1, 0), 0)</f>
        <v>0.16698051287332938</v>
      </c>
      <c r="W62" s="29">
        <f>VLOOKUP($B62, agr_mes!$B:$XFD, MATCH(gdp_agr_share!W$1, agr_mes!$B$1:$XFD$1, 0), 0)/VLOOKUP($B62, gdp_tot_mes!$B:$XFD, MATCH(gdp_agr_share!W$1, gdp_tot_mes!$B$1:$XFD$1, 0), 0)</f>
        <v>0.18597019995426922</v>
      </c>
      <c r="X62" s="29">
        <f>VLOOKUP($B62, agr_mes!$B:$XFD, MATCH(gdp_agr_share!X$1, agr_mes!$B$1:$XFD$1, 0), 0)/VLOOKUP($B62, gdp_tot_mes!$B:$XFD, MATCH(gdp_agr_share!X$1, gdp_tot_mes!$B$1:$XFD$1, 0), 0)</f>
        <v>0.17693608364899735</v>
      </c>
      <c r="Y62" s="29">
        <f>VLOOKUP($B62, agr_mes!$B:$XFD, MATCH(gdp_agr_share!Y$1, agr_mes!$B$1:$XFD$1, 0), 0)/VLOOKUP($B62, gdp_tot_mes!$B:$XFD, MATCH(gdp_agr_share!Y$1, gdp_tot_mes!$B$1:$XFD$1, 0), 0)</f>
        <v>0.15968273922263723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x14ac:dyDescent="0.25">
      <c r="A63" s="1" t="s">
        <v>158</v>
      </c>
      <c r="B63" s="1" t="s">
        <v>159</v>
      </c>
      <c r="C63" s="1" t="s">
        <v>160</v>
      </c>
      <c r="D63" s="29">
        <f>VLOOKUP($B63, agr_mes!$B:$XFD, MATCH(gdp_agr_share!D$1, agr_mes!$B$1:$XFD$1, 0), 0)/VLOOKUP($B63, gdp_tot_mes!$B:$XFD, MATCH(gdp_agr_share!D$1, gdp_tot_mes!$B$1:$XFD$1, 0), 0)</f>
        <v>0.50657849421491474</v>
      </c>
      <c r="E63" s="29">
        <f>VLOOKUP($B63, agr_mes!$B:$XFD, MATCH(gdp_agr_share!E$1, agr_mes!$B$1:$XFD$1, 0), 0)/VLOOKUP($B63, gdp_tot_mes!$B:$XFD, MATCH(gdp_agr_share!E$1, gdp_tot_mes!$B$1:$XFD$1, 0), 0)</f>
        <v>0.5708257627706449</v>
      </c>
      <c r="F63" s="29">
        <f>VLOOKUP($B63, agr_mes!$B:$XFD, MATCH(gdp_agr_share!F$1, agr_mes!$B$1:$XFD$1, 0), 0)/VLOOKUP($B63, gdp_tot_mes!$B:$XFD, MATCH(gdp_agr_share!F$1, gdp_tot_mes!$B$1:$XFD$1, 0), 0)</f>
        <v>0.36716309326296986</v>
      </c>
      <c r="G63" s="29">
        <f>VLOOKUP($B63, agr_mes!$B:$XFD, MATCH(gdp_agr_share!G$1, agr_mes!$B$1:$XFD$1, 0), 0)/VLOOKUP($B63, gdp_tot_mes!$B:$XFD, MATCH(gdp_agr_share!G$1, gdp_tot_mes!$B$1:$XFD$1, 0), 0)</f>
        <v>0.20854996344486648</v>
      </c>
      <c r="H63" s="29">
        <f>VLOOKUP($B63, agr_mes!$B:$XFD, MATCH(gdp_agr_share!H$1, agr_mes!$B$1:$XFD$1, 0), 0)/VLOOKUP($B63, gdp_tot_mes!$B:$XFD, MATCH(gdp_agr_share!H$1, gdp_tot_mes!$B$1:$XFD$1, 0), 0)</f>
        <v>0.46331737410455931</v>
      </c>
      <c r="I63" s="29">
        <f>VLOOKUP($B63, agr_mes!$B:$XFD, MATCH(gdp_agr_share!I$1, agr_mes!$B$1:$XFD$1, 0), 0)/VLOOKUP($B63, gdp_tot_mes!$B:$XFD, MATCH(gdp_agr_share!I$1, gdp_tot_mes!$B$1:$XFD$1, 0), 0)</f>
        <v>0.35970094468869063</v>
      </c>
      <c r="J63" s="29">
        <f>VLOOKUP($B63, agr_mes!$B:$XFD, MATCH(gdp_agr_share!J$1, agr_mes!$B$1:$XFD$1, 0), 0)/VLOOKUP($B63, gdp_tot_mes!$B:$XFD, MATCH(gdp_agr_share!J$1, gdp_tot_mes!$B$1:$XFD$1, 0), 0)</f>
        <v>0.18494740036436008</v>
      </c>
      <c r="K63" s="29">
        <f>VLOOKUP($B63, agr_mes!$B:$XFD, MATCH(gdp_agr_share!K$1, agr_mes!$B$1:$XFD$1, 0), 0)/VLOOKUP($B63, gdp_tot_mes!$B:$XFD, MATCH(gdp_agr_share!K$1, gdp_tot_mes!$B$1:$XFD$1, 0), 0)</f>
        <v>0.23194029063425314</v>
      </c>
      <c r="L63" s="30">
        <f t="shared" si="0"/>
        <v>0.22106962877306152</v>
      </c>
      <c r="M63" s="29">
        <f>VLOOKUP($B63, agr_mes!$B:$XFD, MATCH(gdp_agr_share!M$1, agr_mes!$B$1:$XFD$1, 0), 0)/VLOOKUP($B63, gdp_tot_mes!$B:$XFD, MATCH(gdp_agr_share!M$1, gdp_tot_mes!$B$1:$XFD$1, 0), 0)</f>
        <v>0.20802483453963158</v>
      </c>
      <c r="N63" s="29">
        <f>VLOOKUP($B63, agr_mes!$B:$XFD, MATCH(gdp_agr_share!N$1, agr_mes!$B$1:$XFD$1, 0), 0)/VLOOKUP($B63, gdp_tot_mes!$B:$XFD, MATCH(gdp_agr_share!N$1, gdp_tot_mes!$B$1:$XFD$1, 0), 0)</f>
        <v>0.14344796446380242</v>
      </c>
      <c r="O63" s="29">
        <f>VLOOKUP($B63, agr_mes!$B:$XFD, MATCH(gdp_agr_share!O$1, agr_mes!$B$1:$XFD$1, 0), 0)/VLOOKUP($B63, gdp_tot_mes!$B:$XFD, MATCH(gdp_agr_share!O$1, gdp_tot_mes!$B$1:$XFD$1, 0), 0)</f>
        <v>0.13416783273728433</v>
      </c>
      <c r="P63" s="29">
        <f>VLOOKUP($B63, agr_mes!$B:$XFD, MATCH(gdp_agr_share!P$1, agr_mes!$B$1:$XFD$1, 0), 0)/VLOOKUP($B63, gdp_tot_mes!$B:$XFD, MATCH(gdp_agr_share!P$1, gdp_tot_mes!$B$1:$XFD$1, 0), 0)</f>
        <v>0.14623877689681591</v>
      </c>
      <c r="Q63" s="29">
        <f>VLOOKUP($B63, agr_mes!$B:$XFD, MATCH(gdp_agr_share!Q$1, agr_mes!$B$1:$XFD$1, 0), 0)/VLOOKUP($B63, gdp_tot_mes!$B:$XFD, MATCH(gdp_agr_share!Q$1, gdp_tot_mes!$B$1:$XFD$1, 0), 0)</f>
        <v>0.1772004984759982</v>
      </c>
      <c r="R63" s="29">
        <f>VLOOKUP($B63, agr_mes!$B:$XFD, MATCH(gdp_agr_share!R$1, agr_mes!$B$1:$XFD$1, 0), 0)/VLOOKUP($B63, gdp_tot_mes!$B:$XFD, MATCH(gdp_agr_share!R$1, gdp_tot_mes!$B$1:$XFD$1, 0), 0)</f>
        <v>0.20686336095530661</v>
      </c>
      <c r="S63" s="29">
        <f>VLOOKUP($B63, agr_mes!$B:$XFD, MATCH(gdp_agr_share!S$1, agr_mes!$B$1:$XFD$1, 0), 0)/VLOOKUP($B63, gdp_tot_mes!$B:$XFD, MATCH(gdp_agr_share!S$1, gdp_tot_mes!$B$1:$XFD$1, 0), 0)</f>
        <v>0.19111586848753559</v>
      </c>
      <c r="T63" s="29">
        <f>VLOOKUP($B63, agr_mes!$B:$XFD, MATCH(gdp_agr_share!T$1, agr_mes!$B$1:$XFD$1, 0), 0)/VLOOKUP($B63, gdp_tot_mes!$B:$XFD, MATCH(gdp_agr_share!T$1, gdp_tot_mes!$B$1:$XFD$1, 0), 0)</f>
        <v>0.1841318272144995</v>
      </c>
      <c r="U63" s="29">
        <f>VLOOKUP($B63, agr_mes!$B:$XFD, MATCH(gdp_agr_share!U$1, agr_mes!$B$1:$XFD$1, 0), 0)/VLOOKUP($B63, gdp_tot_mes!$B:$XFD, MATCH(gdp_agr_share!U$1, gdp_tot_mes!$B$1:$XFD$1, 0), 0)</f>
        <v>0.20575174435172061</v>
      </c>
      <c r="V63" s="29">
        <f>VLOOKUP($B63, agr_mes!$B:$XFD, MATCH(gdp_agr_share!V$1, agr_mes!$B$1:$XFD$1, 0), 0)/VLOOKUP($B63, gdp_tot_mes!$B:$XFD, MATCH(gdp_agr_share!V$1, gdp_tot_mes!$B$1:$XFD$1, 0), 0)</f>
        <v>0.18575108296255802</v>
      </c>
      <c r="W63" s="29">
        <f>VLOOKUP($B63, agr_mes!$B:$XFD, MATCH(gdp_agr_share!W$1, agr_mes!$B$1:$XFD$1, 0), 0)/VLOOKUP($B63, gdp_tot_mes!$B:$XFD, MATCH(gdp_agr_share!W$1, gdp_tot_mes!$B$1:$XFD$1, 0), 0)</f>
        <v>0.16800789172399308</v>
      </c>
      <c r="X63" s="29">
        <f>VLOOKUP($B63, agr_mes!$B:$XFD, MATCH(gdp_agr_share!X$1, agr_mes!$B$1:$XFD$1, 0), 0)/VLOOKUP($B63, gdp_tot_mes!$B:$XFD, MATCH(gdp_agr_share!X$1, gdp_tot_mes!$B$1:$XFD$1, 0), 0)</f>
        <v>0.19339075818051307</v>
      </c>
      <c r="Y63" s="29">
        <f>VLOOKUP($B63, agr_mes!$B:$XFD, MATCH(gdp_agr_share!Y$1, agr_mes!$B$1:$XFD$1, 0), 0)/VLOOKUP($B63, gdp_tot_mes!$B:$XFD, MATCH(gdp_agr_share!Y$1, gdp_tot_mes!$B$1:$XFD$1, 0), 0)</f>
        <v>0.24806600573145585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x14ac:dyDescent="0.25">
      <c r="A64" s="1" t="s">
        <v>158</v>
      </c>
      <c r="B64" s="1" t="s">
        <v>161</v>
      </c>
      <c r="C64" s="1" t="s">
        <v>162</v>
      </c>
      <c r="D64" s="29">
        <f>VLOOKUP($B64, agr_mes!$B:$XFD, MATCH(gdp_agr_share!D$1, agr_mes!$B$1:$XFD$1, 0), 0)/VLOOKUP($B64, gdp_tot_mes!$B:$XFD, MATCH(gdp_agr_share!D$1, gdp_tot_mes!$B$1:$XFD$1, 0), 0)</f>
        <v>0.53946631629906883</v>
      </c>
      <c r="E64" s="29">
        <f>VLOOKUP($B64, agr_mes!$B:$XFD, MATCH(gdp_agr_share!E$1, agr_mes!$B$1:$XFD$1, 0), 0)/VLOOKUP($B64, gdp_tot_mes!$B:$XFD, MATCH(gdp_agr_share!E$1, gdp_tot_mes!$B$1:$XFD$1, 0), 0)</f>
        <v>0.59420705109128946</v>
      </c>
      <c r="F64" s="29">
        <f>VLOOKUP($B64, agr_mes!$B:$XFD, MATCH(gdp_agr_share!F$1, agr_mes!$B$1:$XFD$1, 0), 0)/VLOOKUP($B64, gdp_tot_mes!$B:$XFD, MATCH(gdp_agr_share!F$1, gdp_tot_mes!$B$1:$XFD$1, 0), 0)</f>
        <v>0.4400769113331745</v>
      </c>
      <c r="G64" s="29">
        <f>VLOOKUP($B64, agr_mes!$B:$XFD, MATCH(gdp_agr_share!G$1, agr_mes!$B$1:$XFD$1, 0), 0)/VLOOKUP($B64, gdp_tot_mes!$B:$XFD, MATCH(gdp_agr_share!G$1, gdp_tot_mes!$B$1:$XFD$1, 0), 0)</f>
        <v>0.47272494126908948</v>
      </c>
      <c r="H64" s="29">
        <f>VLOOKUP($B64, agr_mes!$B:$XFD, MATCH(gdp_agr_share!H$1, agr_mes!$B$1:$XFD$1, 0), 0)/VLOOKUP($B64, gdp_tot_mes!$B:$XFD, MATCH(gdp_agr_share!H$1, gdp_tot_mes!$B$1:$XFD$1, 0), 0)</f>
        <v>0.46508672430967352</v>
      </c>
      <c r="I64" s="29">
        <f>VLOOKUP($B64, agr_mes!$B:$XFD, MATCH(gdp_agr_share!I$1, agr_mes!$B$1:$XFD$1, 0), 0)/VLOOKUP($B64, gdp_tot_mes!$B:$XFD, MATCH(gdp_agr_share!I$1, gdp_tot_mes!$B$1:$XFD$1, 0), 0)</f>
        <v>0.42840112809277647</v>
      </c>
      <c r="J64" s="29">
        <f>VLOOKUP($B64, agr_mes!$B:$XFD, MATCH(gdp_agr_share!J$1, agr_mes!$B$1:$XFD$1, 0), 0)/VLOOKUP($B64, gdp_tot_mes!$B:$XFD, MATCH(gdp_agr_share!J$1, gdp_tot_mes!$B$1:$XFD$1, 0), 0)</f>
        <v>0.46378603114968109</v>
      </c>
      <c r="K64" s="29">
        <f>VLOOKUP($B64, agr_mes!$B:$XFD, MATCH(gdp_agr_share!K$1, agr_mes!$B$1:$XFD$1, 0), 0)/VLOOKUP($B64, gdp_tot_mes!$B:$XFD, MATCH(gdp_agr_share!K$1, gdp_tot_mes!$B$1:$XFD$1, 0), 0)</f>
        <v>0.46594243357497567</v>
      </c>
      <c r="L64" s="30">
        <f t="shared" si="0"/>
        <v>0.53225951037047459</v>
      </c>
      <c r="M64" s="29">
        <f>VLOOKUP($B64, agr_mes!$B:$XFD, MATCH(gdp_agr_share!M$1, agr_mes!$B$1:$XFD$1, 0), 0)/VLOOKUP($B64, gdp_tot_mes!$B:$XFD, MATCH(gdp_agr_share!M$1, gdp_tot_mes!$B$1:$XFD$1, 0), 0)</f>
        <v>0.61184000252507331</v>
      </c>
      <c r="N64" s="29">
        <f>VLOOKUP($B64, agr_mes!$B:$XFD, MATCH(gdp_agr_share!N$1, agr_mes!$B$1:$XFD$1, 0), 0)/VLOOKUP($B64, gdp_tot_mes!$B:$XFD, MATCH(gdp_agr_share!N$1, gdp_tot_mes!$B$1:$XFD$1, 0), 0)</f>
        <v>0.28948262489200238</v>
      </c>
      <c r="O64" s="29">
        <f>VLOOKUP($B64, agr_mes!$B:$XFD, MATCH(gdp_agr_share!O$1, agr_mes!$B$1:$XFD$1, 0), 0)/VLOOKUP($B64, gdp_tot_mes!$B:$XFD, MATCH(gdp_agr_share!O$1, gdp_tot_mes!$B$1:$XFD$1, 0), 0)</f>
        <v>0.29939568617861334</v>
      </c>
      <c r="P64" s="29">
        <f>VLOOKUP($B64, agr_mes!$B:$XFD, MATCH(gdp_agr_share!P$1, agr_mes!$B$1:$XFD$1, 0), 0)/VLOOKUP($B64, gdp_tot_mes!$B:$XFD, MATCH(gdp_agr_share!P$1, gdp_tot_mes!$B$1:$XFD$1, 0), 0)</f>
        <v>0.28126124532491004</v>
      </c>
      <c r="Q64" s="29">
        <f>VLOOKUP($B64, agr_mes!$B:$XFD, MATCH(gdp_agr_share!Q$1, agr_mes!$B$1:$XFD$1, 0), 0)/VLOOKUP($B64, gdp_tot_mes!$B:$XFD, MATCH(gdp_agr_share!Q$1, gdp_tot_mes!$B$1:$XFD$1, 0), 0)</f>
        <v>0.32838859240582841</v>
      </c>
      <c r="R64" s="29">
        <f>VLOOKUP($B64, agr_mes!$B:$XFD, MATCH(gdp_agr_share!R$1, agr_mes!$B$1:$XFD$1, 0), 0)/VLOOKUP($B64, gdp_tot_mes!$B:$XFD, MATCH(gdp_agr_share!R$1, gdp_tot_mes!$B$1:$XFD$1, 0), 0)</f>
        <v>0.31803469990853378</v>
      </c>
      <c r="S64" s="29">
        <f>VLOOKUP($B64, agr_mes!$B:$XFD, MATCH(gdp_agr_share!S$1, agr_mes!$B$1:$XFD$1, 0), 0)/VLOOKUP($B64, gdp_tot_mes!$B:$XFD, MATCH(gdp_agr_share!S$1, gdp_tot_mes!$B$1:$XFD$1, 0), 0)</f>
        <v>0.31281341735036966</v>
      </c>
      <c r="T64" s="29">
        <f>VLOOKUP($B64, agr_mes!$B:$XFD, MATCH(gdp_agr_share!T$1, agr_mes!$B$1:$XFD$1, 0), 0)/VLOOKUP($B64, gdp_tot_mes!$B:$XFD, MATCH(gdp_agr_share!T$1, gdp_tot_mes!$B$1:$XFD$1, 0), 0)</f>
        <v>0.31533679546053939</v>
      </c>
      <c r="U64" s="29">
        <f>VLOOKUP($B64, agr_mes!$B:$XFD, MATCH(gdp_agr_share!U$1, agr_mes!$B$1:$XFD$1, 0), 0)/VLOOKUP($B64, gdp_tot_mes!$B:$XFD, MATCH(gdp_agr_share!U$1, gdp_tot_mes!$B$1:$XFD$1, 0), 0)</f>
        <v>0.32402772726672718</v>
      </c>
      <c r="V64" s="29">
        <f>VLOOKUP($B64, agr_mes!$B:$XFD, MATCH(gdp_agr_share!V$1, agr_mes!$B$1:$XFD$1, 0), 0)/VLOOKUP($B64, gdp_tot_mes!$B:$XFD, MATCH(gdp_agr_share!V$1, gdp_tot_mes!$B$1:$XFD$1, 0), 0)</f>
        <v>0.28481323268575282</v>
      </c>
      <c r="W64" s="29">
        <f>VLOOKUP($B64, agr_mes!$B:$XFD, MATCH(gdp_agr_share!W$1, agr_mes!$B$1:$XFD$1, 0), 0)/VLOOKUP($B64, gdp_tot_mes!$B:$XFD, MATCH(gdp_agr_share!W$1, gdp_tot_mes!$B$1:$XFD$1, 0), 0)</f>
        <v>0.27160842664715151</v>
      </c>
      <c r="X64" s="29">
        <f>VLOOKUP($B64, agr_mes!$B:$XFD, MATCH(gdp_agr_share!X$1, agr_mes!$B$1:$XFD$1, 0), 0)/VLOOKUP($B64, gdp_tot_mes!$B:$XFD, MATCH(gdp_agr_share!X$1, gdp_tot_mes!$B$1:$XFD$1, 0), 0)</f>
        <v>0.27148624219132017</v>
      </c>
      <c r="Y64" s="29">
        <f>VLOOKUP($B64, agr_mes!$B:$XFD, MATCH(gdp_agr_share!Y$1, agr_mes!$B$1:$XFD$1, 0), 0)/VLOOKUP($B64, gdp_tot_mes!$B:$XFD, MATCH(gdp_agr_share!Y$1, gdp_tot_mes!$B$1:$XFD$1, 0), 0)</f>
        <v>0.32154961864831189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x14ac:dyDescent="0.25">
      <c r="A65" s="1" t="s">
        <v>158</v>
      </c>
      <c r="B65" s="1" t="s">
        <v>163</v>
      </c>
      <c r="C65" s="1" t="s">
        <v>164</v>
      </c>
      <c r="D65" s="29">
        <f>VLOOKUP($B65, agr_mes!$B:$XFD, MATCH(gdp_agr_share!D$1, agr_mes!$B$1:$XFD$1, 0), 0)/VLOOKUP($B65, gdp_tot_mes!$B:$XFD, MATCH(gdp_agr_share!D$1, gdp_tot_mes!$B$1:$XFD$1, 0), 0)</f>
        <v>0.10876554510349239</v>
      </c>
      <c r="E65" s="29">
        <f>VLOOKUP($B65, agr_mes!$B:$XFD, MATCH(gdp_agr_share!E$1, agr_mes!$B$1:$XFD$1, 0), 0)/VLOOKUP($B65, gdp_tot_mes!$B:$XFD, MATCH(gdp_agr_share!E$1, gdp_tot_mes!$B$1:$XFD$1, 0), 0)</f>
        <v>4.5170192910703698E-2</v>
      </c>
      <c r="F65" s="29">
        <f>VLOOKUP($B65, agr_mes!$B:$XFD, MATCH(gdp_agr_share!F$1, agr_mes!$B$1:$XFD$1, 0), 0)/VLOOKUP($B65, gdp_tot_mes!$B:$XFD, MATCH(gdp_agr_share!F$1, gdp_tot_mes!$B$1:$XFD$1, 0), 0)</f>
        <v>2.2210766865808036E-2</v>
      </c>
      <c r="G65" s="29">
        <f>VLOOKUP($B65, agr_mes!$B:$XFD, MATCH(gdp_agr_share!G$1, agr_mes!$B$1:$XFD$1, 0), 0)/VLOOKUP($B65, gdp_tot_mes!$B:$XFD, MATCH(gdp_agr_share!G$1, gdp_tot_mes!$B$1:$XFD$1, 0), 0)</f>
        <v>2.178938445291264E-2</v>
      </c>
      <c r="H65" s="29">
        <f>VLOOKUP($B65, agr_mes!$B:$XFD, MATCH(gdp_agr_share!H$1, agr_mes!$B$1:$XFD$1, 0), 0)/VLOOKUP($B65, gdp_tot_mes!$B:$XFD, MATCH(gdp_agr_share!H$1, gdp_tot_mes!$B$1:$XFD$1, 0), 0)</f>
        <v>3.4053351143708339E-2</v>
      </c>
      <c r="I65" s="29">
        <f>VLOOKUP($B65, agr_mes!$B:$XFD, MATCH(gdp_agr_share!I$1, agr_mes!$B$1:$XFD$1, 0), 0)/VLOOKUP($B65, gdp_tot_mes!$B:$XFD, MATCH(gdp_agr_share!I$1, gdp_tot_mes!$B$1:$XFD$1, 0), 0)</f>
        <v>3.4622052059372591E-2</v>
      </c>
      <c r="J65" s="29">
        <f>VLOOKUP($B65, agr_mes!$B:$XFD, MATCH(gdp_agr_share!J$1, agr_mes!$B$1:$XFD$1, 0), 0)/VLOOKUP($B65, gdp_tot_mes!$B:$XFD, MATCH(gdp_agr_share!J$1, gdp_tot_mes!$B$1:$XFD$1, 0), 0)</f>
        <v>2.6121269784687848E-2</v>
      </c>
      <c r="K65" s="29">
        <f>VLOOKUP($B65, agr_mes!$B:$XFD, MATCH(gdp_agr_share!K$1, agr_mes!$B$1:$XFD$1, 0), 0)/VLOOKUP($B65, gdp_tot_mes!$B:$XFD, MATCH(gdp_agr_share!K$1, gdp_tot_mes!$B$1:$XFD$1, 0), 0)</f>
        <v>2.6317697332282779E-2</v>
      </c>
      <c r="L65" s="30">
        <f t="shared" si="0"/>
        <v>2.365980047363252E-2</v>
      </c>
      <c r="M65" s="29">
        <f>VLOOKUP($B65, agr_mes!$B:$XFD, MATCH(gdp_agr_share!M$1, agr_mes!$B$1:$XFD$1, 0), 0)/VLOOKUP($B65, gdp_tot_mes!$B:$XFD, MATCH(gdp_agr_share!M$1, gdp_tot_mes!$B$1:$XFD$1, 0), 0)</f>
        <v>2.0470324243252208E-2</v>
      </c>
      <c r="N65" s="29">
        <f>VLOOKUP($B65, agr_mes!$B:$XFD, MATCH(gdp_agr_share!N$1, agr_mes!$B$1:$XFD$1, 0), 0)/VLOOKUP($B65, gdp_tot_mes!$B:$XFD, MATCH(gdp_agr_share!N$1, gdp_tot_mes!$B$1:$XFD$1, 0), 0)</f>
        <v>8.1132816555294588E-3</v>
      </c>
      <c r="O65" s="29">
        <f>VLOOKUP($B65, agr_mes!$B:$XFD, MATCH(gdp_agr_share!O$1, agr_mes!$B$1:$XFD$1, 0), 0)/VLOOKUP($B65, gdp_tot_mes!$B:$XFD, MATCH(gdp_agr_share!O$1, gdp_tot_mes!$B$1:$XFD$1, 0), 0)</f>
        <v>6.9143518260230876E-3</v>
      </c>
      <c r="P65" s="29">
        <f>VLOOKUP($B65, agr_mes!$B:$XFD, MATCH(gdp_agr_share!P$1, agr_mes!$B$1:$XFD$1, 0), 0)/VLOOKUP($B65, gdp_tot_mes!$B:$XFD, MATCH(gdp_agr_share!P$1, gdp_tot_mes!$B$1:$XFD$1, 0), 0)</f>
        <v>7.8188489906104459E-3</v>
      </c>
      <c r="Q65" s="29">
        <f>VLOOKUP($B65, agr_mes!$B:$XFD, MATCH(gdp_agr_share!Q$1, agr_mes!$B$1:$XFD$1, 0), 0)/VLOOKUP($B65, gdp_tot_mes!$B:$XFD, MATCH(gdp_agr_share!Q$1, gdp_tot_mes!$B$1:$XFD$1, 0), 0)</f>
        <v>1.5910180029349096E-2</v>
      </c>
      <c r="R65" s="29">
        <f>VLOOKUP($B65, agr_mes!$B:$XFD, MATCH(gdp_agr_share!R$1, agr_mes!$B$1:$XFD$1, 0), 0)/VLOOKUP($B65, gdp_tot_mes!$B:$XFD, MATCH(gdp_agr_share!R$1, gdp_tot_mes!$B$1:$XFD$1, 0), 0)</f>
        <v>1.6365819112848033E-2</v>
      </c>
      <c r="S65" s="29">
        <f>VLOOKUP($B65, agr_mes!$B:$XFD, MATCH(gdp_agr_share!S$1, agr_mes!$B$1:$XFD$1, 0), 0)/VLOOKUP($B65, gdp_tot_mes!$B:$XFD, MATCH(gdp_agr_share!S$1, gdp_tot_mes!$B$1:$XFD$1, 0), 0)</f>
        <v>1.4782227316025015E-2</v>
      </c>
      <c r="T65" s="29">
        <f>VLOOKUP($B65, agr_mes!$B:$XFD, MATCH(gdp_agr_share!T$1, agr_mes!$B$1:$XFD$1, 0), 0)/VLOOKUP($B65, gdp_tot_mes!$B:$XFD, MATCH(gdp_agr_share!T$1, gdp_tot_mes!$B$1:$XFD$1, 0), 0)</f>
        <v>1.6138499782525219E-2</v>
      </c>
      <c r="U65" s="29">
        <f>VLOOKUP($B65, agr_mes!$B:$XFD, MATCH(gdp_agr_share!U$1, agr_mes!$B$1:$XFD$1, 0), 0)/VLOOKUP($B65, gdp_tot_mes!$B:$XFD, MATCH(gdp_agr_share!U$1, gdp_tot_mes!$B$1:$XFD$1, 0), 0)</f>
        <v>1.770173811726658E-2</v>
      </c>
      <c r="V65" s="29">
        <f>VLOOKUP($B65, agr_mes!$B:$XFD, MATCH(gdp_agr_share!V$1, agr_mes!$B$1:$XFD$1, 0), 0)/VLOOKUP($B65, gdp_tot_mes!$B:$XFD, MATCH(gdp_agr_share!V$1, gdp_tot_mes!$B$1:$XFD$1, 0), 0)</f>
        <v>1.4917933828686432E-2</v>
      </c>
      <c r="W65" s="29">
        <f>VLOOKUP($B65, agr_mes!$B:$XFD, MATCH(gdp_agr_share!W$1, agr_mes!$B$1:$XFD$1, 0), 0)/VLOOKUP($B65, gdp_tot_mes!$B:$XFD, MATCH(gdp_agr_share!W$1, gdp_tot_mes!$B$1:$XFD$1, 0), 0)</f>
        <v>1.4009661725268878E-2</v>
      </c>
      <c r="X65" s="29">
        <f>VLOOKUP($B65, agr_mes!$B:$XFD, MATCH(gdp_agr_share!X$1, agr_mes!$B$1:$XFD$1, 0), 0)/VLOOKUP($B65, gdp_tot_mes!$B:$XFD, MATCH(gdp_agr_share!X$1, gdp_tot_mes!$B$1:$XFD$1, 0), 0)</f>
        <v>1.4089557997512365E-2</v>
      </c>
      <c r="Y65" s="29">
        <f>VLOOKUP($B65, agr_mes!$B:$XFD, MATCH(gdp_agr_share!Y$1, agr_mes!$B$1:$XFD$1, 0), 0)/VLOOKUP($B65, gdp_tot_mes!$B:$XFD, MATCH(gdp_agr_share!Y$1, gdp_tot_mes!$B$1:$XFD$1, 0), 0)</f>
        <v>1.5745713945012611E-2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x14ac:dyDescent="0.25">
      <c r="A66" s="1" t="s">
        <v>158</v>
      </c>
      <c r="B66" s="1" t="s">
        <v>165</v>
      </c>
      <c r="C66" s="1" t="s">
        <v>166</v>
      </c>
      <c r="D66" s="29">
        <f>VLOOKUP($B66, agr_mes!$B:$XFD, MATCH(gdp_agr_share!D$1, agr_mes!$B$1:$XFD$1, 0), 0)/VLOOKUP($B66, gdp_tot_mes!$B:$XFD, MATCH(gdp_agr_share!D$1, gdp_tot_mes!$B$1:$XFD$1, 0), 0)</f>
        <v>0.63899427140580056</v>
      </c>
      <c r="E66" s="29">
        <f>VLOOKUP($B66, agr_mes!$B:$XFD, MATCH(gdp_agr_share!E$1, agr_mes!$B$1:$XFD$1, 0), 0)/VLOOKUP($B66, gdp_tot_mes!$B:$XFD, MATCH(gdp_agr_share!E$1, gdp_tot_mes!$B$1:$XFD$1, 0), 0)</f>
        <v>0.62713044568283538</v>
      </c>
      <c r="F66" s="29">
        <f>VLOOKUP($B66, agr_mes!$B:$XFD, MATCH(gdp_agr_share!F$1, agr_mes!$B$1:$XFD$1, 0), 0)/VLOOKUP($B66, gdp_tot_mes!$B:$XFD, MATCH(gdp_agr_share!F$1, gdp_tot_mes!$B$1:$XFD$1, 0), 0)</f>
        <v>0.58987235053881737</v>
      </c>
      <c r="G66" s="29">
        <f>VLOOKUP($B66, agr_mes!$B:$XFD, MATCH(gdp_agr_share!G$1, agr_mes!$B$1:$XFD$1, 0), 0)/VLOOKUP($B66, gdp_tot_mes!$B:$XFD, MATCH(gdp_agr_share!G$1, gdp_tot_mes!$B$1:$XFD$1, 0), 0)</f>
        <v>0.42111806189508494</v>
      </c>
      <c r="H66" s="29">
        <f>VLOOKUP($B66, agr_mes!$B:$XFD, MATCH(gdp_agr_share!H$1, agr_mes!$B$1:$XFD$1, 0), 0)/VLOOKUP($B66, gdp_tot_mes!$B:$XFD, MATCH(gdp_agr_share!H$1, gdp_tot_mes!$B$1:$XFD$1, 0), 0)</f>
        <v>0.54214491843144885</v>
      </c>
      <c r="I66" s="29">
        <f>VLOOKUP($B66, agr_mes!$B:$XFD, MATCH(gdp_agr_share!I$1, agr_mes!$B$1:$XFD$1, 0), 0)/VLOOKUP($B66, gdp_tot_mes!$B:$XFD, MATCH(gdp_agr_share!I$1, gdp_tot_mes!$B$1:$XFD$1, 0), 0)</f>
        <v>0.58247630839621134</v>
      </c>
      <c r="J66" s="29">
        <f>VLOOKUP($B66, agr_mes!$B:$XFD, MATCH(gdp_agr_share!J$1, agr_mes!$B$1:$XFD$1, 0), 0)/VLOOKUP($B66, gdp_tot_mes!$B:$XFD, MATCH(gdp_agr_share!J$1, gdp_tot_mes!$B$1:$XFD$1, 0), 0)</f>
        <v>0.57899631887882785</v>
      </c>
      <c r="K66" s="29">
        <f>VLOOKUP($B66, agr_mes!$B:$XFD, MATCH(gdp_agr_share!K$1, agr_mes!$B$1:$XFD$1, 0), 0)/VLOOKUP($B66, gdp_tot_mes!$B:$XFD, MATCH(gdp_agr_share!K$1, gdp_tot_mes!$B$1:$XFD$1, 0), 0)</f>
        <v>0.53742921310163527</v>
      </c>
      <c r="L66" s="30">
        <f t="shared" si="0"/>
        <v>0.54139700087551612</v>
      </c>
      <c r="M66" s="29">
        <f>VLOOKUP($B66, agr_mes!$B:$XFD, MATCH(gdp_agr_share!M$1, agr_mes!$B$1:$XFD$1, 0), 0)/VLOOKUP($B66, gdp_tot_mes!$B:$XFD, MATCH(gdp_agr_share!M$1, gdp_tot_mes!$B$1:$XFD$1, 0), 0)</f>
        <v>0.54615834620417325</v>
      </c>
      <c r="N66" s="29">
        <f>VLOOKUP($B66, agr_mes!$B:$XFD, MATCH(gdp_agr_share!N$1, agr_mes!$B$1:$XFD$1, 0), 0)/VLOOKUP($B66, gdp_tot_mes!$B:$XFD, MATCH(gdp_agr_share!N$1, gdp_tot_mes!$B$1:$XFD$1, 0), 0)</f>
        <v>0.23379994140014285</v>
      </c>
      <c r="O66" s="29">
        <f>VLOOKUP($B66, agr_mes!$B:$XFD, MATCH(gdp_agr_share!O$1, agr_mes!$B$1:$XFD$1, 0), 0)/VLOOKUP($B66, gdp_tot_mes!$B:$XFD, MATCH(gdp_agr_share!O$1, gdp_tot_mes!$B$1:$XFD$1, 0), 0)</f>
        <v>0.2401863844909613</v>
      </c>
      <c r="P66" s="29">
        <f>VLOOKUP($B66, agr_mes!$B:$XFD, MATCH(gdp_agr_share!P$1, agr_mes!$B$1:$XFD$1, 0), 0)/VLOOKUP($B66, gdp_tot_mes!$B:$XFD, MATCH(gdp_agr_share!P$1, gdp_tot_mes!$B$1:$XFD$1, 0), 0)</f>
        <v>0.24467132135574995</v>
      </c>
      <c r="Q66" s="29">
        <f>VLOOKUP($B66, agr_mes!$B:$XFD, MATCH(gdp_agr_share!Q$1, agr_mes!$B$1:$XFD$1, 0), 0)/VLOOKUP($B66, gdp_tot_mes!$B:$XFD, MATCH(gdp_agr_share!Q$1, gdp_tot_mes!$B$1:$XFD$1, 0), 0)</f>
        <v>0.33457092395554561</v>
      </c>
      <c r="R66" s="29">
        <f>VLOOKUP($B66, agr_mes!$B:$XFD, MATCH(gdp_agr_share!R$1, agr_mes!$B$1:$XFD$1, 0), 0)/VLOOKUP($B66, gdp_tot_mes!$B:$XFD, MATCH(gdp_agr_share!R$1, gdp_tot_mes!$B$1:$XFD$1, 0), 0)</f>
        <v>0.35085075551006328</v>
      </c>
      <c r="S66" s="29">
        <f>VLOOKUP($B66, agr_mes!$B:$XFD, MATCH(gdp_agr_share!S$1, agr_mes!$B$1:$XFD$1, 0), 0)/VLOOKUP($B66, gdp_tot_mes!$B:$XFD, MATCH(gdp_agr_share!S$1, gdp_tot_mes!$B$1:$XFD$1, 0), 0)</f>
        <v>0.33880298304128637</v>
      </c>
      <c r="T66" s="29">
        <f>VLOOKUP($B66, agr_mes!$B:$XFD, MATCH(gdp_agr_share!T$1, agr_mes!$B$1:$XFD$1, 0), 0)/VLOOKUP($B66, gdp_tot_mes!$B:$XFD, MATCH(gdp_agr_share!T$1, gdp_tot_mes!$B$1:$XFD$1, 0), 0)</f>
        <v>0.34683187285913569</v>
      </c>
      <c r="U66" s="29">
        <f>VLOOKUP($B66, agr_mes!$B:$XFD, MATCH(gdp_agr_share!U$1, agr_mes!$B$1:$XFD$1, 0), 0)/VLOOKUP($B66, gdp_tot_mes!$B:$XFD, MATCH(gdp_agr_share!U$1, gdp_tot_mes!$B$1:$XFD$1, 0), 0)</f>
        <v>0.35462645009526772</v>
      </c>
      <c r="V66" s="29">
        <f>VLOOKUP($B66, agr_mes!$B:$XFD, MATCH(gdp_agr_share!V$1, agr_mes!$B$1:$XFD$1, 0), 0)/VLOOKUP($B66, gdp_tot_mes!$B:$XFD, MATCH(gdp_agr_share!V$1, gdp_tot_mes!$B$1:$XFD$1, 0), 0)</f>
        <v>0.34744811181593033</v>
      </c>
      <c r="W66" s="29">
        <f>VLOOKUP($B66, agr_mes!$B:$XFD, MATCH(gdp_agr_share!W$1, agr_mes!$B$1:$XFD$1, 0), 0)/VLOOKUP($B66, gdp_tot_mes!$B:$XFD, MATCH(gdp_agr_share!W$1, gdp_tot_mes!$B$1:$XFD$1, 0), 0)</f>
        <v>0.30502263491211373</v>
      </c>
      <c r="X66" s="29">
        <f>VLOOKUP($B66, agr_mes!$B:$XFD, MATCH(gdp_agr_share!X$1, agr_mes!$B$1:$XFD$1, 0), 0)/VLOOKUP($B66, gdp_tot_mes!$B:$XFD, MATCH(gdp_agr_share!X$1, gdp_tot_mes!$B$1:$XFD$1, 0), 0)</f>
        <v>0.30086262296037231</v>
      </c>
      <c r="Y66" s="29">
        <f>VLOOKUP($B66, agr_mes!$B:$XFD, MATCH(gdp_agr_share!Y$1, agr_mes!$B$1:$XFD$1, 0), 0)/VLOOKUP($B66, gdp_tot_mes!$B:$XFD, MATCH(gdp_agr_share!Y$1, gdp_tot_mes!$B$1:$XFD$1, 0), 0)</f>
        <v>0.33441106098262946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x14ac:dyDescent="0.25">
      <c r="A67" s="1" t="s">
        <v>158</v>
      </c>
      <c r="B67" s="1" t="s">
        <v>167</v>
      </c>
      <c r="C67" s="1" t="s">
        <v>168</v>
      </c>
      <c r="D67" s="29">
        <f>VLOOKUP($B67, agr_mes!$B:$XFD, MATCH(gdp_agr_share!D$1, agr_mes!$B$1:$XFD$1, 0), 0)/VLOOKUP($B67, gdp_tot_mes!$B:$XFD, MATCH(gdp_agr_share!D$1, gdp_tot_mes!$B$1:$XFD$1, 0), 0)</f>
        <v>0.49185501188882669</v>
      </c>
      <c r="E67" s="29">
        <f>VLOOKUP($B67, agr_mes!$B:$XFD, MATCH(gdp_agr_share!E$1, agr_mes!$B$1:$XFD$1, 0), 0)/VLOOKUP($B67, gdp_tot_mes!$B:$XFD, MATCH(gdp_agr_share!E$1, gdp_tot_mes!$B$1:$XFD$1, 0), 0)</f>
        <v>0.6456315657260091</v>
      </c>
      <c r="F67" s="29">
        <f>VLOOKUP($B67, agr_mes!$B:$XFD, MATCH(gdp_agr_share!F$1, agr_mes!$B$1:$XFD$1, 0), 0)/VLOOKUP($B67, gdp_tot_mes!$B:$XFD, MATCH(gdp_agr_share!F$1, gdp_tot_mes!$B$1:$XFD$1, 0), 0)</f>
        <v>0.24279781712277537</v>
      </c>
      <c r="G67" s="29">
        <f>VLOOKUP($B67, agr_mes!$B:$XFD, MATCH(gdp_agr_share!G$1, agr_mes!$B$1:$XFD$1, 0), 0)/VLOOKUP($B67, gdp_tot_mes!$B:$XFD, MATCH(gdp_agr_share!G$1, gdp_tot_mes!$B$1:$XFD$1, 0), 0)</f>
        <v>0.57400166165258404</v>
      </c>
      <c r="H67" s="29">
        <f>VLOOKUP($B67, agr_mes!$B:$XFD, MATCH(gdp_agr_share!H$1, agr_mes!$B$1:$XFD$1, 0), 0)/VLOOKUP($B67, gdp_tot_mes!$B:$XFD, MATCH(gdp_agr_share!H$1, gdp_tot_mes!$B$1:$XFD$1, 0), 0)</f>
        <v>0.54263291632899047</v>
      </c>
      <c r="I67" s="29">
        <f>VLOOKUP($B67, agr_mes!$B:$XFD, MATCH(gdp_agr_share!I$1, agr_mes!$B$1:$XFD$1, 0), 0)/VLOOKUP($B67, gdp_tot_mes!$B:$XFD, MATCH(gdp_agr_share!I$1, gdp_tot_mes!$B$1:$XFD$1, 0), 0)</f>
        <v>0.39735565284712132</v>
      </c>
      <c r="J67" s="29">
        <f>VLOOKUP($B67, agr_mes!$B:$XFD, MATCH(gdp_agr_share!J$1, agr_mes!$B$1:$XFD$1, 0), 0)/VLOOKUP($B67, gdp_tot_mes!$B:$XFD, MATCH(gdp_agr_share!J$1, gdp_tot_mes!$B$1:$XFD$1, 0), 0)</f>
        <v>0.21540901361289422</v>
      </c>
      <c r="K67" s="29">
        <f>VLOOKUP($B67, agr_mes!$B:$XFD, MATCH(gdp_agr_share!K$1, agr_mes!$B$1:$XFD$1, 0), 0)/VLOOKUP($B67, gdp_tot_mes!$B:$XFD, MATCH(gdp_agr_share!K$1, gdp_tot_mes!$B$1:$XFD$1, 0), 0)</f>
        <v>0.16797174106957438</v>
      </c>
      <c r="L67" s="30">
        <f t="shared" ref="L67:L130" si="1">K67+5*(M67-K67)/11</f>
        <v>0.28882254439359079</v>
      </c>
      <c r="M67" s="29">
        <f>VLOOKUP($B67, agr_mes!$B:$XFD, MATCH(gdp_agr_share!M$1, agr_mes!$B$1:$XFD$1, 0), 0)/VLOOKUP($B67, gdp_tot_mes!$B:$XFD, MATCH(gdp_agr_share!M$1, gdp_tot_mes!$B$1:$XFD$1, 0), 0)</f>
        <v>0.43384350838241054</v>
      </c>
      <c r="N67" s="29">
        <f>VLOOKUP($B67, agr_mes!$B:$XFD, MATCH(gdp_agr_share!N$1, agr_mes!$B$1:$XFD$1, 0), 0)/VLOOKUP($B67, gdp_tot_mes!$B:$XFD, MATCH(gdp_agr_share!N$1, gdp_tot_mes!$B$1:$XFD$1, 0), 0)</f>
        <v>0.24040694306205695</v>
      </c>
      <c r="O67" s="29">
        <f>VLOOKUP($B67, agr_mes!$B:$XFD, MATCH(gdp_agr_share!O$1, agr_mes!$B$1:$XFD$1, 0), 0)/VLOOKUP($B67, gdp_tot_mes!$B:$XFD, MATCH(gdp_agr_share!O$1, gdp_tot_mes!$B$1:$XFD$1, 0), 0)</f>
        <v>0.24854656662558672</v>
      </c>
      <c r="P67" s="29">
        <f>VLOOKUP($B67, agr_mes!$B:$XFD, MATCH(gdp_agr_share!P$1, agr_mes!$B$1:$XFD$1, 0), 0)/VLOOKUP($B67, gdp_tot_mes!$B:$XFD, MATCH(gdp_agr_share!P$1, gdp_tot_mes!$B$1:$XFD$1, 0), 0)</f>
        <v>0.25120731062411106</v>
      </c>
      <c r="Q67" s="29">
        <f>VLOOKUP($B67, agr_mes!$B:$XFD, MATCH(gdp_agr_share!Q$1, agr_mes!$B$1:$XFD$1, 0), 0)/VLOOKUP($B67, gdp_tot_mes!$B:$XFD, MATCH(gdp_agr_share!Q$1, gdp_tot_mes!$B$1:$XFD$1, 0), 0)</f>
        <v>0.36979952923386594</v>
      </c>
      <c r="R67" s="29">
        <f>VLOOKUP($B67, agr_mes!$B:$XFD, MATCH(gdp_agr_share!R$1, agr_mes!$B$1:$XFD$1, 0), 0)/VLOOKUP($B67, gdp_tot_mes!$B:$XFD, MATCH(gdp_agr_share!R$1, gdp_tot_mes!$B$1:$XFD$1, 0), 0)</f>
        <v>0.32147893393640969</v>
      </c>
      <c r="S67" s="29">
        <f>VLOOKUP($B67, agr_mes!$B:$XFD, MATCH(gdp_agr_share!S$1, agr_mes!$B$1:$XFD$1, 0), 0)/VLOOKUP($B67, gdp_tot_mes!$B:$XFD, MATCH(gdp_agr_share!S$1, gdp_tot_mes!$B$1:$XFD$1, 0), 0)</f>
        <v>0.31313712929692211</v>
      </c>
      <c r="T67" s="29">
        <f>VLOOKUP($B67, agr_mes!$B:$XFD, MATCH(gdp_agr_share!T$1, agr_mes!$B$1:$XFD$1, 0), 0)/VLOOKUP($B67, gdp_tot_mes!$B:$XFD, MATCH(gdp_agr_share!T$1, gdp_tot_mes!$B$1:$XFD$1, 0), 0)</f>
        <v>0.31699558113676984</v>
      </c>
      <c r="U67" s="29">
        <f>VLOOKUP($B67, agr_mes!$B:$XFD, MATCH(gdp_agr_share!U$1, agr_mes!$B$1:$XFD$1, 0), 0)/VLOOKUP($B67, gdp_tot_mes!$B:$XFD, MATCH(gdp_agr_share!U$1, gdp_tot_mes!$B$1:$XFD$1, 0), 0)</f>
        <v>0.30637651642201186</v>
      </c>
      <c r="V67" s="29">
        <f>VLOOKUP($B67, agr_mes!$B:$XFD, MATCH(gdp_agr_share!V$1, agr_mes!$B$1:$XFD$1, 0), 0)/VLOOKUP($B67, gdp_tot_mes!$B:$XFD, MATCH(gdp_agr_share!V$1, gdp_tot_mes!$B$1:$XFD$1, 0), 0)</f>
        <v>0.27927882997180031</v>
      </c>
      <c r="W67" s="29">
        <f>VLOOKUP($B67, agr_mes!$B:$XFD, MATCH(gdp_agr_share!W$1, agr_mes!$B$1:$XFD$1, 0), 0)/VLOOKUP($B67, gdp_tot_mes!$B:$XFD, MATCH(gdp_agr_share!W$1, gdp_tot_mes!$B$1:$XFD$1, 0), 0)</f>
        <v>0.27167443647338924</v>
      </c>
      <c r="X67" s="29">
        <f>VLOOKUP($B67, agr_mes!$B:$XFD, MATCH(gdp_agr_share!X$1, agr_mes!$B$1:$XFD$1, 0), 0)/VLOOKUP($B67, gdp_tot_mes!$B:$XFD, MATCH(gdp_agr_share!X$1, gdp_tot_mes!$B$1:$XFD$1, 0), 0)</f>
        <v>0.27243722173898755</v>
      </c>
      <c r="Y67" s="29">
        <f>VLOOKUP($B67, agr_mes!$B:$XFD, MATCH(gdp_agr_share!Y$1, agr_mes!$B$1:$XFD$1, 0), 0)/VLOOKUP($B67, gdp_tot_mes!$B:$XFD, MATCH(gdp_agr_share!Y$1, gdp_tot_mes!$B$1:$XFD$1, 0), 0)</f>
        <v>0.3236710659358128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x14ac:dyDescent="0.25">
      <c r="A68" s="1" t="s">
        <v>158</v>
      </c>
      <c r="B68" s="1" t="s">
        <v>169</v>
      </c>
      <c r="C68" s="1" t="s">
        <v>170</v>
      </c>
      <c r="D68" s="29">
        <f>VLOOKUP($B68, agr_mes!$B:$XFD, MATCH(gdp_agr_share!D$1, agr_mes!$B$1:$XFD$1, 0), 0)/VLOOKUP($B68, gdp_tot_mes!$B:$XFD, MATCH(gdp_agr_share!D$1, gdp_tot_mes!$B$1:$XFD$1, 0), 0)</f>
        <v>0.15609332612200383</v>
      </c>
      <c r="E68" s="29">
        <f>VLOOKUP($B68, agr_mes!$B:$XFD, MATCH(gdp_agr_share!E$1, agr_mes!$B$1:$XFD$1, 0), 0)/VLOOKUP($B68, gdp_tot_mes!$B:$XFD, MATCH(gdp_agr_share!E$1, gdp_tot_mes!$B$1:$XFD$1, 0), 0)</f>
        <v>0.56375206762625085</v>
      </c>
      <c r="F68" s="29">
        <f>VLOOKUP($B68, agr_mes!$B:$XFD, MATCH(gdp_agr_share!F$1, agr_mes!$B$1:$XFD$1, 0), 0)/VLOOKUP($B68, gdp_tot_mes!$B:$XFD, MATCH(gdp_agr_share!F$1, gdp_tot_mes!$B$1:$XFD$1, 0), 0)</f>
        <v>0.10159603349104394</v>
      </c>
      <c r="G68" s="29">
        <f>VLOOKUP($B68, agr_mes!$B:$XFD, MATCH(gdp_agr_share!G$1, agr_mes!$B$1:$XFD$1, 0), 0)/VLOOKUP($B68, gdp_tot_mes!$B:$XFD, MATCH(gdp_agr_share!G$1, gdp_tot_mes!$B$1:$XFD$1, 0), 0)</f>
        <v>0.21695563593797462</v>
      </c>
      <c r="H68" s="29">
        <f>VLOOKUP($B68, agr_mes!$B:$XFD, MATCH(gdp_agr_share!H$1, agr_mes!$B$1:$XFD$1, 0), 0)/VLOOKUP($B68, gdp_tot_mes!$B:$XFD, MATCH(gdp_agr_share!H$1, gdp_tot_mes!$B$1:$XFD$1, 0), 0)</f>
        <v>0.30700408719777655</v>
      </c>
      <c r="I68" s="29">
        <f>VLOOKUP($B68, agr_mes!$B:$XFD, MATCH(gdp_agr_share!I$1, agr_mes!$B$1:$XFD$1, 0), 0)/VLOOKUP($B68, gdp_tot_mes!$B:$XFD, MATCH(gdp_agr_share!I$1, gdp_tot_mes!$B$1:$XFD$1, 0), 0)</f>
        <v>0.30406821163697045</v>
      </c>
      <c r="J68" s="29">
        <f>VLOOKUP($B68, agr_mes!$B:$XFD, MATCH(gdp_agr_share!J$1, agr_mes!$B$1:$XFD$1, 0), 0)/VLOOKUP($B68, gdp_tot_mes!$B:$XFD, MATCH(gdp_agr_share!J$1, gdp_tot_mes!$B$1:$XFD$1, 0), 0)</f>
        <v>0.24920179799080211</v>
      </c>
      <c r="K68" s="29">
        <f>VLOOKUP($B68, agr_mes!$B:$XFD, MATCH(gdp_agr_share!K$1, agr_mes!$B$1:$XFD$1, 0), 0)/VLOOKUP($B68, gdp_tot_mes!$B:$XFD, MATCH(gdp_agr_share!K$1, gdp_tot_mes!$B$1:$XFD$1, 0), 0)</f>
        <v>0.29053270698452477</v>
      </c>
      <c r="L68" s="30">
        <f t="shared" si="1"/>
        <v>0.27606620559484557</v>
      </c>
      <c r="M68" s="29">
        <f>VLOOKUP($B68, agr_mes!$B:$XFD, MATCH(gdp_agr_share!M$1, agr_mes!$B$1:$XFD$1, 0), 0)/VLOOKUP($B68, gdp_tot_mes!$B:$XFD, MATCH(gdp_agr_share!M$1, gdp_tot_mes!$B$1:$XFD$1, 0), 0)</f>
        <v>0.25870640392723049</v>
      </c>
      <c r="N68" s="29">
        <f>VLOOKUP($B68, agr_mes!$B:$XFD, MATCH(gdp_agr_share!N$1, agr_mes!$B$1:$XFD$1, 0), 0)/VLOOKUP($B68, gdp_tot_mes!$B:$XFD, MATCH(gdp_agr_share!N$1, gdp_tot_mes!$B$1:$XFD$1, 0), 0)</f>
        <v>0.20659931051962399</v>
      </c>
      <c r="O68" s="29">
        <f>VLOOKUP($B68, agr_mes!$B:$XFD, MATCH(gdp_agr_share!O$1, agr_mes!$B$1:$XFD$1, 0), 0)/VLOOKUP($B68, gdp_tot_mes!$B:$XFD, MATCH(gdp_agr_share!O$1, gdp_tot_mes!$B$1:$XFD$1, 0), 0)</f>
        <v>0.18859014503847482</v>
      </c>
      <c r="P68" s="29">
        <f>VLOOKUP($B68, agr_mes!$B:$XFD, MATCH(gdp_agr_share!P$1, agr_mes!$B$1:$XFD$1, 0), 0)/VLOOKUP($B68, gdp_tot_mes!$B:$XFD, MATCH(gdp_agr_share!P$1, gdp_tot_mes!$B$1:$XFD$1, 0), 0)</f>
        <v>0.17271350065708946</v>
      </c>
      <c r="Q68" s="29">
        <f>VLOOKUP($B68, agr_mes!$B:$XFD, MATCH(gdp_agr_share!Q$1, agr_mes!$B$1:$XFD$1, 0), 0)/VLOOKUP($B68, gdp_tot_mes!$B:$XFD, MATCH(gdp_agr_share!Q$1, gdp_tot_mes!$B$1:$XFD$1, 0), 0)</f>
        <v>0.19073828118365191</v>
      </c>
      <c r="R68" s="29">
        <f>VLOOKUP($B68, agr_mes!$B:$XFD, MATCH(gdp_agr_share!R$1, agr_mes!$B$1:$XFD$1, 0), 0)/VLOOKUP($B68, gdp_tot_mes!$B:$XFD, MATCH(gdp_agr_share!R$1, gdp_tot_mes!$B$1:$XFD$1, 0), 0)</f>
        <v>0.18340042941555398</v>
      </c>
      <c r="S68" s="29">
        <f>VLOOKUP($B68, agr_mes!$B:$XFD, MATCH(gdp_agr_share!S$1, agr_mes!$B$1:$XFD$1, 0), 0)/VLOOKUP($B68, gdp_tot_mes!$B:$XFD, MATCH(gdp_agr_share!S$1, gdp_tot_mes!$B$1:$XFD$1, 0), 0)</f>
        <v>0.1470793000141353</v>
      </c>
      <c r="T68" s="29">
        <f>VLOOKUP($B68, agr_mes!$B:$XFD, MATCH(gdp_agr_share!T$1, agr_mes!$B$1:$XFD$1, 0), 0)/VLOOKUP($B68, gdp_tot_mes!$B:$XFD, MATCH(gdp_agr_share!T$1, gdp_tot_mes!$B$1:$XFD$1, 0), 0)</f>
        <v>0.13865197966082052</v>
      </c>
      <c r="U68" s="29">
        <f>VLOOKUP($B68, agr_mes!$B:$XFD, MATCH(gdp_agr_share!U$1, agr_mes!$B$1:$XFD$1, 0), 0)/VLOOKUP($B68, gdp_tot_mes!$B:$XFD, MATCH(gdp_agr_share!U$1, gdp_tot_mes!$B$1:$XFD$1, 0), 0)</f>
        <v>0.12849961497186707</v>
      </c>
      <c r="V68" s="29">
        <f>VLOOKUP($B68, agr_mes!$B:$XFD, MATCH(gdp_agr_share!V$1, agr_mes!$B$1:$XFD$1, 0), 0)/VLOOKUP($B68, gdp_tot_mes!$B:$XFD, MATCH(gdp_agr_share!V$1, gdp_tot_mes!$B$1:$XFD$1, 0), 0)</f>
        <v>0.1052657312094389</v>
      </c>
      <c r="W68" s="29">
        <f>VLOOKUP($B68, agr_mes!$B:$XFD, MATCH(gdp_agr_share!W$1, agr_mes!$B$1:$XFD$1, 0), 0)/VLOOKUP($B68, gdp_tot_mes!$B:$XFD, MATCH(gdp_agr_share!W$1, gdp_tot_mes!$B$1:$XFD$1, 0), 0)</f>
        <v>8.1251956079024301E-2</v>
      </c>
      <c r="X68" s="29">
        <f>VLOOKUP($B68, agr_mes!$B:$XFD, MATCH(gdp_agr_share!X$1, agr_mes!$B$1:$XFD$1, 0), 0)/VLOOKUP($B68, gdp_tot_mes!$B:$XFD, MATCH(gdp_agr_share!X$1, gdp_tot_mes!$B$1:$XFD$1, 0), 0)</f>
        <v>0.10270440532772786</v>
      </c>
      <c r="Y68" s="29">
        <f>VLOOKUP($B68, agr_mes!$B:$XFD, MATCH(gdp_agr_share!Y$1, agr_mes!$B$1:$XFD$1, 0), 0)/VLOOKUP($B68, gdp_tot_mes!$B:$XFD, MATCH(gdp_agr_share!Y$1, gdp_tot_mes!$B$1:$XFD$1, 0), 0)</f>
        <v>7.4583205089776436E-2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25">
      <c r="A69" s="1" t="s">
        <v>171</v>
      </c>
      <c r="B69" s="1" t="s">
        <v>172</v>
      </c>
      <c r="C69" s="1" t="s">
        <v>173</v>
      </c>
      <c r="D69" s="29">
        <f>VLOOKUP($B69, agr_mes!$B:$XFD, MATCH(gdp_agr_share!D$1, agr_mes!$B$1:$XFD$1, 0), 0)/VLOOKUP($B69, gdp_tot_mes!$B:$XFD, MATCH(gdp_agr_share!D$1, gdp_tot_mes!$B$1:$XFD$1, 0), 0)</f>
        <v>0.37567310224929773</v>
      </c>
      <c r="E69" s="29">
        <f>VLOOKUP($B69, agr_mes!$B:$XFD, MATCH(gdp_agr_share!E$1, agr_mes!$B$1:$XFD$1, 0), 0)/VLOOKUP($B69, gdp_tot_mes!$B:$XFD, MATCH(gdp_agr_share!E$1, gdp_tot_mes!$B$1:$XFD$1, 0), 0)</f>
        <v>0.61344584995048135</v>
      </c>
      <c r="F69" s="29">
        <f>VLOOKUP($B69, agr_mes!$B:$XFD, MATCH(gdp_agr_share!F$1, agr_mes!$B$1:$XFD$1, 0), 0)/VLOOKUP($B69, gdp_tot_mes!$B:$XFD, MATCH(gdp_agr_share!F$1, gdp_tot_mes!$B$1:$XFD$1, 0), 0)</f>
        <v>0.66816725546608258</v>
      </c>
      <c r="G69" s="29">
        <f>VLOOKUP($B69, agr_mes!$B:$XFD, MATCH(gdp_agr_share!G$1, agr_mes!$B$1:$XFD$1, 0), 0)/VLOOKUP($B69, gdp_tot_mes!$B:$XFD, MATCH(gdp_agr_share!G$1, gdp_tot_mes!$B$1:$XFD$1, 0), 0)</f>
        <v>0.60359660254663261</v>
      </c>
      <c r="H69" s="29">
        <f>VLOOKUP($B69, agr_mes!$B:$XFD, MATCH(gdp_agr_share!H$1, agr_mes!$B$1:$XFD$1, 0), 0)/VLOOKUP($B69, gdp_tot_mes!$B:$XFD, MATCH(gdp_agr_share!H$1, gdp_tot_mes!$B$1:$XFD$1, 0), 0)</f>
        <v>0.36119298018749396</v>
      </c>
      <c r="I69" s="29">
        <f>VLOOKUP($B69, agr_mes!$B:$XFD, MATCH(gdp_agr_share!I$1, agr_mes!$B$1:$XFD$1, 0), 0)/VLOOKUP($B69, gdp_tot_mes!$B:$XFD, MATCH(gdp_agr_share!I$1, gdp_tot_mes!$B$1:$XFD$1, 0), 0)</f>
        <v>0.42382636093839032</v>
      </c>
      <c r="J69" s="29">
        <f>VLOOKUP($B69, agr_mes!$B:$XFD, MATCH(gdp_agr_share!J$1, agr_mes!$B$1:$XFD$1, 0), 0)/VLOOKUP($B69, gdp_tot_mes!$B:$XFD, MATCH(gdp_agr_share!J$1, gdp_tot_mes!$B$1:$XFD$1, 0), 0)</f>
        <v>0.31363308048908761</v>
      </c>
      <c r="K69" s="29">
        <f>VLOOKUP($B69, agr_mes!$B:$XFD, MATCH(gdp_agr_share!K$1, agr_mes!$B$1:$XFD$1, 0), 0)/VLOOKUP($B69, gdp_tot_mes!$B:$XFD, MATCH(gdp_agr_share!K$1, gdp_tot_mes!$B$1:$XFD$1, 0), 0)</f>
        <v>0.3743287520912979</v>
      </c>
      <c r="L69" s="30">
        <f t="shared" si="1"/>
        <v>0.33038467768954566</v>
      </c>
      <c r="M69" s="29">
        <f>VLOOKUP($B69, agr_mes!$B:$XFD, MATCH(gdp_agr_share!M$1, agr_mes!$B$1:$XFD$1, 0), 0)/VLOOKUP($B69, gdp_tot_mes!$B:$XFD, MATCH(gdp_agr_share!M$1, gdp_tot_mes!$B$1:$XFD$1, 0), 0)</f>
        <v>0.27765178840744298</v>
      </c>
      <c r="N69" s="29">
        <f>VLOOKUP($B69, agr_mes!$B:$XFD, MATCH(gdp_agr_share!N$1, agr_mes!$B$1:$XFD$1, 0), 0)/VLOOKUP($B69, gdp_tot_mes!$B:$XFD, MATCH(gdp_agr_share!N$1, gdp_tot_mes!$B$1:$XFD$1, 0), 0)</f>
        <v>7.782556337239388E-2</v>
      </c>
      <c r="O69" s="29">
        <f>VLOOKUP($B69, agr_mes!$B:$XFD, MATCH(gdp_agr_share!O$1, agr_mes!$B$1:$XFD$1, 0), 0)/VLOOKUP($B69, gdp_tot_mes!$B:$XFD, MATCH(gdp_agr_share!O$1, gdp_tot_mes!$B$1:$XFD$1, 0), 0)</f>
        <v>0.10607494756562671</v>
      </c>
      <c r="P69" s="29">
        <f>VLOOKUP($B69, agr_mes!$B:$XFD, MATCH(gdp_agr_share!P$1, agr_mes!$B$1:$XFD$1, 0), 0)/VLOOKUP($B69, gdp_tot_mes!$B:$XFD, MATCH(gdp_agr_share!P$1, gdp_tot_mes!$B$1:$XFD$1, 0), 0)</f>
        <v>8.8579264098492663E-2</v>
      </c>
      <c r="Q69" s="29">
        <f>VLOOKUP($B69, agr_mes!$B:$XFD, MATCH(gdp_agr_share!Q$1, agr_mes!$B$1:$XFD$1, 0), 0)/VLOOKUP($B69, gdp_tot_mes!$B:$XFD, MATCH(gdp_agr_share!Q$1, gdp_tot_mes!$B$1:$XFD$1, 0), 0)</f>
        <v>0.11662221040162189</v>
      </c>
      <c r="R69" s="29">
        <f>VLOOKUP($B69, agr_mes!$B:$XFD, MATCH(gdp_agr_share!R$1, agr_mes!$B$1:$XFD$1, 0), 0)/VLOOKUP($B69, gdp_tot_mes!$B:$XFD, MATCH(gdp_agr_share!R$1, gdp_tot_mes!$B$1:$XFD$1, 0), 0)</f>
        <v>0.13149011464700097</v>
      </c>
      <c r="S69" s="29">
        <f>VLOOKUP($B69, agr_mes!$B:$XFD, MATCH(gdp_agr_share!S$1, agr_mes!$B$1:$XFD$1, 0), 0)/VLOOKUP($B69, gdp_tot_mes!$B:$XFD, MATCH(gdp_agr_share!S$1, gdp_tot_mes!$B$1:$XFD$1, 0), 0)</f>
        <v>0.11129368010173481</v>
      </c>
      <c r="T69" s="29">
        <f>VLOOKUP($B69, agr_mes!$B:$XFD, MATCH(gdp_agr_share!T$1, agr_mes!$B$1:$XFD$1, 0), 0)/VLOOKUP($B69, gdp_tot_mes!$B:$XFD, MATCH(gdp_agr_share!T$1, gdp_tot_mes!$B$1:$XFD$1, 0), 0)</f>
        <v>0.10774889590779868</v>
      </c>
      <c r="U69" s="29">
        <f>VLOOKUP($B69, agr_mes!$B:$XFD, MATCH(gdp_agr_share!U$1, agr_mes!$B$1:$XFD$1, 0), 0)/VLOOKUP($B69, gdp_tot_mes!$B:$XFD, MATCH(gdp_agr_share!U$1, gdp_tot_mes!$B$1:$XFD$1, 0), 0)</f>
        <v>0.11098158438239063</v>
      </c>
      <c r="V69" s="29">
        <f>VLOOKUP($B69, agr_mes!$B:$XFD, MATCH(gdp_agr_share!V$1, agr_mes!$B$1:$XFD$1, 0), 0)/VLOOKUP($B69, gdp_tot_mes!$B:$XFD, MATCH(gdp_agr_share!V$1, gdp_tot_mes!$B$1:$XFD$1, 0), 0)</f>
        <v>8.0849091972762022E-2</v>
      </c>
      <c r="W69" s="29">
        <f>VLOOKUP($B69, agr_mes!$B:$XFD, MATCH(gdp_agr_share!W$1, agr_mes!$B$1:$XFD$1, 0), 0)/VLOOKUP($B69, gdp_tot_mes!$B:$XFD, MATCH(gdp_agr_share!W$1, gdp_tot_mes!$B$1:$XFD$1, 0), 0)</f>
        <v>8.8966603915222986E-2</v>
      </c>
      <c r="X69" s="29">
        <f>VLOOKUP($B69, agr_mes!$B:$XFD, MATCH(gdp_agr_share!X$1, agr_mes!$B$1:$XFD$1, 0), 0)/VLOOKUP($B69, gdp_tot_mes!$B:$XFD, MATCH(gdp_agr_share!X$1, gdp_tot_mes!$B$1:$XFD$1, 0), 0)</f>
        <v>8.7411793222297821E-2</v>
      </c>
      <c r="Y69" s="29">
        <f>VLOOKUP($B69, agr_mes!$B:$XFD, MATCH(gdp_agr_share!Y$1, agr_mes!$B$1:$XFD$1, 0), 0)/VLOOKUP($B69, gdp_tot_mes!$B:$XFD, MATCH(gdp_agr_share!Y$1, gdp_tot_mes!$B$1:$XFD$1, 0), 0)</f>
        <v>6.6842729931727296E-2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x14ac:dyDescent="0.25">
      <c r="A70" s="1" t="s">
        <v>171</v>
      </c>
      <c r="B70" s="1" t="s">
        <v>174</v>
      </c>
      <c r="C70" s="1" t="s">
        <v>175</v>
      </c>
      <c r="D70" s="29">
        <f>VLOOKUP($B70, agr_mes!$B:$XFD, MATCH(gdp_agr_share!D$1, agr_mes!$B$1:$XFD$1, 0), 0)/VLOOKUP($B70, gdp_tot_mes!$B:$XFD, MATCH(gdp_agr_share!D$1, gdp_tot_mes!$B$1:$XFD$1, 0), 0)</f>
        <v>0.67254401810801323</v>
      </c>
      <c r="E70" s="29">
        <f>VLOOKUP($B70, agr_mes!$B:$XFD, MATCH(gdp_agr_share!E$1, agr_mes!$B$1:$XFD$1, 0), 0)/VLOOKUP($B70, gdp_tot_mes!$B:$XFD, MATCH(gdp_agr_share!E$1, gdp_tot_mes!$B$1:$XFD$1, 0), 0)</f>
        <v>0.53661972672198754</v>
      </c>
      <c r="F70" s="29">
        <f>VLOOKUP($B70, agr_mes!$B:$XFD, MATCH(gdp_agr_share!F$1, agr_mes!$B$1:$XFD$1, 0), 0)/VLOOKUP($B70, gdp_tot_mes!$B:$XFD, MATCH(gdp_agr_share!F$1, gdp_tot_mes!$B$1:$XFD$1, 0), 0)</f>
        <v>0.72681505905960231</v>
      </c>
      <c r="G70" s="29">
        <f>VLOOKUP($B70, agr_mes!$B:$XFD, MATCH(gdp_agr_share!G$1, agr_mes!$B$1:$XFD$1, 0), 0)/VLOOKUP($B70, gdp_tot_mes!$B:$XFD, MATCH(gdp_agr_share!G$1, gdp_tot_mes!$B$1:$XFD$1, 0), 0)</f>
        <v>0.5392369828089717</v>
      </c>
      <c r="H70" s="29">
        <f>VLOOKUP($B70, agr_mes!$B:$XFD, MATCH(gdp_agr_share!H$1, agr_mes!$B$1:$XFD$1, 0), 0)/VLOOKUP($B70, gdp_tot_mes!$B:$XFD, MATCH(gdp_agr_share!H$1, gdp_tot_mes!$B$1:$XFD$1, 0), 0)</f>
        <v>0.44948650378071819</v>
      </c>
      <c r="I70" s="29">
        <f>VLOOKUP($B70, agr_mes!$B:$XFD, MATCH(gdp_agr_share!I$1, agr_mes!$B$1:$XFD$1, 0), 0)/VLOOKUP($B70, gdp_tot_mes!$B:$XFD, MATCH(gdp_agr_share!I$1, gdp_tot_mes!$B$1:$XFD$1, 0), 0)</f>
        <v>0.57026158029526652</v>
      </c>
      <c r="J70" s="29">
        <f>VLOOKUP($B70, agr_mes!$B:$XFD, MATCH(gdp_agr_share!J$1, agr_mes!$B$1:$XFD$1, 0), 0)/VLOOKUP($B70, gdp_tot_mes!$B:$XFD, MATCH(gdp_agr_share!J$1, gdp_tot_mes!$B$1:$XFD$1, 0), 0)</f>
        <v>0.4063788639023162</v>
      </c>
      <c r="K70" s="29">
        <f>VLOOKUP($B70, agr_mes!$B:$XFD, MATCH(gdp_agr_share!K$1, agr_mes!$B$1:$XFD$1, 0), 0)/VLOOKUP($B70, gdp_tot_mes!$B:$XFD, MATCH(gdp_agr_share!K$1, gdp_tot_mes!$B$1:$XFD$1, 0), 0)</f>
        <v>0.50446896188283219</v>
      </c>
      <c r="L70" s="30">
        <f t="shared" si="1"/>
        <v>0.43722532008899667</v>
      </c>
      <c r="M70" s="29">
        <f>VLOOKUP($B70, agr_mes!$B:$XFD, MATCH(gdp_agr_share!M$1, agr_mes!$B$1:$XFD$1, 0), 0)/VLOOKUP($B70, gdp_tot_mes!$B:$XFD, MATCH(gdp_agr_share!M$1, gdp_tot_mes!$B$1:$XFD$1, 0), 0)</f>
        <v>0.35653294993639406</v>
      </c>
      <c r="N70" s="29">
        <f>VLOOKUP($B70, agr_mes!$B:$XFD, MATCH(gdp_agr_share!N$1, agr_mes!$B$1:$XFD$1, 0), 0)/VLOOKUP($B70, gdp_tot_mes!$B:$XFD, MATCH(gdp_agr_share!N$1, gdp_tot_mes!$B$1:$XFD$1, 0), 0)</f>
        <v>0.12726979007307093</v>
      </c>
      <c r="O70" s="29">
        <f>VLOOKUP($B70, agr_mes!$B:$XFD, MATCH(gdp_agr_share!O$1, agr_mes!$B$1:$XFD$1, 0), 0)/VLOOKUP($B70, gdp_tot_mes!$B:$XFD, MATCH(gdp_agr_share!O$1, gdp_tot_mes!$B$1:$XFD$1, 0), 0)</f>
        <v>0.16393193051610905</v>
      </c>
      <c r="P70" s="29">
        <f>VLOOKUP($B70, agr_mes!$B:$XFD, MATCH(gdp_agr_share!P$1, agr_mes!$B$1:$XFD$1, 0), 0)/VLOOKUP($B70, gdp_tot_mes!$B:$XFD, MATCH(gdp_agr_share!P$1, gdp_tot_mes!$B$1:$XFD$1, 0), 0)</f>
        <v>0.12941452202988787</v>
      </c>
      <c r="Q70" s="29">
        <f>VLOOKUP($B70, agr_mes!$B:$XFD, MATCH(gdp_agr_share!Q$1, agr_mes!$B$1:$XFD$1, 0), 0)/VLOOKUP($B70, gdp_tot_mes!$B:$XFD, MATCH(gdp_agr_share!Q$1, gdp_tot_mes!$B$1:$XFD$1, 0), 0)</f>
        <v>0.13115222802140702</v>
      </c>
      <c r="R70" s="29">
        <f>VLOOKUP($B70, agr_mes!$B:$XFD, MATCH(gdp_agr_share!R$1, agr_mes!$B$1:$XFD$1, 0), 0)/VLOOKUP($B70, gdp_tot_mes!$B:$XFD, MATCH(gdp_agr_share!R$1, gdp_tot_mes!$B$1:$XFD$1, 0), 0)</f>
        <v>0.14600573731198366</v>
      </c>
      <c r="S70" s="29">
        <f>VLOOKUP($B70, agr_mes!$B:$XFD, MATCH(gdp_agr_share!S$1, agr_mes!$B$1:$XFD$1, 0), 0)/VLOOKUP($B70, gdp_tot_mes!$B:$XFD, MATCH(gdp_agr_share!S$1, gdp_tot_mes!$B$1:$XFD$1, 0), 0)</f>
        <v>0.13524327041596626</v>
      </c>
      <c r="T70" s="29">
        <f>VLOOKUP($B70, agr_mes!$B:$XFD, MATCH(gdp_agr_share!T$1, agr_mes!$B$1:$XFD$1, 0), 0)/VLOOKUP($B70, gdp_tot_mes!$B:$XFD, MATCH(gdp_agr_share!T$1, gdp_tot_mes!$B$1:$XFD$1, 0), 0)</f>
        <v>0.14455720150655504</v>
      </c>
      <c r="U70" s="29">
        <f>VLOOKUP($B70, agr_mes!$B:$XFD, MATCH(gdp_agr_share!U$1, agr_mes!$B$1:$XFD$1, 0), 0)/VLOOKUP($B70, gdp_tot_mes!$B:$XFD, MATCH(gdp_agr_share!U$1, gdp_tot_mes!$B$1:$XFD$1, 0), 0)</f>
        <v>0.13624782871433461</v>
      </c>
      <c r="V70" s="29">
        <f>VLOOKUP($B70, agr_mes!$B:$XFD, MATCH(gdp_agr_share!V$1, agr_mes!$B$1:$XFD$1, 0), 0)/VLOOKUP($B70, gdp_tot_mes!$B:$XFD, MATCH(gdp_agr_share!V$1, gdp_tot_mes!$B$1:$XFD$1, 0), 0)</f>
        <v>0.10941696676755087</v>
      </c>
      <c r="W70" s="29">
        <f>VLOOKUP($B70, agr_mes!$B:$XFD, MATCH(gdp_agr_share!W$1, agr_mes!$B$1:$XFD$1, 0), 0)/VLOOKUP($B70, gdp_tot_mes!$B:$XFD, MATCH(gdp_agr_share!W$1, gdp_tot_mes!$B$1:$XFD$1, 0), 0)</f>
        <v>0.12228477828278789</v>
      </c>
      <c r="X70" s="29">
        <f>VLOOKUP($B70, agr_mes!$B:$XFD, MATCH(gdp_agr_share!X$1, agr_mes!$B$1:$XFD$1, 0), 0)/VLOOKUP($B70, gdp_tot_mes!$B:$XFD, MATCH(gdp_agr_share!X$1, gdp_tot_mes!$B$1:$XFD$1, 0), 0)</f>
        <v>0.12772826337895649</v>
      </c>
      <c r="Y70" s="29">
        <f>VLOOKUP($B70, agr_mes!$B:$XFD, MATCH(gdp_agr_share!Y$1, agr_mes!$B$1:$XFD$1, 0), 0)/VLOOKUP($B70, gdp_tot_mes!$B:$XFD, MATCH(gdp_agr_share!Y$1, gdp_tot_mes!$B$1:$XFD$1, 0), 0)</f>
        <v>0.10284272025977147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x14ac:dyDescent="0.25">
      <c r="A71" s="1" t="s">
        <v>171</v>
      </c>
      <c r="B71" s="1" t="s">
        <v>176</v>
      </c>
      <c r="C71" s="1" t="s">
        <v>177</v>
      </c>
      <c r="D71" s="29">
        <f>VLOOKUP($B71, agr_mes!$B:$XFD, MATCH(gdp_agr_share!D$1, agr_mes!$B$1:$XFD$1, 0), 0)/VLOOKUP($B71, gdp_tot_mes!$B:$XFD, MATCH(gdp_agr_share!D$1, gdp_tot_mes!$B$1:$XFD$1, 0), 0)</f>
        <v>0.61933009531831662</v>
      </c>
      <c r="E71" s="29">
        <f>VLOOKUP($B71, agr_mes!$B:$XFD, MATCH(gdp_agr_share!E$1, agr_mes!$B$1:$XFD$1, 0), 0)/VLOOKUP($B71, gdp_tot_mes!$B:$XFD, MATCH(gdp_agr_share!E$1, gdp_tot_mes!$B$1:$XFD$1, 0), 0)</f>
        <v>0.47469372552260353</v>
      </c>
      <c r="F71" s="29">
        <f>VLOOKUP($B71, agr_mes!$B:$XFD, MATCH(gdp_agr_share!F$1, agr_mes!$B$1:$XFD$1, 0), 0)/VLOOKUP($B71, gdp_tot_mes!$B:$XFD, MATCH(gdp_agr_share!F$1, gdp_tot_mes!$B$1:$XFD$1, 0), 0)</f>
        <v>0.37306554012018034</v>
      </c>
      <c r="G71" s="29">
        <f>VLOOKUP($B71, agr_mes!$B:$XFD, MATCH(gdp_agr_share!G$1, agr_mes!$B$1:$XFD$1, 0), 0)/VLOOKUP($B71, gdp_tot_mes!$B:$XFD, MATCH(gdp_agr_share!G$1, gdp_tot_mes!$B$1:$XFD$1, 0), 0)</f>
        <v>0.41663057096584244</v>
      </c>
      <c r="H71" s="29">
        <f>VLOOKUP($B71, agr_mes!$B:$XFD, MATCH(gdp_agr_share!H$1, agr_mes!$B$1:$XFD$1, 0), 0)/VLOOKUP($B71, gdp_tot_mes!$B:$XFD, MATCH(gdp_agr_share!H$1, gdp_tot_mes!$B$1:$XFD$1, 0), 0)</f>
        <v>0.27983176823065231</v>
      </c>
      <c r="I71" s="29">
        <f>VLOOKUP($B71, agr_mes!$B:$XFD, MATCH(gdp_agr_share!I$1, agr_mes!$B$1:$XFD$1, 0), 0)/VLOOKUP($B71, gdp_tot_mes!$B:$XFD, MATCH(gdp_agr_share!I$1, gdp_tot_mes!$B$1:$XFD$1, 0), 0)</f>
        <v>0.28534716987598568</v>
      </c>
      <c r="J71" s="29">
        <f>VLOOKUP($B71, agr_mes!$B:$XFD, MATCH(gdp_agr_share!J$1, agr_mes!$B$1:$XFD$1, 0), 0)/VLOOKUP($B71, gdp_tot_mes!$B:$XFD, MATCH(gdp_agr_share!J$1, gdp_tot_mes!$B$1:$XFD$1, 0), 0)</f>
        <v>0.20876496704217432</v>
      </c>
      <c r="K71" s="29">
        <f>VLOOKUP($B71, agr_mes!$B:$XFD, MATCH(gdp_agr_share!K$1, agr_mes!$B$1:$XFD$1, 0), 0)/VLOOKUP($B71, gdp_tot_mes!$B:$XFD, MATCH(gdp_agr_share!K$1, gdp_tot_mes!$B$1:$XFD$1, 0), 0)</f>
        <v>0.25312079071054083</v>
      </c>
      <c r="L71" s="30">
        <f t="shared" si="1"/>
        <v>0.19977750763029339</v>
      </c>
      <c r="M71" s="29">
        <f>VLOOKUP($B71, agr_mes!$B:$XFD, MATCH(gdp_agr_share!M$1, agr_mes!$B$1:$XFD$1, 0), 0)/VLOOKUP($B71, gdp_tot_mes!$B:$XFD, MATCH(gdp_agr_share!M$1, gdp_tot_mes!$B$1:$XFD$1, 0), 0)</f>
        <v>0.13576556793399644</v>
      </c>
      <c r="N71" s="29">
        <f>VLOOKUP($B71, agr_mes!$B:$XFD, MATCH(gdp_agr_share!N$1, agr_mes!$B$1:$XFD$1, 0), 0)/VLOOKUP($B71, gdp_tot_mes!$B:$XFD, MATCH(gdp_agr_share!N$1, gdp_tot_mes!$B$1:$XFD$1, 0), 0)</f>
        <v>7.6626921068550458E-2</v>
      </c>
      <c r="O71" s="29">
        <f>VLOOKUP($B71, agr_mes!$B:$XFD, MATCH(gdp_agr_share!O$1, agr_mes!$B$1:$XFD$1, 0), 0)/VLOOKUP($B71, gdp_tot_mes!$B:$XFD, MATCH(gdp_agr_share!O$1, gdp_tot_mes!$B$1:$XFD$1, 0), 0)</f>
        <v>9.1475514701466767E-2</v>
      </c>
      <c r="P71" s="29">
        <f>VLOOKUP($B71, agr_mes!$B:$XFD, MATCH(gdp_agr_share!P$1, agr_mes!$B$1:$XFD$1, 0), 0)/VLOOKUP($B71, gdp_tot_mes!$B:$XFD, MATCH(gdp_agr_share!P$1, gdp_tot_mes!$B$1:$XFD$1, 0), 0)</f>
        <v>8.3130585383598465E-2</v>
      </c>
      <c r="Q71" s="29">
        <f>VLOOKUP($B71, agr_mes!$B:$XFD, MATCH(gdp_agr_share!Q$1, agr_mes!$B$1:$XFD$1, 0), 0)/VLOOKUP($B71, gdp_tot_mes!$B:$XFD, MATCH(gdp_agr_share!Q$1, gdp_tot_mes!$B$1:$XFD$1, 0), 0)</f>
        <v>7.6575356862650684E-2</v>
      </c>
      <c r="R71" s="29">
        <f>VLOOKUP($B71, agr_mes!$B:$XFD, MATCH(gdp_agr_share!R$1, agr_mes!$B$1:$XFD$1, 0), 0)/VLOOKUP($B71, gdp_tot_mes!$B:$XFD, MATCH(gdp_agr_share!R$1, gdp_tot_mes!$B$1:$XFD$1, 0), 0)</f>
        <v>9.4277280102086372E-2</v>
      </c>
      <c r="S71" s="29">
        <f>VLOOKUP($B71, agr_mes!$B:$XFD, MATCH(gdp_agr_share!S$1, agr_mes!$B$1:$XFD$1, 0), 0)/VLOOKUP($B71, gdp_tot_mes!$B:$XFD, MATCH(gdp_agr_share!S$1, gdp_tot_mes!$B$1:$XFD$1, 0), 0)</f>
        <v>8.3556574644570211E-2</v>
      </c>
      <c r="T71" s="29">
        <f>VLOOKUP($B71, agr_mes!$B:$XFD, MATCH(gdp_agr_share!T$1, agr_mes!$B$1:$XFD$1, 0), 0)/VLOOKUP($B71, gdp_tot_mes!$B:$XFD, MATCH(gdp_agr_share!T$1, gdp_tot_mes!$B$1:$XFD$1, 0), 0)</f>
        <v>8.8948963545790266E-2</v>
      </c>
      <c r="U71" s="29">
        <f>VLOOKUP($B71, agr_mes!$B:$XFD, MATCH(gdp_agr_share!U$1, agr_mes!$B$1:$XFD$1, 0), 0)/VLOOKUP($B71, gdp_tot_mes!$B:$XFD, MATCH(gdp_agr_share!U$1, gdp_tot_mes!$B$1:$XFD$1, 0), 0)</f>
        <v>7.5919874073441723E-2</v>
      </c>
      <c r="V71" s="29">
        <f>VLOOKUP($B71, agr_mes!$B:$XFD, MATCH(gdp_agr_share!V$1, agr_mes!$B$1:$XFD$1, 0), 0)/VLOOKUP($B71, gdp_tot_mes!$B:$XFD, MATCH(gdp_agr_share!V$1, gdp_tot_mes!$B$1:$XFD$1, 0), 0)</f>
        <v>6.4185951896046645E-2</v>
      </c>
      <c r="W71" s="29">
        <f>VLOOKUP($B71, agr_mes!$B:$XFD, MATCH(gdp_agr_share!W$1, agr_mes!$B$1:$XFD$1, 0), 0)/VLOOKUP($B71, gdp_tot_mes!$B:$XFD, MATCH(gdp_agr_share!W$1, gdp_tot_mes!$B$1:$XFD$1, 0), 0)</f>
        <v>6.8593295580736777E-2</v>
      </c>
      <c r="X71" s="29">
        <f>VLOOKUP($B71, agr_mes!$B:$XFD, MATCH(gdp_agr_share!X$1, agr_mes!$B$1:$XFD$1, 0), 0)/VLOOKUP($B71, gdp_tot_mes!$B:$XFD, MATCH(gdp_agr_share!X$1, gdp_tot_mes!$B$1:$XFD$1, 0), 0)</f>
        <v>6.6042482308547409E-2</v>
      </c>
      <c r="Y71" s="29">
        <f>VLOOKUP($B71, agr_mes!$B:$XFD, MATCH(gdp_agr_share!Y$1, agr_mes!$B$1:$XFD$1, 0), 0)/VLOOKUP($B71, gdp_tot_mes!$B:$XFD, MATCH(gdp_agr_share!Y$1, gdp_tot_mes!$B$1:$XFD$1, 0), 0)</f>
        <v>5.8641508987471141E-2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x14ac:dyDescent="0.25">
      <c r="A72" s="1" t="s">
        <v>171</v>
      </c>
      <c r="B72" s="1" t="s">
        <v>178</v>
      </c>
      <c r="C72" s="1" t="s">
        <v>179</v>
      </c>
      <c r="D72" s="29">
        <f>VLOOKUP($B72, agr_mes!$B:$XFD, MATCH(gdp_agr_share!D$1, agr_mes!$B$1:$XFD$1, 0), 0)/VLOOKUP($B72, gdp_tot_mes!$B:$XFD, MATCH(gdp_agr_share!D$1, gdp_tot_mes!$B$1:$XFD$1, 0), 0)</f>
        <v>0.27179780402068787</v>
      </c>
      <c r="E72" s="29">
        <f>VLOOKUP($B72, agr_mes!$B:$XFD, MATCH(gdp_agr_share!E$1, agr_mes!$B$1:$XFD$1, 0), 0)/VLOOKUP($B72, gdp_tot_mes!$B:$XFD, MATCH(gdp_agr_share!E$1, gdp_tot_mes!$B$1:$XFD$1, 0), 0)</f>
        <v>0.12041882920237212</v>
      </c>
      <c r="F72" s="29">
        <f>VLOOKUP($B72, agr_mes!$B:$XFD, MATCH(gdp_agr_share!F$1, agr_mes!$B$1:$XFD$1, 0), 0)/VLOOKUP($B72, gdp_tot_mes!$B:$XFD, MATCH(gdp_agr_share!F$1, gdp_tot_mes!$B$1:$XFD$1, 0), 0)</f>
        <v>0.13785166105570307</v>
      </c>
      <c r="G72" s="29">
        <f>VLOOKUP($B72, agr_mes!$B:$XFD, MATCH(gdp_agr_share!G$1, agr_mes!$B$1:$XFD$1, 0), 0)/VLOOKUP($B72, gdp_tot_mes!$B:$XFD, MATCH(gdp_agr_share!G$1, gdp_tot_mes!$B$1:$XFD$1, 0), 0)</f>
        <v>0.15948821182713988</v>
      </c>
      <c r="H72" s="29">
        <f>VLOOKUP($B72, agr_mes!$B:$XFD, MATCH(gdp_agr_share!H$1, agr_mes!$B$1:$XFD$1, 0), 0)/VLOOKUP($B72, gdp_tot_mes!$B:$XFD, MATCH(gdp_agr_share!H$1, gdp_tot_mes!$B$1:$XFD$1, 0), 0)</f>
        <v>0.1442639868170989</v>
      </c>
      <c r="I72" s="29">
        <f>VLOOKUP($B72, agr_mes!$B:$XFD, MATCH(gdp_agr_share!I$1, agr_mes!$B$1:$XFD$1, 0), 0)/VLOOKUP($B72, gdp_tot_mes!$B:$XFD, MATCH(gdp_agr_share!I$1, gdp_tot_mes!$B$1:$XFD$1, 0), 0)</f>
        <v>9.3967092413331607E-2</v>
      </c>
      <c r="J72" s="29">
        <f>VLOOKUP($B72, agr_mes!$B:$XFD, MATCH(gdp_agr_share!J$1, agr_mes!$B$1:$XFD$1, 0), 0)/VLOOKUP($B72, gdp_tot_mes!$B:$XFD, MATCH(gdp_agr_share!J$1, gdp_tot_mes!$B$1:$XFD$1, 0), 0)</f>
        <v>8.7977597466073379E-2</v>
      </c>
      <c r="K72" s="29">
        <f>VLOOKUP($B72, agr_mes!$B:$XFD, MATCH(gdp_agr_share!K$1, agr_mes!$B$1:$XFD$1, 0), 0)/VLOOKUP($B72, gdp_tot_mes!$B:$XFD, MATCH(gdp_agr_share!K$1, gdp_tot_mes!$B$1:$XFD$1, 0), 0)</f>
        <v>9.7126906264343865E-2</v>
      </c>
      <c r="L72" s="30">
        <f t="shared" si="1"/>
        <v>7.4827930375087101E-2</v>
      </c>
      <c r="M72" s="29">
        <f>VLOOKUP($B72, agr_mes!$B:$XFD, MATCH(gdp_agr_share!M$1, agr_mes!$B$1:$XFD$1, 0), 0)/VLOOKUP($B72, gdp_tot_mes!$B:$XFD, MATCH(gdp_agr_share!M$1, gdp_tot_mes!$B$1:$XFD$1, 0), 0)</f>
        <v>4.8069159307978976E-2</v>
      </c>
      <c r="N72" s="29">
        <f>VLOOKUP($B72, agr_mes!$B:$XFD, MATCH(gdp_agr_share!N$1, agr_mes!$B$1:$XFD$1, 0), 0)/VLOOKUP($B72, gdp_tot_mes!$B:$XFD, MATCH(gdp_agr_share!N$1, gdp_tot_mes!$B$1:$XFD$1, 0), 0)</f>
        <v>5.7762929082665691E-2</v>
      </c>
      <c r="O72" s="29">
        <f>VLOOKUP($B72, agr_mes!$B:$XFD, MATCH(gdp_agr_share!O$1, agr_mes!$B$1:$XFD$1, 0), 0)/VLOOKUP($B72, gdp_tot_mes!$B:$XFD, MATCH(gdp_agr_share!O$1, gdp_tot_mes!$B$1:$XFD$1, 0), 0)</f>
        <v>5.7068967273720149E-2</v>
      </c>
      <c r="P72" s="29">
        <f>VLOOKUP($B72, agr_mes!$B:$XFD, MATCH(gdp_agr_share!P$1, agr_mes!$B$1:$XFD$1, 0), 0)/VLOOKUP($B72, gdp_tot_mes!$B:$XFD, MATCH(gdp_agr_share!P$1, gdp_tot_mes!$B$1:$XFD$1, 0), 0)</f>
        <v>6.4671252239851831E-2</v>
      </c>
      <c r="Q72" s="29">
        <f>VLOOKUP($B72, agr_mes!$B:$XFD, MATCH(gdp_agr_share!Q$1, agr_mes!$B$1:$XFD$1, 0), 0)/VLOOKUP($B72, gdp_tot_mes!$B:$XFD, MATCH(gdp_agr_share!Q$1, gdp_tot_mes!$B$1:$XFD$1, 0), 0)</f>
        <v>3.2437673370388734E-2</v>
      </c>
      <c r="R72" s="29">
        <f>VLOOKUP($B72, agr_mes!$B:$XFD, MATCH(gdp_agr_share!R$1, agr_mes!$B$1:$XFD$1, 0), 0)/VLOOKUP($B72, gdp_tot_mes!$B:$XFD, MATCH(gdp_agr_share!R$1, gdp_tot_mes!$B$1:$XFD$1, 0), 0)</f>
        <v>3.9722625469068538E-2</v>
      </c>
      <c r="S72" s="29">
        <f>VLOOKUP($B72, agr_mes!$B:$XFD, MATCH(gdp_agr_share!S$1, agr_mes!$B$1:$XFD$1, 0), 0)/VLOOKUP($B72, gdp_tot_mes!$B:$XFD, MATCH(gdp_agr_share!S$1, gdp_tot_mes!$B$1:$XFD$1, 0), 0)</f>
        <v>3.7625832279441426E-2</v>
      </c>
      <c r="T72" s="29">
        <f>VLOOKUP($B72, agr_mes!$B:$XFD, MATCH(gdp_agr_share!T$1, agr_mes!$B$1:$XFD$1, 0), 0)/VLOOKUP($B72, gdp_tot_mes!$B:$XFD, MATCH(gdp_agr_share!T$1, gdp_tot_mes!$B$1:$XFD$1, 0), 0)</f>
        <v>3.3666263205996437E-2</v>
      </c>
      <c r="U72" s="29">
        <f>VLOOKUP($B72, agr_mes!$B:$XFD, MATCH(gdp_agr_share!U$1, agr_mes!$B$1:$XFD$1, 0), 0)/VLOOKUP($B72, gdp_tot_mes!$B:$XFD, MATCH(gdp_agr_share!U$1, gdp_tot_mes!$B$1:$XFD$1, 0), 0)</f>
        <v>3.4011266189505444E-2</v>
      </c>
      <c r="V72" s="29">
        <f>VLOOKUP($B72, agr_mes!$B:$XFD, MATCH(gdp_agr_share!V$1, agr_mes!$B$1:$XFD$1, 0), 0)/VLOOKUP($B72, gdp_tot_mes!$B:$XFD, MATCH(gdp_agr_share!V$1, gdp_tot_mes!$B$1:$XFD$1, 0), 0)</f>
        <v>2.6902567763167268E-2</v>
      </c>
      <c r="W72" s="29">
        <f>VLOOKUP($B72, agr_mes!$B:$XFD, MATCH(gdp_agr_share!W$1, agr_mes!$B$1:$XFD$1, 0), 0)/VLOOKUP($B72, gdp_tot_mes!$B:$XFD, MATCH(gdp_agr_share!W$1, gdp_tot_mes!$B$1:$XFD$1, 0), 0)</f>
        <v>2.4154455335021405E-2</v>
      </c>
      <c r="X72" s="29">
        <f>VLOOKUP($B72, agr_mes!$B:$XFD, MATCH(gdp_agr_share!X$1, agr_mes!$B$1:$XFD$1, 0), 0)/VLOOKUP($B72, gdp_tot_mes!$B:$XFD, MATCH(gdp_agr_share!X$1, gdp_tot_mes!$B$1:$XFD$1, 0), 0)</f>
        <v>2.8588504176172466E-2</v>
      </c>
      <c r="Y72" s="29">
        <f>VLOOKUP($B72, agr_mes!$B:$XFD, MATCH(gdp_agr_share!Y$1, agr_mes!$B$1:$XFD$1, 0), 0)/VLOOKUP($B72, gdp_tot_mes!$B:$XFD, MATCH(gdp_agr_share!Y$1, gdp_tot_mes!$B$1:$XFD$1, 0), 0)</f>
        <v>2.3854387658833614E-2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x14ac:dyDescent="0.25">
      <c r="A73" s="1" t="s">
        <v>180</v>
      </c>
      <c r="B73" s="1" t="s">
        <v>181</v>
      </c>
      <c r="C73" s="1" t="s">
        <v>182</v>
      </c>
      <c r="D73" s="29">
        <f>VLOOKUP($B73, agr_mes!$B:$XFD, MATCH(gdp_agr_share!D$1, agr_mes!$B$1:$XFD$1, 0), 0)/VLOOKUP($B73, gdp_tot_mes!$B:$XFD, MATCH(gdp_agr_share!D$1, gdp_tot_mes!$B$1:$XFD$1, 0), 0)</f>
        <v>0.64671676546083245</v>
      </c>
      <c r="E73" s="29">
        <f>VLOOKUP($B73, agr_mes!$B:$XFD, MATCH(gdp_agr_share!E$1, agr_mes!$B$1:$XFD$1, 0), 0)/VLOOKUP($B73, gdp_tot_mes!$B:$XFD, MATCH(gdp_agr_share!E$1, gdp_tot_mes!$B$1:$XFD$1, 0), 0)</f>
        <v>0.54132162339146372</v>
      </c>
      <c r="F73" s="29">
        <f>VLOOKUP($B73, agr_mes!$B:$XFD, MATCH(gdp_agr_share!F$1, agr_mes!$B$1:$XFD$1, 0), 0)/VLOOKUP($B73, gdp_tot_mes!$B:$XFD, MATCH(gdp_agr_share!F$1, gdp_tot_mes!$B$1:$XFD$1, 0), 0)</f>
        <v>0.48501362453675112</v>
      </c>
      <c r="G73" s="29">
        <f>VLOOKUP($B73, agr_mes!$B:$XFD, MATCH(gdp_agr_share!G$1, agr_mes!$B$1:$XFD$1, 0), 0)/VLOOKUP($B73, gdp_tot_mes!$B:$XFD, MATCH(gdp_agr_share!G$1, gdp_tot_mes!$B$1:$XFD$1, 0), 0)</f>
        <v>0.33777316879778319</v>
      </c>
      <c r="H73" s="29">
        <f>VLOOKUP($B73, agr_mes!$B:$XFD, MATCH(gdp_agr_share!H$1, agr_mes!$B$1:$XFD$1, 0), 0)/VLOOKUP($B73, gdp_tot_mes!$B:$XFD, MATCH(gdp_agr_share!H$1, gdp_tot_mes!$B$1:$XFD$1, 0), 0)</f>
        <v>0.28463552760114913</v>
      </c>
      <c r="I73" s="29">
        <f>VLOOKUP($B73, agr_mes!$B:$XFD, MATCH(gdp_agr_share!I$1, agr_mes!$B$1:$XFD$1, 0), 0)/VLOOKUP($B73, gdp_tot_mes!$B:$XFD, MATCH(gdp_agr_share!I$1, gdp_tot_mes!$B$1:$XFD$1, 0), 0)</f>
        <v>0.20465592136138389</v>
      </c>
      <c r="J73" s="29">
        <f>VLOOKUP($B73, agr_mes!$B:$XFD, MATCH(gdp_agr_share!J$1, agr_mes!$B$1:$XFD$1, 0), 0)/VLOOKUP($B73, gdp_tot_mes!$B:$XFD, MATCH(gdp_agr_share!J$1, gdp_tot_mes!$B$1:$XFD$1, 0), 0)</f>
        <v>0.28552163959332116</v>
      </c>
      <c r="K73" s="29">
        <f>VLOOKUP($B73, agr_mes!$B:$XFD, MATCH(gdp_agr_share!K$1, agr_mes!$B$1:$XFD$1, 0), 0)/VLOOKUP($B73, gdp_tot_mes!$B:$XFD, MATCH(gdp_agr_share!K$1, gdp_tot_mes!$B$1:$XFD$1, 0), 0)</f>
        <v>0.33539422514225592</v>
      </c>
      <c r="L73" s="30">
        <f t="shared" si="1"/>
        <v>0.3283556899611616</v>
      </c>
      <c r="M73" s="29">
        <f>VLOOKUP($B73, agr_mes!$B:$XFD, MATCH(gdp_agr_share!M$1, agr_mes!$B$1:$XFD$1, 0), 0)/VLOOKUP($B73, gdp_tot_mes!$B:$XFD, MATCH(gdp_agr_share!M$1, gdp_tot_mes!$B$1:$XFD$1, 0), 0)</f>
        <v>0.31990944774384839</v>
      </c>
      <c r="N73" s="29">
        <f>VLOOKUP($B73, agr_mes!$B:$XFD, MATCH(gdp_agr_share!N$1, agr_mes!$B$1:$XFD$1, 0), 0)/VLOOKUP($B73, gdp_tot_mes!$B:$XFD, MATCH(gdp_agr_share!N$1, gdp_tot_mes!$B$1:$XFD$1, 0), 0)</f>
        <v>7.0842282236350751E-2</v>
      </c>
      <c r="O73" s="29">
        <f>VLOOKUP($B73, agr_mes!$B:$XFD, MATCH(gdp_agr_share!O$1, agr_mes!$B$1:$XFD$1, 0), 0)/VLOOKUP($B73, gdp_tot_mes!$B:$XFD, MATCH(gdp_agr_share!O$1, gdp_tot_mes!$B$1:$XFD$1, 0), 0)</f>
        <v>8.6654521216389571E-2</v>
      </c>
      <c r="P73" s="29">
        <f>VLOOKUP($B73, agr_mes!$B:$XFD, MATCH(gdp_agr_share!P$1, agr_mes!$B$1:$XFD$1, 0), 0)/VLOOKUP($B73, gdp_tot_mes!$B:$XFD, MATCH(gdp_agr_share!P$1, gdp_tot_mes!$B$1:$XFD$1, 0), 0)</f>
        <v>7.0904218068807021E-2</v>
      </c>
      <c r="Q73" s="29">
        <f>VLOOKUP($B73, agr_mes!$B:$XFD, MATCH(gdp_agr_share!Q$1, agr_mes!$B$1:$XFD$1, 0), 0)/VLOOKUP($B73, gdp_tot_mes!$B:$XFD, MATCH(gdp_agr_share!Q$1, gdp_tot_mes!$B$1:$XFD$1, 0), 0)</f>
        <v>0.12773577993960239</v>
      </c>
      <c r="R73" s="29">
        <f>VLOOKUP($B73, agr_mes!$B:$XFD, MATCH(gdp_agr_share!R$1, agr_mes!$B$1:$XFD$1, 0), 0)/VLOOKUP($B73, gdp_tot_mes!$B:$XFD, MATCH(gdp_agr_share!R$1, gdp_tot_mes!$B$1:$XFD$1, 0), 0)</f>
        <v>0.13185155546655322</v>
      </c>
      <c r="S73" s="29">
        <f>VLOOKUP($B73, agr_mes!$B:$XFD, MATCH(gdp_agr_share!S$1, agr_mes!$B$1:$XFD$1, 0), 0)/VLOOKUP($B73, gdp_tot_mes!$B:$XFD, MATCH(gdp_agr_share!S$1, gdp_tot_mes!$B$1:$XFD$1, 0), 0)</f>
        <v>0.10893740575227692</v>
      </c>
      <c r="T73" s="29">
        <f>VLOOKUP($B73, agr_mes!$B:$XFD, MATCH(gdp_agr_share!T$1, agr_mes!$B$1:$XFD$1, 0), 0)/VLOOKUP($B73, gdp_tot_mes!$B:$XFD, MATCH(gdp_agr_share!T$1, gdp_tot_mes!$B$1:$XFD$1, 0), 0)</f>
        <v>0.12190165189800065</v>
      </c>
      <c r="U73" s="29">
        <f>VLOOKUP($B73, agr_mes!$B:$XFD, MATCH(gdp_agr_share!U$1, agr_mes!$B$1:$XFD$1, 0), 0)/VLOOKUP($B73, gdp_tot_mes!$B:$XFD, MATCH(gdp_agr_share!U$1, gdp_tot_mes!$B$1:$XFD$1, 0), 0)</f>
        <v>0.12930458965094599</v>
      </c>
      <c r="V73" s="29">
        <f>VLOOKUP($B73, agr_mes!$B:$XFD, MATCH(gdp_agr_share!V$1, agr_mes!$B$1:$XFD$1, 0), 0)/VLOOKUP($B73, gdp_tot_mes!$B:$XFD, MATCH(gdp_agr_share!V$1, gdp_tot_mes!$B$1:$XFD$1, 0), 0)</f>
        <v>0.10435900501887013</v>
      </c>
      <c r="W73" s="29">
        <f>VLOOKUP($B73, agr_mes!$B:$XFD, MATCH(gdp_agr_share!W$1, agr_mes!$B$1:$XFD$1, 0), 0)/VLOOKUP($B73, gdp_tot_mes!$B:$XFD, MATCH(gdp_agr_share!W$1, gdp_tot_mes!$B$1:$XFD$1, 0), 0)</f>
        <v>0.12703309329631118</v>
      </c>
      <c r="X73" s="29">
        <f>VLOOKUP($B73, agr_mes!$B:$XFD, MATCH(gdp_agr_share!X$1, agr_mes!$B$1:$XFD$1, 0), 0)/VLOOKUP($B73, gdp_tot_mes!$B:$XFD, MATCH(gdp_agr_share!X$1, gdp_tot_mes!$B$1:$XFD$1, 0), 0)</f>
        <v>0.11322669838896181</v>
      </c>
      <c r="Y73" s="29">
        <f>VLOOKUP($B73, agr_mes!$B:$XFD, MATCH(gdp_agr_share!Y$1, agr_mes!$B$1:$XFD$1, 0), 0)/VLOOKUP($B73, gdp_tot_mes!$B:$XFD, MATCH(gdp_agr_share!Y$1, gdp_tot_mes!$B$1:$XFD$1, 0), 0)</f>
        <v>7.4396185923109356E-2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x14ac:dyDescent="0.25">
      <c r="A74" s="1" t="s">
        <v>180</v>
      </c>
      <c r="B74" s="1" t="s">
        <v>183</v>
      </c>
      <c r="C74" s="1" t="s">
        <v>184</v>
      </c>
      <c r="D74" s="29">
        <f>VLOOKUP($B74, agr_mes!$B:$XFD, MATCH(gdp_agr_share!D$1, agr_mes!$B$1:$XFD$1, 0), 0)/VLOOKUP($B74, gdp_tot_mes!$B:$XFD, MATCH(gdp_agr_share!D$1, gdp_tot_mes!$B$1:$XFD$1, 0), 0)</f>
        <v>0.28532678412598239</v>
      </c>
      <c r="E74" s="29">
        <f>VLOOKUP($B74, agr_mes!$B:$XFD, MATCH(gdp_agr_share!E$1, agr_mes!$B$1:$XFD$1, 0), 0)/VLOOKUP($B74, gdp_tot_mes!$B:$XFD, MATCH(gdp_agr_share!E$1, gdp_tot_mes!$B$1:$XFD$1, 0), 0)</f>
        <v>0.44602981817219683</v>
      </c>
      <c r="F74" s="29">
        <f>VLOOKUP($B74, agr_mes!$B:$XFD, MATCH(gdp_agr_share!F$1, agr_mes!$B$1:$XFD$1, 0), 0)/VLOOKUP($B74, gdp_tot_mes!$B:$XFD, MATCH(gdp_agr_share!F$1, gdp_tot_mes!$B$1:$XFD$1, 0), 0)</f>
        <v>0.50571243419229894</v>
      </c>
      <c r="G74" s="29">
        <f>VLOOKUP($B74, agr_mes!$B:$XFD, MATCH(gdp_agr_share!G$1, agr_mes!$B$1:$XFD$1, 0), 0)/VLOOKUP($B74, gdp_tot_mes!$B:$XFD, MATCH(gdp_agr_share!G$1, gdp_tot_mes!$B$1:$XFD$1, 0), 0)</f>
        <v>0.44189775160929562</v>
      </c>
      <c r="H74" s="29">
        <f>VLOOKUP($B74, agr_mes!$B:$XFD, MATCH(gdp_agr_share!H$1, agr_mes!$B$1:$XFD$1, 0), 0)/VLOOKUP($B74, gdp_tot_mes!$B:$XFD, MATCH(gdp_agr_share!H$1, gdp_tot_mes!$B$1:$XFD$1, 0), 0)</f>
        <v>0.2648417168042197</v>
      </c>
      <c r="I74" s="29">
        <f>VLOOKUP($B74, agr_mes!$B:$XFD, MATCH(gdp_agr_share!I$1, agr_mes!$B$1:$XFD$1, 0), 0)/VLOOKUP($B74, gdp_tot_mes!$B:$XFD, MATCH(gdp_agr_share!I$1, gdp_tot_mes!$B$1:$XFD$1, 0), 0)</f>
        <v>0.22741248231597946</v>
      </c>
      <c r="J74" s="29">
        <f>VLOOKUP($B74, agr_mes!$B:$XFD, MATCH(gdp_agr_share!J$1, agr_mes!$B$1:$XFD$1, 0), 0)/VLOOKUP($B74, gdp_tot_mes!$B:$XFD, MATCH(gdp_agr_share!J$1, gdp_tot_mes!$B$1:$XFD$1, 0), 0)</f>
        <v>0.20212130724262586</v>
      </c>
      <c r="K74" s="29">
        <f>VLOOKUP($B74, agr_mes!$B:$XFD, MATCH(gdp_agr_share!K$1, agr_mes!$B$1:$XFD$1, 0), 0)/VLOOKUP($B74, gdp_tot_mes!$B:$XFD, MATCH(gdp_agr_share!K$1, gdp_tot_mes!$B$1:$XFD$1, 0), 0)</f>
        <v>0.25790289038700698</v>
      </c>
      <c r="L74" s="30">
        <f t="shared" si="1"/>
        <v>0.26480509148473463</v>
      </c>
      <c r="M74" s="29">
        <f>VLOOKUP($B74, agr_mes!$B:$XFD, MATCH(gdp_agr_share!M$1, agr_mes!$B$1:$XFD$1, 0), 0)/VLOOKUP($B74, gdp_tot_mes!$B:$XFD, MATCH(gdp_agr_share!M$1, gdp_tot_mes!$B$1:$XFD$1, 0), 0)</f>
        <v>0.27308773280200777</v>
      </c>
      <c r="N74" s="29">
        <f>VLOOKUP($B74, agr_mes!$B:$XFD, MATCH(gdp_agr_share!N$1, agr_mes!$B$1:$XFD$1, 0), 0)/VLOOKUP($B74, gdp_tot_mes!$B:$XFD, MATCH(gdp_agr_share!N$1, gdp_tot_mes!$B$1:$XFD$1, 0), 0)</f>
        <v>0.14292265496156825</v>
      </c>
      <c r="O74" s="29">
        <f>VLOOKUP($B74, agr_mes!$B:$XFD, MATCH(gdp_agr_share!O$1, agr_mes!$B$1:$XFD$1, 0), 0)/VLOOKUP($B74, gdp_tot_mes!$B:$XFD, MATCH(gdp_agr_share!O$1, gdp_tot_mes!$B$1:$XFD$1, 0), 0)</f>
        <v>0.16074485658179158</v>
      </c>
      <c r="P74" s="29">
        <f>VLOOKUP($B74, agr_mes!$B:$XFD, MATCH(gdp_agr_share!P$1, agr_mes!$B$1:$XFD$1, 0), 0)/VLOOKUP($B74, gdp_tot_mes!$B:$XFD, MATCH(gdp_agr_share!P$1, gdp_tot_mes!$B$1:$XFD$1, 0), 0)</f>
        <v>0.14576194179301813</v>
      </c>
      <c r="Q74" s="29">
        <f>VLOOKUP($B74, agr_mes!$B:$XFD, MATCH(gdp_agr_share!Q$1, agr_mes!$B$1:$XFD$1, 0), 0)/VLOOKUP($B74, gdp_tot_mes!$B:$XFD, MATCH(gdp_agr_share!Q$1, gdp_tot_mes!$B$1:$XFD$1, 0), 0)</f>
        <v>0.14674874492484599</v>
      </c>
      <c r="R74" s="29">
        <f>VLOOKUP($B74, agr_mes!$B:$XFD, MATCH(gdp_agr_share!R$1, agr_mes!$B$1:$XFD$1, 0), 0)/VLOOKUP($B74, gdp_tot_mes!$B:$XFD, MATCH(gdp_agr_share!R$1, gdp_tot_mes!$B$1:$XFD$1, 0), 0)</f>
        <v>0.16416889395529941</v>
      </c>
      <c r="S74" s="29">
        <f>VLOOKUP($B74, agr_mes!$B:$XFD, MATCH(gdp_agr_share!S$1, agr_mes!$B$1:$XFD$1, 0), 0)/VLOOKUP($B74, gdp_tot_mes!$B:$XFD, MATCH(gdp_agr_share!S$1, gdp_tot_mes!$B$1:$XFD$1, 0), 0)</f>
        <v>0.16571675133484864</v>
      </c>
      <c r="T74" s="29">
        <f>VLOOKUP($B74, agr_mes!$B:$XFD, MATCH(gdp_agr_share!T$1, agr_mes!$B$1:$XFD$1, 0), 0)/VLOOKUP($B74, gdp_tot_mes!$B:$XFD, MATCH(gdp_agr_share!T$1, gdp_tot_mes!$B$1:$XFD$1, 0), 0)</f>
        <v>0.18480231531283156</v>
      </c>
      <c r="U74" s="29">
        <f>VLOOKUP($B74, agr_mes!$B:$XFD, MATCH(gdp_agr_share!U$1, agr_mes!$B$1:$XFD$1, 0), 0)/VLOOKUP($B74, gdp_tot_mes!$B:$XFD, MATCH(gdp_agr_share!U$1, gdp_tot_mes!$B$1:$XFD$1, 0), 0)</f>
        <v>0.18419625522851391</v>
      </c>
      <c r="V74" s="29">
        <f>VLOOKUP($B74, agr_mes!$B:$XFD, MATCH(gdp_agr_share!V$1, agr_mes!$B$1:$XFD$1, 0), 0)/VLOOKUP($B74, gdp_tot_mes!$B:$XFD, MATCH(gdp_agr_share!V$1, gdp_tot_mes!$B$1:$XFD$1, 0), 0)</f>
        <v>0.16082100273534411</v>
      </c>
      <c r="W74" s="29">
        <f>VLOOKUP($B74, agr_mes!$B:$XFD, MATCH(gdp_agr_share!W$1, agr_mes!$B$1:$XFD$1, 0), 0)/VLOOKUP($B74, gdp_tot_mes!$B:$XFD, MATCH(gdp_agr_share!W$1, gdp_tot_mes!$B$1:$XFD$1, 0), 0)</f>
        <v>0.17418888092357473</v>
      </c>
      <c r="X74" s="29">
        <f>VLOOKUP($B74, agr_mes!$B:$XFD, MATCH(gdp_agr_share!X$1, agr_mes!$B$1:$XFD$1, 0), 0)/VLOOKUP($B74, gdp_tot_mes!$B:$XFD, MATCH(gdp_agr_share!X$1, gdp_tot_mes!$B$1:$XFD$1, 0), 0)</f>
        <v>0.15225547194866235</v>
      </c>
      <c r="Y74" s="29">
        <f>VLOOKUP($B74, agr_mes!$B:$XFD, MATCH(gdp_agr_share!Y$1, agr_mes!$B$1:$XFD$1, 0), 0)/VLOOKUP($B74, gdp_tot_mes!$B:$XFD, MATCH(gdp_agr_share!Y$1, gdp_tot_mes!$B$1:$XFD$1, 0), 0)</f>
        <v>0.14672943505680411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x14ac:dyDescent="0.25">
      <c r="A75" s="1" t="s">
        <v>180</v>
      </c>
      <c r="B75" s="1" t="s">
        <v>185</v>
      </c>
      <c r="C75" s="1" t="s">
        <v>186</v>
      </c>
      <c r="D75" s="29">
        <f>VLOOKUP($B75, agr_mes!$B:$XFD, MATCH(gdp_agr_share!D$1, agr_mes!$B$1:$XFD$1, 0), 0)/VLOOKUP($B75, gdp_tot_mes!$B:$XFD, MATCH(gdp_agr_share!D$1, gdp_tot_mes!$B$1:$XFD$1, 0), 0)</f>
        <v>0.7542580834325594</v>
      </c>
      <c r="E75" s="29">
        <f>VLOOKUP($B75, agr_mes!$B:$XFD, MATCH(gdp_agr_share!E$1, agr_mes!$B$1:$XFD$1, 0), 0)/VLOOKUP($B75, gdp_tot_mes!$B:$XFD, MATCH(gdp_agr_share!E$1, gdp_tot_mes!$B$1:$XFD$1, 0), 0)</f>
        <v>0.56649682916973398</v>
      </c>
      <c r="F75" s="29">
        <f>VLOOKUP($B75, agr_mes!$B:$XFD, MATCH(gdp_agr_share!F$1, agr_mes!$B$1:$XFD$1, 0), 0)/VLOOKUP($B75, gdp_tot_mes!$B:$XFD, MATCH(gdp_agr_share!F$1, gdp_tot_mes!$B$1:$XFD$1, 0), 0)</f>
        <v>0.46554822154580261</v>
      </c>
      <c r="G75" s="29">
        <f>VLOOKUP($B75, agr_mes!$B:$XFD, MATCH(gdp_agr_share!G$1, agr_mes!$B$1:$XFD$1, 0), 0)/VLOOKUP($B75, gdp_tot_mes!$B:$XFD, MATCH(gdp_agr_share!G$1, gdp_tot_mes!$B$1:$XFD$1, 0), 0)</f>
        <v>0.43992812605662152</v>
      </c>
      <c r="H75" s="29">
        <f>VLOOKUP($B75, agr_mes!$B:$XFD, MATCH(gdp_agr_share!H$1, agr_mes!$B$1:$XFD$1, 0), 0)/VLOOKUP($B75, gdp_tot_mes!$B:$XFD, MATCH(gdp_agr_share!H$1, gdp_tot_mes!$B$1:$XFD$1, 0), 0)</f>
        <v>0.41909101928344944</v>
      </c>
      <c r="I75" s="29">
        <f>VLOOKUP($B75, agr_mes!$B:$XFD, MATCH(gdp_agr_share!I$1, agr_mes!$B$1:$XFD$1, 0), 0)/VLOOKUP($B75, gdp_tot_mes!$B:$XFD, MATCH(gdp_agr_share!I$1, gdp_tot_mes!$B$1:$XFD$1, 0), 0)</f>
        <v>0.35357842180191279</v>
      </c>
      <c r="J75" s="29">
        <f>VLOOKUP($B75, agr_mes!$B:$XFD, MATCH(gdp_agr_share!J$1, agr_mes!$B$1:$XFD$1, 0), 0)/VLOOKUP($B75, gdp_tot_mes!$B:$XFD, MATCH(gdp_agr_share!J$1, gdp_tot_mes!$B$1:$XFD$1, 0), 0)</f>
        <v>0.3162661428281261</v>
      </c>
      <c r="K75" s="29">
        <f>VLOOKUP($B75, agr_mes!$B:$XFD, MATCH(gdp_agr_share!K$1, agr_mes!$B$1:$XFD$1, 0), 0)/VLOOKUP($B75, gdp_tot_mes!$B:$XFD, MATCH(gdp_agr_share!K$1, gdp_tot_mes!$B$1:$XFD$1, 0), 0)</f>
        <v>0.32467563042970499</v>
      </c>
      <c r="L75" s="30">
        <f t="shared" si="1"/>
        <v>0.31552634219583747</v>
      </c>
      <c r="M75" s="29">
        <f>VLOOKUP($B75, agr_mes!$B:$XFD, MATCH(gdp_agr_share!M$1, agr_mes!$B$1:$XFD$1, 0), 0)/VLOOKUP($B75, gdp_tot_mes!$B:$XFD, MATCH(gdp_agr_share!M$1, gdp_tot_mes!$B$1:$XFD$1, 0), 0)</f>
        <v>0.30454719631519644</v>
      </c>
      <c r="N75" s="29">
        <f>VLOOKUP($B75, agr_mes!$B:$XFD, MATCH(gdp_agr_share!N$1, agr_mes!$B$1:$XFD$1, 0), 0)/VLOOKUP($B75, gdp_tot_mes!$B:$XFD, MATCH(gdp_agr_share!N$1, gdp_tot_mes!$B$1:$XFD$1, 0), 0)</f>
        <v>6.7630859131511067E-2</v>
      </c>
      <c r="O75" s="29">
        <f>VLOOKUP($B75, agr_mes!$B:$XFD, MATCH(gdp_agr_share!O$1, agr_mes!$B$1:$XFD$1, 0), 0)/VLOOKUP($B75, gdp_tot_mes!$B:$XFD, MATCH(gdp_agr_share!O$1, gdp_tot_mes!$B$1:$XFD$1, 0), 0)</f>
        <v>8.5581530278131895E-2</v>
      </c>
      <c r="P75" s="29">
        <f>VLOOKUP($B75, agr_mes!$B:$XFD, MATCH(gdp_agr_share!P$1, agr_mes!$B$1:$XFD$1, 0), 0)/VLOOKUP($B75, gdp_tot_mes!$B:$XFD, MATCH(gdp_agr_share!P$1, gdp_tot_mes!$B$1:$XFD$1, 0), 0)</f>
        <v>9.2849675452854441E-2</v>
      </c>
      <c r="Q75" s="29">
        <f>VLOOKUP($B75, agr_mes!$B:$XFD, MATCH(gdp_agr_share!Q$1, agr_mes!$B$1:$XFD$1, 0), 0)/VLOOKUP($B75, gdp_tot_mes!$B:$XFD, MATCH(gdp_agr_share!Q$1, gdp_tot_mes!$B$1:$XFD$1, 0), 0)</f>
        <v>0.11345729145589162</v>
      </c>
      <c r="R75" s="29">
        <f>VLOOKUP($B75, agr_mes!$B:$XFD, MATCH(gdp_agr_share!R$1, agr_mes!$B$1:$XFD$1, 0), 0)/VLOOKUP($B75, gdp_tot_mes!$B:$XFD, MATCH(gdp_agr_share!R$1, gdp_tot_mes!$B$1:$XFD$1, 0), 0)</f>
        <v>0.11139149286996775</v>
      </c>
      <c r="S75" s="29">
        <f>VLOOKUP($B75, agr_mes!$B:$XFD, MATCH(gdp_agr_share!S$1, agr_mes!$B$1:$XFD$1, 0), 0)/VLOOKUP($B75, gdp_tot_mes!$B:$XFD, MATCH(gdp_agr_share!S$1, gdp_tot_mes!$B$1:$XFD$1, 0), 0)</f>
        <v>0.1116006750611529</v>
      </c>
      <c r="T75" s="29">
        <f>VLOOKUP($B75, agr_mes!$B:$XFD, MATCH(gdp_agr_share!T$1, agr_mes!$B$1:$XFD$1, 0), 0)/VLOOKUP($B75, gdp_tot_mes!$B:$XFD, MATCH(gdp_agr_share!T$1, gdp_tot_mes!$B$1:$XFD$1, 0), 0)</f>
        <v>0.11541062759522452</v>
      </c>
      <c r="U75" s="29">
        <f>VLOOKUP($B75, agr_mes!$B:$XFD, MATCH(gdp_agr_share!U$1, agr_mes!$B$1:$XFD$1, 0), 0)/VLOOKUP($B75, gdp_tot_mes!$B:$XFD, MATCH(gdp_agr_share!U$1, gdp_tot_mes!$B$1:$XFD$1, 0), 0)</f>
        <v>0.11673521018573282</v>
      </c>
      <c r="V75" s="29">
        <f>VLOOKUP($B75, agr_mes!$B:$XFD, MATCH(gdp_agr_share!V$1, agr_mes!$B$1:$XFD$1, 0), 0)/VLOOKUP($B75, gdp_tot_mes!$B:$XFD, MATCH(gdp_agr_share!V$1, gdp_tot_mes!$B$1:$XFD$1, 0), 0)</f>
        <v>0.11230352515281958</v>
      </c>
      <c r="W75" s="29">
        <f>VLOOKUP($B75, agr_mes!$B:$XFD, MATCH(gdp_agr_share!W$1, agr_mes!$B$1:$XFD$1, 0), 0)/VLOOKUP($B75, gdp_tot_mes!$B:$XFD, MATCH(gdp_agr_share!W$1, gdp_tot_mes!$B$1:$XFD$1, 0), 0)</f>
        <v>0.11296340562376439</v>
      </c>
      <c r="X75" s="29">
        <f>VLOOKUP($B75, agr_mes!$B:$XFD, MATCH(gdp_agr_share!X$1, agr_mes!$B$1:$XFD$1, 0), 0)/VLOOKUP($B75, gdp_tot_mes!$B:$XFD, MATCH(gdp_agr_share!X$1, gdp_tot_mes!$B$1:$XFD$1, 0), 0)</f>
        <v>0.10399588720729538</v>
      </c>
      <c r="Y75" s="29">
        <f>VLOOKUP($B75, agr_mes!$B:$XFD, MATCH(gdp_agr_share!Y$1, agr_mes!$B$1:$XFD$1, 0), 0)/VLOOKUP($B75, gdp_tot_mes!$B:$XFD, MATCH(gdp_agr_share!Y$1, gdp_tot_mes!$B$1:$XFD$1, 0), 0)</f>
        <v>8.9912154092596952E-2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x14ac:dyDescent="0.25">
      <c r="A76" s="1" t="s">
        <v>180</v>
      </c>
      <c r="B76" s="1" t="s">
        <v>187</v>
      </c>
      <c r="C76" s="1" t="s">
        <v>188</v>
      </c>
      <c r="D76" s="29">
        <f>VLOOKUP($B76, agr_mes!$B:$XFD, MATCH(gdp_agr_share!D$1, agr_mes!$B$1:$XFD$1, 0), 0)/VLOOKUP($B76, gdp_tot_mes!$B:$XFD, MATCH(gdp_agr_share!D$1, gdp_tot_mes!$B$1:$XFD$1, 0), 0)</f>
        <v>0.52775838646502249</v>
      </c>
      <c r="E76" s="29">
        <f>VLOOKUP($B76, agr_mes!$B:$XFD, MATCH(gdp_agr_share!E$1, agr_mes!$B$1:$XFD$1, 0), 0)/VLOOKUP($B76, gdp_tot_mes!$B:$XFD, MATCH(gdp_agr_share!E$1, gdp_tot_mes!$B$1:$XFD$1, 0), 0)</f>
        <v>0.44848088728918761</v>
      </c>
      <c r="F76" s="29">
        <f>VLOOKUP($B76, agr_mes!$B:$XFD, MATCH(gdp_agr_share!F$1, agr_mes!$B$1:$XFD$1, 0), 0)/VLOOKUP($B76, gdp_tot_mes!$B:$XFD, MATCH(gdp_agr_share!F$1, gdp_tot_mes!$B$1:$XFD$1, 0), 0)</f>
        <v>0.36164489183381343</v>
      </c>
      <c r="G76" s="29">
        <f>VLOOKUP($B76, agr_mes!$B:$XFD, MATCH(gdp_agr_share!G$1, agr_mes!$B$1:$XFD$1, 0), 0)/VLOOKUP($B76, gdp_tot_mes!$B:$XFD, MATCH(gdp_agr_share!G$1, gdp_tot_mes!$B$1:$XFD$1, 0), 0)</f>
        <v>0.40910408315712676</v>
      </c>
      <c r="H76" s="29">
        <f>VLOOKUP($B76, agr_mes!$B:$XFD, MATCH(gdp_agr_share!H$1, agr_mes!$B$1:$XFD$1, 0), 0)/VLOOKUP($B76, gdp_tot_mes!$B:$XFD, MATCH(gdp_agr_share!H$1, gdp_tot_mes!$B$1:$XFD$1, 0), 0)</f>
        <v>0.38118849446012071</v>
      </c>
      <c r="I76" s="29">
        <f>VLOOKUP($B76, agr_mes!$B:$XFD, MATCH(gdp_agr_share!I$1, agr_mes!$B$1:$XFD$1, 0), 0)/VLOOKUP($B76, gdp_tot_mes!$B:$XFD, MATCH(gdp_agr_share!I$1, gdp_tot_mes!$B$1:$XFD$1, 0), 0)</f>
        <v>0.30044074312120184</v>
      </c>
      <c r="J76" s="29">
        <f>VLOOKUP($B76, agr_mes!$B:$XFD, MATCH(gdp_agr_share!J$1, agr_mes!$B$1:$XFD$1, 0), 0)/VLOOKUP($B76, gdp_tot_mes!$B:$XFD, MATCH(gdp_agr_share!J$1, gdp_tot_mes!$B$1:$XFD$1, 0), 0)</f>
        <v>0.32760299395397863</v>
      </c>
      <c r="K76" s="29">
        <f>VLOOKUP($B76, agr_mes!$B:$XFD, MATCH(gdp_agr_share!K$1, agr_mes!$B$1:$XFD$1, 0), 0)/VLOOKUP($B76, gdp_tot_mes!$B:$XFD, MATCH(gdp_agr_share!K$1, gdp_tot_mes!$B$1:$XFD$1, 0), 0)</f>
        <v>0.32125804706699274</v>
      </c>
      <c r="L76" s="30">
        <f t="shared" si="1"/>
        <v>0.29512629297740345</v>
      </c>
      <c r="M76" s="29">
        <f>VLOOKUP($B76, agr_mes!$B:$XFD, MATCH(gdp_agr_share!M$1, agr_mes!$B$1:$XFD$1, 0), 0)/VLOOKUP($B76, gdp_tot_mes!$B:$XFD, MATCH(gdp_agr_share!M$1, gdp_tot_mes!$B$1:$XFD$1, 0), 0)</f>
        <v>0.26376818806989633</v>
      </c>
      <c r="N76" s="29">
        <f>VLOOKUP($B76, agr_mes!$B:$XFD, MATCH(gdp_agr_share!N$1, agr_mes!$B$1:$XFD$1, 0), 0)/VLOOKUP($B76, gdp_tot_mes!$B:$XFD, MATCH(gdp_agr_share!N$1, gdp_tot_mes!$B$1:$XFD$1, 0), 0)</f>
        <v>8.8060030651924706E-2</v>
      </c>
      <c r="O76" s="29">
        <f>VLOOKUP($B76, agr_mes!$B:$XFD, MATCH(gdp_agr_share!O$1, agr_mes!$B$1:$XFD$1, 0), 0)/VLOOKUP($B76, gdp_tot_mes!$B:$XFD, MATCH(gdp_agr_share!O$1, gdp_tot_mes!$B$1:$XFD$1, 0), 0)</f>
        <v>0.10200326539170826</v>
      </c>
      <c r="P76" s="29">
        <f>VLOOKUP($B76, agr_mes!$B:$XFD, MATCH(gdp_agr_share!P$1, agr_mes!$B$1:$XFD$1, 0), 0)/VLOOKUP($B76, gdp_tot_mes!$B:$XFD, MATCH(gdp_agr_share!P$1, gdp_tot_mes!$B$1:$XFD$1, 0), 0)</f>
        <v>0.10911841592683441</v>
      </c>
      <c r="Q76" s="29">
        <f>VLOOKUP($B76, agr_mes!$B:$XFD, MATCH(gdp_agr_share!Q$1, agr_mes!$B$1:$XFD$1, 0), 0)/VLOOKUP($B76, gdp_tot_mes!$B:$XFD, MATCH(gdp_agr_share!Q$1, gdp_tot_mes!$B$1:$XFD$1, 0), 0)</f>
        <v>0.18029421045131666</v>
      </c>
      <c r="R76" s="29">
        <f>VLOOKUP($B76, agr_mes!$B:$XFD, MATCH(gdp_agr_share!R$1, agr_mes!$B$1:$XFD$1, 0), 0)/VLOOKUP($B76, gdp_tot_mes!$B:$XFD, MATCH(gdp_agr_share!R$1, gdp_tot_mes!$B$1:$XFD$1, 0), 0)</f>
        <v>0.1806669791253207</v>
      </c>
      <c r="S76" s="29">
        <f>VLOOKUP($B76, agr_mes!$B:$XFD, MATCH(gdp_agr_share!S$1, agr_mes!$B$1:$XFD$1, 0), 0)/VLOOKUP($B76, gdp_tot_mes!$B:$XFD, MATCH(gdp_agr_share!S$1, gdp_tot_mes!$B$1:$XFD$1, 0), 0)</f>
        <v>0.1774417240659503</v>
      </c>
      <c r="T76" s="29">
        <f>VLOOKUP($B76, agr_mes!$B:$XFD, MATCH(gdp_agr_share!T$1, agr_mes!$B$1:$XFD$1, 0), 0)/VLOOKUP($B76, gdp_tot_mes!$B:$XFD, MATCH(gdp_agr_share!T$1, gdp_tot_mes!$B$1:$XFD$1, 0), 0)</f>
        <v>0.18228912892187338</v>
      </c>
      <c r="U76" s="29">
        <f>VLOOKUP($B76, agr_mes!$B:$XFD, MATCH(gdp_agr_share!U$1, agr_mes!$B$1:$XFD$1, 0), 0)/VLOOKUP($B76, gdp_tot_mes!$B:$XFD, MATCH(gdp_agr_share!U$1, gdp_tot_mes!$B$1:$XFD$1, 0), 0)</f>
        <v>0.18871817271583491</v>
      </c>
      <c r="V76" s="29">
        <f>VLOOKUP($B76, agr_mes!$B:$XFD, MATCH(gdp_agr_share!V$1, agr_mes!$B$1:$XFD$1, 0), 0)/VLOOKUP($B76, gdp_tot_mes!$B:$XFD, MATCH(gdp_agr_share!V$1, gdp_tot_mes!$B$1:$XFD$1, 0), 0)</f>
        <v>0.17001319139546431</v>
      </c>
      <c r="W76" s="29">
        <f>VLOOKUP($B76, agr_mes!$B:$XFD, MATCH(gdp_agr_share!W$1, agr_mes!$B$1:$XFD$1, 0), 0)/VLOOKUP($B76, gdp_tot_mes!$B:$XFD, MATCH(gdp_agr_share!W$1, gdp_tot_mes!$B$1:$XFD$1, 0), 0)</f>
        <v>0.15612485243704838</v>
      </c>
      <c r="X76" s="29">
        <f>VLOOKUP($B76, agr_mes!$B:$XFD, MATCH(gdp_agr_share!X$1, agr_mes!$B$1:$XFD$1, 0), 0)/VLOOKUP($B76, gdp_tot_mes!$B:$XFD, MATCH(gdp_agr_share!X$1, gdp_tot_mes!$B$1:$XFD$1, 0), 0)</f>
        <v>0.15326000659635539</v>
      </c>
      <c r="Y76" s="29">
        <f>VLOOKUP($B76, agr_mes!$B:$XFD, MATCH(gdp_agr_share!Y$1, agr_mes!$B$1:$XFD$1, 0), 0)/VLOOKUP($B76, gdp_tot_mes!$B:$XFD, MATCH(gdp_agr_share!Y$1, gdp_tot_mes!$B$1:$XFD$1, 0), 0)</f>
        <v>0.14419984024087015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x14ac:dyDescent="0.25">
      <c r="A77" s="1" t="s">
        <v>180</v>
      </c>
      <c r="B77" s="1" t="s">
        <v>189</v>
      </c>
      <c r="C77" s="1" t="s">
        <v>190</v>
      </c>
      <c r="D77" s="29">
        <f>VLOOKUP($B77, agr_mes!$B:$XFD, MATCH(gdp_agr_share!D$1, agr_mes!$B$1:$XFD$1, 0), 0)/VLOOKUP($B77, gdp_tot_mes!$B:$XFD, MATCH(gdp_agr_share!D$1, gdp_tot_mes!$B$1:$XFD$1, 0), 0)</f>
        <v>9.4807872465723156E-2</v>
      </c>
      <c r="E77" s="29">
        <f>VLOOKUP($B77, agr_mes!$B:$XFD, MATCH(gdp_agr_share!E$1, agr_mes!$B$1:$XFD$1, 0), 0)/VLOOKUP($B77, gdp_tot_mes!$B:$XFD, MATCH(gdp_agr_share!E$1, gdp_tot_mes!$B$1:$XFD$1, 0), 0)</f>
        <v>3.7782548634537269E-2</v>
      </c>
      <c r="F77" s="29">
        <f>VLOOKUP($B77, agr_mes!$B:$XFD, MATCH(gdp_agr_share!F$1, agr_mes!$B$1:$XFD$1, 0), 0)/VLOOKUP($B77, gdp_tot_mes!$B:$XFD, MATCH(gdp_agr_share!F$1, gdp_tot_mes!$B$1:$XFD$1, 0), 0)</f>
        <v>2.8933677294232338E-2</v>
      </c>
      <c r="G77" s="29">
        <f>VLOOKUP($B77, agr_mes!$B:$XFD, MATCH(gdp_agr_share!G$1, agr_mes!$B$1:$XFD$1, 0), 0)/VLOOKUP($B77, gdp_tot_mes!$B:$XFD, MATCH(gdp_agr_share!G$1, gdp_tot_mes!$B$1:$XFD$1, 0), 0)</f>
        <v>3.8863975098215264E-2</v>
      </c>
      <c r="H77" s="29">
        <f>VLOOKUP($B77, agr_mes!$B:$XFD, MATCH(gdp_agr_share!H$1, agr_mes!$B$1:$XFD$1, 0), 0)/VLOOKUP($B77, gdp_tot_mes!$B:$XFD, MATCH(gdp_agr_share!H$1, gdp_tot_mes!$B$1:$XFD$1, 0), 0)</f>
        <v>1.7871554480965109E-2</v>
      </c>
      <c r="I77" s="29">
        <f>VLOOKUP($B77, agr_mes!$B:$XFD, MATCH(gdp_agr_share!I$1, agr_mes!$B$1:$XFD$1, 0), 0)/VLOOKUP($B77, gdp_tot_mes!$B:$XFD, MATCH(gdp_agr_share!I$1, gdp_tot_mes!$B$1:$XFD$1, 0), 0)</f>
        <v>1.4390237532561183E-2</v>
      </c>
      <c r="J77" s="29">
        <f>VLOOKUP($B77, agr_mes!$B:$XFD, MATCH(gdp_agr_share!J$1, agr_mes!$B$1:$XFD$1, 0), 0)/VLOOKUP($B77, gdp_tot_mes!$B:$XFD, MATCH(gdp_agr_share!J$1, gdp_tot_mes!$B$1:$XFD$1, 0), 0)</f>
        <v>1.2629089138478685E-2</v>
      </c>
      <c r="K77" s="29">
        <f>VLOOKUP($B77, agr_mes!$B:$XFD, MATCH(gdp_agr_share!K$1, agr_mes!$B$1:$XFD$1, 0), 0)/VLOOKUP($B77, gdp_tot_mes!$B:$XFD, MATCH(gdp_agr_share!K$1, gdp_tot_mes!$B$1:$XFD$1, 0), 0)</f>
        <v>1.9543298654290091E-2</v>
      </c>
      <c r="L77" s="30">
        <f t="shared" si="1"/>
        <v>1.4102599640432485E-2</v>
      </c>
      <c r="M77" s="29">
        <f>VLOOKUP($B77, agr_mes!$B:$XFD, MATCH(gdp_agr_share!M$1, agr_mes!$B$1:$XFD$1, 0), 0)/VLOOKUP($B77, gdp_tot_mes!$B:$XFD, MATCH(gdp_agr_share!M$1, gdp_tot_mes!$B$1:$XFD$1, 0), 0)</f>
        <v>7.573760823803356E-3</v>
      </c>
      <c r="N77" s="29">
        <f>VLOOKUP($B77, agr_mes!$B:$XFD, MATCH(gdp_agr_share!N$1, agr_mes!$B$1:$XFD$1, 0), 0)/VLOOKUP($B77, gdp_tot_mes!$B:$XFD, MATCH(gdp_agr_share!N$1, gdp_tot_mes!$B$1:$XFD$1, 0), 0)</f>
        <v>5.0088328752919704E-3</v>
      </c>
      <c r="O77" s="29">
        <f>VLOOKUP($B77, agr_mes!$B:$XFD, MATCH(gdp_agr_share!O$1, agr_mes!$B$1:$XFD$1, 0), 0)/VLOOKUP($B77, gdp_tot_mes!$B:$XFD, MATCH(gdp_agr_share!O$1, gdp_tot_mes!$B$1:$XFD$1, 0), 0)</f>
        <v>4.9561534657179855E-3</v>
      </c>
      <c r="P77" s="29">
        <f>VLOOKUP($B77, agr_mes!$B:$XFD, MATCH(gdp_agr_share!P$1, agr_mes!$B$1:$XFD$1, 0), 0)/VLOOKUP($B77, gdp_tot_mes!$B:$XFD, MATCH(gdp_agr_share!P$1, gdp_tot_mes!$B$1:$XFD$1, 0), 0)</f>
        <v>3.8149474949207146E-3</v>
      </c>
      <c r="Q77" s="29">
        <f>VLOOKUP($B77, agr_mes!$B:$XFD, MATCH(gdp_agr_share!Q$1, agr_mes!$B$1:$XFD$1, 0), 0)/VLOOKUP($B77, gdp_tot_mes!$B:$XFD, MATCH(gdp_agr_share!Q$1, gdp_tot_mes!$B$1:$XFD$1, 0), 0)</f>
        <v>7.7153219915752098E-3</v>
      </c>
      <c r="R77" s="29">
        <f>VLOOKUP($B77, agr_mes!$B:$XFD, MATCH(gdp_agr_share!R$1, agr_mes!$B$1:$XFD$1, 0), 0)/VLOOKUP($B77, gdp_tot_mes!$B:$XFD, MATCH(gdp_agr_share!R$1, gdp_tot_mes!$B$1:$XFD$1, 0), 0)</f>
        <v>9.6332942985444293E-3</v>
      </c>
      <c r="S77" s="29">
        <f>VLOOKUP($B77, agr_mes!$B:$XFD, MATCH(gdp_agr_share!S$1, agr_mes!$B$1:$XFD$1, 0), 0)/VLOOKUP($B77, gdp_tot_mes!$B:$XFD, MATCH(gdp_agr_share!S$1, gdp_tot_mes!$B$1:$XFD$1, 0), 0)</f>
        <v>9.659849812316856E-3</v>
      </c>
      <c r="T77" s="29">
        <f>VLOOKUP($B77, agr_mes!$B:$XFD, MATCH(gdp_agr_share!T$1, agr_mes!$B$1:$XFD$1, 0), 0)/VLOOKUP($B77, gdp_tot_mes!$B:$XFD, MATCH(gdp_agr_share!T$1, gdp_tot_mes!$B$1:$XFD$1, 0), 0)</f>
        <v>9.3616667484526777E-3</v>
      </c>
      <c r="U77" s="29">
        <f>VLOOKUP($B77, agr_mes!$B:$XFD, MATCH(gdp_agr_share!U$1, agr_mes!$B$1:$XFD$1, 0), 0)/VLOOKUP($B77, gdp_tot_mes!$B:$XFD, MATCH(gdp_agr_share!U$1, gdp_tot_mes!$B$1:$XFD$1, 0), 0)</f>
        <v>7.3118957247373054E-3</v>
      </c>
      <c r="V77" s="29">
        <f>VLOOKUP($B77, agr_mes!$B:$XFD, MATCH(gdp_agr_share!V$1, agr_mes!$B$1:$XFD$1, 0), 0)/VLOOKUP($B77, gdp_tot_mes!$B:$XFD, MATCH(gdp_agr_share!V$1, gdp_tot_mes!$B$1:$XFD$1, 0), 0)</f>
        <v>6.7247381588027427E-3</v>
      </c>
      <c r="W77" s="29">
        <f>VLOOKUP($B77, agr_mes!$B:$XFD, MATCH(gdp_agr_share!W$1, agr_mes!$B$1:$XFD$1, 0), 0)/VLOOKUP($B77, gdp_tot_mes!$B:$XFD, MATCH(gdp_agr_share!W$1, gdp_tot_mes!$B$1:$XFD$1, 0), 0)</f>
        <v>6.0663236094218266E-3</v>
      </c>
      <c r="X77" s="29">
        <f>VLOOKUP($B77, agr_mes!$B:$XFD, MATCH(gdp_agr_share!X$1, agr_mes!$B$1:$XFD$1, 0), 0)/VLOOKUP($B77, gdp_tot_mes!$B:$XFD, MATCH(gdp_agr_share!X$1, gdp_tot_mes!$B$1:$XFD$1, 0), 0)</f>
        <v>5.2056533860475205E-3</v>
      </c>
      <c r="Y77" s="29">
        <f>VLOOKUP($B77, agr_mes!$B:$XFD, MATCH(gdp_agr_share!Y$1, agr_mes!$B$1:$XFD$1, 0), 0)/VLOOKUP($B77, gdp_tot_mes!$B:$XFD, MATCH(gdp_agr_share!Y$1, gdp_tot_mes!$B$1:$XFD$1, 0), 0)</f>
        <v>3.5505496035465678E-3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x14ac:dyDescent="0.25">
      <c r="A78" s="1" t="s">
        <v>191</v>
      </c>
      <c r="B78" s="1" t="s">
        <v>192</v>
      </c>
      <c r="C78" s="1" t="s">
        <v>193</v>
      </c>
      <c r="D78" s="29">
        <f>VLOOKUP($B78, agr_mes!$B:$XFD, MATCH(gdp_agr_share!D$1, agr_mes!$B$1:$XFD$1, 0), 0)/VLOOKUP($B78, gdp_tot_mes!$B:$XFD, MATCH(gdp_agr_share!D$1, gdp_tot_mes!$B$1:$XFD$1, 0), 0)</f>
        <v>0.31356688799610377</v>
      </c>
      <c r="E78" s="29">
        <f>VLOOKUP($B78, agr_mes!$B:$XFD, MATCH(gdp_agr_share!E$1, agr_mes!$B$1:$XFD$1, 0), 0)/VLOOKUP($B78, gdp_tot_mes!$B:$XFD, MATCH(gdp_agr_share!E$1, gdp_tot_mes!$B$1:$XFD$1, 0), 0)</f>
        <v>0.43705580237107372</v>
      </c>
      <c r="F78" s="29">
        <f>VLOOKUP($B78, agr_mes!$B:$XFD, MATCH(gdp_agr_share!F$1, agr_mes!$B$1:$XFD$1, 0), 0)/VLOOKUP($B78, gdp_tot_mes!$B:$XFD, MATCH(gdp_agr_share!F$1, gdp_tot_mes!$B$1:$XFD$1, 0), 0)</f>
        <v>0.35736218325613506</v>
      </c>
      <c r="G78" s="29">
        <f>VLOOKUP($B78, agr_mes!$B:$XFD, MATCH(gdp_agr_share!G$1, agr_mes!$B$1:$XFD$1, 0), 0)/VLOOKUP($B78, gdp_tot_mes!$B:$XFD, MATCH(gdp_agr_share!G$1, gdp_tot_mes!$B$1:$XFD$1, 0), 0)</f>
        <v>0.30658493889102978</v>
      </c>
      <c r="H78" s="29">
        <f>VLOOKUP($B78, agr_mes!$B:$XFD, MATCH(gdp_agr_share!H$1, agr_mes!$B$1:$XFD$1, 0), 0)/VLOOKUP($B78, gdp_tot_mes!$B:$XFD, MATCH(gdp_agr_share!H$1, gdp_tot_mes!$B$1:$XFD$1, 0), 0)</f>
        <v>0.29824938480133095</v>
      </c>
      <c r="I78" s="29">
        <f>VLOOKUP($B78, agr_mes!$B:$XFD, MATCH(gdp_agr_share!I$1, agr_mes!$B$1:$XFD$1, 0), 0)/VLOOKUP($B78, gdp_tot_mes!$B:$XFD, MATCH(gdp_agr_share!I$1, gdp_tot_mes!$B$1:$XFD$1, 0), 0)</f>
        <v>0.37083726093979008</v>
      </c>
      <c r="J78" s="29">
        <f>VLOOKUP($B78, agr_mes!$B:$XFD, MATCH(gdp_agr_share!J$1, agr_mes!$B$1:$XFD$1, 0), 0)/VLOOKUP($B78, gdp_tot_mes!$B:$XFD, MATCH(gdp_agr_share!J$1, gdp_tot_mes!$B$1:$XFD$1, 0), 0)</f>
        <v>0.25756462780639849</v>
      </c>
      <c r="K78" s="29">
        <f>VLOOKUP($B78, agr_mes!$B:$XFD, MATCH(gdp_agr_share!K$1, agr_mes!$B$1:$XFD$1, 0), 0)/VLOOKUP($B78, gdp_tot_mes!$B:$XFD, MATCH(gdp_agr_share!K$1, gdp_tot_mes!$B$1:$XFD$1, 0), 0)</f>
        <v>0.27438400801401275</v>
      </c>
      <c r="L78" s="30">
        <f t="shared" si="1"/>
        <v>0.25287435509018502</v>
      </c>
      <c r="M78" s="29">
        <f>VLOOKUP($B78, agr_mes!$B:$XFD, MATCH(gdp_agr_share!M$1, agr_mes!$B$1:$XFD$1, 0), 0)/VLOOKUP($B78, gdp_tot_mes!$B:$XFD, MATCH(gdp_agr_share!M$1, gdp_tot_mes!$B$1:$XFD$1, 0), 0)</f>
        <v>0.22706277158159172</v>
      </c>
      <c r="N78" s="29">
        <f>VLOOKUP($B78, agr_mes!$B:$XFD, MATCH(gdp_agr_share!N$1, agr_mes!$B$1:$XFD$1, 0), 0)/VLOOKUP($B78, gdp_tot_mes!$B:$XFD, MATCH(gdp_agr_share!N$1, gdp_tot_mes!$B$1:$XFD$1, 0), 0)</f>
        <v>0.13295488603172306</v>
      </c>
      <c r="O78" s="29">
        <f>VLOOKUP($B78, agr_mes!$B:$XFD, MATCH(gdp_agr_share!O$1, agr_mes!$B$1:$XFD$1, 0), 0)/VLOOKUP($B78, gdp_tot_mes!$B:$XFD, MATCH(gdp_agr_share!O$1, gdp_tot_mes!$B$1:$XFD$1, 0), 0)</f>
        <v>0.143371540988042</v>
      </c>
      <c r="P78" s="29">
        <f>VLOOKUP($B78, agr_mes!$B:$XFD, MATCH(gdp_agr_share!P$1, agr_mes!$B$1:$XFD$1, 0), 0)/VLOOKUP($B78, gdp_tot_mes!$B:$XFD, MATCH(gdp_agr_share!P$1, gdp_tot_mes!$B$1:$XFD$1, 0), 0)</f>
        <v>0.15393602769683778</v>
      </c>
      <c r="Q78" s="29">
        <f>VLOOKUP($B78, agr_mes!$B:$XFD, MATCH(gdp_agr_share!Q$1, agr_mes!$B$1:$XFD$1, 0), 0)/VLOOKUP($B78, gdp_tot_mes!$B:$XFD, MATCH(gdp_agr_share!Q$1, gdp_tot_mes!$B$1:$XFD$1, 0), 0)</f>
        <v>9.4189892215121945E-2</v>
      </c>
      <c r="R78" s="29">
        <f>VLOOKUP($B78, agr_mes!$B:$XFD, MATCH(gdp_agr_share!R$1, agr_mes!$B$1:$XFD$1, 0), 0)/VLOOKUP($B78, gdp_tot_mes!$B:$XFD, MATCH(gdp_agr_share!R$1, gdp_tot_mes!$B$1:$XFD$1, 0), 0)</f>
        <v>0.13320974997729357</v>
      </c>
      <c r="S78" s="29">
        <f>VLOOKUP($B78, agr_mes!$B:$XFD, MATCH(gdp_agr_share!S$1, agr_mes!$B$1:$XFD$1, 0), 0)/VLOOKUP($B78, gdp_tot_mes!$B:$XFD, MATCH(gdp_agr_share!S$1, gdp_tot_mes!$B$1:$XFD$1, 0), 0)</f>
        <v>0.1199864278985783</v>
      </c>
      <c r="T78" s="29">
        <f>VLOOKUP($B78, agr_mes!$B:$XFD, MATCH(gdp_agr_share!T$1, agr_mes!$B$1:$XFD$1, 0), 0)/VLOOKUP($B78, gdp_tot_mes!$B:$XFD, MATCH(gdp_agr_share!T$1, gdp_tot_mes!$B$1:$XFD$1, 0), 0)</f>
        <v>8.6756871737693961E-2</v>
      </c>
      <c r="U78" s="29">
        <f>VLOOKUP($B78, agr_mes!$B:$XFD, MATCH(gdp_agr_share!U$1, agr_mes!$B$1:$XFD$1, 0), 0)/VLOOKUP($B78, gdp_tot_mes!$B:$XFD, MATCH(gdp_agr_share!U$1, gdp_tot_mes!$B$1:$XFD$1, 0), 0)</f>
        <v>8.1417057982614449E-2</v>
      </c>
      <c r="V78" s="29">
        <f>VLOOKUP($B78, agr_mes!$B:$XFD, MATCH(gdp_agr_share!V$1, agr_mes!$B$1:$XFD$1, 0), 0)/VLOOKUP($B78, gdp_tot_mes!$B:$XFD, MATCH(gdp_agr_share!V$1, gdp_tot_mes!$B$1:$XFD$1, 0), 0)</f>
        <v>7.2061174505084119E-2</v>
      </c>
      <c r="W78" s="29">
        <f>VLOOKUP($B78, agr_mes!$B:$XFD, MATCH(gdp_agr_share!W$1, agr_mes!$B$1:$XFD$1, 0), 0)/VLOOKUP($B78, gdp_tot_mes!$B:$XFD, MATCH(gdp_agr_share!W$1, gdp_tot_mes!$B$1:$XFD$1, 0), 0)</f>
        <v>8.4143267817848755E-2</v>
      </c>
      <c r="X78" s="29">
        <f>VLOOKUP($B78, agr_mes!$B:$XFD, MATCH(gdp_agr_share!X$1, agr_mes!$B$1:$XFD$1, 0), 0)/VLOOKUP($B78, gdp_tot_mes!$B:$XFD, MATCH(gdp_agr_share!X$1, gdp_tot_mes!$B$1:$XFD$1, 0), 0)</f>
        <v>7.5314113918132974E-2</v>
      </c>
      <c r="Y78" s="29">
        <f>VLOOKUP($B78, agr_mes!$B:$XFD, MATCH(gdp_agr_share!Y$1, agr_mes!$B$1:$XFD$1, 0), 0)/VLOOKUP($B78, gdp_tot_mes!$B:$XFD, MATCH(gdp_agr_share!Y$1, gdp_tot_mes!$B$1:$XFD$1, 0), 0)</f>
        <v>5.7969265926264918E-2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x14ac:dyDescent="0.25">
      <c r="A79" s="1" t="s">
        <v>191</v>
      </c>
      <c r="B79" s="1" t="s">
        <v>194</v>
      </c>
      <c r="C79" s="1" t="s">
        <v>195</v>
      </c>
      <c r="D79" s="29">
        <f>VLOOKUP($B79, agr_mes!$B:$XFD, MATCH(gdp_agr_share!D$1, agr_mes!$B$1:$XFD$1, 0), 0)/VLOOKUP($B79, gdp_tot_mes!$B:$XFD, MATCH(gdp_agr_share!D$1, gdp_tot_mes!$B$1:$XFD$1, 0), 0)</f>
        <v>0.58446240099210678</v>
      </c>
      <c r="E79" s="29">
        <f>VLOOKUP($B79, agr_mes!$B:$XFD, MATCH(gdp_agr_share!E$1, agr_mes!$B$1:$XFD$1, 0), 0)/VLOOKUP($B79, gdp_tot_mes!$B:$XFD, MATCH(gdp_agr_share!E$1, gdp_tot_mes!$B$1:$XFD$1, 0), 0)</f>
        <v>0.51797653250314102</v>
      </c>
      <c r="F79" s="29">
        <f>VLOOKUP($B79, agr_mes!$B:$XFD, MATCH(gdp_agr_share!F$1, agr_mes!$B$1:$XFD$1, 0), 0)/VLOOKUP($B79, gdp_tot_mes!$B:$XFD, MATCH(gdp_agr_share!F$1, gdp_tot_mes!$B$1:$XFD$1, 0), 0)</f>
        <v>0.25035627689388812</v>
      </c>
      <c r="G79" s="29">
        <f>VLOOKUP($B79, agr_mes!$B:$XFD, MATCH(gdp_agr_share!G$1, agr_mes!$B$1:$XFD$1, 0), 0)/VLOOKUP($B79, gdp_tot_mes!$B:$XFD, MATCH(gdp_agr_share!G$1, gdp_tot_mes!$B$1:$XFD$1, 0), 0)</f>
        <v>0.23169659846886612</v>
      </c>
      <c r="H79" s="29">
        <f>VLOOKUP($B79, agr_mes!$B:$XFD, MATCH(gdp_agr_share!H$1, agr_mes!$B$1:$XFD$1, 0), 0)/VLOOKUP($B79, gdp_tot_mes!$B:$XFD, MATCH(gdp_agr_share!H$1, gdp_tot_mes!$B$1:$XFD$1, 0), 0)</f>
        <v>0.17858999350026458</v>
      </c>
      <c r="I79" s="29">
        <f>VLOOKUP($B79, agr_mes!$B:$XFD, MATCH(gdp_agr_share!I$1, agr_mes!$B$1:$XFD$1, 0), 0)/VLOOKUP($B79, gdp_tot_mes!$B:$XFD, MATCH(gdp_agr_share!I$1, gdp_tot_mes!$B$1:$XFD$1, 0), 0)</f>
        <v>0.18023043215631496</v>
      </c>
      <c r="J79" s="29">
        <f>VLOOKUP($B79, agr_mes!$B:$XFD, MATCH(gdp_agr_share!J$1, agr_mes!$B$1:$XFD$1, 0), 0)/VLOOKUP($B79, gdp_tot_mes!$B:$XFD, MATCH(gdp_agr_share!J$1, gdp_tot_mes!$B$1:$XFD$1, 0), 0)</f>
        <v>0.11454093433318571</v>
      </c>
      <c r="K79" s="29">
        <f>VLOOKUP($B79, agr_mes!$B:$XFD, MATCH(gdp_agr_share!K$1, agr_mes!$B$1:$XFD$1, 0), 0)/VLOOKUP($B79, gdp_tot_mes!$B:$XFD, MATCH(gdp_agr_share!K$1, gdp_tot_mes!$B$1:$XFD$1, 0), 0)</f>
        <v>0.10752451671537748</v>
      </c>
      <c r="L79" s="30">
        <f t="shared" si="1"/>
        <v>8.7057446456289073E-2</v>
      </c>
      <c r="M79" s="29">
        <f>VLOOKUP($B79, agr_mes!$B:$XFD, MATCH(gdp_agr_share!M$1, agr_mes!$B$1:$XFD$1, 0), 0)/VLOOKUP($B79, gdp_tot_mes!$B:$XFD, MATCH(gdp_agr_share!M$1, gdp_tot_mes!$B$1:$XFD$1, 0), 0)</f>
        <v>6.2496962145382993E-2</v>
      </c>
      <c r="N79" s="29">
        <f>VLOOKUP($B79, agr_mes!$B:$XFD, MATCH(gdp_agr_share!N$1, agr_mes!$B$1:$XFD$1, 0), 0)/VLOOKUP($B79, gdp_tot_mes!$B:$XFD, MATCH(gdp_agr_share!N$1, gdp_tot_mes!$B$1:$XFD$1, 0), 0)</f>
        <v>4.5644659643474299E-2</v>
      </c>
      <c r="O79" s="29">
        <f>VLOOKUP($B79, agr_mes!$B:$XFD, MATCH(gdp_agr_share!O$1, agr_mes!$B$1:$XFD$1, 0), 0)/VLOOKUP($B79, gdp_tot_mes!$B:$XFD, MATCH(gdp_agr_share!O$1, gdp_tot_mes!$B$1:$XFD$1, 0), 0)</f>
        <v>4.7513613706199699E-2</v>
      </c>
      <c r="P79" s="29">
        <f>VLOOKUP($B79, agr_mes!$B:$XFD, MATCH(gdp_agr_share!P$1, agr_mes!$B$1:$XFD$1, 0), 0)/VLOOKUP($B79, gdp_tot_mes!$B:$XFD, MATCH(gdp_agr_share!P$1, gdp_tot_mes!$B$1:$XFD$1, 0), 0)</f>
        <v>5.0297232996861084E-2</v>
      </c>
      <c r="Q79" s="29">
        <f>VLOOKUP($B79, agr_mes!$B:$XFD, MATCH(gdp_agr_share!Q$1, agr_mes!$B$1:$XFD$1, 0), 0)/VLOOKUP($B79, gdp_tot_mes!$B:$XFD, MATCH(gdp_agr_share!Q$1, gdp_tot_mes!$B$1:$XFD$1, 0), 0)</f>
        <v>2.3433338817622582E-2</v>
      </c>
      <c r="R79" s="29">
        <f>VLOOKUP($B79, agr_mes!$B:$XFD, MATCH(gdp_agr_share!R$1, agr_mes!$B$1:$XFD$1, 0), 0)/VLOOKUP($B79, gdp_tot_mes!$B:$XFD, MATCH(gdp_agr_share!R$1, gdp_tot_mes!$B$1:$XFD$1, 0), 0)</f>
        <v>3.6377466428832578E-2</v>
      </c>
      <c r="S79" s="29">
        <f>VLOOKUP($B79, agr_mes!$B:$XFD, MATCH(gdp_agr_share!S$1, agr_mes!$B$1:$XFD$1, 0), 0)/VLOOKUP($B79, gdp_tot_mes!$B:$XFD, MATCH(gdp_agr_share!S$1, gdp_tot_mes!$B$1:$XFD$1, 0), 0)</f>
        <v>3.4092095872252565E-2</v>
      </c>
      <c r="T79" s="29">
        <f>VLOOKUP($B79, agr_mes!$B:$XFD, MATCH(gdp_agr_share!T$1, agr_mes!$B$1:$XFD$1, 0), 0)/VLOOKUP($B79, gdp_tot_mes!$B:$XFD, MATCH(gdp_agr_share!T$1, gdp_tot_mes!$B$1:$XFD$1, 0), 0)</f>
        <v>2.5451959459718482E-2</v>
      </c>
      <c r="U79" s="29">
        <f>VLOOKUP($B79, agr_mes!$B:$XFD, MATCH(gdp_agr_share!U$1, agr_mes!$B$1:$XFD$1, 0), 0)/VLOOKUP($B79, gdp_tot_mes!$B:$XFD, MATCH(gdp_agr_share!U$1, gdp_tot_mes!$B$1:$XFD$1, 0), 0)</f>
        <v>2.4963480209646591E-2</v>
      </c>
      <c r="V79" s="29">
        <f>VLOOKUP($B79, agr_mes!$B:$XFD, MATCH(gdp_agr_share!V$1, agr_mes!$B$1:$XFD$1, 0), 0)/VLOOKUP($B79, gdp_tot_mes!$B:$XFD, MATCH(gdp_agr_share!V$1, gdp_tot_mes!$B$1:$XFD$1, 0), 0)</f>
        <v>1.9963288252949046E-2</v>
      </c>
      <c r="W79" s="29">
        <f>VLOOKUP($B79, agr_mes!$B:$XFD, MATCH(gdp_agr_share!W$1, agr_mes!$B$1:$XFD$1, 0), 0)/VLOOKUP($B79, gdp_tot_mes!$B:$XFD, MATCH(gdp_agr_share!W$1, gdp_tot_mes!$B$1:$XFD$1, 0), 0)</f>
        <v>2.5743245653429312E-2</v>
      </c>
      <c r="X79" s="29">
        <f>VLOOKUP($B79, agr_mes!$B:$XFD, MATCH(gdp_agr_share!X$1, agr_mes!$B$1:$XFD$1, 0), 0)/VLOOKUP($B79, gdp_tot_mes!$B:$XFD, MATCH(gdp_agr_share!X$1, gdp_tot_mes!$B$1:$XFD$1, 0), 0)</f>
        <v>2.3757193105072443E-2</v>
      </c>
      <c r="Y79" s="29">
        <f>VLOOKUP($B79, agr_mes!$B:$XFD, MATCH(gdp_agr_share!Y$1, agr_mes!$B$1:$XFD$1, 0), 0)/VLOOKUP($B79, gdp_tot_mes!$B:$XFD, MATCH(gdp_agr_share!Y$1, gdp_tot_mes!$B$1:$XFD$1, 0), 0)</f>
        <v>1.6355030341297122E-2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x14ac:dyDescent="0.25">
      <c r="A80" s="1" t="s">
        <v>191</v>
      </c>
      <c r="B80" s="1" t="s">
        <v>196</v>
      </c>
      <c r="C80" s="1" t="s">
        <v>197</v>
      </c>
      <c r="D80" s="29">
        <f>VLOOKUP($B80, agr_mes!$B:$XFD, MATCH(gdp_agr_share!D$1, agr_mes!$B$1:$XFD$1, 0), 0)/VLOOKUP($B80, gdp_tot_mes!$B:$XFD, MATCH(gdp_agr_share!D$1, gdp_tot_mes!$B$1:$XFD$1, 0), 0)</f>
        <v>0.54191019631535353</v>
      </c>
      <c r="E80" s="29">
        <f>VLOOKUP($B80, agr_mes!$B:$XFD, MATCH(gdp_agr_share!E$1, agr_mes!$B$1:$XFD$1, 0), 0)/VLOOKUP($B80, gdp_tot_mes!$B:$XFD, MATCH(gdp_agr_share!E$1, gdp_tot_mes!$B$1:$XFD$1, 0), 0)</f>
        <v>0.72676167933375491</v>
      </c>
      <c r="F80" s="29">
        <f>VLOOKUP($B80, agr_mes!$B:$XFD, MATCH(gdp_agr_share!F$1, agr_mes!$B$1:$XFD$1, 0), 0)/VLOOKUP($B80, gdp_tot_mes!$B:$XFD, MATCH(gdp_agr_share!F$1, gdp_tot_mes!$B$1:$XFD$1, 0), 0)</f>
        <v>0.64207600422104716</v>
      </c>
      <c r="G80" s="29">
        <f>VLOOKUP($B80, agr_mes!$B:$XFD, MATCH(gdp_agr_share!G$1, agr_mes!$B$1:$XFD$1, 0), 0)/VLOOKUP($B80, gdp_tot_mes!$B:$XFD, MATCH(gdp_agr_share!G$1, gdp_tot_mes!$B$1:$XFD$1, 0), 0)</f>
        <v>0.37360262308426739</v>
      </c>
      <c r="H80" s="29">
        <f>VLOOKUP($B80, agr_mes!$B:$XFD, MATCH(gdp_agr_share!H$1, agr_mes!$B$1:$XFD$1, 0), 0)/VLOOKUP($B80, gdp_tot_mes!$B:$XFD, MATCH(gdp_agr_share!H$1, gdp_tot_mes!$B$1:$XFD$1, 0), 0)</f>
        <v>0.40513077907402978</v>
      </c>
      <c r="I80" s="29">
        <f>VLOOKUP($B80, agr_mes!$B:$XFD, MATCH(gdp_agr_share!I$1, agr_mes!$B$1:$XFD$1, 0), 0)/VLOOKUP($B80, gdp_tot_mes!$B:$XFD, MATCH(gdp_agr_share!I$1, gdp_tot_mes!$B$1:$XFD$1, 0), 0)</f>
        <v>0.38229191213101532</v>
      </c>
      <c r="J80" s="29">
        <f>VLOOKUP($B80, agr_mes!$B:$XFD, MATCH(gdp_agr_share!J$1, agr_mes!$B$1:$XFD$1, 0), 0)/VLOOKUP($B80, gdp_tot_mes!$B:$XFD, MATCH(gdp_agr_share!J$1, gdp_tot_mes!$B$1:$XFD$1, 0), 0)</f>
        <v>0.4363415232668309</v>
      </c>
      <c r="K80" s="29">
        <f>VLOOKUP($B80, agr_mes!$B:$XFD, MATCH(gdp_agr_share!K$1, agr_mes!$B$1:$XFD$1, 0), 0)/VLOOKUP($B80, gdp_tot_mes!$B:$XFD, MATCH(gdp_agr_share!K$1, gdp_tot_mes!$B$1:$XFD$1, 0), 0)</f>
        <v>0.38547075694802102</v>
      </c>
      <c r="L80" s="30">
        <f t="shared" si="1"/>
        <v>0.36118295700832925</v>
      </c>
      <c r="M80" s="29">
        <f>VLOOKUP($B80, agr_mes!$B:$XFD, MATCH(gdp_agr_share!M$1, agr_mes!$B$1:$XFD$1, 0), 0)/VLOOKUP($B80, gdp_tot_mes!$B:$XFD, MATCH(gdp_agr_share!M$1, gdp_tot_mes!$B$1:$XFD$1, 0), 0)</f>
        <v>0.33203759708069913</v>
      </c>
      <c r="N80" s="29">
        <f>VLOOKUP($B80, agr_mes!$B:$XFD, MATCH(gdp_agr_share!N$1, agr_mes!$B$1:$XFD$1, 0), 0)/VLOOKUP($B80, gdp_tot_mes!$B:$XFD, MATCH(gdp_agr_share!N$1, gdp_tot_mes!$B$1:$XFD$1, 0), 0)</f>
        <v>0.21474510333571717</v>
      </c>
      <c r="O80" s="29">
        <f>VLOOKUP($B80, agr_mes!$B:$XFD, MATCH(gdp_agr_share!O$1, agr_mes!$B$1:$XFD$1, 0), 0)/VLOOKUP($B80, gdp_tot_mes!$B:$XFD, MATCH(gdp_agr_share!O$1, gdp_tot_mes!$B$1:$XFD$1, 0), 0)</f>
        <v>0.22366015570394995</v>
      </c>
      <c r="P80" s="29">
        <f>VLOOKUP($B80, agr_mes!$B:$XFD, MATCH(gdp_agr_share!P$1, agr_mes!$B$1:$XFD$1, 0), 0)/VLOOKUP($B80, gdp_tot_mes!$B:$XFD, MATCH(gdp_agr_share!P$1, gdp_tot_mes!$B$1:$XFD$1, 0), 0)</f>
        <v>0.22598033194993095</v>
      </c>
      <c r="Q80" s="29">
        <f>VLOOKUP($B80, agr_mes!$B:$XFD, MATCH(gdp_agr_share!Q$1, agr_mes!$B$1:$XFD$1, 0), 0)/VLOOKUP($B80, gdp_tot_mes!$B:$XFD, MATCH(gdp_agr_share!Q$1, gdp_tot_mes!$B$1:$XFD$1, 0), 0)</f>
        <v>0.15644426240021567</v>
      </c>
      <c r="R80" s="29">
        <f>VLOOKUP($B80, agr_mes!$B:$XFD, MATCH(gdp_agr_share!R$1, agr_mes!$B$1:$XFD$1, 0), 0)/VLOOKUP($B80, gdp_tot_mes!$B:$XFD, MATCH(gdp_agr_share!R$1, gdp_tot_mes!$B$1:$XFD$1, 0), 0)</f>
        <v>0.31344261819948804</v>
      </c>
      <c r="S80" s="29">
        <f>VLOOKUP($B80, agr_mes!$B:$XFD, MATCH(gdp_agr_share!S$1, agr_mes!$B$1:$XFD$1, 0), 0)/VLOOKUP($B80, gdp_tot_mes!$B:$XFD, MATCH(gdp_agr_share!S$1, gdp_tot_mes!$B$1:$XFD$1, 0), 0)</f>
        <v>0.30574084268768875</v>
      </c>
      <c r="T80" s="29">
        <f>VLOOKUP($B80, agr_mes!$B:$XFD, MATCH(gdp_agr_share!T$1, agr_mes!$B$1:$XFD$1, 0), 0)/VLOOKUP($B80, gdp_tot_mes!$B:$XFD, MATCH(gdp_agr_share!T$1, gdp_tot_mes!$B$1:$XFD$1, 0), 0)</f>
        <v>0.29260271025283829</v>
      </c>
      <c r="U80" s="29">
        <f>VLOOKUP($B80, agr_mes!$B:$XFD, MATCH(gdp_agr_share!U$1, agr_mes!$B$1:$XFD$1, 0), 0)/VLOOKUP($B80, gdp_tot_mes!$B:$XFD, MATCH(gdp_agr_share!U$1, gdp_tot_mes!$B$1:$XFD$1, 0), 0)</f>
        <v>0.19948213228216305</v>
      </c>
      <c r="V80" s="29">
        <f>VLOOKUP($B80, agr_mes!$B:$XFD, MATCH(gdp_agr_share!V$1, agr_mes!$B$1:$XFD$1, 0), 0)/VLOOKUP($B80, gdp_tot_mes!$B:$XFD, MATCH(gdp_agr_share!V$1, gdp_tot_mes!$B$1:$XFD$1, 0), 0)</f>
        <v>0.17579885189191818</v>
      </c>
      <c r="W80" s="29">
        <f>VLOOKUP($B80, agr_mes!$B:$XFD, MATCH(gdp_agr_share!W$1, agr_mes!$B$1:$XFD$1, 0), 0)/VLOOKUP($B80, gdp_tot_mes!$B:$XFD, MATCH(gdp_agr_share!W$1, gdp_tot_mes!$B$1:$XFD$1, 0), 0)</f>
        <v>0.30342841559777428</v>
      </c>
      <c r="X80" s="29">
        <f>VLOOKUP($B80, agr_mes!$B:$XFD, MATCH(gdp_agr_share!X$1, agr_mes!$B$1:$XFD$1, 0), 0)/VLOOKUP($B80, gdp_tot_mes!$B:$XFD, MATCH(gdp_agr_share!X$1, gdp_tot_mes!$B$1:$XFD$1, 0), 0)</f>
        <v>0.28696532709803491</v>
      </c>
      <c r="Y80" s="29">
        <f>VLOOKUP($B80, agr_mes!$B:$XFD, MATCH(gdp_agr_share!Y$1, agr_mes!$B$1:$XFD$1, 0), 0)/VLOOKUP($B80, gdp_tot_mes!$B:$XFD, MATCH(gdp_agr_share!Y$1, gdp_tot_mes!$B$1:$XFD$1, 0), 0)</f>
        <v>0.18652126878906014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x14ac:dyDescent="0.25">
      <c r="A81" s="1" t="s">
        <v>191</v>
      </c>
      <c r="B81" s="1" t="s">
        <v>198</v>
      </c>
      <c r="C81" s="1" t="s">
        <v>199</v>
      </c>
      <c r="D81" s="29">
        <f>VLOOKUP($B81, agr_mes!$B:$XFD, MATCH(gdp_agr_share!D$1, agr_mes!$B$1:$XFD$1, 0), 0)/VLOOKUP($B81, gdp_tot_mes!$B:$XFD, MATCH(gdp_agr_share!D$1, gdp_tot_mes!$B$1:$XFD$1, 0), 0)</f>
        <v>0.76778963519392429</v>
      </c>
      <c r="E81" s="29">
        <f>VLOOKUP($B81, agr_mes!$B:$XFD, MATCH(gdp_agr_share!E$1, agr_mes!$B$1:$XFD$1, 0), 0)/VLOOKUP($B81, gdp_tot_mes!$B:$XFD, MATCH(gdp_agr_share!E$1, gdp_tot_mes!$B$1:$XFD$1, 0), 0)</f>
        <v>0.73761430333622457</v>
      </c>
      <c r="F81" s="29">
        <f>VLOOKUP($B81, agr_mes!$B:$XFD, MATCH(gdp_agr_share!F$1, agr_mes!$B$1:$XFD$1, 0), 0)/VLOOKUP($B81, gdp_tot_mes!$B:$XFD, MATCH(gdp_agr_share!F$1, gdp_tot_mes!$B$1:$XFD$1, 0), 0)</f>
        <v>0.67976457146137859</v>
      </c>
      <c r="G81" s="29">
        <f>VLOOKUP($B81, agr_mes!$B:$XFD, MATCH(gdp_agr_share!G$1, agr_mes!$B$1:$XFD$1, 0), 0)/VLOOKUP($B81, gdp_tot_mes!$B:$XFD, MATCH(gdp_agr_share!G$1, gdp_tot_mes!$B$1:$XFD$1, 0), 0)</f>
        <v>0.7049798560367061</v>
      </c>
      <c r="H81" s="29">
        <f>VLOOKUP($B81, agr_mes!$B:$XFD, MATCH(gdp_agr_share!H$1, agr_mes!$B$1:$XFD$1, 0), 0)/VLOOKUP($B81, gdp_tot_mes!$B:$XFD, MATCH(gdp_agr_share!H$1, gdp_tot_mes!$B$1:$XFD$1, 0), 0)</f>
        <v>0.54924825581829917</v>
      </c>
      <c r="I81" s="29">
        <f>VLOOKUP($B81, agr_mes!$B:$XFD, MATCH(gdp_agr_share!I$1, agr_mes!$B$1:$XFD$1, 0), 0)/VLOOKUP($B81, gdp_tot_mes!$B:$XFD, MATCH(gdp_agr_share!I$1, gdp_tot_mes!$B$1:$XFD$1, 0), 0)</f>
        <v>0.5535745436492332</v>
      </c>
      <c r="J81" s="29">
        <f>VLOOKUP($B81, agr_mes!$B:$XFD, MATCH(gdp_agr_share!J$1, agr_mes!$B$1:$XFD$1, 0), 0)/VLOOKUP($B81, gdp_tot_mes!$B:$XFD, MATCH(gdp_agr_share!J$1, gdp_tot_mes!$B$1:$XFD$1, 0), 0)</f>
        <v>0.42229204808748494</v>
      </c>
      <c r="K81" s="29">
        <f>VLOOKUP($B81, agr_mes!$B:$XFD, MATCH(gdp_agr_share!K$1, agr_mes!$B$1:$XFD$1, 0), 0)/VLOOKUP($B81, gdp_tot_mes!$B:$XFD, MATCH(gdp_agr_share!K$1, gdp_tot_mes!$B$1:$XFD$1, 0), 0)</f>
        <v>0.45189941685542057</v>
      </c>
      <c r="L81" s="30">
        <f t="shared" si="1"/>
        <v>0.41938500252741334</v>
      </c>
      <c r="M81" s="29">
        <f>VLOOKUP($B81, agr_mes!$B:$XFD, MATCH(gdp_agr_share!M$1, agr_mes!$B$1:$XFD$1, 0), 0)/VLOOKUP($B81, gdp_tot_mes!$B:$XFD, MATCH(gdp_agr_share!M$1, gdp_tot_mes!$B$1:$XFD$1, 0), 0)</f>
        <v>0.38036770533380465</v>
      </c>
      <c r="N81" s="29">
        <f>VLOOKUP($B81, agr_mes!$B:$XFD, MATCH(gdp_agr_share!N$1, agr_mes!$B$1:$XFD$1, 0), 0)/VLOOKUP($B81, gdp_tot_mes!$B:$XFD, MATCH(gdp_agr_share!N$1, gdp_tot_mes!$B$1:$XFD$1, 0), 0)</f>
        <v>0.19200739846988329</v>
      </c>
      <c r="O81" s="29">
        <f>VLOOKUP($B81, agr_mes!$B:$XFD, MATCH(gdp_agr_share!O$1, agr_mes!$B$1:$XFD$1, 0), 0)/VLOOKUP($B81, gdp_tot_mes!$B:$XFD, MATCH(gdp_agr_share!O$1, gdp_tot_mes!$B$1:$XFD$1, 0), 0)</f>
        <v>0.1908103081960397</v>
      </c>
      <c r="P81" s="29">
        <f>VLOOKUP($B81, agr_mes!$B:$XFD, MATCH(gdp_agr_share!P$1, agr_mes!$B$1:$XFD$1, 0), 0)/VLOOKUP($B81, gdp_tot_mes!$B:$XFD, MATCH(gdp_agr_share!P$1, gdp_tot_mes!$B$1:$XFD$1, 0), 0)</f>
        <v>0.17282728925600022</v>
      </c>
      <c r="Q81" s="29">
        <f>VLOOKUP($B81, agr_mes!$B:$XFD, MATCH(gdp_agr_share!Q$1, agr_mes!$B$1:$XFD$1, 0), 0)/VLOOKUP($B81, gdp_tot_mes!$B:$XFD, MATCH(gdp_agr_share!Q$1, gdp_tot_mes!$B$1:$XFD$1, 0), 0)</f>
        <v>9.1983863748936509E-2</v>
      </c>
      <c r="R81" s="29">
        <f>VLOOKUP($B81, agr_mes!$B:$XFD, MATCH(gdp_agr_share!R$1, agr_mes!$B$1:$XFD$1, 0), 0)/VLOOKUP($B81, gdp_tot_mes!$B:$XFD, MATCH(gdp_agr_share!R$1, gdp_tot_mes!$B$1:$XFD$1, 0), 0)</f>
        <v>0.13987310712421094</v>
      </c>
      <c r="S81" s="29">
        <f>VLOOKUP($B81, agr_mes!$B:$XFD, MATCH(gdp_agr_share!S$1, agr_mes!$B$1:$XFD$1, 0), 0)/VLOOKUP($B81, gdp_tot_mes!$B:$XFD, MATCH(gdp_agr_share!S$1, gdp_tot_mes!$B$1:$XFD$1, 0), 0)</f>
        <v>0.11936844697682823</v>
      </c>
      <c r="T81" s="29">
        <f>VLOOKUP($B81, agr_mes!$B:$XFD, MATCH(gdp_agr_share!T$1, agr_mes!$B$1:$XFD$1, 0), 0)/VLOOKUP($B81, gdp_tot_mes!$B:$XFD, MATCH(gdp_agr_share!T$1, gdp_tot_mes!$B$1:$XFD$1, 0), 0)</f>
        <v>9.6192689585107682E-2</v>
      </c>
      <c r="U81" s="29">
        <f>VLOOKUP($B81, agr_mes!$B:$XFD, MATCH(gdp_agr_share!U$1, agr_mes!$B$1:$XFD$1, 0), 0)/VLOOKUP($B81, gdp_tot_mes!$B:$XFD, MATCH(gdp_agr_share!U$1, gdp_tot_mes!$B$1:$XFD$1, 0), 0)</f>
        <v>0.10025946017170206</v>
      </c>
      <c r="V81" s="29">
        <f>VLOOKUP($B81, agr_mes!$B:$XFD, MATCH(gdp_agr_share!V$1, agr_mes!$B$1:$XFD$1, 0), 0)/VLOOKUP($B81, gdp_tot_mes!$B:$XFD, MATCH(gdp_agr_share!V$1, gdp_tot_mes!$B$1:$XFD$1, 0), 0)</f>
        <v>6.786570408567151E-2</v>
      </c>
      <c r="W81" s="29">
        <f>VLOOKUP($B81, agr_mes!$B:$XFD, MATCH(gdp_agr_share!W$1, agr_mes!$B$1:$XFD$1, 0), 0)/VLOOKUP($B81, gdp_tot_mes!$B:$XFD, MATCH(gdp_agr_share!W$1, gdp_tot_mes!$B$1:$XFD$1, 0), 0)</f>
        <v>9.6279919055022145E-2</v>
      </c>
      <c r="X81" s="29">
        <f>VLOOKUP($B81, agr_mes!$B:$XFD, MATCH(gdp_agr_share!X$1, agr_mes!$B$1:$XFD$1, 0), 0)/VLOOKUP($B81, gdp_tot_mes!$B:$XFD, MATCH(gdp_agr_share!X$1, gdp_tot_mes!$B$1:$XFD$1, 0), 0)</f>
        <v>9.2746700261373077E-2</v>
      </c>
      <c r="Y81" s="29">
        <f>VLOOKUP($B81, agr_mes!$B:$XFD, MATCH(gdp_agr_share!Y$1, agr_mes!$B$1:$XFD$1, 0), 0)/VLOOKUP($B81, gdp_tot_mes!$B:$XFD, MATCH(gdp_agr_share!Y$1, gdp_tot_mes!$B$1:$XFD$1, 0), 0)</f>
        <v>7.0944395008128922E-2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x14ac:dyDescent="0.25">
      <c r="A82" s="1" t="s">
        <v>200</v>
      </c>
      <c r="B82" s="1" t="s">
        <v>201</v>
      </c>
      <c r="C82" s="1" t="s">
        <v>202</v>
      </c>
      <c r="D82" s="29" t="e">
        <f>VLOOKUP($B82, agr_mes!$B:$XFD, MATCH(gdp_agr_share!D$1, agr_mes!$B$1:$XFD$1, 0), 0)/VLOOKUP($B82, gdp_tot_mes!$B:$XFD, MATCH(gdp_agr_share!D$1, gdp_tot_mes!$B$1:$XFD$1, 0), 0)</f>
        <v>#DIV/0!</v>
      </c>
      <c r="E82" s="29" t="e">
        <f>VLOOKUP($B82, agr_mes!$B:$XFD, MATCH(gdp_agr_share!E$1, agr_mes!$B$1:$XFD$1, 0), 0)/VLOOKUP($B82, gdp_tot_mes!$B:$XFD, MATCH(gdp_agr_share!E$1, gdp_tot_mes!$B$1:$XFD$1, 0), 0)</f>
        <v>#DIV/0!</v>
      </c>
      <c r="F82" s="29" t="e">
        <f>VLOOKUP($B82, agr_mes!$B:$XFD, MATCH(gdp_agr_share!F$1, agr_mes!$B$1:$XFD$1, 0), 0)/VLOOKUP($B82, gdp_tot_mes!$B:$XFD, MATCH(gdp_agr_share!F$1, gdp_tot_mes!$B$1:$XFD$1, 0), 0)</f>
        <v>#DIV/0!</v>
      </c>
      <c r="G82" s="29">
        <f>VLOOKUP($B82, agr_mes!$B:$XFD, MATCH(gdp_agr_share!G$1, agr_mes!$B$1:$XFD$1, 0), 0)/VLOOKUP($B82, gdp_tot_mes!$B:$XFD, MATCH(gdp_agr_share!G$1, gdp_tot_mes!$B$1:$XFD$1, 0), 0)</f>
        <v>0.62735755413704586</v>
      </c>
      <c r="H82" s="29">
        <f>VLOOKUP($B82, agr_mes!$B:$XFD, MATCH(gdp_agr_share!H$1, agr_mes!$B$1:$XFD$1, 0), 0)/VLOOKUP($B82, gdp_tot_mes!$B:$XFD, MATCH(gdp_agr_share!H$1, gdp_tot_mes!$B$1:$XFD$1, 0), 0)</f>
        <v>0.35923937373028181</v>
      </c>
      <c r="I82" s="29">
        <f>VLOOKUP($B82, agr_mes!$B:$XFD, MATCH(gdp_agr_share!I$1, agr_mes!$B$1:$XFD$1, 0), 0)/VLOOKUP($B82, gdp_tot_mes!$B:$XFD, MATCH(gdp_agr_share!I$1, gdp_tot_mes!$B$1:$XFD$1, 0), 0)</f>
        <v>0.5504464980203585</v>
      </c>
      <c r="J82" s="29">
        <f>VLOOKUP($B82, agr_mes!$B:$XFD, MATCH(gdp_agr_share!J$1, agr_mes!$B$1:$XFD$1, 0), 0)/VLOOKUP($B82, gdp_tot_mes!$B:$XFD, MATCH(gdp_agr_share!J$1, gdp_tot_mes!$B$1:$XFD$1, 0), 0)</f>
        <v>0.51349011764581787</v>
      </c>
      <c r="K82" s="29">
        <f>VLOOKUP($B82, agr_mes!$B:$XFD, MATCH(gdp_agr_share!K$1, agr_mes!$B$1:$XFD$1, 0), 0)/VLOOKUP($B82, gdp_tot_mes!$B:$XFD, MATCH(gdp_agr_share!K$1, gdp_tot_mes!$B$1:$XFD$1, 0), 0)</f>
        <v>0.51934064769956778</v>
      </c>
      <c r="L82" s="30">
        <f t="shared" si="1"/>
        <v>0.44791536557755673</v>
      </c>
      <c r="M82" s="29">
        <f>VLOOKUP($B82, agr_mes!$B:$XFD, MATCH(gdp_agr_share!M$1, agr_mes!$B$1:$XFD$1, 0), 0)/VLOOKUP($B82, gdp_tot_mes!$B:$XFD, MATCH(gdp_agr_share!M$1, gdp_tot_mes!$B$1:$XFD$1, 0), 0)</f>
        <v>0.36220502703114343</v>
      </c>
      <c r="N82" s="29">
        <f>VLOOKUP($B82, agr_mes!$B:$XFD, MATCH(gdp_agr_share!N$1, agr_mes!$B$1:$XFD$1, 0), 0)/VLOOKUP($B82, gdp_tot_mes!$B:$XFD, MATCH(gdp_agr_share!N$1, gdp_tot_mes!$B$1:$XFD$1, 0), 0)</f>
        <v>0.16885694913806601</v>
      </c>
      <c r="O82" s="29">
        <f>VLOOKUP($B82, agr_mes!$B:$XFD, MATCH(gdp_agr_share!O$1, agr_mes!$B$1:$XFD$1, 0), 0)/VLOOKUP($B82, gdp_tot_mes!$B:$XFD, MATCH(gdp_agr_share!O$1, gdp_tot_mes!$B$1:$XFD$1, 0), 0)</f>
        <v>0.17101407612887551</v>
      </c>
      <c r="P82" s="29">
        <f>VLOOKUP($B82, agr_mes!$B:$XFD, MATCH(gdp_agr_share!P$1, agr_mes!$B$1:$XFD$1, 0), 0)/VLOOKUP($B82, gdp_tot_mes!$B:$XFD, MATCH(gdp_agr_share!P$1, gdp_tot_mes!$B$1:$XFD$1, 0), 0)</f>
        <v>0.17347666907280351</v>
      </c>
      <c r="Q82" s="29">
        <f>VLOOKUP($B82, agr_mes!$B:$XFD, MATCH(gdp_agr_share!Q$1, agr_mes!$B$1:$XFD$1, 0), 0)/VLOOKUP($B82, gdp_tot_mes!$B:$XFD, MATCH(gdp_agr_share!Q$1, gdp_tot_mes!$B$1:$XFD$1, 0), 0)</f>
        <v>0.18231209999102704</v>
      </c>
      <c r="R82" s="29">
        <f>VLOOKUP($B82, agr_mes!$B:$XFD, MATCH(gdp_agr_share!R$1, agr_mes!$B$1:$XFD$1, 0), 0)/VLOOKUP($B82, gdp_tot_mes!$B:$XFD, MATCH(gdp_agr_share!R$1, gdp_tot_mes!$B$1:$XFD$1, 0), 0)</f>
        <v>0.22106485319842437</v>
      </c>
      <c r="S82" s="29">
        <f>VLOOKUP($B82, agr_mes!$B:$XFD, MATCH(gdp_agr_share!S$1, agr_mes!$B$1:$XFD$1, 0), 0)/VLOOKUP($B82, gdp_tot_mes!$B:$XFD, MATCH(gdp_agr_share!S$1, gdp_tot_mes!$B$1:$XFD$1, 0), 0)</f>
        <v>0.20492543286304779</v>
      </c>
      <c r="T82" s="29">
        <f>VLOOKUP($B82, agr_mes!$B:$XFD, MATCH(gdp_agr_share!T$1, agr_mes!$B$1:$XFD$1, 0), 0)/VLOOKUP($B82, gdp_tot_mes!$B:$XFD, MATCH(gdp_agr_share!T$1, gdp_tot_mes!$B$1:$XFD$1, 0), 0)</f>
        <v>0.17240917844623985</v>
      </c>
      <c r="U82" s="29">
        <f>VLOOKUP($B82, agr_mes!$B:$XFD, MATCH(gdp_agr_share!U$1, agr_mes!$B$1:$XFD$1, 0), 0)/VLOOKUP($B82, gdp_tot_mes!$B:$XFD, MATCH(gdp_agr_share!U$1, gdp_tot_mes!$B$1:$XFD$1, 0), 0)</f>
        <v>0.16552350375451508</v>
      </c>
      <c r="V82" s="29">
        <f>VLOOKUP($B82, agr_mes!$B:$XFD, MATCH(gdp_agr_share!V$1, agr_mes!$B$1:$XFD$1, 0), 0)/VLOOKUP($B82, gdp_tot_mes!$B:$XFD, MATCH(gdp_agr_share!V$1, gdp_tot_mes!$B$1:$XFD$1, 0), 0)</f>
        <v>0.17548898951965639</v>
      </c>
      <c r="W82" s="29">
        <f>VLOOKUP($B82, agr_mes!$B:$XFD, MATCH(gdp_agr_share!W$1, agr_mes!$B$1:$XFD$1, 0), 0)/VLOOKUP($B82, gdp_tot_mes!$B:$XFD, MATCH(gdp_agr_share!W$1, gdp_tot_mes!$B$1:$XFD$1, 0), 0)</f>
        <v>0.18839321775877704</v>
      </c>
      <c r="X82" s="29">
        <f>VLOOKUP($B82, agr_mes!$B:$XFD, MATCH(gdp_agr_share!X$1, agr_mes!$B$1:$XFD$1, 0), 0)/VLOOKUP($B82, gdp_tot_mes!$B:$XFD, MATCH(gdp_agr_share!X$1, gdp_tot_mes!$B$1:$XFD$1, 0), 0)</f>
        <v>0.1734043950128738</v>
      </c>
      <c r="Y82" s="29">
        <f>VLOOKUP($B82, agr_mes!$B:$XFD, MATCH(gdp_agr_share!Y$1, agr_mes!$B$1:$XFD$1, 0), 0)/VLOOKUP($B82, gdp_tot_mes!$B:$XFD, MATCH(gdp_agr_share!Y$1, gdp_tot_mes!$B$1:$XFD$1, 0), 0)</f>
        <v>0.17536834840925386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x14ac:dyDescent="0.25">
      <c r="A83" s="1" t="s">
        <v>200</v>
      </c>
      <c r="B83" s="1" t="s">
        <v>203</v>
      </c>
      <c r="C83" s="1" t="s">
        <v>204</v>
      </c>
      <c r="D83" s="29" t="e">
        <f>VLOOKUP($B83, agr_mes!$B:$XFD, MATCH(gdp_agr_share!D$1, agr_mes!$B$1:$XFD$1, 0), 0)/VLOOKUP($B83, gdp_tot_mes!$B:$XFD, MATCH(gdp_agr_share!D$1, gdp_tot_mes!$B$1:$XFD$1, 0), 0)</f>
        <v>#DIV/0!</v>
      </c>
      <c r="E83" s="29" t="e">
        <f>VLOOKUP($B83, agr_mes!$B:$XFD, MATCH(gdp_agr_share!E$1, agr_mes!$B$1:$XFD$1, 0), 0)/VLOOKUP($B83, gdp_tot_mes!$B:$XFD, MATCH(gdp_agr_share!E$1, gdp_tot_mes!$B$1:$XFD$1, 0), 0)</f>
        <v>#DIV/0!</v>
      </c>
      <c r="F83" s="29">
        <f>VLOOKUP($B83, agr_mes!$B:$XFD, MATCH(gdp_agr_share!F$1, agr_mes!$B$1:$XFD$1, 0), 0)/VLOOKUP($B83, gdp_tot_mes!$B:$XFD, MATCH(gdp_agr_share!F$1, gdp_tot_mes!$B$1:$XFD$1, 0), 0)</f>
        <v>0.69644756853107437</v>
      </c>
      <c r="G83" s="29">
        <f>VLOOKUP($B83, agr_mes!$B:$XFD, MATCH(gdp_agr_share!G$1, agr_mes!$B$1:$XFD$1, 0), 0)/VLOOKUP($B83, gdp_tot_mes!$B:$XFD, MATCH(gdp_agr_share!G$1, gdp_tot_mes!$B$1:$XFD$1, 0), 0)</f>
        <v>0.65249159383848077</v>
      </c>
      <c r="H83" s="29">
        <f>VLOOKUP($B83, agr_mes!$B:$XFD, MATCH(gdp_agr_share!H$1, agr_mes!$B$1:$XFD$1, 0), 0)/VLOOKUP($B83, gdp_tot_mes!$B:$XFD, MATCH(gdp_agr_share!H$1, gdp_tot_mes!$B$1:$XFD$1, 0), 0)</f>
        <v>0.41645958372440933</v>
      </c>
      <c r="I83" s="29">
        <f>VLOOKUP($B83, agr_mes!$B:$XFD, MATCH(gdp_agr_share!I$1, agr_mes!$B$1:$XFD$1, 0), 0)/VLOOKUP($B83, gdp_tot_mes!$B:$XFD, MATCH(gdp_agr_share!I$1, gdp_tot_mes!$B$1:$XFD$1, 0), 0)</f>
        <v>0.49938224018389787</v>
      </c>
      <c r="J83" s="29">
        <f>VLOOKUP($B83, agr_mes!$B:$XFD, MATCH(gdp_agr_share!J$1, agr_mes!$B$1:$XFD$1, 0), 0)/VLOOKUP($B83, gdp_tot_mes!$B:$XFD, MATCH(gdp_agr_share!J$1, gdp_tot_mes!$B$1:$XFD$1, 0), 0)</f>
        <v>0.49217388055049949</v>
      </c>
      <c r="K83" s="29">
        <f>VLOOKUP($B83, agr_mes!$B:$XFD, MATCH(gdp_agr_share!K$1, agr_mes!$B$1:$XFD$1, 0), 0)/VLOOKUP($B83, gdp_tot_mes!$B:$XFD, MATCH(gdp_agr_share!K$1, gdp_tot_mes!$B$1:$XFD$1, 0), 0)</f>
        <v>0.49441270797487241</v>
      </c>
      <c r="L83" s="30">
        <f t="shared" si="1"/>
        <v>0.48071894596643339</v>
      </c>
      <c r="M83" s="29">
        <f>VLOOKUP($B83, agr_mes!$B:$XFD, MATCH(gdp_agr_share!M$1, agr_mes!$B$1:$XFD$1, 0), 0)/VLOOKUP($B83, gdp_tot_mes!$B:$XFD, MATCH(gdp_agr_share!M$1, gdp_tot_mes!$B$1:$XFD$1, 0), 0)</f>
        <v>0.4642864315563065</v>
      </c>
      <c r="N83" s="29">
        <f>VLOOKUP($B83, agr_mes!$B:$XFD, MATCH(gdp_agr_share!N$1, agr_mes!$B$1:$XFD$1, 0), 0)/VLOOKUP($B83, gdp_tot_mes!$B:$XFD, MATCH(gdp_agr_share!N$1, gdp_tot_mes!$B$1:$XFD$1, 0), 0)</f>
        <v>0.26500836572209258</v>
      </c>
      <c r="O83" s="29">
        <f>VLOOKUP($B83, agr_mes!$B:$XFD, MATCH(gdp_agr_share!O$1, agr_mes!$B$1:$XFD$1, 0), 0)/VLOOKUP($B83, gdp_tot_mes!$B:$XFD, MATCH(gdp_agr_share!O$1, gdp_tot_mes!$B$1:$XFD$1, 0), 0)</f>
        <v>0.25301747724845569</v>
      </c>
      <c r="P83" s="29">
        <f>VLOOKUP($B83, agr_mes!$B:$XFD, MATCH(gdp_agr_share!P$1, agr_mes!$B$1:$XFD$1, 0), 0)/VLOOKUP($B83, gdp_tot_mes!$B:$XFD, MATCH(gdp_agr_share!P$1, gdp_tot_mes!$B$1:$XFD$1, 0), 0)</f>
        <v>0.25824709922685479</v>
      </c>
      <c r="Q83" s="29">
        <f>VLOOKUP($B83, agr_mes!$B:$XFD, MATCH(gdp_agr_share!Q$1, agr_mes!$B$1:$XFD$1, 0), 0)/VLOOKUP($B83, gdp_tot_mes!$B:$XFD, MATCH(gdp_agr_share!Q$1, gdp_tot_mes!$B$1:$XFD$1, 0), 0)</f>
        <v>0.26080582281469672</v>
      </c>
      <c r="R83" s="29">
        <f>VLOOKUP($B83, agr_mes!$B:$XFD, MATCH(gdp_agr_share!R$1, agr_mes!$B$1:$XFD$1, 0), 0)/VLOOKUP($B83, gdp_tot_mes!$B:$XFD, MATCH(gdp_agr_share!R$1, gdp_tot_mes!$B$1:$XFD$1, 0), 0)</f>
        <v>0.30454861134481404</v>
      </c>
      <c r="S83" s="29">
        <f>VLOOKUP($B83, agr_mes!$B:$XFD, MATCH(gdp_agr_share!S$1, agr_mes!$B$1:$XFD$1, 0), 0)/VLOOKUP($B83, gdp_tot_mes!$B:$XFD, MATCH(gdp_agr_share!S$1, gdp_tot_mes!$B$1:$XFD$1, 0), 0)</f>
        <v>0.27721498246521564</v>
      </c>
      <c r="T83" s="29">
        <f>VLOOKUP($B83, agr_mes!$B:$XFD, MATCH(gdp_agr_share!T$1, agr_mes!$B$1:$XFD$1, 0), 0)/VLOOKUP($B83, gdp_tot_mes!$B:$XFD, MATCH(gdp_agr_share!T$1, gdp_tot_mes!$B$1:$XFD$1, 0), 0)</f>
        <v>0.21245300392051167</v>
      </c>
      <c r="U83" s="29">
        <f>VLOOKUP($B83, agr_mes!$B:$XFD, MATCH(gdp_agr_share!U$1, agr_mes!$B$1:$XFD$1, 0), 0)/VLOOKUP($B83, gdp_tot_mes!$B:$XFD, MATCH(gdp_agr_share!U$1, gdp_tot_mes!$B$1:$XFD$1, 0), 0)</f>
        <v>0.20750583335286857</v>
      </c>
      <c r="V83" s="29">
        <f>VLOOKUP($B83, agr_mes!$B:$XFD, MATCH(gdp_agr_share!V$1, agr_mes!$B$1:$XFD$1, 0), 0)/VLOOKUP($B83, gdp_tot_mes!$B:$XFD, MATCH(gdp_agr_share!V$1, gdp_tot_mes!$B$1:$XFD$1, 0), 0)</f>
        <v>0.23428975288613429</v>
      </c>
      <c r="W83" s="29">
        <f>VLOOKUP($B83, agr_mes!$B:$XFD, MATCH(gdp_agr_share!W$1, agr_mes!$B$1:$XFD$1, 0), 0)/VLOOKUP($B83, gdp_tot_mes!$B:$XFD, MATCH(gdp_agr_share!W$1, gdp_tot_mes!$B$1:$XFD$1, 0), 0)</f>
        <v>0.27778950928943325</v>
      </c>
      <c r="X83" s="29">
        <f>VLOOKUP($B83, agr_mes!$B:$XFD, MATCH(gdp_agr_share!X$1, agr_mes!$B$1:$XFD$1, 0), 0)/VLOOKUP($B83, gdp_tot_mes!$B:$XFD, MATCH(gdp_agr_share!X$1, gdp_tot_mes!$B$1:$XFD$1, 0), 0)</f>
        <v>0.24041766259052472</v>
      </c>
      <c r="Y83" s="29">
        <f>VLOOKUP($B83, agr_mes!$B:$XFD, MATCH(gdp_agr_share!Y$1, agr_mes!$B$1:$XFD$1, 0), 0)/VLOOKUP($B83, gdp_tot_mes!$B:$XFD, MATCH(gdp_agr_share!Y$1, gdp_tot_mes!$B$1:$XFD$1, 0), 0)</f>
        <v>0.20586916889172599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x14ac:dyDescent="0.25">
      <c r="A84" s="1" t="s">
        <v>200</v>
      </c>
      <c r="B84" s="1" t="s">
        <v>205</v>
      </c>
      <c r="C84" s="1" t="s">
        <v>206</v>
      </c>
      <c r="D84" s="29">
        <f>VLOOKUP($B84, agr_mes!$B:$XFD, MATCH(gdp_agr_share!D$1, agr_mes!$B$1:$XFD$1, 0), 0)/VLOOKUP($B84, gdp_tot_mes!$B:$XFD, MATCH(gdp_agr_share!D$1, gdp_tot_mes!$B$1:$XFD$1, 0), 0)</f>
        <v>0.20831983930594178</v>
      </c>
      <c r="E84" s="29">
        <f>VLOOKUP($B84, agr_mes!$B:$XFD, MATCH(gdp_agr_share!E$1, agr_mes!$B$1:$XFD$1, 0), 0)/VLOOKUP($B84, gdp_tot_mes!$B:$XFD, MATCH(gdp_agr_share!E$1, gdp_tot_mes!$B$1:$XFD$1, 0), 0)</f>
        <v>0.57820986889498283</v>
      </c>
      <c r="F84" s="29">
        <f>VLOOKUP($B84, agr_mes!$B:$XFD, MATCH(gdp_agr_share!F$1, agr_mes!$B$1:$XFD$1, 0), 0)/VLOOKUP($B84, gdp_tot_mes!$B:$XFD, MATCH(gdp_agr_share!F$1, gdp_tot_mes!$B$1:$XFD$1, 0), 0)</f>
        <v>0.52652350799881176</v>
      </c>
      <c r="G84" s="29">
        <f>VLOOKUP($B84, agr_mes!$B:$XFD, MATCH(gdp_agr_share!G$1, agr_mes!$B$1:$XFD$1, 0), 0)/VLOOKUP($B84, gdp_tot_mes!$B:$XFD, MATCH(gdp_agr_share!G$1, gdp_tot_mes!$B$1:$XFD$1, 0), 0)</f>
        <v>0.51643928602779154</v>
      </c>
      <c r="H84" s="29">
        <f>VLOOKUP($B84, agr_mes!$B:$XFD, MATCH(gdp_agr_share!H$1, agr_mes!$B$1:$XFD$1, 0), 0)/VLOOKUP($B84, gdp_tot_mes!$B:$XFD, MATCH(gdp_agr_share!H$1, gdp_tot_mes!$B$1:$XFD$1, 0), 0)</f>
        <v>0.19212809002809916</v>
      </c>
      <c r="I84" s="29">
        <f>VLOOKUP($B84, agr_mes!$B:$XFD, MATCH(gdp_agr_share!I$1, agr_mes!$B$1:$XFD$1, 0), 0)/VLOOKUP($B84, gdp_tot_mes!$B:$XFD, MATCH(gdp_agr_share!I$1, gdp_tot_mes!$B$1:$XFD$1, 0), 0)</f>
        <v>0.28282607565734985</v>
      </c>
      <c r="J84" s="29">
        <f>VLOOKUP($B84, agr_mes!$B:$XFD, MATCH(gdp_agr_share!J$1, agr_mes!$B$1:$XFD$1, 0), 0)/VLOOKUP($B84, gdp_tot_mes!$B:$XFD, MATCH(gdp_agr_share!J$1, gdp_tot_mes!$B$1:$XFD$1, 0), 0)</f>
        <v>0.20787012318840051</v>
      </c>
      <c r="K84" s="29">
        <f>VLOOKUP($B84, agr_mes!$B:$XFD, MATCH(gdp_agr_share!K$1, agr_mes!$B$1:$XFD$1, 0), 0)/VLOOKUP($B84, gdp_tot_mes!$B:$XFD, MATCH(gdp_agr_share!K$1, gdp_tot_mes!$B$1:$XFD$1, 0), 0)</f>
        <v>0.23793000427596805</v>
      </c>
      <c r="L84" s="30">
        <f t="shared" si="1"/>
        <v>0.19299512655424617</v>
      </c>
      <c r="M84" s="29">
        <f>VLOOKUP($B84, agr_mes!$B:$XFD, MATCH(gdp_agr_share!M$1, agr_mes!$B$1:$XFD$1, 0), 0)/VLOOKUP($B84, gdp_tot_mes!$B:$XFD, MATCH(gdp_agr_share!M$1, gdp_tot_mes!$B$1:$XFD$1, 0), 0)</f>
        <v>0.13907327328817992</v>
      </c>
      <c r="N84" s="29">
        <f>VLOOKUP($B84, agr_mes!$B:$XFD, MATCH(gdp_agr_share!N$1, agr_mes!$B$1:$XFD$1, 0), 0)/VLOOKUP($B84, gdp_tot_mes!$B:$XFD, MATCH(gdp_agr_share!N$1, gdp_tot_mes!$B$1:$XFD$1, 0), 0)</f>
        <v>7.9782745963540846E-2</v>
      </c>
      <c r="O84" s="29">
        <f>VLOOKUP($B84, agr_mes!$B:$XFD, MATCH(gdp_agr_share!O$1, agr_mes!$B$1:$XFD$1, 0), 0)/VLOOKUP($B84, gdp_tot_mes!$B:$XFD, MATCH(gdp_agr_share!O$1, gdp_tot_mes!$B$1:$XFD$1, 0), 0)</f>
        <v>7.1292616184676014E-2</v>
      </c>
      <c r="P84" s="29">
        <f>VLOOKUP($B84, agr_mes!$B:$XFD, MATCH(gdp_agr_share!P$1, agr_mes!$B$1:$XFD$1, 0), 0)/VLOOKUP($B84, gdp_tot_mes!$B:$XFD, MATCH(gdp_agr_share!P$1, gdp_tot_mes!$B$1:$XFD$1, 0), 0)</f>
        <v>7.7362548785792379E-2</v>
      </c>
      <c r="Q84" s="29">
        <f>VLOOKUP($B84, agr_mes!$B:$XFD, MATCH(gdp_agr_share!Q$1, agr_mes!$B$1:$XFD$1, 0), 0)/VLOOKUP($B84, gdp_tot_mes!$B:$XFD, MATCH(gdp_agr_share!Q$1, gdp_tot_mes!$B$1:$XFD$1, 0), 0)</f>
        <v>9.404847979683939E-2</v>
      </c>
      <c r="R84" s="29">
        <f>VLOOKUP($B84, agr_mes!$B:$XFD, MATCH(gdp_agr_share!R$1, agr_mes!$B$1:$XFD$1, 0), 0)/VLOOKUP($B84, gdp_tot_mes!$B:$XFD, MATCH(gdp_agr_share!R$1, gdp_tot_mes!$B$1:$XFD$1, 0), 0)</f>
        <v>0.11316744013265409</v>
      </c>
      <c r="S84" s="29">
        <f>VLOOKUP($B84, agr_mes!$B:$XFD, MATCH(gdp_agr_share!S$1, agr_mes!$B$1:$XFD$1, 0), 0)/VLOOKUP($B84, gdp_tot_mes!$B:$XFD, MATCH(gdp_agr_share!S$1, gdp_tot_mes!$B$1:$XFD$1, 0), 0)</f>
        <v>9.8979270267218145E-2</v>
      </c>
      <c r="T84" s="29">
        <f>VLOOKUP($B84, agr_mes!$B:$XFD, MATCH(gdp_agr_share!T$1, agr_mes!$B$1:$XFD$1, 0), 0)/VLOOKUP($B84, gdp_tot_mes!$B:$XFD, MATCH(gdp_agr_share!T$1, gdp_tot_mes!$B$1:$XFD$1, 0), 0)</f>
        <v>7.1917190464959535E-2</v>
      </c>
      <c r="U84" s="29">
        <f>VLOOKUP($B84, agr_mes!$B:$XFD, MATCH(gdp_agr_share!U$1, agr_mes!$B$1:$XFD$1, 0), 0)/VLOOKUP($B84, gdp_tot_mes!$B:$XFD, MATCH(gdp_agr_share!U$1, gdp_tot_mes!$B$1:$XFD$1, 0), 0)</f>
        <v>6.7264420423395435E-2</v>
      </c>
      <c r="V84" s="29">
        <f>VLOOKUP($B84, agr_mes!$B:$XFD, MATCH(gdp_agr_share!V$1, agr_mes!$B$1:$XFD$1, 0), 0)/VLOOKUP($B84, gdp_tot_mes!$B:$XFD, MATCH(gdp_agr_share!V$1, gdp_tot_mes!$B$1:$XFD$1, 0), 0)</f>
        <v>7.2724225394259573E-2</v>
      </c>
      <c r="W84" s="29">
        <f>VLOOKUP($B84, agr_mes!$B:$XFD, MATCH(gdp_agr_share!W$1, agr_mes!$B$1:$XFD$1, 0), 0)/VLOOKUP($B84, gdp_tot_mes!$B:$XFD, MATCH(gdp_agr_share!W$1, gdp_tot_mes!$B$1:$XFD$1, 0), 0)</f>
        <v>8.6653110220134139E-2</v>
      </c>
      <c r="X84" s="29">
        <f>VLOOKUP($B84, agr_mes!$B:$XFD, MATCH(gdp_agr_share!X$1, agr_mes!$B$1:$XFD$1, 0), 0)/VLOOKUP($B84, gdp_tot_mes!$B:$XFD, MATCH(gdp_agr_share!X$1, gdp_tot_mes!$B$1:$XFD$1, 0), 0)</f>
        <v>7.1874291303014121E-2</v>
      </c>
      <c r="Y84" s="29">
        <f>VLOOKUP($B84, agr_mes!$B:$XFD, MATCH(gdp_agr_share!Y$1, agr_mes!$B$1:$XFD$1, 0), 0)/VLOOKUP($B84, gdp_tot_mes!$B:$XFD, MATCH(gdp_agr_share!Y$1, gdp_tot_mes!$B$1:$XFD$1, 0), 0)</f>
        <v>7.3297482936841796E-2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x14ac:dyDescent="0.25">
      <c r="A85" s="1" t="s">
        <v>200</v>
      </c>
      <c r="B85" s="1" t="s">
        <v>207</v>
      </c>
      <c r="C85" s="1" t="s">
        <v>208</v>
      </c>
      <c r="D85" s="29">
        <f>VLOOKUP($B85, agr_mes!$B:$XFD, MATCH(gdp_agr_share!D$1, agr_mes!$B$1:$XFD$1, 0), 0)/VLOOKUP($B85, gdp_tot_mes!$B:$XFD, MATCH(gdp_agr_share!D$1, gdp_tot_mes!$B$1:$XFD$1, 0), 0)</f>
        <v>0.77012026497723118</v>
      </c>
      <c r="E85" s="29">
        <f>VLOOKUP($B85, agr_mes!$B:$XFD, MATCH(gdp_agr_share!E$1, agr_mes!$B$1:$XFD$1, 0), 0)/VLOOKUP($B85, gdp_tot_mes!$B:$XFD, MATCH(gdp_agr_share!E$1, gdp_tot_mes!$B$1:$XFD$1, 0), 0)</f>
        <v>0.78312220125436827</v>
      </c>
      <c r="F85" s="29">
        <f>VLOOKUP($B85, agr_mes!$B:$XFD, MATCH(gdp_agr_share!F$1, agr_mes!$B$1:$XFD$1, 0), 0)/VLOOKUP($B85, gdp_tot_mes!$B:$XFD, MATCH(gdp_agr_share!F$1, gdp_tot_mes!$B$1:$XFD$1, 0), 0)</f>
        <v>0.56200795674684856</v>
      </c>
      <c r="G85" s="29">
        <f>VLOOKUP($B85, agr_mes!$B:$XFD, MATCH(gdp_agr_share!G$1, agr_mes!$B$1:$XFD$1, 0), 0)/VLOOKUP($B85, gdp_tot_mes!$B:$XFD, MATCH(gdp_agr_share!G$1, gdp_tot_mes!$B$1:$XFD$1, 0), 0)</f>
        <v>0.60598552716641685</v>
      </c>
      <c r="H85" s="29">
        <f>VLOOKUP($B85, agr_mes!$B:$XFD, MATCH(gdp_agr_share!H$1, agr_mes!$B$1:$XFD$1, 0), 0)/VLOOKUP($B85, gdp_tot_mes!$B:$XFD, MATCH(gdp_agr_share!H$1, gdp_tot_mes!$B$1:$XFD$1, 0), 0)</f>
        <v>0.41295809145973095</v>
      </c>
      <c r="I85" s="29">
        <f>VLOOKUP($B85, agr_mes!$B:$XFD, MATCH(gdp_agr_share!I$1, agr_mes!$B$1:$XFD$1, 0), 0)/VLOOKUP($B85, gdp_tot_mes!$B:$XFD, MATCH(gdp_agr_share!I$1, gdp_tot_mes!$B$1:$XFD$1, 0), 0)</f>
        <v>0.40266396829153239</v>
      </c>
      <c r="J85" s="29">
        <f>VLOOKUP($B85, agr_mes!$B:$XFD, MATCH(gdp_agr_share!J$1, agr_mes!$B$1:$XFD$1, 0), 0)/VLOOKUP($B85, gdp_tot_mes!$B:$XFD, MATCH(gdp_agr_share!J$1, gdp_tot_mes!$B$1:$XFD$1, 0), 0)</f>
        <v>0.40009249287968862</v>
      </c>
      <c r="K85" s="29">
        <f>VLOOKUP($B85, agr_mes!$B:$XFD, MATCH(gdp_agr_share!K$1, agr_mes!$B$1:$XFD$1, 0), 0)/VLOOKUP($B85, gdp_tot_mes!$B:$XFD, MATCH(gdp_agr_share!K$1, gdp_tot_mes!$B$1:$XFD$1, 0), 0)</f>
        <v>0.41610148376316386</v>
      </c>
      <c r="L85" s="30">
        <f t="shared" si="1"/>
        <v>0.39977971207760532</v>
      </c>
      <c r="M85" s="29">
        <f>VLOOKUP($B85, agr_mes!$B:$XFD, MATCH(gdp_agr_share!M$1, agr_mes!$B$1:$XFD$1, 0), 0)/VLOOKUP($B85, gdp_tot_mes!$B:$XFD, MATCH(gdp_agr_share!M$1, gdp_tot_mes!$B$1:$XFD$1, 0), 0)</f>
        <v>0.38019358605493503</v>
      </c>
      <c r="N85" s="29">
        <f>VLOOKUP($B85, agr_mes!$B:$XFD, MATCH(gdp_agr_share!N$1, agr_mes!$B$1:$XFD$1, 0), 0)/VLOOKUP($B85, gdp_tot_mes!$B:$XFD, MATCH(gdp_agr_share!N$1, gdp_tot_mes!$B$1:$XFD$1, 0), 0)</f>
        <v>0.1944515478298845</v>
      </c>
      <c r="O85" s="29">
        <f>VLOOKUP($B85, agr_mes!$B:$XFD, MATCH(gdp_agr_share!O$1, agr_mes!$B$1:$XFD$1, 0), 0)/VLOOKUP($B85, gdp_tot_mes!$B:$XFD, MATCH(gdp_agr_share!O$1, gdp_tot_mes!$B$1:$XFD$1, 0), 0)</f>
        <v>0.16659918917868027</v>
      </c>
      <c r="P85" s="29">
        <f>VLOOKUP($B85, agr_mes!$B:$XFD, MATCH(gdp_agr_share!P$1, agr_mes!$B$1:$XFD$1, 0), 0)/VLOOKUP($B85, gdp_tot_mes!$B:$XFD, MATCH(gdp_agr_share!P$1, gdp_tot_mes!$B$1:$XFD$1, 0), 0)</f>
        <v>0.19415864447574011</v>
      </c>
      <c r="Q85" s="29">
        <f>VLOOKUP($B85, agr_mes!$B:$XFD, MATCH(gdp_agr_share!Q$1, agr_mes!$B$1:$XFD$1, 0), 0)/VLOOKUP($B85, gdp_tot_mes!$B:$XFD, MATCH(gdp_agr_share!Q$1, gdp_tot_mes!$B$1:$XFD$1, 0), 0)</f>
        <v>0.23083226787783123</v>
      </c>
      <c r="R85" s="29">
        <f>VLOOKUP($B85, agr_mes!$B:$XFD, MATCH(gdp_agr_share!R$1, agr_mes!$B$1:$XFD$1, 0), 0)/VLOOKUP($B85, gdp_tot_mes!$B:$XFD, MATCH(gdp_agr_share!R$1, gdp_tot_mes!$B$1:$XFD$1, 0), 0)</f>
        <v>0.26938103891992099</v>
      </c>
      <c r="S85" s="29">
        <f>VLOOKUP($B85, agr_mes!$B:$XFD, MATCH(gdp_agr_share!S$1, agr_mes!$B$1:$XFD$1, 0), 0)/VLOOKUP($B85, gdp_tot_mes!$B:$XFD, MATCH(gdp_agr_share!S$1, gdp_tot_mes!$B$1:$XFD$1, 0), 0)</f>
        <v>0.26169853986023039</v>
      </c>
      <c r="T85" s="29">
        <f>VLOOKUP($B85, agr_mes!$B:$XFD, MATCH(gdp_agr_share!T$1, agr_mes!$B$1:$XFD$1, 0), 0)/VLOOKUP($B85, gdp_tot_mes!$B:$XFD, MATCH(gdp_agr_share!T$1, gdp_tot_mes!$B$1:$XFD$1, 0), 0)</f>
        <v>0.20261200616060321</v>
      </c>
      <c r="U85" s="29">
        <f>VLOOKUP($B85, agr_mes!$B:$XFD, MATCH(gdp_agr_share!U$1, agr_mes!$B$1:$XFD$1, 0), 0)/VLOOKUP($B85, gdp_tot_mes!$B:$XFD, MATCH(gdp_agr_share!U$1, gdp_tot_mes!$B$1:$XFD$1, 0), 0)</f>
        <v>0.20643315818831146</v>
      </c>
      <c r="V85" s="29">
        <f>VLOOKUP($B85, agr_mes!$B:$XFD, MATCH(gdp_agr_share!V$1, agr_mes!$B$1:$XFD$1, 0), 0)/VLOOKUP($B85, gdp_tot_mes!$B:$XFD, MATCH(gdp_agr_share!V$1, gdp_tot_mes!$B$1:$XFD$1, 0), 0)</f>
        <v>0.21185878846622913</v>
      </c>
      <c r="W85" s="29">
        <f>VLOOKUP($B85, agr_mes!$B:$XFD, MATCH(gdp_agr_share!W$1, agr_mes!$B$1:$XFD$1, 0), 0)/VLOOKUP($B85, gdp_tot_mes!$B:$XFD, MATCH(gdp_agr_share!W$1, gdp_tot_mes!$B$1:$XFD$1, 0), 0)</f>
        <v>0.2679900312046018</v>
      </c>
      <c r="X85" s="29">
        <f>VLOOKUP($B85, agr_mes!$B:$XFD, MATCH(gdp_agr_share!X$1, agr_mes!$B$1:$XFD$1, 0), 0)/VLOOKUP($B85, gdp_tot_mes!$B:$XFD, MATCH(gdp_agr_share!X$1, gdp_tot_mes!$B$1:$XFD$1, 0), 0)</f>
        <v>0.19997779721376432</v>
      </c>
      <c r="Y85" s="29">
        <f>VLOOKUP($B85, agr_mes!$B:$XFD, MATCH(gdp_agr_share!Y$1, agr_mes!$B$1:$XFD$1, 0), 0)/VLOOKUP($B85, gdp_tot_mes!$B:$XFD, MATCH(gdp_agr_share!Y$1, gdp_tot_mes!$B$1:$XFD$1, 0), 0)</f>
        <v>0.246881645998861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x14ac:dyDescent="0.25">
      <c r="A86" s="1" t="s">
        <v>200</v>
      </c>
      <c r="B86" s="1" t="s">
        <v>209</v>
      </c>
      <c r="C86" s="1" t="s">
        <v>210</v>
      </c>
      <c r="D86" s="29">
        <f>VLOOKUP($B86, agr_mes!$B:$XFD, MATCH(gdp_agr_share!D$1, agr_mes!$B$1:$XFD$1, 0), 0)/VLOOKUP($B86, gdp_tot_mes!$B:$XFD, MATCH(gdp_agr_share!D$1, gdp_tot_mes!$B$1:$XFD$1, 0), 0)</f>
        <v>0.4160136537463025</v>
      </c>
      <c r="E86" s="29">
        <f>VLOOKUP($B86, agr_mes!$B:$XFD, MATCH(gdp_agr_share!E$1, agr_mes!$B$1:$XFD$1, 0), 0)/VLOOKUP($B86, gdp_tot_mes!$B:$XFD, MATCH(gdp_agr_share!E$1, gdp_tot_mes!$B$1:$XFD$1, 0), 0)</f>
        <v>0.30099412803864822</v>
      </c>
      <c r="F86" s="29">
        <f>VLOOKUP($B86, agr_mes!$B:$XFD, MATCH(gdp_agr_share!F$1, agr_mes!$B$1:$XFD$1, 0), 0)/VLOOKUP($B86, gdp_tot_mes!$B:$XFD, MATCH(gdp_agr_share!F$1, gdp_tot_mes!$B$1:$XFD$1, 0), 0)</f>
        <v>0.14991025632993862</v>
      </c>
      <c r="G86" s="29">
        <f>VLOOKUP($B86, agr_mes!$B:$XFD, MATCH(gdp_agr_share!G$1, agr_mes!$B$1:$XFD$1, 0), 0)/VLOOKUP($B86, gdp_tot_mes!$B:$XFD, MATCH(gdp_agr_share!G$1, gdp_tot_mes!$B$1:$XFD$1, 0), 0)</f>
        <v>0.16168398814073348</v>
      </c>
      <c r="H86" s="29">
        <f>VLOOKUP($B86, agr_mes!$B:$XFD, MATCH(gdp_agr_share!H$1, agr_mes!$B$1:$XFD$1, 0), 0)/VLOOKUP($B86, gdp_tot_mes!$B:$XFD, MATCH(gdp_agr_share!H$1, gdp_tot_mes!$B$1:$XFD$1, 0), 0)</f>
        <v>0.16226077857204738</v>
      </c>
      <c r="I86" s="29">
        <f>VLOOKUP($B86, agr_mes!$B:$XFD, MATCH(gdp_agr_share!I$1, agr_mes!$B$1:$XFD$1, 0), 0)/VLOOKUP($B86, gdp_tot_mes!$B:$XFD, MATCH(gdp_agr_share!I$1, gdp_tot_mes!$B$1:$XFD$1, 0), 0)</f>
        <v>0.15168885566008419</v>
      </c>
      <c r="J86" s="29">
        <f>VLOOKUP($B86, agr_mes!$B:$XFD, MATCH(gdp_agr_share!J$1, agr_mes!$B$1:$XFD$1, 0), 0)/VLOOKUP($B86, gdp_tot_mes!$B:$XFD, MATCH(gdp_agr_share!J$1, gdp_tot_mes!$B$1:$XFD$1, 0), 0)</f>
        <v>0.14434452603947875</v>
      </c>
      <c r="K86" s="29">
        <f>VLOOKUP($B86, agr_mes!$B:$XFD, MATCH(gdp_agr_share!K$1, agr_mes!$B$1:$XFD$1, 0), 0)/VLOOKUP($B86, gdp_tot_mes!$B:$XFD, MATCH(gdp_agr_share!K$1, gdp_tot_mes!$B$1:$XFD$1, 0), 0)</f>
        <v>0.15727776610955291</v>
      </c>
      <c r="L86" s="30">
        <f t="shared" si="1"/>
        <v>0.1817411225321553</v>
      </c>
      <c r="M86" s="29">
        <f>VLOOKUP($B86, agr_mes!$B:$XFD, MATCH(gdp_agr_share!M$1, agr_mes!$B$1:$XFD$1, 0), 0)/VLOOKUP($B86, gdp_tot_mes!$B:$XFD, MATCH(gdp_agr_share!M$1, gdp_tot_mes!$B$1:$XFD$1, 0), 0)</f>
        <v>0.21109715023927816</v>
      </c>
      <c r="N86" s="29">
        <f>VLOOKUP($B86, agr_mes!$B:$XFD, MATCH(gdp_agr_share!N$1, agr_mes!$B$1:$XFD$1, 0), 0)/VLOOKUP($B86, gdp_tot_mes!$B:$XFD, MATCH(gdp_agr_share!N$1, gdp_tot_mes!$B$1:$XFD$1, 0), 0)</f>
        <v>0.12892863438604721</v>
      </c>
      <c r="O86" s="29">
        <f>VLOOKUP($B86, agr_mes!$B:$XFD, MATCH(gdp_agr_share!O$1, agr_mes!$B$1:$XFD$1, 0), 0)/VLOOKUP($B86, gdp_tot_mes!$B:$XFD, MATCH(gdp_agr_share!O$1, gdp_tot_mes!$B$1:$XFD$1, 0), 0)</f>
        <v>0.13192882980605064</v>
      </c>
      <c r="P86" s="29">
        <f>VLOOKUP($B86, agr_mes!$B:$XFD, MATCH(gdp_agr_share!P$1, agr_mes!$B$1:$XFD$1, 0), 0)/VLOOKUP($B86, gdp_tot_mes!$B:$XFD, MATCH(gdp_agr_share!P$1, gdp_tot_mes!$B$1:$XFD$1, 0), 0)</f>
        <v>0.12377367479527432</v>
      </c>
      <c r="Q86" s="29">
        <f>VLOOKUP($B86, agr_mes!$B:$XFD, MATCH(gdp_agr_share!Q$1, agr_mes!$B$1:$XFD$1, 0), 0)/VLOOKUP($B86, gdp_tot_mes!$B:$XFD, MATCH(gdp_agr_share!Q$1, gdp_tot_mes!$B$1:$XFD$1, 0), 0)</f>
        <v>0.17782429856130536</v>
      </c>
      <c r="R86" s="29">
        <f>VLOOKUP($B86, agr_mes!$B:$XFD, MATCH(gdp_agr_share!R$1, agr_mes!$B$1:$XFD$1, 0), 0)/VLOOKUP($B86, gdp_tot_mes!$B:$XFD, MATCH(gdp_agr_share!R$1, gdp_tot_mes!$B$1:$XFD$1, 0), 0)</f>
        <v>0.18212119103792107</v>
      </c>
      <c r="S86" s="29">
        <f>VLOOKUP($B86, agr_mes!$B:$XFD, MATCH(gdp_agr_share!S$1, agr_mes!$B$1:$XFD$1, 0), 0)/VLOOKUP($B86, gdp_tot_mes!$B:$XFD, MATCH(gdp_agr_share!S$1, gdp_tot_mes!$B$1:$XFD$1, 0), 0)</f>
        <v>0.16101401114896988</v>
      </c>
      <c r="T86" s="29">
        <f>VLOOKUP($B86, agr_mes!$B:$XFD, MATCH(gdp_agr_share!T$1, agr_mes!$B$1:$XFD$1, 0), 0)/VLOOKUP($B86, gdp_tot_mes!$B:$XFD, MATCH(gdp_agr_share!T$1, gdp_tot_mes!$B$1:$XFD$1, 0), 0)</f>
        <v>0.14946006060489372</v>
      </c>
      <c r="U86" s="29">
        <f>VLOOKUP($B86, agr_mes!$B:$XFD, MATCH(gdp_agr_share!U$1, agr_mes!$B$1:$XFD$1, 0), 0)/VLOOKUP($B86, gdp_tot_mes!$B:$XFD, MATCH(gdp_agr_share!U$1, gdp_tot_mes!$B$1:$XFD$1, 0), 0)</f>
        <v>0.13224737977719001</v>
      </c>
      <c r="V86" s="29">
        <f>VLOOKUP($B86, agr_mes!$B:$XFD, MATCH(gdp_agr_share!V$1, agr_mes!$B$1:$XFD$1, 0), 0)/VLOOKUP($B86, gdp_tot_mes!$B:$XFD, MATCH(gdp_agr_share!V$1, gdp_tot_mes!$B$1:$XFD$1, 0), 0)</f>
        <v>0.14226407317820675</v>
      </c>
      <c r="W86" s="29">
        <f>VLOOKUP($B86, agr_mes!$B:$XFD, MATCH(gdp_agr_share!W$1, agr_mes!$B$1:$XFD$1, 0), 0)/VLOOKUP($B86, gdp_tot_mes!$B:$XFD, MATCH(gdp_agr_share!W$1, gdp_tot_mes!$B$1:$XFD$1, 0), 0)</f>
        <v>0.16442690677035385</v>
      </c>
      <c r="X86" s="29">
        <f>VLOOKUP($B86, agr_mes!$B:$XFD, MATCH(gdp_agr_share!X$1, agr_mes!$B$1:$XFD$1, 0), 0)/VLOOKUP($B86, gdp_tot_mes!$B:$XFD, MATCH(gdp_agr_share!X$1, gdp_tot_mes!$B$1:$XFD$1, 0), 0)</f>
        <v>0.14304723407054185</v>
      </c>
      <c r="Y86" s="29">
        <f>VLOOKUP($B86, agr_mes!$B:$XFD, MATCH(gdp_agr_share!Y$1, agr_mes!$B$1:$XFD$1, 0), 0)/VLOOKUP($B86, gdp_tot_mes!$B:$XFD, MATCH(gdp_agr_share!Y$1, gdp_tot_mes!$B$1:$XFD$1, 0), 0)</f>
        <v>0.14431652130389028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x14ac:dyDescent="0.25">
      <c r="A87" s="1" t="s">
        <v>200</v>
      </c>
      <c r="B87" s="1" t="s">
        <v>211</v>
      </c>
      <c r="C87" s="1" t="s">
        <v>212</v>
      </c>
      <c r="D87" s="29">
        <f>VLOOKUP($B87, agr_mes!$B:$XFD, MATCH(gdp_agr_share!D$1, agr_mes!$B$1:$XFD$1, 0), 0)/VLOOKUP($B87, gdp_tot_mes!$B:$XFD, MATCH(gdp_agr_share!D$1, gdp_tot_mes!$B$1:$XFD$1, 0), 0)</f>
        <v>0.64817480218354284</v>
      </c>
      <c r="E87" s="29">
        <f>VLOOKUP($B87, agr_mes!$B:$XFD, MATCH(gdp_agr_share!E$1, agr_mes!$B$1:$XFD$1, 0), 0)/VLOOKUP($B87, gdp_tot_mes!$B:$XFD, MATCH(gdp_agr_share!E$1, gdp_tot_mes!$B$1:$XFD$1, 0), 0)</f>
        <v>0.38233252507848575</v>
      </c>
      <c r="F87" s="29">
        <f>VLOOKUP($B87, agr_mes!$B:$XFD, MATCH(gdp_agr_share!F$1, agr_mes!$B$1:$XFD$1, 0), 0)/VLOOKUP($B87, gdp_tot_mes!$B:$XFD, MATCH(gdp_agr_share!F$1, gdp_tot_mes!$B$1:$XFD$1, 0), 0)</f>
        <v>0.2129592812487684</v>
      </c>
      <c r="G87" s="29">
        <f>VLOOKUP($B87, agr_mes!$B:$XFD, MATCH(gdp_agr_share!G$1, agr_mes!$B$1:$XFD$1, 0), 0)/VLOOKUP($B87, gdp_tot_mes!$B:$XFD, MATCH(gdp_agr_share!G$1, gdp_tot_mes!$B$1:$XFD$1, 0), 0)</f>
        <v>0.47126588018544524</v>
      </c>
      <c r="H87" s="29">
        <f>VLOOKUP($B87, agr_mes!$B:$XFD, MATCH(gdp_agr_share!H$1, agr_mes!$B$1:$XFD$1, 0), 0)/VLOOKUP($B87, gdp_tot_mes!$B:$XFD, MATCH(gdp_agr_share!H$1, gdp_tot_mes!$B$1:$XFD$1, 0), 0)</f>
        <v>0.45153939256911596</v>
      </c>
      <c r="I87" s="29">
        <f>VLOOKUP($B87, agr_mes!$B:$XFD, MATCH(gdp_agr_share!I$1, agr_mes!$B$1:$XFD$1, 0), 0)/VLOOKUP($B87, gdp_tot_mes!$B:$XFD, MATCH(gdp_agr_share!I$1, gdp_tot_mes!$B$1:$XFD$1, 0), 0)</f>
        <v>0.40397758526739652</v>
      </c>
      <c r="J87" s="29">
        <f>VLOOKUP($B87, agr_mes!$B:$XFD, MATCH(gdp_agr_share!J$1, agr_mes!$B$1:$XFD$1, 0), 0)/VLOOKUP($B87, gdp_tot_mes!$B:$XFD, MATCH(gdp_agr_share!J$1, gdp_tot_mes!$B$1:$XFD$1, 0), 0)</f>
        <v>0.32451783734627176</v>
      </c>
      <c r="K87" s="29">
        <f>VLOOKUP($B87, agr_mes!$B:$XFD, MATCH(gdp_agr_share!K$1, agr_mes!$B$1:$XFD$1, 0), 0)/VLOOKUP($B87, gdp_tot_mes!$B:$XFD, MATCH(gdp_agr_share!K$1, gdp_tot_mes!$B$1:$XFD$1, 0), 0)</f>
        <v>0.36723347114365784</v>
      </c>
      <c r="L87" s="30">
        <f t="shared" si="1"/>
        <v>0.32144812246589372</v>
      </c>
      <c r="M87" s="29">
        <f>VLOOKUP($B87, agr_mes!$B:$XFD, MATCH(gdp_agr_share!M$1, agr_mes!$B$1:$XFD$1, 0), 0)/VLOOKUP($B87, gdp_tot_mes!$B:$XFD, MATCH(gdp_agr_share!M$1, gdp_tot_mes!$B$1:$XFD$1, 0), 0)</f>
        <v>0.26650570405257679</v>
      </c>
      <c r="N87" s="29">
        <f>VLOOKUP($B87, agr_mes!$B:$XFD, MATCH(gdp_agr_share!N$1, agr_mes!$B$1:$XFD$1, 0), 0)/VLOOKUP($B87, gdp_tot_mes!$B:$XFD, MATCH(gdp_agr_share!N$1, gdp_tot_mes!$B$1:$XFD$1, 0), 0)</f>
        <v>0.1332723806986254</v>
      </c>
      <c r="O87" s="29">
        <f>VLOOKUP($B87, agr_mes!$B:$XFD, MATCH(gdp_agr_share!O$1, agr_mes!$B$1:$XFD$1, 0), 0)/VLOOKUP($B87, gdp_tot_mes!$B:$XFD, MATCH(gdp_agr_share!O$1, gdp_tot_mes!$B$1:$XFD$1, 0), 0)</f>
        <v>0.11571346043602891</v>
      </c>
      <c r="P87" s="29">
        <f>VLOOKUP($B87, agr_mes!$B:$XFD, MATCH(gdp_agr_share!P$1, agr_mes!$B$1:$XFD$1, 0), 0)/VLOOKUP($B87, gdp_tot_mes!$B:$XFD, MATCH(gdp_agr_share!P$1, gdp_tot_mes!$B$1:$XFD$1, 0), 0)</f>
        <v>0.11816498619507321</v>
      </c>
      <c r="Q87" s="29">
        <f>VLOOKUP($B87, agr_mes!$B:$XFD, MATCH(gdp_agr_share!Q$1, agr_mes!$B$1:$XFD$1, 0), 0)/VLOOKUP($B87, gdp_tot_mes!$B:$XFD, MATCH(gdp_agr_share!Q$1, gdp_tot_mes!$B$1:$XFD$1, 0), 0)</f>
        <v>0.12947797643435305</v>
      </c>
      <c r="R87" s="29">
        <f>VLOOKUP($B87, agr_mes!$B:$XFD, MATCH(gdp_agr_share!R$1, agr_mes!$B$1:$XFD$1, 0), 0)/VLOOKUP($B87, gdp_tot_mes!$B:$XFD, MATCH(gdp_agr_share!R$1, gdp_tot_mes!$B$1:$XFD$1, 0), 0)</f>
        <v>0.16980133062122538</v>
      </c>
      <c r="S87" s="29">
        <f>VLOOKUP($B87, agr_mes!$B:$XFD, MATCH(gdp_agr_share!S$1, agr_mes!$B$1:$XFD$1, 0), 0)/VLOOKUP($B87, gdp_tot_mes!$B:$XFD, MATCH(gdp_agr_share!S$1, gdp_tot_mes!$B$1:$XFD$1, 0), 0)</f>
        <v>0.1338797617036199</v>
      </c>
      <c r="T87" s="29">
        <f>VLOOKUP($B87, agr_mes!$B:$XFD, MATCH(gdp_agr_share!T$1, agr_mes!$B$1:$XFD$1, 0), 0)/VLOOKUP($B87, gdp_tot_mes!$B:$XFD, MATCH(gdp_agr_share!T$1, gdp_tot_mes!$B$1:$XFD$1, 0), 0)</f>
        <v>0.11011667657332656</v>
      </c>
      <c r="U87" s="29">
        <f>VLOOKUP($B87, agr_mes!$B:$XFD, MATCH(gdp_agr_share!U$1, agr_mes!$B$1:$XFD$1, 0), 0)/VLOOKUP($B87, gdp_tot_mes!$B:$XFD, MATCH(gdp_agr_share!U$1, gdp_tot_mes!$B$1:$XFD$1, 0), 0)</f>
        <v>9.6881491413820991E-2</v>
      </c>
      <c r="V87" s="29">
        <f>VLOOKUP($B87, agr_mes!$B:$XFD, MATCH(gdp_agr_share!V$1, agr_mes!$B$1:$XFD$1, 0), 0)/VLOOKUP($B87, gdp_tot_mes!$B:$XFD, MATCH(gdp_agr_share!V$1, gdp_tot_mes!$B$1:$XFD$1, 0), 0)</f>
        <v>0.11682232803935537</v>
      </c>
      <c r="W87" s="29">
        <f>VLOOKUP($B87, agr_mes!$B:$XFD, MATCH(gdp_agr_share!W$1, agr_mes!$B$1:$XFD$1, 0), 0)/VLOOKUP($B87, gdp_tot_mes!$B:$XFD, MATCH(gdp_agr_share!W$1, gdp_tot_mes!$B$1:$XFD$1, 0), 0)</f>
        <v>0.13604788470250709</v>
      </c>
      <c r="X87" s="29">
        <f>VLOOKUP($B87, agr_mes!$B:$XFD, MATCH(gdp_agr_share!X$1, agr_mes!$B$1:$XFD$1, 0), 0)/VLOOKUP($B87, gdp_tot_mes!$B:$XFD, MATCH(gdp_agr_share!X$1, gdp_tot_mes!$B$1:$XFD$1, 0), 0)</f>
        <v>9.8386596815260491E-2</v>
      </c>
      <c r="Y87" s="29">
        <f>VLOOKUP($B87, agr_mes!$B:$XFD, MATCH(gdp_agr_share!Y$1, agr_mes!$B$1:$XFD$1, 0), 0)/VLOOKUP($B87, gdp_tot_mes!$B:$XFD, MATCH(gdp_agr_share!Y$1, gdp_tot_mes!$B$1:$XFD$1, 0), 0)</f>
        <v>0.11983236616700109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x14ac:dyDescent="0.25">
      <c r="A88" s="1" t="s">
        <v>200</v>
      </c>
      <c r="B88" s="1" t="s">
        <v>213</v>
      </c>
      <c r="C88" s="1" t="s">
        <v>214</v>
      </c>
      <c r="D88" s="29" t="e">
        <f>VLOOKUP($B88, agr_mes!$B:$XFD, MATCH(gdp_agr_share!D$1, agr_mes!$B$1:$XFD$1, 0), 0)/VLOOKUP($B88, gdp_tot_mes!$B:$XFD, MATCH(gdp_agr_share!D$1, gdp_tot_mes!$B$1:$XFD$1, 0), 0)</f>
        <v>#DIV/0!</v>
      </c>
      <c r="E88" s="29" t="e">
        <f>VLOOKUP($B88, agr_mes!$B:$XFD, MATCH(gdp_agr_share!E$1, agr_mes!$B$1:$XFD$1, 0), 0)/VLOOKUP($B88, gdp_tot_mes!$B:$XFD, MATCH(gdp_agr_share!E$1, gdp_tot_mes!$B$1:$XFD$1, 0), 0)</f>
        <v>#DIV/0!</v>
      </c>
      <c r="F88" s="29" t="e">
        <f>VLOOKUP($B88, agr_mes!$B:$XFD, MATCH(gdp_agr_share!F$1, agr_mes!$B$1:$XFD$1, 0), 0)/VLOOKUP($B88, gdp_tot_mes!$B:$XFD, MATCH(gdp_agr_share!F$1, gdp_tot_mes!$B$1:$XFD$1, 0), 0)</f>
        <v>#DIV/0!</v>
      </c>
      <c r="G88" s="29">
        <f>VLOOKUP($B88, agr_mes!$B:$XFD, MATCH(gdp_agr_share!G$1, agr_mes!$B$1:$XFD$1, 0), 0)/VLOOKUP($B88, gdp_tot_mes!$B:$XFD, MATCH(gdp_agr_share!G$1, gdp_tot_mes!$B$1:$XFD$1, 0), 0)</f>
        <v>0.62004931413808451</v>
      </c>
      <c r="H88" s="29">
        <f>VLOOKUP($B88, agr_mes!$B:$XFD, MATCH(gdp_agr_share!H$1, agr_mes!$B$1:$XFD$1, 0), 0)/VLOOKUP($B88, gdp_tot_mes!$B:$XFD, MATCH(gdp_agr_share!H$1, gdp_tot_mes!$B$1:$XFD$1, 0), 0)</f>
        <v>0.54017267145065273</v>
      </c>
      <c r="I88" s="29">
        <f>VLOOKUP($B88, agr_mes!$B:$XFD, MATCH(gdp_agr_share!I$1, agr_mes!$B$1:$XFD$1, 0), 0)/VLOOKUP($B88, gdp_tot_mes!$B:$XFD, MATCH(gdp_agr_share!I$1, gdp_tot_mes!$B$1:$XFD$1, 0), 0)</f>
        <v>0.46997402854863241</v>
      </c>
      <c r="J88" s="29">
        <f>VLOOKUP($B88, agr_mes!$B:$XFD, MATCH(gdp_agr_share!J$1, agr_mes!$B$1:$XFD$1, 0), 0)/VLOOKUP($B88, gdp_tot_mes!$B:$XFD, MATCH(gdp_agr_share!J$1, gdp_tot_mes!$B$1:$XFD$1, 0), 0)</f>
        <v>0.5088579382551115</v>
      </c>
      <c r="K88" s="29">
        <f>VLOOKUP($B88, agr_mes!$B:$XFD, MATCH(gdp_agr_share!K$1, agr_mes!$B$1:$XFD$1, 0), 0)/VLOOKUP($B88, gdp_tot_mes!$B:$XFD, MATCH(gdp_agr_share!K$1, gdp_tot_mes!$B$1:$XFD$1, 0), 0)</f>
        <v>0.45647377404919909</v>
      </c>
      <c r="L88" s="30">
        <f t="shared" si="1"/>
        <v>0.38602023911208916</v>
      </c>
      <c r="M88" s="29">
        <f>VLOOKUP($B88, agr_mes!$B:$XFD, MATCH(gdp_agr_share!M$1, agr_mes!$B$1:$XFD$1, 0), 0)/VLOOKUP($B88, gdp_tot_mes!$B:$XFD, MATCH(gdp_agr_share!M$1, gdp_tot_mes!$B$1:$XFD$1, 0), 0)</f>
        <v>0.30147599718755724</v>
      </c>
      <c r="N88" s="29">
        <f>VLOOKUP($B88, agr_mes!$B:$XFD, MATCH(gdp_agr_share!N$1, agr_mes!$B$1:$XFD$1, 0), 0)/VLOOKUP($B88, gdp_tot_mes!$B:$XFD, MATCH(gdp_agr_share!N$1, gdp_tot_mes!$B$1:$XFD$1, 0), 0)</f>
        <v>0.20221480442268897</v>
      </c>
      <c r="O88" s="29">
        <f>VLOOKUP($B88, agr_mes!$B:$XFD, MATCH(gdp_agr_share!O$1, agr_mes!$B$1:$XFD$1, 0), 0)/VLOOKUP($B88, gdp_tot_mes!$B:$XFD, MATCH(gdp_agr_share!O$1, gdp_tot_mes!$B$1:$XFD$1, 0), 0)</f>
        <v>0.22539304187691228</v>
      </c>
      <c r="P88" s="29">
        <f>VLOOKUP($B88, agr_mes!$B:$XFD, MATCH(gdp_agr_share!P$1, agr_mes!$B$1:$XFD$1, 0), 0)/VLOOKUP($B88, gdp_tot_mes!$B:$XFD, MATCH(gdp_agr_share!P$1, gdp_tot_mes!$B$1:$XFD$1, 0), 0)</f>
        <v>0.20137008077673446</v>
      </c>
      <c r="Q88" s="29">
        <f>VLOOKUP($B88, agr_mes!$B:$XFD, MATCH(gdp_agr_share!Q$1, agr_mes!$B$1:$XFD$1, 0), 0)/VLOOKUP($B88, gdp_tot_mes!$B:$XFD, MATCH(gdp_agr_share!Q$1, gdp_tot_mes!$B$1:$XFD$1, 0), 0)</f>
        <v>0.22850883156143267</v>
      </c>
      <c r="R88" s="29">
        <f>VLOOKUP($B88, agr_mes!$B:$XFD, MATCH(gdp_agr_share!R$1, agr_mes!$B$1:$XFD$1, 0), 0)/VLOOKUP($B88, gdp_tot_mes!$B:$XFD, MATCH(gdp_agr_share!R$1, gdp_tot_mes!$B$1:$XFD$1, 0), 0)</f>
        <v>0.27395146129012754</v>
      </c>
      <c r="S88" s="29">
        <f>VLOOKUP($B88, agr_mes!$B:$XFD, MATCH(gdp_agr_share!S$1, agr_mes!$B$1:$XFD$1, 0), 0)/VLOOKUP($B88, gdp_tot_mes!$B:$XFD, MATCH(gdp_agr_share!S$1, gdp_tot_mes!$B$1:$XFD$1, 0), 0)</f>
        <v>0.26230237996911782</v>
      </c>
      <c r="T88" s="29">
        <f>VLOOKUP($B88, agr_mes!$B:$XFD, MATCH(gdp_agr_share!T$1, agr_mes!$B$1:$XFD$1, 0), 0)/VLOOKUP($B88, gdp_tot_mes!$B:$XFD, MATCH(gdp_agr_share!T$1, gdp_tot_mes!$B$1:$XFD$1, 0), 0)</f>
        <v>0.20560728029177366</v>
      </c>
      <c r="U88" s="29">
        <f>VLOOKUP($B88, agr_mes!$B:$XFD, MATCH(gdp_agr_share!U$1, agr_mes!$B$1:$XFD$1, 0), 0)/VLOOKUP($B88, gdp_tot_mes!$B:$XFD, MATCH(gdp_agr_share!U$1, gdp_tot_mes!$B$1:$XFD$1, 0), 0)</f>
        <v>0.18096463578148203</v>
      </c>
      <c r="V88" s="29">
        <f>VLOOKUP($B88, agr_mes!$B:$XFD, MATCH(gdp_agr_share!V$1, agr_mes!$B$1:$XFD$1, 0), 0)/VLOOKUP($B88, gdp_tot_mes!$B:$XFD, MATCH(gdp_agr_share!V$1, gdp_tot_mes!$B$1:$XFD$1, 0), 0)</f>
        <v>0.22137059340166632</v>
      </c>
      <c r="W88" s="29">
        <f>VLOOKUP($B88, agr_mes!$B:$XFD, MATCH(gdp_agr_share!W$1, agr_mes!$B$1:$XFD$1, 0), 0)/VLOOKUP($B88, gdp_tot_mes!$B:$XFD, MATCH(gdp_agr_share!W$1, gdp_tot_mes!$B$1:$XFD$1, 0), 0)</f>
        <v>0.2231524336224138</v>
      </c>
      <c r="X88" s="29">
        <f>VLOOKUP($B88, agr_mes!$B:$XFD, MATCH(gdp_agr_share!X$1, agr_mes!$B$1:$XFD$1, 0), 0)/VLOOKUP($B88, gdp_tot_mes!$B:$XFD, MATCH(gdp_agr_share!X$1, gdp_tot_mes!$B$1:$XFD$1, 0), 0)</f>
        <v>0.20215682710698307</v>
      </c>
      <c r="Y88" s="29">
        <f>VLOOKUP($B88, agr_mes!$B:$XFD, MATCH(gdp_agr_share!Y$1, agr_mes!$B$1:$XFD$1, 0), 0)/VLOOKUP($B88, gdp_tot_mes!$B:$XFD, MATCH(gdp_agr_share!Y$1, gdp_tot_mes!$B$1:$XFD$1, 0), 0)</f>
        <v>0.2097659359009971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x14ac:dyDescent="0.25">
      <c r="A89" s="1" t="s">
        <v>200</v>
      </c>
      <c r="B89" s="1" t="s">
        <v>215</v>
      </c>
      <c r="C89" s="1" t="s">
        <v>216</v>
      </c>
      <c r="D89" s="29">
        <f>VLOOKUP($B89, agr_mes!$B:$XFD, MATCH(gdp_agr_share!D$1, agr_mes!$B$1:$XFD$1, 0), 0)/VLOOKUP($B89, gdp_tot_mes!$B:$XFD, MATCH(gdp_agr_share!D$1, gdp_tot_mes!$B$1:$XFD$1, 0), 0)</f>
        <v>0.7286001919167695</v>
      </c>
      <c r="E89" s="29">
        <f>VLOOKUP($B89, agr_mes!$B:$XFD, MATCH(gdp_agr_share!E$1, agr_mes!$B$1:$XFD$1, 0), 0)/VLOOKUP($B89, gdp_tot_mes!$B:$XFD, MATCH(gdp_agr_share!E$1, gdp_tot_mes!$B$1:$XFD$1, 0), 0)</f>
        <v>0.81580196134503324</v>
      </c>
      <c r="F89" s="29">
        <f>VLOOKUP($B89, agr_mes!$B:$XFD, MATCH(gdp_agr_share!F$1, agr_mes!$B$1:$XFD$1, 0), 0)/VLOOKUP($B89, gdp_tot_mes!$B:$XFD, MATCH(gdp_agr_share!F$1, gdp_tot_mes!$B$1:$XFD$1, 0), 0)</f>
        <v>0.60411288802572016</v>
      </c>
      <c r="G89" s="29">
        <f>VLOOKUP($B89, agr_mes!$B:$XFD, MATCH(gdp_agr_share!G$1, agr_mes!$B$1:$XFD$1, 0), 0)/VLOOKUP($B89, gdp_tot_mes!$B:$XFD, MATCH(gdp_agr_share!G$1, gdp_tot_mes!$B$1:$XFD$1, 0), 0)</f>
        <v>0.41021871847596297</v>
      </c>
      <c r="H89" s="29">
        <f>VLOOKUP($B89, agr_mes!$B:$XFD, MATCH(gdp_agr_share!H$1, agr_mes!$B$1:$XFD$1, 0), 0)/VLOOKUP($B89, gdp_tot_mes!$B:$XFD, MATCH(gdp_agr_share!H$1, gdp_tot_mes!$B$1:$XFD$1, 0), 0)</f>
        <v>0.48036046171674124</v>
      </c>
      <c r="I89" s="29">
        <f>VLOOKUP($B89, agr_mes!$B:$XFD, MATCH(gdp_agr_share!I$1, agr_mes!$B$1:$XFD$1, 0), 0)/VLOOKUP($B89, gdp_tot_mes!$B:$XFD, MATCH(gdp_agr_share!I$1, gdp_tot_mes!$B$1:$XFD$1, 0), 0)</f>
        <v>0.5151725083405857</v>
      </c>
      <c r="J89" s="29">
        <f>VLOOKUP($B89, agr_mes!$B:$XFD, MATCH(gdp_agr_share!J$1, agr_mes!$B$1:$XFD$1, 0), 0)/VLOOKUP($B89, gdp_tot_mes!$B:$XFD, MATCH(gdp_agr_share!J$1, gdp_tot_mes!$B$1:$XFD$1, 0), 0)</f>
        <v>0.30852005774370561</v>
      </c>
      <c r="K89" s="29">
        <f>VLOOKUP($B89, agr_mes!$B:$XFD, MATCH(gdp_agr_share!K$1, agr_mes!$B$1:$XFD$1, 0), 0)/VLOOKUP($B89, gdp_tot_mes!$B:$XFD, MATCH(gdp_agr_share!K$1, gdp_tot_mes!$B$1:$XFD$1, 0), 0)</f>
        <v>0.31776189405374095</v>
      </c>
      <c r="L89" s="30">
        <f t="shared" si="1"/>
        <v>0.35410155837349921</v>
      </c>
      <c r="M89" s="29">
        <f>VLOOKUP($B89, agr_mes!$B:$XFD, MATCH(gdp_agr_share!M$1, agr_mes!$B$1:$XFD$1, 0), 0)/VLOOKUP($B89, gdp_tot_mes!$B:$XFD, MATCH(gdp_agr_share!M$1, gdp_tot_mes!$B$1:$XFD$1, 0), 0)</f>
        <v>0.3977091555572092</v>
      </c>
      <c r="N89" s="29">
        <f>VLOOKUP($B89, agr_mes!$B:$XFD, MATCH(gdp_agr_share!N$1, agr_mes!$B$1:$XFD$1, 0), 0)/VLOOKUP($B89, gdp_tot_mes!$B:$XFD, MATCH(gdp_agr_share!N$1, gdp_tot_mes!$B$1:$XFD$1, 0), 0)</f>
        <v>0.17071455883567416</v>
      </c>
      <c r="O89" s="29">
        <f>VLOOKUP($B89, agr_mes!$B:$XFD, MATCH(gdp_agr_share!O$1, agr_mes!$B$1:$XFD$1, 0), 0)/VLOOKUP($B89, gdp_tot_mes!$B:$XFD, MATCH(gdp_agr_share!O$1, gdp_tot_mes!$B$1:$XFD$1, 0), 0)</f>
        <v>0.18837278283677691</v>
      </c>
      <c r="P89" s="29">
        <f>VLOOKUP($B89, agr_mes!$B:$XFD, MATCH(gdp_agr_share!P$1, agr_mes!$B$1:$XFD$1, 0), 0)/VLOOKUP($B89, gdp_tot_mes!$B:$XFD, MATCH(gdp_agr_share!P$1, gdp_tot_mes!$B$1:$XFD$1, 0), 0)</f>
        <v>0.17816546022931712</v>
      </c>
      <c r="Q89" s="29">
        <f>VLOOKUP($B89, agr_mes!$B:$XFD, MATCH(gdp_agr_share!Q$1, agr_mes!$B$1:$XFD$1, 0), 0)/VLOOKUP($B89, gdp_tot_mes!$B:$XFD, MATCH(gdp_agr_share!Q$1, gdp_tot_mes!$B$1:$XFD$1, 0), 0)</f>
        <v>0.1783477096321765</v>
      </c>
      <c r="R89" s="29">
        <f>VLOOKUP($B89, agr_mes!$B:$XFD, MATCH(gdp_agr_share!R$1, agr_mes!$B$1:$XFD$1, 0), 0)/VLOOKUP($B89, gdp_tot_mes!$B:$XFD, MATCH(gdp_agr_share!R$1, gdp_tot_mes!$B$1:$XFD$1, 0), 0)</f>
        <v>0.2047403013504531</v>
      </c>
      <c r="S89" s="29">
        <f>VLOOKUP($B89, agr_mes!$B:$XFD, MATCH(gdp_agr_share!S$1, agr_mes!$B$1:$XFD$1, 0), 0)/VLOOKUP($B89, gdp_tot_mes!$B:$XFD, MATCH(gdp_agr_share!S$1, gdp_tot_mes!$B$1:$XFD$1, 0), 0)</f>
        <v>0.18374534915890062</v>
      </c>
      <c r="T89" s="29">
        <f>VLOOKUP($B89, agr_mes!$B:$XFD, MATCH(gdp_agr_share!T$1, agr_mes!$B$1:$XFD$1, 0), 0)/VLOOKUP($B89, gdp_tot_mes!$B:$XFD, MATCH(gdp_agr_share!T$1, gdp_tot_mes!$B$1:$XFD$1, 0), 0)</f>
        <v>0.1584680902435868</v>
      </c>
      <c r="U89" s="29">
        <f>VLOOKUP($B89, agr_mes!$B:$XFD, MATCH(gdp_agr_share!U$1, agr_mes!$B$1:$XFD$1, 0), 0)/VLOOKUP($B89, gdp_tot_mes!$B:$XFD, MATCH(gdp_agr_share!U$1, gdp_tot_mes!$B$1:$XFD$1, 0), 0)</f>
        <v>0.15787732007720617</v>
      </c>
      <c r="V89" s="29">
        <f>VLOOKUP($B89, agr_mes!$B:$XFD, MATCH(gdp_agr_share!V$1, agr_mes!$B$1:$XFD$1, 0), 0)/VLOOKUP($B89, gdp_tot_mes!$B:$XFD, MATCH(gdp_agr_share!V$1, gdp_tot_mes!$B$1:$XFD$1, 0), 0)</f>
        <v>0.14440350831841919</v>
      </c>
      <c r="W89" s="29">
        <f>VLOOKUP($B89, agr_mes!$B:$XFD, MATCH(gdp_agr_share!W$1, agr_mes!$B$1:$XFD$1, 0), 0)/VLOOKUP($B89, gdp_tot_mes!$B:$XFD, MATCH(gdp_agr_share!W$1, gdp_tot_mes!$B$1:$XFD$1, 0), 0)</f>
        <v>0.20005290321597607</v>
      </c>
      <c r="X89" s="29">
        <f>VLOOKUP($B89, agr_mes!$B:$XFD, MATCH(gdp_agr_share!X$1, agr_mes!$B$1:$XFD$1, 0), 0)/VLOOKUP($B89, gdp_tot_mes!$B:$XFD, MATCH(gdp_agr_share!X$1, gdp_tot_mes!$B$1:$XFD$1, 0), 0)</f>
        <v>0.18672330280610575</v>
      </c>
      <c r="Y89" s="29">
        <f>VLOOKUP($B89, agr_mes!$B:$XFD, MATCH(gdp_agr_share!Y$1, agr_mes!$B$1:$XFD$1, 0), 0)/VLOOKUP($B89, gdp_tot_mes!$B:$XFD, MATCH(gdp_agr_share!Y$1, gdp_tot_mes!$B$1:$XFD$1, 0), 0)</f>
        <v>0.16256179537750579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x14ac:dyDescent="0.25">
      <c r="A90" s="1" t="s">
        <v>200</v>
      </c>
      <c r="B90" s="1" t="s">
        <v>217</v>
      </c>
      <c r="C90" s="1" t="s">
        <v>218</v>
      </c>
      <c r="D90" s="29">
        <f>VLOOKUP($B90, agr_mes!$B:$XFD, MATCH(gdp_agr_share!D$1, agr_mes!$B$1:$XFD$1, 0), 0)/VLOOKUP($B90, gdp_tot_mes!$B:$XFD, MATCH(gdp_agr_share!D$1, gdp_tot_mes!$B$1:$XFD$1, 0), 0)</f>
        <v>0.59343381564762687</v>
      </c>
      <c r="E90" s="29">
        <f>VLOOKUP($B90, agr_mes!$B:$XFD, MATCH(gdp_agr_share!E$1, agr_mes!$B$1:$XFD$1, 0), 0)/VLOOKUP($B90, gdp_tot_mes!$B:$XFD, MATCH(gdp_agr_share!E$1, gdp_tot_mes!$B$1:$XFD$1, 0), 0)</f>
        <v>0.61245614980690477</v>
      </c>
      <c r="F90" s="29">
        <f>VLOOKUP($B90, agr_mes!$B:$XFD, MATCH(gdp_agr_share!F$1, agr_mes!$B$1:$XFD$1, 0), 0)/VLOOKUP($B90, gdp_tot_mes!$B:$XFD, MATCH(gdp_agr_share!F$1, gdp_tot_mes!$B$1:$XFD$1, 0), 0)</f>
        <v>0.40649914329564774</v>
      </c>
      <c r="G90" s="29">
        <f>VLOOKUP($B90, agr_mes!$B:$XFD, MATCH(gdp_agr_share!G$1, agr_mes!$B$1:$XFD$1, 0), 0)/VLOOKUP($B90, gdp_tot_mes!$B:$XFD, MATCH(gdp_agr_share!G$1, gdp_tot_mes!$B$1:$XFD$1, 0), 0)</f>
        <v>0.41926349207936614</v>
      </c>
      <c r="H90" s="29">
        <f>VLOOKUP($B90, agr_mes!$B:$XFD, MATCH(gdp_agr_share!H$1, agr_mes!$B$1:$XFD$1, 0), 0)/VLOOKUP($B90, gdp_tot_mes!$B:$XFD, MATCH(gdp_agr_share!H$1, gdp_tot_mes!$B$1:$XFD$1, 0), 0)</f>
        <v>0.60072673305069602</v>
      </c>
      <c r="I90" s="29">
        <f>VLOOKUP($B90, agr_mes!$B:$XFD, MATCH(gdp_agr_share!I$1, agr_mes!$B$1:$XFD$1, 0), 0)/VLOOKUP($B90, gdp_tot_mes!$B:$XFD, MATCH(gdp_agr_share!I$1, gdp_tot_mes!$B$1:$XFD$1, 0), 0)</f>
        <v>0.33825489316058599</v>
      </c>
      <c r="J90" s="29">
        <f>VLOOKUP($B90, agr_mes!$B:$XFD, MATCH(gdp_agr_share!J$1, agr_mes!$B$1:$XFD$1, 0), 0)/VLOOKUP($B90, gdp_tot_mes!$B:$XFD, MATCH(gdp_agr_share!J$1, gdp_tot_mes!$B$1:$XFD$1, 0), 0)</f>
        <v>0.35371171326714035</v>
      </c>
      <c r="K90" s="29">
        <f>VLOOKUP($B90, agr_mes!$B:$XFD, MATCH(gdp_agr_share!K$1, agr_mes!$B$1:$XFD$1, 0), 0)/VLOOKUP($B90, gdp_tot_mes!$B:$XFD, MATCH(gdp_agr_share!K$1, gdp_tot_mes!$B$1:$XFD$1, 0), 0)</f>
        <v>0.41071264372384608</v>
      </c>
      <c r="L90" s="30">
        <f t="shared" si="1"/>
        <v>0.42379046057394471</v>
      </c>
      <c r="M90" s="29">
        <f>VLOOKUP($B90, agr_mes!$B:$XFD, MATCH(gdp_agr_share!M$1, agr_mes!$B$1:$XFD$1, 0), 0)/VLOOKUP($B90, gdp_tot_mes!$B:$XFD, MATCH(gdp_agr_share!M$1, gdp_tot_mes!$B$1:$XFD$1, 0), 0)</f>
        <v>0.43948384079406311</v>
      </c>
      <c r="N90" s="29">
        <f>VLOOKUP($B90, agr_mes!$B:$XFD, MATCH(gdp_agr_share!N$1, agr_mes!$B$1:$XFD$1, 0), 0)/VLOOKUP($B90, gdp_tot_mes!$B:$XFD, MATCH(gdp_agr_share!N$1, gdp_tot_mes!$B$1:$XFD$1, 0), 0)</f>
        <v>0.2498964421627817</v>
      </c>
      <c r="O90" s="29">
        <f>VLOOKUP($B90, agr_mes!$B:$XFD, MATCH(gdp_agr_share!O$1, agr_mes!$B$1:$XFD$1, 0), 0)/VLOOKUP($B90, gdp_tot_mes!$B:$XFD, MATCH(gdp_agr_share!O$1, gdp_tot_mes!$B$1:$XFD$1, 0), 0)</f>
        <v>0.25355651267817308</v>
      </c>
      <c r="P90" s="29">
        <f>VLOOKUP($B90, agr_mes!$B:$XFD, MATCH(gdp_agr_share!P$1, agr_mes!$B$1:$XFD$1, 0), 0)/VLOOKUP($B90, gdp_tot_mes!$B:$XFD, MATCH(gdp_agr_share!P$1, gdp_tot_mes!$B$1:$XFD$1, 0), 0)</f>
        <v>0.26499889781359742</v>
      </c>
      <c r="Q90" s="29">
        <f>VLOOKUP($B90, agr_mes!$B:$XFD, MATCH(gdp_agr_share!Q$1, agr_mes!$B$1:$XFD$1, 0), 0)/VLOOKUP($B90, gdp_tot_mes!$B:$XFD, MATCH(gdp_agr_share!Q$1, gdp_tot_mes!$B$1:$XFD$1, 0), 0)</f>
        <v>0.32814036292423038</v>
      </c>
      <c r="R90" s="29">
        <f>VLOOKUP($B90, agr_mes!$B:$XFD, MATCH(gdp_agr_share!R$1, agr_mes!$B$1:$XFD$1, 0), 0)/VLOOKUP($B90, gdp_tot_mes!$B:$XFD, MATCH(gdp_agr_share!R$1, gdp_tot_mes!$B$1:$XFD$1, 0), 0)</f>
        <v>0.31277702085688125</v>
      </c>
      <c r="S90" s="29">
        <f>VLOOKUP($B90, agr_mes!$B:$XFD, MATCH(gdp_agr_share!S$1, agr_mes!$B$1:$XFD$1, 0), 0)/VLOOKUP($B90, gdp_tot_mes!$B:$XFD, MATCH(gdp_agr_share!S$1, gdp_tot_mes!$B$1:$XFD$1, 0), 0)</f>
        <v>0.31378231997886785</v>
      </c>
      <c r="T90" s="29">
        <f>VLOOKUP($B90, agr_mes!$B:$XFD, MATCH(gdp_agr_share!T$1, agr_mes!$B$1:$XFD$1, 0), 0)/VLOOKUP($B90, gdp_tot_mes!$B:$XFD, MATCH(gdp_agr_share!T$1, gdp_tot_mes!$B$1:$XFD$1, 0), 0)</f>
        <v>0.3225671426356323</v>
      </c>
      <c r="U90" s="29">
        <f>VLOOKUP($B90, agr_mes!$B:$XFD, MATCH(gdp_agr_share!U$1, agr_mes!$B$1:$XFD$1, 0), 0)/VLOOKUP($B90, gdp_tot_mes!$B:$XFD, MATCH(gdp_agr_share!U$1, gdp_tot_mes!$B$1:$XFD$1, 0), 0)</f>
        <v>0.27067365890003736</v>
      </c>
      <c r="V90" s="29">
        <f>VLOOKUP($B90, agr_mes!$B:$XFD, MATCH(gdp_agr_share!V$1, agr_mes!$B$1:$XFD$1, 0), 0)/VLOOKUP($B90, gdp_tot_mes!$B:$XFD, MATCH(gdp_agr_share!V$1, gdp_tot_mes!$B$1:$XFD$1, 0), 0)</f>
        <v>0.27871509205537021</v>
      </c>
      <c r="W90" s="29">
        <f>VLOOKUP($B90, agr_mes!$B:$XFD, MATCH(gdp_agr_share!W$1, agr_mes!$B$1:$XFD$1, 0), 0)/VLOOKUP($B90, gdp_tot_mes!$B:$XFD, MATCH(gdp_agr_share!W$1, gdp_tot_mes!$B$1:$XFD$1, 0), 0)</f>
        <v>0.33132685783962829</v>
      </c>
      <c r="X90" s="29">
        <f>VLOOKUP($B90, agr_mes!$B:$XFD, MATCH(gdp_agr_share!X$1, agr_mes!$B$1:$XFD$1, 0), 0)/VLOOKUP($B90, gdp_tot_mes!$B:$XFD, MATCH(gdp_agr_share!X$1, gdp_tot_mes!$B$1:$XFD$1, 0), 0)</f>
        <v>0.27620923870835951</v>
      </c>
      <c r="Y90" s="29">
        <f>VLOOKUP($B90, agr_mes!$B:$XFD, MATCH(gdp_agr_share!Y$1, agr_mes!$B$1:$XFD$1, 0), 0)/VLOOKUP($B90, gdp_tot_mes!$B:$XFD, MATCH(gdp_agr_share!Y$1, gdp_tot_mes!$B$1:$XFD$1, 0), 0)</f>
        <v>0.37693944476893393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x14ac:dyDescent="0.25">
      <c r="A91" s="1" t="s">
        <v>200</v>
      </c>
      <c r="B91" s="1" t="s">
        <v>219</v>
      </c>
      <c r="C91" s="1" t="s">
        <v>220</v>
      </c>
      <c r="D91" s="29">
        <f>VLOOKUP($B91, agr_mes!$B:$XFD, MATCH(gdp_agr_share!D$1, agr_mes!$B$1:$XFD$1, 0), 0)/VLOOKUP($B91, gdp_tot_mes!$B:$XFD, MATCH(gdp_agr_share!D$1, gdp_tot_mes!$B$1:$XFD$1, 0), 0)</f>
        <v>0.44157719378718108</v>
      </c>
      <c r="E91" s="29">
        <f>VLOOKUP($B91, agr_mes!$B:$XFD, MATCH(gdp_agr_share!E$1, agr_mes!$B$1:$XFD$1, 0), 0)/VLOOKUP($B91, gdp_tot_mes!$B:$XFD, MATCH(gdp_agr_share!E$1, gdp_tot_mes!$B$1:$XFD$1, 0), 0)</f>
        <v>0.19000536603292104</v>
      </c>
      <c r="F91" s="29">
        <f>VLOOKUP($B91, agr_mes!$B:$XFD, MATCH(gdp_agr_share!F$1, agr_mes!$B$1:$XFD$1, 0), 0)/VLOOKUP($B91, gdp_tot_mes!$B:$XFD, MATCH(gdp_agr_share!F$1, gdp_tot_mes!$B$1:$XFD$1, 0), 0)</f>
        <v>0.13972358492397313</v>
      </c>
      <c r="G91" s="29">
        <f>VLOOKUP($B91, agr_mes!$B:$XFD, MATCH(gdp_agr_share!G$1, agr_mes!$B$1:$XFD$1, 0), 0)/VLOOKUP($B91, gdp_tot_mes!$B:$XFD, MATCH(gdp_agr_share!G$1, gdp_tot_mes!$B$1:$XFD$1, 0), 0)</f>
        <v>7.9108416290067193E-2</v>
      </c>
      <c r="H91" s="29">
        <f>VLOOKUP($B91, agr_mes!$B:$XFD, MATCH(gdp_agr_share!H$1, agr_mes!$B$1:$XFD$1, 0), 0)/VLOOKUP($B91, gdp_tot_mes!$B:$XFD, MATCH(gdp_agr_share!H$1, gdp_tot_mes!$B$1:$XFD$1, 0), 0)</f>
        <v>3.3293498603824488E-2</v>
      </c>
      <c r="I91" s="29">
        <f>VLOOKUP($B91, agr_mes!$B:$XFD, MATCH(gdp_agr_share!I$1, agr_mes!$B$1:$XFD$1, 0), 0)/VLOOKUP($B91, gdp_tot_mes!$B:$XFD, MATCH(gdp_agr_share!I$1, gdp_tot_mes!$B$1:$XFD$1, 0), 0)</f>
        <v>3.3468867827254653E-2</v>
      </c>
      <c r="J91" s="29">
        <f>VLOOKUP($B91, agr_mes!$B:$XFD, MATCH(gdp_agr_share!J$1, agr_mes!$B$1:$XFD$1, 0), 0)/VLOOKUP($B91, gdp_tot_mes!$B:$XFD, MATCH(gdp_agr_share!J$1, gdp_tot_mes!$B$1:$XFD$1, 0), 0)</f>
        <v>2.5602760264167863E-2</v>
      </c>
      <c r="K91" s="29">
        <f>VLOOKUP($B91, agr_mes!$B:$XFD, MATCH(gdp_agr_share!K$1, agr_mes!$B$1:$XFD$1, 0), 0)/VLOOKUP($B91, gdp_tot_mes!$B:$XFD, MATCH(gdp_agr_share!K$1, gdp_tot_mes!$B$1:$XFD$1, 0), 0)</f>
        <v>1.9275425423868196E-2</v>
      </c>
      <c r="L91" s="30">
        <f t="shared" si="1"/>
        <v>1.63913739489875E-2</v>
      </c>
      <c r="M91" s="29">
        <f>VLOOKUP($B91, agr_mes!$B:$XFD, MATCH(gdp_agr_share!M$1, agr_mes!$B$1:$XFD$1, 0), 0)/VLOOKUP($B91, gdp_tot_mes!$B:$XFD, MATCH(gdp_agr_share!M$1, gdp_tot_mes!$B$1:$XFD$1, 0), 0)</f>
        <v>1.2930512179130665E-2</v>
      </c>
      <c r="N91" s="29">
        <f>VLOOKUP($B91, agr_mes!$B:$XFD, MATCH(gdp_agr_share!N$1, agr_mes!$B$1:$XFD$1, 0), 0)/VLOOKUP($B91, gdp_tot_mes!$B:$XFD, MATCH(gdp_agr_share!N$1, gdp_tot_mes!$B$1:$XFD$1, 0), 0)</f>
        <v>1.0692147099342405E-2</v>
      </c>
      <c r="O91" s="29">
        <f>VLOOKUP($B91, agr_mes!$B:$XFD, MATCH(gdp_agr_share!O$1, agr_mes!$B$1:$XFD$1, 0), 0)/VLOOKUP($B91, gdp_tot_mes!$B:$XFD, MATCH(gdp_agr_share!O$1, gdp_tot_mes!$B$1:$XFD$1, 0), 0)</f>
        <v>1.057135689752655E-2</v>
      </c>
      <c r="P91" s="29">
        <f>VLOOKUP($B91, agr_mes!$B:$XFD, MATCH(gdp_agr_share!P$1, agr_mes!$B$1:$XFD$1, 0), 0)/VLOOKUP($B91, gdp_tot_mes!$B:$XFD, MATCH(gdp_agr_share!P$1, gdp_tot_mes!$B$1:$XFD$1, 0), 0)</f>
        <v>1.041017938499306E-2</v>
      </c>
      <c r="Q91" s="29">
        <f>VLOOKUP($B91, agr_mes!$B:$XFD, MATCH(gdp_agr_share!Q$1, agr_mes!$B$1:$XFD$1, 0), 0)/VLOOKUP($B91, gdp_tot_mes!$B:$XFD, MATCH(gdp_agr_share!Q$1, gdp_tot_mes!$B$1:$XFD$1, 0), 0)</f>
        <v>1.2546113020488673E-2</v>
      </c>
      <c r="R91" s="29">
        <f>VLOOKUP($B91, agr_mes!$B:$XFD, MATCH(gdp_agr_share!R$1, agr_mes!$B$1:$XFD$1, 0), 0)/VLOOKUP($B91, gdp_tot_mes!$B:$XFD, MATCH(gdp_agr_share!R$1, gdp_tot_mes!$B$1:$XFD$1, 0), 0)</f>
        <v>1.4239121220572713E-2</v>
      </c>
      <c r="S91" s="29">
        <f>VLOOKUP($B91, agr_mes!$B:$XFD, MATCH(gdp_agr_share!S$1, agr_mes!$B$1:$XFD$1, 0), 0)/VLOOKUP($B91, gdp_tot_mes!$B:$XFD, MATCH(gdp_agr_share!S$1, gdp_tot_mes!$B$1:$XFD$1, 0), 0)</f>
        <v>1.2551298614329028E-2</v>
      </c>
      <c r="T91" s="29">
        <f>VLOOKUP($B91, agr_mes!$B:$XFD, MATCH(gdp_agr_share!T$1, agr_mes!$B$1:$XFD$1, 0), 0)/VLOOKUP($B91, gdp_tot_mes!$B:$XFD, MATCH(gdp_agr_share!T$1, gdp_tot_mes!$B$1:$XFD$1, 0), 0)</f>
        <v>1.3967289855165727E-2</v>
      </c>
      <c r="U91" s="29">
        <f>VLOOKUP($B91, agr_mes!$B:$XFD, MATCH(gdp_agr_share!U$1, agr_mes!$B$1:$XFD$1, 0), 0)/VLOOKUP($B91, gdp_tot_mes!$B:$XFD, MATCH(gdp_agr_share!U$1, gdp_tot_mes!$B$1:$XFD$1, 0), 0)</f>
        <v>1.259842803562985E-2</v>
      </c>
      <c r="V91" s="29">
        <f>VLOOKUP($B91, agr_mes!$B:$XFD, MATCH(gdp_agr_share!V$1, agr_mes!$B$1:$XFD$1, 0), 0)/VLOOKUP($B91, gdp_tot_mes!$B:$XFD, MATCH(gdp_agr_share!V$1, gdp_tot_mes!$B$1:$XFD$1, 0), 0)</f>
        <v>1.1763269509329981E-2</v>
      </c>
      <c r="W91" s="29">
        <f>VLOOKUP($B91, agr_mes!$B:$XFD, MATCH(gdp_agr_share!W$1, agr_mes!$B$1:$XFD$1, 0), 0)/VLOOKUP($B91, gdp_tot_mes!$B:$XFD, MATCH(gdp_agr_share!W$1, gdp_tot_mes!$B$1:$XFD$1, 0), 0)</f>
        <v>1.2052074871336881E-2</v>
      </c>
      <c r="X91" s="29">
        <f>VLOOKUP($B91, agr_mes!$B:$XFD, MATCH(gdp_agr_share!X$1, agr_mes!$B$1:$XFD$1, 0), 0)/VLOOKUP($B91, gdp_tot_mes!$B:$XFD, MATCH(gdp_agr_share!X$1, gdp_tot_mes!$B$1:$XFD$1, 0), 0)</f>
        <v>1.1101870136900687E-2</v>
      </c>
      <c r="Y91" s="29">
        <f>VLOOKUP($B91, agr_mes!$B:$XFD, MATCH(gdp_agr_share!Y$1, agr_mes!$B$1:$XFD$1, 0), 0)/VLOOKUP($B91, gdp_tot_mes!$B:$XFD, MATCH(gdp_agr_share!Y$1, gdp_tot_mes!$B$1:$XFD$1, 0), 0)</f>
        <v>1.3891975663416463E-2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x14ac:dyDescent="0.25">
      <c r="A92" s="1" t="s">
        <v>221</v>
      </c>
      <c r="B92" s="1" t="s">
        <v>222</v>
      </c>
      <c r="C92" s="1" t="s">
        <v>223</v>
      </c>
      <c r="D92" s="29">
        <f>VLOOKUP($B92, agr_mes!$B:$XFD, MATCH(gdp_agr_share!D$1, agr_mes!$B$1:$XFD$1, 0), 0)/VLOOKUP($B92, gdp_tot_mes!$B:$XFD, MATCH(gdp_agr_share!D$1, gdp_tot_mes!$B$1:$XFD$1, 0), 0)</f>
        <v>0.82775040717217552</v>
      </c>
      <c r="E92" s="29">
        <f>VLOOKUP($B92, agr_mes!$B:$XFD, MATCH(gdp_agr_share!E$1, agr_mes!$B$1:$XFD$1, 0), 0)/VLOOKUP($B92, gdp_tot_mes!$B:$XFD, MATCH(gdp_agr_share!E$1, gdp_tot_mes!$B$1:$XFD$1, 0), 0)</f>
        <v>0.56013325271343117</v>
      </c>
      <c r="F92" s="29">
        <f>VLOOKUP($B92, agr_mes!$B:$XFD, MATCH(gdp_agr_share!F$1, agr_mes!$B$1:$XFD$1, 0), 0)/VLOOKUP($B92, gdp_tot_mes!$B:$XFD, MATCH(gdp_agr_share!F$1, gdp_tot_mes!$B$1:$XFD$1, 0), 0)</f>
        <v>0.68975997390470367</v>
      </c>
      <c r="G92" s="29">
        <f>VLOOKUP($B92, agr_mes!$B:$XFD, MATCH(gdp_agr_share!G$1, agr_mes!$B$1:$XFD$1, 0), 0)/VLOOKUP($B92, gdp_tot_mes!$B:$XFD, MATCH(gdp_agr_share!G$1, gdp_tot_mes!$B$1:$XFD$1, 0), 0)</f>
        <v>0.59522457245694804</v>
      </c>
      <c r="H92" s="29">
        <f>VLOOKUP($B92, agr_mes!$B:$XFD, MATCH(gdp_agr_share!H$1, agr_mes!$B$1:$XFD$1, 0), 0)/VLOOKUP($B92, gdp_tot_mes!$B:$XFD, MATCH(gdp_agr_share!H$1, gdp_tot_mes!$B$1:$XFD$1, 0), 0)</f>
        <v>0.32954841147796166</v>
      </c>
      <c r="I92" s="29">
        <f>VLOOKUP($B92, agr_mes!$B:$XFD, MATCH(gdp_agr_share!I$1, agr_mes!$B$1:$XFD$1, 0), 0)/VLOOKUP($B92, gdp_tot_mes!$B:$XFD, MATCH(gdp_agr_share!I$1, gdp_tot_mes!$B$1:$XFD$1, 0), 0)</f>
        <v>0.29787920424757386</v>
      </c>
      <c r="J92" s="29">
        <f>VLOOKUP($B92, agr_mes!$B:$XFD, MATCH(gdp_agr_share!J$1, agr_mes!$B$1:$XFD$1, 0), 0)/VLOOKUP($B92, gdp_tot_mes!$B:$XFD, MATCH(gdp_agr_share!J$1, gdp_tot_mes!$B$1:$XFD$1, 0), 0)</f>
        <v>0.35038314145409705</v>
      </c>
      <c r="K92" s="29">
        <f>VLOOKUP($B92, agr_mes!$B:$XFD, MATCH(gdp_agr_share!K$1, agr_mes!$B$1:$XFD$1, 0), 0)/VLOOKUP($B92, gdp_tot_mes!$B:$XFD, MATCH(gdp_agr_share!K$1, gdp_tot_mes!$B$1:$XFD$1, 0), 0)</f>
        <v>0.29720270616357308</v>
      </c>
      <c r="L92" s="30">
        <f t="shared" si="1"/>
        <v>0.24032298169448313</v>
      </c>
      <c r="M92" s="29">
        <f>VLOOKUP($B92, agr_mes!$B:$XFD, MATCH(gdp_agr_share!M$1, agr_mes!$B$1:$XFD$1, 0), 0)/VLOOKUP($B92, gdp_tot_mes!$B:$XFD, MATCH(gdp_agr_share!M$1, gdp_tot_mes!$B$1:$XFD$1, 0), 0)</f>
        <v>0.17206731233157518</v>
      </c>
      <c r="N92" s="29">
        <f>VLOOKUP($B92, agr_mes!$B:$XFD, MATCH(gdp_agr_share!N$1, agr_mes!$B$1:$XFD$1, 0), 0)/VLOOKUP($B92, gdp_tot_mes!$B:$XFD, MATCH(gdp_agr_share!N$1, gdp_tot_mes!$B$1:$XFD$1, 0), 0)</f>
        <v>5.4050310596681257E-2</v>
      </c>
      <c r="O92" s="29">
        <f>VLOOKUP($B92, agr_mes!$B:$XFD, MATCH(gdp_agr_share!O$1, agr_mes!$B$1:$XFD$1, 0), 0)/VLOOKUP($B92, gdp_tot_mes!$B:$XFD, MATCH(gdp_agr_share!O$1, gdp_tot_mes!$B$1:$XFD$1, 0), 0)</f>
        <v>5.5950238655248848E-2</v>
      </c>
      <c r="P92" s="29">
        <f>VLOOKUP($B92, agr_mes!$B:$XFD, MATCH(gdp_agr_share!P$1, agr_mes!$B$1:$XFD$1, 0), 0)/VLOOKUP($B92, gdp_tot_mes!$B:$XFD, MATCH(gdp_agr_share!P$1, gdp_tot_mes!$B$1:$XFD$1, 0), 0)</f>
        <v>5.9962795697643852E-2</v>
      </c>
      <c r="Q92" s="29">
        <f>VLOOKUP($B92, agr_mes!$B:$XFD, MATCH(gdp_agr_share!Q$1, agr_mes!$B$1:$XFD$1, 0), 0)/VLOOKUP($B92, gdp_tot_mes!$B:$XFD, MATCH(gdp_agr_share!Q$1, gdp_tot_mes!$B$1:$XFD$1, 0), 0)</f>
        <v>7.0795777963616829E-2</v>
      </c>
      <c r="R92" s="29">
        <f>VLOOKUP($B92, agr_mes!$B:$XFD, MATCH(gdp_agr_share!R$1, agr_mes!$B$1:$XFD$1, 0), 0)/VLOOKUP($B92, gdp_tot_mes!$B:$XFD, MATCH(gdp_agr_share!R$1, gdp_tot_mes!$B$1:$XFD$1, 0), 0)</f>
        <v>5.730281629538303E-2</v>
      </c>
      <c r="S92" s="29">
        <f>VLOOKUP($B92, agr_mes!$B:$XFD, MATCH(gdp_agr_share!S$1, agr_mes!$B$1:$XFD$1, 0), 0)/VLOOKUP($B92, gdp_tot_mes!$B:$XFD, MATCH(gdp_agr_share!S$1, gdp_tot_mes!$B$1:$XFD$1, 0), 0)</f>
        <v>7.6861890640515282E-2</v>
      </c>
      <c r="T92" s="29">
        <f>VLOOKUP($B92, agr_mes!$B:$XFD, MATCH(gdp_agr_share!T$1, agr_mes!$B$1:$XFD$1, 0), 0)/VLOOKUP($B92, gdp_tot_mes!$B:$XFD, MATCH(gdp_agr_share!T$1, gdp_tot_mes!$B$1:$XFD$1, 0), 0)</f>
        <v>6.3947699913039308E-2</v>
      </c>
      <c r="U92" s="29">
        <f>VLOOKUP($B92, agr_mes!$B:$XFD, MATCH(gdp_agr_share!U$1, agr_mes!$B$1:$XFD$1, 0), 0)/VLOOKUP($B92, gdp_tot_mes!$B:$XFD, MATCH(gdp_agr_share!U$1, gdp_tot_mes!$B$1:$XFD$1, 0), 0)</f>
        <v>6.109035080975541E-2</v>
      </c>
      <c r="V92" s="29">
        <f>VLOOKUP($B92, agr_mes!$B:$XFD, MATCH(gdp_agr_share!V$1, agr_mes!$B$1:$XFD$1, 0), 0)/VLOOKUP($B92, gdp_tot_mes!$B:$XFD, MATCH(gdp_agr_share!V$1, gdp_tot_mes!$B$1:$XFD$1, 0), 0)</f>
        <v>6.4656659512427883E-2</v>
      </c>
      <c r="W92" s="29">
        <f>VLOOKUP($B92, agr_mes!$B:$XFD, MATCH(gdp_agr_share!W$1, agr_mes!$B$1:$XFD$1, 0), 0)/VLOOKUP($B92, gdp_tot_mes!$B:$XFD, MATCH(gdp_agr_share!W$1, gdp_tot_mes!$B$1:$XFD$1, 0), 0)</f>
        <v>5.751563948520013E-2</v>
      </c>
      <c r="X92" s="29">
        <f>VLOOKUP($B92, agr_mes!$B:$XFD, MATCH(gdp_agr_share!X$1, agr_mes!$B$1:$XFD$1, 0), 0)/VLOOKUP($B92, gdp_tot_mes!$B:$XFD, MATCH(gdp_agr_share!X$1, gdp_tot_mes!$B$1:$XFD$1, 0), 0)</f>
        <v>6.9416393275150701E-2</v>
      </c>
      <c r="Y92" s="29">
        <f>VLOOKUP($B92, agr_mes!$B:$XFD, MATCH(gdp_agr_share!Y$1, agr_mes!$B$1:$XFD$1, 0), 0)/VLOOKUP($B92, gdp_tot_mes!$B:$XFD, MATCH(gdp_agr_share!Y$1, gdp_tot_mes!$B$1:$XFD$1, 0), 0)</f>
        <v>5.6501120612845665E-2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x14ac:dyDescent="0.25">
      <c r="A93" s="1" t="s">
        <v>221</v>
      </c>
      <c r="B93" s="1" t="s">
        <v>224</v>
      </c>
      <c r="C93" s="1" t="s">
        <v>225</v>
      </c>
      <c r="D93" s="29">
        <f>VLOOKUP($B93, agr_mes!$B:$XFD, MATCH(gdp_agr_share!D$1, agr_mes!$B$1:$XFD$1, 0), 0)/VLOOKUP($B93, gdp_tot_mes!$B:$XFD, MATCH(gdp_agr_share!D$1, gdp_tot_mes!$B$1:$XFD$1, 0), 0)</f>
        <v>0.60414235556768736</v>
      </c>
      <c r="E93" s="29">
        <f>VLOOKUP($B93, agr_mes!$B:$XFD, MATCH(gdp_agr_share!E$1, agr_mes!$B$1:$XFD$1, 0), 0)/VLOOKUP($B93, gdp_tot_mes!$B:$XFD, MATCH(gdp_agr_share!E$1, gdp_tot_mes!$B$1:$XFD$1, 0), 0)</f>
        <v>0.39115323362177057</v>
      </c>
      <c r="F93" s="29">
        <f>VLOOKUP($B93, agr_mes!$B:$XFD, MATCH(gdp_agr_share!F$1, agr_mes!$B$1:$XFD$1, 0), 0)/VLOOKUP($B93, gdp_tot_mes!$B:$XFD, MATCH(gdp_agr_share!F$1, gdp_tot_mes!$B$1:$XFD$1, 0), 0)</f>
        <v>0.46697768331740652</v>
      </c>
      <c r="G93" s="29">
        <f>VLOOKUP($B93, agr_mes!$B:$XFD, MATCH(gdp_agr_share!G$1, agr_mes!$B$1:$XFD$1, 0), 0)/VLOOKUP($B93, gdp_tot_mes!$B:$XFD, MATCH(gdp_agr_share!G$1, gdp_tot_mes!$B$1:$XFD$1, 0), 0)</f>
        <v>0.36692870732408073</v>
      </c>
      <c r="H93" s="29">
        <f>VLOOKUP($B93, agr_mes!$B:$XFD, MATCH(gdp_agr_share!H$1, agr_mes!$B$1:$XFD$1, 0), 0)/VLOOKUP($B93, gdp_tot_mes!$B:$XFD, MATCH(gdp_agr_share!H$1, gdp_tot_mes!$B$1:$XFD$1, 0), 0)</f>
        <v>0.25367891891517336</v>
      </c>
      <c r="I93" s="29">
        <f>VLOOKUP($B93, agr_mes!$B:$XFD, MATCH(gdp_agr_share!I$1, agr_mes!$B$1:$XFD$1, 0), 0)/VLOOKUP($B93, gdp_tot_mes!$B:$XFD, MATCH(gdp_agr_share!I$1, gdp_tot_mes!$B$1:$XFD$1, 0), 0)</f>
        <v>0.17516750430481695</v>
      </c>
      <c r="J93" s="29">
        <f>VLOOKUP($B93, agr_mes!$B:$XFD, MATCH(gdp_agr_share!J$1, agr_mes!$B$1:$XFD$1, 0), 0)/VLOOKUP($B93, gdp_tot_mes!$B:$XFD, MATCH(gdp_agr_share!J$1, gdp_tot_mes!$B$1:$XFD$1, 0), 0)</f>
        <v>0.18442612364176425</v>
      </c>
      <c r="K93" s="29">
        <f>VLOOKUP($B93, agr_mes!$B:$XFD, MATCH(gdp_agr_share!K$1, agr_mes!$B$1:$XFD$1, 0), 0)/VLOOKUP($B93, gdp_tot_mes!$B:$XFD, MATCH(gdp_agr_share!K$1, gdp_tot_mes!$B$1:$XFD$1, 0), 0)</f>
        <v>0.15341775927273985</v>
      </c>
      <c r="L93" s="30">
        <f t="shared" si="1"/>
        <v>0.10690192479228287</v>
      </c>
      <c r="M93" s="29">
        <f>VLOOKUP($B93, agr_mes!$B:$XFD, MATCH(gdp_agr_share!M$1, agr_mes!$B$1:$XFD$1, 0), 0)/VLOOKUP($B93, gdp_tot_mes!$B:$XFD, MATCH(gdp_agr_share!M$1, gdp_tot_mes!$B$1:$XFD$1, 0), 0)</f>
        <v>5.1082923415734505E-2</v>
      </c>
      <c r="N93" s="29">
        <f>VLOOKUP($B93, agr_mes!$B:$XFD, MATCH(gdp_agr_share!N$1, agr_mes!$B$1:$XFD$1, 0), 0)/VLOOKUP($B93, gdp_tot_mes!$B:$XFD, MATCH(gdp_agr_share!N$1, gdp_tot_mes!$B$1:$XFD$1, 0), 0)</f>
        <v>2.8140389004701286E-2</v>
      </c>
      <c r="O93" s="29">
        <f>VLOOKUP($B93, agr_mes!$B:$XFD, MATCH(gdp_agr_share!O$1, agr_mes!$B$1:$XFD$1, 0), 0)/VLOOKUP($B93, gdp_tot_mes!$B:$XFD, MATCH(gdp_agr_share!O$1, gdp_tot_mes!$B$1:$XFD$1, 0), 0)</f>
        <v>2.1260695576272706E-2</v>
      </c>
      <c r="P93" s="29">
        <f>VLOOKUP($B93, agr_mes!$B:$XFD, MATCH(gdp_agr_share!P$1, agr_mes!$B$1:$XFD$1, 0), 0)/VLOOKUP($B93, gdp_tot_mes!$B:$XFD, MATCH(gdp_agr_share!P$1, gdp_tot_mes!$B$1:$XFD$1, 0), 0)</f>
        <v>1.9849807337247571E-2</v>
      </c>
      <c r="Q93" s="29">
        <f>VLOOKUP($B93, agr_mes!$B:$XFD, MATCH(gdp_agr_share!Q$1, agr_mes!$B$1:$XFD$1, 0), 0)/VLOOKUP($B93, gdp_tot_mes!$B:$XFD, MATCH(gdp_agr_share!Q$1, gdp_tot_mes!$B$1:$XFD$1, 0), 0)</f>
        <v>1.9125996959639454E-2</v>
      </c>
      <c r="R93" s="29">
        <f>VLOOKUP($B93, agr_mes!$B:$XFD, MATCH(gdp_agr_share!R$1, agr_mes!$B$1:$XFD$1, 0), 0)/VLOOKUP($B93, gdp_tot_mes!$B:$XFD, MATCH(gdp_agr_share!R$1, gdp_tot_mes!$B$1:$XFD$1, 0), 0)</f>
        <v>1.4463019086604951E-2</v>
      </c>
      <c r="S93" s="29">
        <f>VLOOKUP($B93, agr_mes!$B:$XFD, MATCH(gdp_agr_share!S$1, agr_mes!$B$1:$XFD$1, 0), 0)/VLOOKUP($B93, gdp_tot_mes!$B:$XFD, MATCH(gdp_agr_share!S$1, gdp_tot_mes!$B$1:$XFD$1, 0), 0)</f>
        <v>1.5737850692053613E-2</v>
      </c>
      <c r="T93" s="29">
        <f>VLOOKUP($B93, agr_mes!$B:$XFD, MATCH(gdp_agr_share!T$1, agr_mes!$B$1:$XFD$1, 0), 0)/VLOOKUP($B93, gdp_tot_mes!$B:$XFD, MATCH(gdp_agr_share!T$1, gdp_tot_mes!$B$1:$XFD$1, 0), 0)</f>
        <v>1.0767985816176441E-2</v>
      </c>
      <c r="U93" s="29">
        <f>VLOOKUP($B93, agr_mes!$B:$XFD, MATCH(gdp_agr_share!U$1, agr_mes!$B$1:$XFD$1, 0), 0)/VLOOKUP($B93, gdp_tot_mes!$B:$XFD, MATCH(gdp_agr_share!U$1, gdp_tot_mes!$B$1:$XFD$1, 0), 0)</f>
        <v>8.4275619885979692E-3</v>
      </c>
      <c r="V93" s="29">
        <f>VLOOKUP($B93, agr_mes!$B:$XFD, MATCH(gdp_agr_share!V$1, agr_mes!$B$1:$XFD$1, 0), 0)/VLOOKUP($B93, gdp_tot_mes!$B:$XFD, MATCH(gdp_agr_share!V$1, gdp_tot_mes!$B$1:$XFD$1, 0), 0)</f>
        <v>7.6820531425370632E-3</v>
      </c>
      <c r="W93" s="29">
        <f>VLOOKUP($B93, agr_mes!$B:$XFD, MATCH(gdp_agr_share!W$1, agr_mes!$B$1:$XFD$1, 0), 0)/VLOOKUP($B93, gdp_tot_mes!$B:$XFD, MATCH(gdp_agr_share!W$1, gdp_tot_mes!$B$1:$XFD$1, 0), 0)</f>
        <v>4.9055810237462975E-3</v>
      </c>
      <c r="X93" s="29">
        <f>VLOOKUP($B93, agr_mes!$B:$XFD, MATCH(gdp_agr_share!X$1, agr_mes!$B$1:$XFD$1, 0), 0)/VLOOKUP($B93, gdp_tot_mes!$B:$XFD, MATCH(gdp_agr_share!X$1, gdp_tot_mes!$B$1:$XFD$1, 0), 0)</f>
        <v>1.024206414005646E-2</v>
      </c>
      <c r="Y93" s="29">
        <f>VLOOKUP($B93, agr_mes!$B:$XFD, MATCH(gdp_agr_share!Y$1, agr_mes!$B$1:$XFD$1, 0), 0)/VLOOKUP($B93, gdp_tot_mes!$B:$XFD, MATCH(gdp_agr_share!Y$1, gdp_tot_mes!$B$1:$XFD$1, 0), 0)</f>
        <v>7.3656035473001523E-3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x14ac:dyDescent="0.25">
      <c r="A94" s="1" t="s">
        <v>221</v>
      </c>
      <c r="B94" s="1" t="s">
        <v>226</v>
      </c>
      <c r="C94" s="1" t="s">
        <v>227</v>
      </c>
      <c r="D94" s="29">
        <f>VLOOKUP($B94, agr_mes!$B:$XFD, MATCH(gdp_agr_share!D$1, agr_mes!$B$1:$XFD$1, 0), 0)/VLOOKUP($B94, gdp_tot_mes!$B:$XFD, MATCH(gdp_agr_share!D$1, gdp_tot_mes!$B$1:$XFD$1, 0), 0)</f>
        <v>0.71463347537884525</v>
      </c>
      <c r="E94" s="29">
        <f>VLOOKUP($B94, agr_mes!$B:$XFD, MATCH(gdp_agr_share!E$1, agr_mes!$B$1:$XFD$1, 0), 0)/VLOOKUP($B94, gdp_tot_mes!$B:$XFD, MATCH(gdp_agr_share!E$1, gdp_tot_mes!$B$1:$XFD$1, 0), 0)</f>
        <v>0.30428252241647152</v>
      </c>
      <c r="F94" s="29">
        <f>VLOOKUP($B94, agr_mes!$B:$XFD, MATCH(gdp_agr_share!F$1, agr_mes!$B$1:$XFD$1, 0), 0)/VLOOKUP($B94, gdp_tot_mes!$B:$XFD, MATCH(gdp_agr_share!F$1, gdp_tot_mes!$B$1:$XFD$1, 0), 0)</f>
        <v>0.29611548461655968</v>
      </c>
      <c r="G94" s="29">
        <f>VLOOKUP($B94, agr_mes!$B:$XFD, MATCH(gdp_agr_share!G$1, agr_mes!$B$1:$XFD$1, 0), 0)/VLOOKUP($B94, gdp_tot_mes!$B:$XFD, MATCH(gdp_agr_share!G$1, gdp_tot_mes!$B$1:$XFD$1, 0), 0)</f>
        <v>0.18518269872470272</v>
      </c>
      <c r="H94" s="29">
        <f>VLOOKUP($B94, agr_mes!$B:$XFD, MATCH(gdp_agr_share!H$1, agr_mes!$B$1:$XFD$1, 0), 0)/VLOOKUP($B94, gdp_tot_mes!$B:$XFD, MATCH(gdp_agr_share!H$1, gdp_tot_mes!$B$1:$XFD$1, 0), 0)</f>
        <v>0.1451867155852756</v>
      </c>
      <c r="I94" s="29">
        <f>VLOOKUP($B94, agr_mes!$B:$XFD, MATCH(gdp_agr_share!I$1, agr_mes!$B$1:$XFD$1, 0), 0)/VLOOKUP($B94, gdp_tot_mes!$B:$XFD, MATCH(gdp_agr_share!I$1, gdp_tot_mes!$B$1:$XFD$1, 0), 0)</f>
        <v>0.13620040459691338</v>
      </c>
      <c r="J94" s="29">
        <f>VLOOKUP($B94, agr_mes!$B:$XFD, MATCH(gdp_agr_share!J$1, agr_mes!$B$1:$XFD$1, 0), 0)/VLOOKUP($B94, gdp_tot_mes!$B:$XFD, MATCH(gdp_agr_share!J$1, gdp_tot_mes!$B$1:$XFD$1, 0), 0)</f>
        <v>0.12893736771848543</v>
      </c>
      <c r="K94" s="29">
        <f>VLOOKUP($B94, agr_mes!$B:$XFD, MATCH(gdp_agr_share!K$1, agr_mes!$B$1:$XFD$1, 0), 0)/VLOOKUP($B94, gdp_tot_mes!$B:$XFD, MATCH(gdp_agr_share!K$1, gdp_tot_mes!$B$1:$XFD$1, 0), 0)</f>
        <v>0.1282782936475706</v>
      </c>
      <c r="L94" s="30">
        <f t="shared" si="1"/>
        <v>0.11319240275606111</v>
      </c>
      <c r="M94" s="29">
        <f>VLOOKUP($B94, agr_mes!$B:$XFD, MATCH(gdp_agr_share!M$1, agr_mes!$B$1:$XFD$1, 0), 0)/VLOOKUP($B94, gdp_tot_mes!$B:$XFD, MATCH(gdp_agr_share!M$1, gdp_tot_mes!$B$1:$XFD$1, 0), 0)</f>
        <v>9.5089333686249736E-2</v>
      </c>
      <c r="N94" s="29">
        <f>VLOOKUP($B94, agr_mes!$B:$XFD, MATCH(gdp_agr_share!N$1, agr_mes!$B$1:$XFD$1, 0), 0)/VLOOKUP($B94, gdp_tot_mes!$B:$XFD, MATCH(gdp_agr_share!N$1, gdp_tot_mes!$B$1:$XFD$1, 0), 0)</f>
        <v>3.9162155005755518E-2</v>
      </c>
      <c r="O94" s="29">
        <f>VLOOKUP($B94, agr_mes!$B:$XFD, MATCH(gdp_agr_share!O$1, agr_mes!$B$1:$XFD$1, 0), 0)/VLOOKUP($B94, gdp_tot_mes!$B:$XFD, MATCH(gdp_agr_share!O$1, gdp_tot_mes!$B$1:$XFD$1, 0), 0)</f>
        <v>4.3066715887825902E-2</v>
      </c>
      <c r="P94" s="29">
        <f>VLOOKUP($B94, agr_mes!$B:$XFD, MATCH(gdp_agr_share!P$1, agr_mes!$B$1:$XFD$1, 0), 0)/VLOOKUP($B94, gdp_tot_mes!$B:$XFD, MATCH(gdp_agr_share!P$1, gdp_tot_mes!$B$1:$XFD$1, 0), 0)</f>
        <v>4.4858039897412362E-2</v>
      </c>
      <c r="Q94" s="29">
        <f>VLOOKUP($B94, agr_mes!$B:$XFD, MATCH(gdp_agr_share!Q$1, agr_mes!$B$1:$XFD$1, 0), 0)/VLOOKUP($B94, gdp_tot_mes!$B:$XFD, MATCH(gdp_agr_share!Q$1, gdp_tot_mes!$B$1:$XFD$1, 0), 0)</f>
        <v>3.8307961607807049E-2</v>
      </c>
      <c r="R94" s="29">
        <f>VLOOKUP($B94, agr_mes!$B:$XFD, MATCH(gdp_agr_share!R$1, agr_mes!$B$1:$XFD$1, 0), 0)/VLOOKUP($B94, gdp_tot_mes!$B:$XFD, MATCH(gdp_agr_share!R$1, gdp_tot_mes!$B$1:$XFD$1, 0), 0)</f>
        <v>3.4586385481250995E-2</v>
      </c>
      <c r="S94" s="29">
        <f>VLOOKUP($B94, agr_mes!$B:$XFD, MATCH(gdp_agr_share!S$1, agr_mes!$B$1:$XFD$1, 0), 0)/VLOOKUP($B94, gdp_tot_mes!$B:$XFD, MATCH(gdp_agr_share!S$1, gdp_tot_mes!$B$1:$XFD$1, 0), 0)</f>
        <v>4.7190132484436084E-2</v>
      </c>
      <c r="T94" s="29">
        <f>VLOOKUP($B94, agr_mes!$B:$XFD, MATCH(gdp_agr_share!T$1, agr_mes!$B$1:$XFD$1, 0), 0)/VLOOKUP($B94, gdp_tot_mes!$B:$XFD, MATCH(gdp_agr_share!T$1, gdp_tot_mes!$B$1:$XFD$1, 0), 0)</f>
        <v>4.5881920489923428E-2</v>
      </c>
      <c r="U94" s="29">
        <f>VLOOKUP($B94, agr_mes!$B:$XFD, MATCH(gdp_agr_share!U$1, agr_mes!$B$1:$XFD$1, 0), 0)/VLOOKUP($B94, gdp_tot_mes!$B:$XFD, MATCH(gdp_agr_share!U$1, gdp_tot_mes!$B$1:$XFD$1, 0), 0)</f>
        <v>4.3914279700846694E-2</v>
      </c>
      <c r="V94" s="29">
        <f>VLOOKUP($B94, agr_mes!$B:$XFD, MATCH(gdp_agr_share!V$1, agr_mes!$B$1:$XFD$1, 0), 0)/VLOOKUP($B94, gdp_tot_mes!$B:$XFD, MATCH(gdp_agr_share!V$1, gdp_tot_mes!$B$1:$XFD$1, 0), 0)</f>
        <v>3.464302800109572E-2</v>
      </c>
      <c r="W94" s="29">
        <f>VLOOKUP($B94, agr_mes!$B:$XFD, MATCH(gdp_agr_share!W$1, agr_mes!$B$1:$XFD$1, 0), 0)/VLOOKUP($B94, gdp_tot_mes!$B:$XFD, MATCH(gdp_agr_share!W$1, gdp_tot_mes!$B$1:$XFD$1, 0), 0)</f>
        <v>4.2705394242960909E-2</v>
      </c>
      <c r="X94" s="29">
        <f>VLOOKUP($B94, agr_mes!$B:$XFD, MATCH(gdp_agr_share!X$1, agr_mes!$B$1:$XFD$1, 0), 0)/VLOOKUP($B94, gdp_tot_mes!$B:$XFD, MATCH(gdp_agr_share!X$1, gdp_tot_mes!$B$1:$XFD$1, 0), 0)</f>
        <v>3.8321819208300786E-2</v>
      </c>
      <c r="Y94" s="29">
        <f>VLOOKUP($B94, agr_mes!$B:$XFD, MATCH(gdp_agr_share!Y$1, agr_mes!$B$1:$XFD$1, 0), 0)/VLOOKUP($B94, gdp_tot_mes!$B:$XFD, MATCH(gdp_agr_share!Y$1, gdp_tot_mes!$B$1:$XFD$1, 0), 0)</f>
        <v>3.5727172517764118E-2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x14ac:dyDescent="0.25">
      <c r="A95" s="1" t="s">
        <v>221</v>
      </c>
      <c r="B95" s="1" t="s">
        <v>228</v>
      </c>
      <c r="C95" s="1" t="s">
        <v>229</v>
      </c>
      <c r="D95" s="29">
        <f>VLOOKUP($B95, agr_mes!$B:$XFD, MATCH(gdp_agr_share!D$1, agr_mes!$B$1:$XFD$1, 0), 0)/VLOOKUP($B95, gdp_tot_mes!$B:$XFD, MATCH(gdp_agr_share!D$1, gdp_tot_mes!$B$1:$XFD$1, 0), 0)</f>
        <v>0.51454391174673253</v>
      </c>
      <c r="E95" s="29">
        <f>VLOOKUP($B95, agr_mes!$B:$XFD, MATCH(gdp_agr_share!E$1, agr_mes!$B$1:$XFD$1, 0), 0)/VLOOKUP($B95, gdp_tot_mes!$B:$XFD, MATCH(gdp_agr_share!E$1, gdp_tot_mes!$B$1:$XFD$1, 0), 0)</f>
        <v>0.31695317593178224</v>
      </c>
      <c r="F95" s="29">
        <f>VLOOKUP($B95, agr_mes!$B:$XFD, MATCH(gdp_agr_share!F$1, agr_mes!$B$1:$XFD$1, 0), 0)/VLOOKUP($B95, gdp_tot_mes!$B:$XFD, MATCH(gdp_agr_share!F$1, gdp_tot_mes!$B$1:$XFD$1, 0), 0)</f>
        <v>0.49479100486317862</v>
      </c>
      <c r="G95" s="29">
        <f>VLOOKUP($B95, agr_mes!$B:$XFD, MATCH(gdp_agr_share!G$1, agr_mes!$B$1:$XFD$1, 0), 0)/VLOOKUP($B95, gdp_tot_mes!$B:$XFD, MATCH(gdp_agr_share!G$1, gdp_tot_mes!$B$1:$XFD$1, 0), 0)</f>
        <v>0.31278112126281543</v>
      </c>
      <c r="H95" s="29">
        <f>VLOOKUP($B95, agr_mes!$B:$XFD, MATCH(gdp_agr_share!H$1, agr_mes!$B$1:$XFD$1, 0), 0)/VLOOKUP($B95, gdp_tot_mes!$B:$XFD, MATCH(gdp_agr_share!H$1, gdp_tot_mes!$B$1:$XFD$1, 0), 0)</f>
        <v>0.1256460403748258</v>
      </c>
      <c r="I95" s="29">
        <f>VLOOKUP($B95, agr_mes!$B:$XFD, MATCH(gdp_agr_share!I$1, agr_mes!$B$1:$XFD$1, 0), 0)/VLOOKUP($B95, gdp_tot_mes!$B:$XFD, MATCH(gdp_agr_share!I$1, gdp_tot_mes!$B$1:$XFD$1, 0), 0)</f>
        <v>0.10641682409966785</v>
      </c>
      <c r="J95" s="29">
        <f>VLOOKUP($B95, agr_mes!$B:$XFD, MATCH(gdp_agr_share!J$1, agr_mes!$B$1:$XFD$1, 0), 0)/VLOOKUP($B95, gdp_tot_mes!$B:$XFD, MATCH(gdp_agr_share!J$1, gdp_tot_mes!$B$1:$XFD$1, 0), 0)</f>
        <v>0.11257814212509983</v>
      </c>
      <c r="K95" s="29">
        <f>VLOOKUP($B95, agr_mes!$B:$XFD, MATCH(gdp_agr_share!K$1, agr_mes!$B$1:$XFD$1, 0), 0)/VLOOKUP($B95, gdp_tot_mes!$B:$XFD, MATCH(gdp_agr_share!K$1, gdp_tot_mes!$B$1:$XFD$1, 0), 0)</f>
        <v>0.12549723433502658</v>
      </c>
      <c r="L95" s="30">
        <f t="shared" si="1"/>
        <v>8.3697296351925854E-2</v>
      </c>
      <c r="M95" s="29">
        <f>VLOOKUP($B95, agr_mes!$B:$XFD, MATCH(gdp_agr_share!M$1, agr_mes!$B$1:$XFD$1, 0), 0)/VLOOKUP($B95, gdp_tot_mes!$B:$XFD, MATCH(gdp_agr_share!M$1, gdp_tot_mes!$B$1:$XFD$1, 0), 0)</f>
        <v>3.3537370772204984E-2</v>
      </c>
      <c r="N95" s="29">
        <f>VLOOKUP($B95, agr_mes!$B:$XFD, MATCH(gdp_agr_share!N$1, agr_mes!$B$1:$XFD$1, 0), 0)/VLOOKUP($B95, gdp_tot_mes!$B:$XFD, MATCH(gdp_agr_share!N$1, gdp_tot_mes!$B$1:$XFD$1, 0), 0)</f>
        <v>1.3886577171631673E-2</v>
      </c>
      <c r="O95" s="29">
        <f>VLOOKUP($B95, agr_mes!$B:$XFD, MATCH(gdp_agr_share!O$1, agr_mes!$B$1:$XFD$1, 0), 0)/VLOOKUP($B95, gdp_tot_mes!$B:$XFD, MATCH(gdp_agr_share!O$1, gdp_tot_mes!$B$1:$XFD$1, 0), 0)</f>
        <v>1.2349100657827034E-2</v>
      </c>
      <c r="P95" s="29">
        <f>VLOOKUP($B95, agr_mes!$B:$XFD, MATCH(gdp_agr_share!P$1, agr_mes!$B$1:$XFD$1, 0), 0)/VLOOKUP($B95, gdp_tot_mes!$B:$XFD, MATCH(gdp_agr_share!P$1, gdp_tot_mes!$B$1:$XFD$1, 0), 0)</f>
        <v>1.2813921171691537E-2</v>
      </c>
      <c r="Q95" s="29">
        <f>VLOOKUP($B95, agr_mes!$B:$XFD, MATCH(gdp_agr_share!Q$1, agr_mes!$B$1:$XFD$1, 0), 0)/VLOOKUP($B95, gdp_tot_mes!$B:$XFD, MATCH(gdp_agr_share!Q$1, gdp_tot_mes!$B$1:$XFD$1, 0), 0)</f>
        <v>1.3138085530078213E-2</v>
      </c>
      <c r="R95" s="29">
        <f>VLOOKUP($B95, agr_mes!$B:$XFD, MATCH(gdp_agr_share!R$1, agr_mes!$B$1:$XFD$1, 0), 0)/VLOOKUP($B95, gdp_tot_mes!$B:$XFD, MATCH(gdp_agr_share!R$1, gdp_tot_mes!$B$1:$XFD$1, 0), 0)</f>
        <v>9.9832194628458309E-3</v>
      </c>
      <c r="S95" s="29">
        <f>VLOOKUP($B95, agr_mes!$B:$XFD, MATCH(gdp_agr_share!S$1, agr_mes!$B$1:$XFD$1, 0), 0)/VLOOKUP($B95, gdp_tot_mes!$B:$XFD, MATCH(gdp_agr_share!S$1, gdp_tot_mes!$B$1:$XFD$1, 0), 0)</f>
        <v>9.715310309401478E-3</v>
      </c>
      <c r="T95" s="29">
        <f>VLOOKUP($B95, agr_mes!$B:$XFD, MATCH(gdp_agr_share!T$1, agr_mes!$B$1:$XFD$1, 0), 0)/VLOOKUP($B95, gdp_tot_mes!$B:$XFD, MATCH(gdp_agr_share!T$1, gdp_tot_mes!$B$1:$XFD$1, 0), 0)</f>
        <v>5.3890344244092456E-3</v>
      </c>
      <c r="U95" s="29">
        <f>VLOOKUP($B95, agr_mes!$B:$XFD, MATCH(gdp_agr_share!U$1, agr_mes!$B$1:$XFD$1, 0), 0)/VLOOKUP($B95, gdp_tot_mes!$B:$XFD, MATCH(gdp_agr_share!U$1, gdp_tot_mes!$B$1:$XFD$1, 0), 0)</f>
        <v>4.8914938316171339E-3</v>
      </c>
      <c r="V95" s="29">
        <f>VLOOKUP($B95, agr_mes!$B:$XFD, MATCH(gdp_agr_share!V$1, agr_mes!$B$1:$XFD$1, 0), 0)/VLOOKUP($B95, gdp_tot_mes!$B:$XFD, MATCH(gdp_agr_share!V$1, gdp_tot_mes!$B$1:$XFD$1, 0), 0)</f>
        <v>4.9303936622848866E-3</v>
      </c>
      <c r="W95" s="29">
        <f>VLOOKUP($B95, agr_mes!$B:$XFD, MATCH(gdp_agr_share!W$1, agr_mes!$B$1:$XFD$1, 0), 0)/VLOOKUP($B95, gdp_tot_mes!$B:$XFD, MATCH(gdp_agr_share!W$1, gdp_tot_mes!$B$1:$XFD$1, 0), 0)</f>
        <v>4.0251707269428382E-3</v>
      </c>
      <c r="X95" s="29">
        <f>VLOOKUP($B95, agr_mes!$B:$XFD, MATCH(gdp_agr_share!X$1, agr_mes!$B$1:$XFD$1, 0), 0)/VLOOKUP($B95, gdp_tot_mes!$B:$XFD, MATCH(gdp_agr_share!X$1, gdp_tot_mes!$B$1:$XFD$1, 0), 0)</f>
        <v>5.3340305434487383E-3</v>
      </c>
      <c r="Y95" s="29">
        <f>VLOOKUP($B95, agr_mes!$B:$XFD, MATCH(gdp_agr_share!Y$1, agr_mes!$B$1:$XFD$1, 0), 0)/VLOOKUP($B95, gdp_tot_mes!$B:$XFD, MATCH(gdp_agr_share!Y$1, gdp_tot_mes!$B$1:$XFD$1, 0), 0)</f>
        <v>4.3995995754278422E-3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x14ac:dyDescent="0.25">
      <c r="A96" s="1" t="s">
        <v>221</v>
      </c>
      <c r="B96" s="1" t="s">
        <v>230</v>
      </c>
      <c r="C96" s="1" t="s">
        <v>231</v>
      </c>
      <c r="D96" s="29">
        <f>VLOOKUP($B96, agr_mes!$B:$XFD, MATCH(gdp_agr_share!D$1, agr_mes!$B$1:$XFD$1, 0), 0)/VLOOKUP($B96, gdp_tot_mes!$B:$XFD, MATCH(gdp_agr_share!D$1, gdp_tot_mes!$B$1:$XFD$1, 0), 0)</f>
        <v>0.51591261734699734</v>
      </c>
      <c r="E96" s="29">
        <f>VLOOKUP($B96, agr_mes!$B:$XFD, MATCH(gdp_agr_share!E$1, agr_mes!$B$1:$XFD$1, 0), 0)/VLOOKUP($B96, gdp_tot_mes!$B:$XFD, MATCH(gdp_agr_share!E$1, gdp_tot_mes!$B$1:$XFD$1, 0), 0)</f>
        <v>0.26966028031429418</v>
      </c>
      <c r="F96" s="29">
        <f>VLOOKUP($B96, agr_mes!$B:$XFD, MATCH(gdp_agr_share!F$1, agr_mes!$B$1:$XFD$1, 0), 0)/VLOOKUP($B96, gdp_tot_mes!$B:$XFD, MATCH(gdp_agr_share!F$1, gdp_tot_mes!$B$1:$XFD$1, 0), 0)</f>
        <v>0.10474603790523068</v>
      </c>
      <c r="G96" s="29">
        <f>VLOOKUP($B96, agr_mes!$B:$XFD, MATCH(gdp_agr_share!G$1, agr_mes!$B$1:$XFD$1, 0), 0)/VLOOKUP($B96, gdp_tot_mes!$B:$XFD, MATCH(gdp_agr_share!G$1, gdp_tot_mes!$B$1:$XFD$1, 0), 0)</f>
        <v>3.6219246725392812E-2</v>
      </c>
      <c r="H96" s="29">
        <f>VLOOKUP($B96, agr_mes!$B:$XFD, MATCH(gdp_agr_share!H$1, agr_mes!$B$1:$XFD$1, 0), 0)/VLOOKUP($B96, gdp_tot_mes!$B:$XFD, MATCH(gdp_agr_share!H$1, gdp_tot_mes!$B$1:$XFD$1, 0), 0)</f>
        <v>4.0282540817296653E-2</v>
      </c>
      <c r="I96" s="29">
        <f>VLOOKUP($B96, agr_mes!$B:$XFD, MATCH(gdp_agr_share!I$1, agr_mes!$B$1:$XFD$1, 0), 0)/VLOOKUP($B96, gdp_tot_mes!$B:$XFD, MATCH(gdp_agr_share!I$1, gdp_tot_mes!$B$1:$XFD$1, 0), 0)</f>
        <v>2.7770661481183758E-2</v>
      </c>
      <c r="J96" s="29">
        <f>VLOOKUP($B96, agr_mes!$B:$XFD, MATCH(gdp_agr_share!J$1, agr_mes!$B$1:$XFD$1, 0), 0)/VLOOKUP($B96, gdp_tot_mes!$B:$XFD, MATCH(gdp_agr_share!J$1, gdp_tot_mes!$B$1:$XFD$1, 0), 0)</f>
        <v>2.4682693443885819E-2</v>
      </c>
      <c r="K96" s="29">
        <f>VLOOKUP($B96, agr_mes!$B:$XFD, MATCH(gdp_agr_share!K$1, agr_mes!$B$1:$XFD$1, 0), 0)/VLOOKUP($B96, gdp_tot_mes!$B:$XFD, MATCH(gdp_agr_share!K$1, gdp_tot_mes!$B$1:$XFD$1, 0), 0)</f>
        <v>2.1857569938637019E-2</v>
      </c>
      <c r="L96" s="30">
        <f t="shared" si="1"/>
        <v>2.0052424759992679E-2</v>
      </c>
      <c r="M96" s="29">
        <f>VLOOKUP($B96, agr_mes!$B:$XFD, MATCH(gdp_agr_share!M$1, agr_mes!$B$1:$XFD$1, 0), 0)/VLOOKUP($B96, gdp_tot_mes!$B:$XFD, MATCH(gdp_agr_share!M$1, gdp_tot_mes!$B$1:$XFD$1, 0), 0)</f>
        <v>1.7886250545619473E-2</v>
      </c>
      <c r="N96" s="29">
        <f>VLOOKUP($B96, agr_mes!$B:$XFD, MATCH(gdp_agr_share!N$1, agr_mes!$B$1:$XFD$1, 0), 0)/VLOOKUP($B96, gdp_tot_mes!$B:$XFD, MATCH(gdp_agr_share!N$1, gdp_tot_mes!$B$1:$XFD$1, 0), 0)</f>
        <v>9.0982702989891688E-3</v>
      </c>
      <c r="O96" s="29">
        <f>VLOOKUP($B96, agr_mes!$B:$XFD, MATCH(gdp_agr_share!O$1, agr_mes!$B$1:$XFD$1, 0), 0)/VLOOKUP($B96, gdp_tot_mes!$B:$XFD, MATCH(gdp_agr_share!O$1, gdp_tot_mes!$B$1:$XFD$1, 0), 0)</f>
        <v>9.8980082726083992E-3</v>
      </c>
      <c r="P96" s="29">
        <f>VLOOKUP($B96, agr_mes!$B:$XFD, MATCH(gdp_agr_share!P$1, agr_mes!$B$1:$XFD$1, 0), 0)/VLOOKUP($B96, gdp_tot_mes!$B:$XFD, MATCH(gdp_agr_share!P$1, gdp_tot_mes!$B$1:$XFD$1, 0), 0)</f>
        <v>9.634553486823608E-3</v>
      </c>
      <c r="Q96" s="29">
        <f>VLOOKUP($B96, agr_mes!$B:$XFD, MATCH(gdp_agr_share!Q$1, agr_mes!$B$1:$XFD$1, 0), 0)/VLOOKUP($B96, gdp_tot_mes!$B:$XFD, MATCH(gdp_agr_share!Q$1, gdp_tot_mes!$B$1:$XFD$1, 0), 0)</f>
        <v>9.3143154343761306E-3</v>
      </c>
      <c r="R96" s="29">
        <f>VLOOKUP($B96, agr_mes!$B:$XFD, MATCH(gdp_agr_share!R$1, agr_mes!$B$1:$XFD$1, 0), 0)/VLOOKUP($B96, gdp_tot_mes!$B:$XFD, MATCH(gdp_agr_share!R$1, gdp_tot_mes!$B$1:$XFD$1, 0), 0)</f>
        <v>7.4562153337675999E-3</v>
      </c>
      <c r="S96" s="29">
        <f>VLOOKUP($B96, agr_mes!$B:$XFD, MATCH(gdp_agr_share!S$1, agr_mes!$B$1:$XFD$1, 0), 0)/VLOOKUP($B96, gdp_tot_mes!$B:$XFD, MATCH(gdp_agr_share!S$1, gdp_tot_mes!$B$1:$XFD$1, 0), 0)</f>
        <v>6.9152580279436592E-3</v>
      </c>
      <c r="T96" s="29">
        <f>VLOOKUP($B96, agr_mes!$B:$XFD, MATCH(gdp_agr_share!T$1, agr_mes!$B$1:$XFD$1, 0), 0)/VLOOKUP($B96, gdp_tot_mes!$B:$XFD, MATCH(gdp_agr_share!T$1, gdp_tot_mes!$B$1:$XFD$1, 0), 0)</f>
        <v>7.3609152291315262E-3</v>
      </c>
      <c r="U96" s="29">
        <f>VLOOKUP($B96, agr_mes!$B:$XFD, MATCH(gdp_agr_share!U$1, agr_mes!$B$1:$XFD$1, 0), 0)/VLOOKUP($B96, gdp_tot_mes!$B:$XFD, MATCH(gdp_agr_share!U$1, gdp_tot_mes!$B$1:$XFD$1, 0), 0)</f>
        <v>7.5367510296980213E-3</v>
      </c>
      <c r="V96" s="29">
        <f>VLOOKUP($B96, agr_mes!$B:$XFD, MATCH(gdp_agr_share!V$1, agr_mes!$B$1:$XFD$1, 0), 0)/VLOOKUP($B96, gdp_tot_mes!$B:$XFD, MATCH(gdp_agr_share!V$1, gdp_tot_mes!$B$1:$XFD$1, 0), 0)</f>
        <v>6.6787141747773797E-3</v>
      </c>
      <c r="W96" s="29">
        <f>VLOOKUP($B96, agr_mes!$B:$XFD, MATCH(gdp_agr_share!W$1, agr_mes!$B$1:$XFD$1, 0), 0)/VLOOKUP($B96, gdp_tot_mes!$B:$XFD, MATCH(gdp_agr_share!W$1, gdp_tot_mes!$B$1:$XFD$1, 0), 0)</f>
        <v>5.6962382101311349E-3</v>
      </c>
      <c r="X96" s="29">
        <f>VLOOKUP($B96, agr_mes!$B:$XFD, MATCH(gdp_agr_share!X$1, agr_mes!$B$1:$XFD$1, 0), 0)/VLOOKUP($B96, gdp_tot_mes!$B:$XFD, MATCH(gdp_agr_share!X$1, gdp_tot_mes!$B$1:$XFD$1, 0), 0)</f>
        <v>6.0700337230397703E-3</v>
      </c>
      <c r="Y96" s="29">
        <f>VLOOKUP($B96, agr_mes!$B:$XFD, MATCH(gdp_agr_share!Y$1, agr_mes!$B$1:$XFD$1, 0), 0)/VLOOKUP($B96, gdp_tot_mes!$B:$XFD, MATCH(gdp_agr_share!Y$1, gdp_tot_mes!$B$1:$XFD$1, 0), 0)</f>
        <v>4.6954356946366472E-3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x14ac:dyDescent="0.25">
      <c r="A97" s="1" t="s">
        <v>221</v>
      </c>
      <c r="B97" s="1" t="s">
        <v>232</v>
      </c>
      <c r="C97" s="1" t="s">
        <v>233</v>
      </c>
      <c r="D97" s="29">
        <f>VLOOKUP($B97, agr_mes!$B:$XFD, MATCH(gdp_agr_share!D$1, agr_mes!$B$1:$XFD$1, 0), 0)/VLOOKUP($B97, gdp_tot_mes!$B:$XFD, MATCH(gdp_agr_share!D$1, gdp_tot_mes!$B$1:$XFD$1, 0), 0)</f>
        <v>1.3701597853072981E-2</v>
      </c>
      <c r="E97" s="29">
        <f>VLOOKUP($B97, agr_mes!$B:$XFD, MATCH(gdp_agr_share!E$1, agr_mes!$B$1:$XFD$1, 0), 0)/VLOOKUP($B97, gdp_tot_mes!$B:$XFD, MATCH(gdp_agr_share!E$1, gdp_tot_mes!$B$1:$XFD$1, 0), 0)</f>
        <v>2.1181156934110049E-2</v>
      </c>
      <c r="F97" s="29">
        <f>VLOOKUP($B97, agr_mes!$B:$XFD, MATCH(gdp_agr_share!F$1, agr_mes!$B$1:$XFD$1, 0), 0)/VLOOKUP($B97, gdp_tot_mes!$B:$XFD, MATCH(gdp_agr_share!F$1, gdp_tot_mes!$B$1:$XFD$1, 0), 0)</f>
        <v>1.7501586516112503E-2</v>
      </c>
      <c r="G97" s="29">
        <f>VLOOKUP($B97, agr_mes!$B:$XFD, MATCH(gdp_agr_share!G$1, agr_mes!$B$1:$XFD$1, 0), 0)/VLOOKUP($B97, gdp_tot_mes!$B:$XFD, MATCH(gdp_agr_share!G$1, gdp_tot_mes!$B$1:$XFD$1, 0), 0)</f>
        <v>1.8135996447111863E-2</v>
      </c>
      <c r="H97" s="29">
        <f>VLOOKUP($B97, agr_mes!$B:$XFD, MATCH(gdp_agr_share!H$1, agr_mes!$B$1:$XFD$1, 0), 0)/VLOOKUP($B97, gdp_tot_mes!$B:$XFD, MATCH(gdp_agr_share!H$1, gdp_tot_mes!$B$1:$XFD$1, 0), 0)</f>
        <v>5.0755522565734982E-3</v>
      </c>
      <c r="I97" s="29">
        <f>VLOOKUP($B97, agr_mes!$B:$XFD, MATCH(gdp_agr_share!I$1, agr_mes!$B$1:$XFD$1, 0), 0)/VLOOKUP($B97, gdp_tot_mes!$B:$XFD, MATCH(gdp_agr_share!I$1, gdp_tot_mes!$B$1:$XFD$1, 0), 0)</f>
        <v>5.9951216996350027E-3</v>
      </c>
      <c r="J97" s="29">
        <f>VLOOKUP($B97, agr_mes!$B:$XFD, MATCH(gdp_agr_share!J$1, agr_mes!$B$1:$XFD$1, 0), 0)/VLOOKUP($B97, gdp_tot_mes!$B:$XFD, MATCH(gdp_agr_share!J$1, gdp_tot_mes!$B$1:$XFD$1, 0), 0)</f>
        <v>4.2051089672490802E-3</v>
      </c>
      <c r="K97" s="29">
        <f>VLOOKUP($B97, agr_mes!$B:$XFD, MATCH(gdp_agr_share!K$1, agr_mes!$B$1:$XFD$1, 0), 0)/VLOOKUP($B97, gdp_tot_mes!$B:$XFD, MATCH(gdp_agr_share!K$1, gdp_tot_mes!$B$1:$XFD$1, 0), 0)</f>
        <v>5.5608669205492855E-3</v>
      </c>
      <c r="L97" s="30">
        <f t="shared" si="1"/>
        <v>4.0999839461648997E-3</v>
      </c>
      <c r="M97" s="29">
        <f>VLOOKUP($B97, agr_mes!$B:$XFD, MATCH(gdp_agr_share!M$1, agr_mes!$B$1:$XFD$1, 0), 0)/VLOOKUP($B97, gdp_tot_mes!$B:$XFD, MATCH(gdp_agr_share!M$1, gdp_tot_mes!$B$1:$XFD$1, 0), 0)</f>
        <v>2.3469243769036366E-3</v>
      </c>
      <c r="N97" s="29">
        <f>VLOOKUP($B97, agr_mes!$B:$XFD, MATCH(gdp_agr_share!N$1, agr_mes!$B$1:$XFD$1, 0), 0)/VLOOKUP($B97, gdp_tot_mes!$B:$XFD, MATCH(gdp_agr_share!N$1, gdp_tot_mes!$B$1:$XFD$1, 0), 0)</f>
        <v>1.7921174072995417E-3</v>
      </c>
      <c r="O97" s="29">
        <f>VLOOKUP($B97, agr_mes!$B:$XFD, MATCH(gdp_agr_share!O$1, agr_mes!$B$1:$XFD$1, 0), 0)/VLOOKUP($B97, gdp_tot_mes!$B:$XFD, MATCH(gdp_agr_share!O$1, gdp_tot_mes!$B$1:$XFD$1, 0), 0)</f>
        <v>1.9236802671033606E-3</v>
      </c>
      <c r="P97" s="29">
        <f>VLOOKUP($B97, agr_mes!$B:$XFD, MATCH(gdp_agr_share!P$1, agr_mes!$B$1:$XFD$1, 0), 0)/VLOOKUP($B97, gdp_tot_mes!$B:$XFD, MATCH(gdp_agr_share!P$1, gdp_tot_mes!$B$1:$XFD$1, 0), 0)</f>
        <v>1.941806301820897E-3</v>
      </c>
      <c r="Q97" s="29">
        <f>VLOOKUP($B97, agr_mes!$B:$XFD, MATCH(gdp_agr_share!Q$1, agr_mes!$B$1:$XFD$1, 0), 0)/VLOOKUP($B97, gdp_tot_mes!$B:$XFD, MATCH(gdp_agr_share!Q$1, gdp_tot_mes!$B$1:$XFD$1, 0), 0)</f>
        <v>1.9545882682152987E-3</v>
      </c>
      <c r="R97" s="29">
        <f>VLOOKUP($B97, agr_mes!$B:$XFD, MATCH(gdp_agr_share!R$1, agr_mes!$B$1:$XFD$1, 0), 0)/VLOOKUP($B97, gdp_tot_mes!$B:$XFD, MATCH(gdp_agr_share!R$1, gdp_tot_mes!$B$1:$XFD$1, 0), 0)</f>
        <v>1.6335790325082353E-3</v>
      </c>
      <c r="S97" s="29">
        <f>VLOOKUP($B97, agr_mes!$B:$XFD, MATCH(gdp_agr_share!S$1, agr_mes!$B$1:$XFD$1, 0), 0)/VLOOKUP($B97, gdp_tot_mes!$B:$XFD, MATCH(gdp_agr_share!S$1, gdp_tot_mes!$B$1:$XFD$1, 0), 0)</f>
        <v>2.2110206530279448E-3</v>
      </c>
      <c r="T97" s="29">
        <f>VLOOKUP($B97, agr_mes!$B:$XFD, MATCH(gdp_agr_share!T$1, agr_mes!$B$1:$XFD$1, 0), 0)/VLOOKUP($B97, gdp_tot_mes!$B:$XFD, MATCH(gdp_agr_share!T$1, gdp_tot_mes!$B$1:$XFD$1, 0), 0)</f>
        <v>1.955187039616882E-3</v>
      </c>
      <c r="U97" s="29">
        <f>VLOOKUP($B97, agr_mes!$B:$XFD, MATCH(gdp_agr_share!U$1, agr_mes!$B$1:$XFD$1, 0), 0)/VLOOKUP($B97, gdp_tot_mes!$B:$XFD, MATCH(gdp_agr_share!U$1, gdp_tot_mes!$B$1:$XFD$1, 0), 0)</f>
        <v>1.813137600181098E-3</v>
      </c>
      <c r="V97" s="29">
        <f>VLOOKUP($B97, agr_mes!$B:$XFD, MATCH(gdp_agr_share!V$1, agr_mes!$B$1:$XFD$1, 0), 0)/VLOOKUP($B97, gdp_tot_mes!$B:$XFD, MATCH(gdp_agr_share!V$1, gdp_tot_mes!$B$1:$XFD$1, 0), 0)</f>
        <v>1.4032128645258444E-3</v>
      </c>
      <c r="W97" s="29">
        <f>VLOOKUP($B97, agr_mes!$B:$XFD, MATCH(gdp_agr_share!W$1, agr_mes!$B$1:$XFD$1, 0), 0)/VLOOKUP($B97, gdp_tot_mes!$B:$XFD, MATCH(gdp_agr_share!W$1, gdp_tot_mes!$B$1:$XFD$1, 0), 0)</f>
        <v>1.6159674446045086E-3</v>
      </c>
      <c r="X97" s="29">
        <f>VLOOKUP($B97, agr_mes!$B:$XFD, MATCH(gdp_agr_share!X$1, agr_mes!$B$1:$XFD$1, 0), 0)/VLOOKUP($B97, gdp_tot_mes!$B:$XFD, MATCH(gdp_agr_share!X$1, gdp_tot_mes!$B$1:$XFD$1, 0), 0)</f>
        <v>1.5818107653155359E-3</v>
      </c>
      <c r="Y97" s="29">
        <f>VLOOKUP($B97, agr_mes!$B:$XFD, MATCH(gdp_agr_share!Y$1, agr_mes!$B$1:$XFD$1, 0), 0)/VLOOKUP($B97, gdp_tot_mes!$B:$XFD, MATCH(gdp_agr_share!Y$1, gdp_tot_mes!$B$1:$XFD$1, 0), 0)</f>
        <v>1.4354481796067923E-3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x14ac:dyDescent="0.25">
      <c r="A98" s="1" t="s">
        <v>234</v>
      </c>
      <c r="B98" s="1" t="s">
        <v>235</v>
      </c>
      <c r="C98" s="1" t="s">
        <v>236</v>
      </c>
      <c r="D98" s="29">
        <f>VLOOKUP($B98, agr_mes!$B:$XFD, MATCH(gdp_agr_share!D$1, agr_mes!$B$1:$XFD$1, 0), 0)/VLOOKUP($B98, gdp_tot_mes!$B:$XFD, MATCH(gdp_agr_share!D$1, gdp_tot_mes!$B$1:$XFD$1, 0), 0)</f>
        <v>0.25559294704342689</v>
      </c>
      <c r="E98" s="29">
        <f>VLOOKUP($B98, agr_mes!$B:$XFD, MATCH(gdp_agr_share!E$1, agr_mes!$B$1:$XFD$1, 0), 0)/VLOOKUP($B98, gdp_tot_mes!$B:$XFD, MATCH(gdp_agr_share!E$1, gdp_tot_mes!$B$1:$XFD$1, 0), 0)</f>
        <v>0.46669880041843326</v>
      </c>
      <c r="F98" s="29">
        <f>VLOOKUP($B98, agr_mes!$B:$XFD, MATCH(gdp_agr_share!F$1, agr_mes!$B$1:$XFD$1, 0), 0)/VLOOKUP($B98, gdp_tot_mes!$B:$XFD, MATCH(gdp_agr_share!F$1, gdp_tot_mes!$B$1:$XFD$1, 0), 0)</f>
        <v>0.38355445301879054</v>
      </c>
      <c r="G98" s="29">
        <f>VLOOKUP($B98, agr_mes!$B:$XFD, MATCH(gdp_agr_share!G$1, agr_mes!$B$1:$XFD$1, 0), 0)/VLOOKUP($B98, gdp_tot_mes!$B:$XFD, MATCH(gdp_agr_share!G$1, gdp_tot_mes!$B$1:$XFD$1, 0), 0)</f>
        <v>0.34760358653008461</v>
      </c>
      <c r="H98" s="29">
        <f>VLOOKUP($B98, agr_mes!$B:$XFD, MATCH(gdp_agr_share!H$1, agr_mes!$B$1:$XFD$1, 0), 0)/VLOOKUP($B98, gdp_tot_mes!$B:$XFD, MATCH(gdp_agr_share!H$1, gdp_tot_mes!$B$1:$XFD$1, 0), 0)</f>
        <v>0.18857690011011949</v>
      </c>
      <c r="I98" s="29">
        <f>VLOOKUP($B98, agr_mes!$B:$XFD, MATCH(gdp_agr_share!I$1, agr_mes!$B$1:$XFD$1, 0), 0)/VLOOKUP($B98, gdp_tot_mes!$B:$XFD, MATCH(gdp_agr_share!I$1, gdp_tot_mes!$B$1:$XFD$1, 0), 0)</f>
        <v>0.24765989314516557</v>
      </c>
      <c r="J98" s="29">
        <f>VLOOKUP($B98, agr_mes!$B:$XFD, MATCH(gdp_agr_share!J$1, agr_mes!$B$1:$XFD$1, 0), 0)/VLOOKUP($B98, gdp_tot_mes!$B:$XFD, MATCH(gdp_agr_share!J$1, gdp_tot_mes!$B$1:$XFD$1, 0), 0)</f>
        <v>0.1699426850563738</v>
      </c>
      <c r="K98" s="29">
        <f>VLOOKUP($B98, agr_mes!$B:$XFD, MATCH(gdp_agr_share!K$1, agr_mes!$B$1:$XFD$1, 0), 0)/VLOOKUP($B98, gdp_tot_mes!$B:$XFD, MATCH(gdp_agr_share!K$1, gdp_tot_mes!$B$1:$XFD$1, 0), 0)</f>
        <v>0.14576883333887342</v>
      </c>
      <c r="L98" s="30">
        <f t="shared" si="1"/>
        <v>0.15088020952648562</v>
      </c>
      <c r="M98" s="29">
        <f>VLOOKUP($B98, agr_mes!$B:$XFD, MATCH(gdp_agr_share!M$1, agr_mes!$B$1:$XFD$1, 0), 0)/VLOOKUP($B98, gdp_tot_mes!$B:$XFD, MATCH(gdp_agr_share!M$1, gdp_tot_mes!$B$1:$XFD$1, 0), 0)</f>
        <v>0.15701386095162029</v>
      </c>
      <c r="N98" s="29">
        <f>VLOOKUP($B98, agr_mes!$B:$XFD, MATCH(gdp_agr_share!N$1, agr_mes!$B$1:$XFD$1, 0), 0)/VLOOKUP($B98, gdp_tot_mes!$B:$XFD, MATCH(gdp_agr_share!N$1, gdp_tot_mes!$B$1:$XFD$1, 0), 0)</f>
        <v>4.5182481926615815E-2</v>
      </c>
      <c r="O98" s="29">
        <f>VLOOKUP($B98, agr_mes!$B:$XFD, MATCH(gdp_agr_share!O$1, agr_mes!$B$1:$XFD$1, 0), 0)/VLOOKUP($B98, gdp_tot_mes!$B:$XFD, MATCH(gdp_agr_share!O$1, gdp_tot_mes!$B$1:$XFD$1, 0), 0)</f>
        <v>3.2714446385922254E-2</v>
      </c>
      <c r="P98" s="29">
        <f>VLOOKUP($B98, agr_mes!$B:$XFD, MATCH(gdp_agr_share!P$1, agr_mes!$B$1:$XFD$1, 0), 0)/VLOOKUP($B98, gdp_tot_mes!$B:$XFD, MATCH(gdp_agr_share!P$1, gdp_tot_mes!$B$1:$XFD$1, 0), 0)</f>
        <v>3.0927576024429439E-2</v>
      </c>
      <c r="Q98" s="29">
        <f>VLOOKUP($B98, agr_mes!$B:$XFD, MATCH(gdp_agr_share!Q$1, agr_mes!$B$1:$XFD$1, 0), 0)/VLOOKUP($B98, gdp_tot_mes!$B:$XFD, MATCH(gdp_agr_share!Q$1, gdp_tot_mes!$B$1:$XFD$1, 0), 0)</f>
        <v>6.7811964521027487E-2</v>
      </c>
      <c r="R98" s="29">
        <f>VLOOKUP($B98, agr_mes!$B:$XFD, MATCH(gdp_agr_share!R$1, agr_mes!$B$1:$XFD$1, 0), 0)/VLOOKUP($B98, gdp_tot_mes!$B:$XFD, MATCH(gdp_agr_share!R$1, gdp_tot_mes!$B$1:$XFD$1, 0), 0)</f>
        <v>9.3025435268463449E-2</v>
      </c>
      <c r="S98" s="29">
        <f>VLOOKUP($B98, agr_mes!$B:$XFD, MATCH(gdp_agr_share!S$1, agr_mes!$B$1:$XFD$1, 0), 0)/VLOOKUP($B98, gdp_tot_mes!$B:$XFD, MATCH(gdp_agr_share!S$1, gdp_tot_mes!$B$1:$XFD$1, 0), 0)</f>
        <v>8.2040884964956248E-2</v>
      </c>
      <c r="T98" s="29">
        <f>VLOOKUP($B98, agr_mes!$B:$XFD, MATCH(gdp_agr_share!T$1, agr_mes!$B$1:$XFD$1, 0), 0)/VLOOKUP($B98, gdp_tot_mes!$B:$XFD, MATCH(gdp_agr_share!T$1, gdp_tot_mes!$B$1:$XFD$1, 0), 0)</f>
        <v>6.4317269880677708E-2</v>
      </c>
      <c r="U98" s="29">
        <f>VLOOKUP($B98, agr_mes!$B:$XFD, MATCH(gdp_agr_share!U$1, agr_mes!$B$1:$XFD$1, 0), 0)/VLOOKUP($B98, gdp_tot_mes!$B:$XFD, MATCH(gdp_agr_share!U$1, gdp_tot_mes!$B$1:$XFD$1, 0), 0)</f>
        <v>6.7777299628465126E-2</v>
      </c>
      <c r="V98" s="29">
        <f>VLOOKUP($B98, agr_mes!$B:$XFD, MATCH(gdp_agr_share!V$1, agr_mes!$B$1:$XFD$1, 0), 0)/VLOOKUP($B98, gdp_tot_mes!$B:$XFD, MATCH(gdp_agr_share!V$1, gdp_tot_mes!$B$1:$XFD$1, 0), 0)</f>
        <v>5.6512714901040449E-2</v>
      </c>
      <c r="W98" s="29">
        <f>VLOOKUP($B98, agr_mes!$B:$XFD, MATCH(gdp_agr_share!W$1, agr_mes!$B$1:$XFD$1, 0), 0)/VLOOKUP($B98, gdp_tot_mes!$B:$XFD, MATCH(gdp_agr_share!W$1, gdp_tot_mes!$B$1:$XFD$1, 0), 0)</f>
        <v>5.4492081096766072E-2</v>
      </c>
      <c r="X98" s="29">
        <f>VLOOKUP($B98, agr_mes!$B:$XFD, MATCH(gdp_agr_share!X$1, agr_mes!$B$1:$XFD$1, 0), 0)/VLOOKUP($B98, gdp_tot_mes!$B:$XFD, MATCH(gdp_agr_share!X$1, gdp_tot_mes!$B$1:$XFD$1, 0), 0)</f>
        <v>7.2305981697828328E-2</v>
      </c>
      <c r="Y98" s="29">
        <f>VLOOKUP($B98, agr_mes!$B:$XFD, MATCH(gdp_agr_share!Y$1, agr_mes!$B$1:$XFD$1, 0), 0)/VLOOKUP($B98, gdp_tot_mes!$B:$XFD, MATCH(gdp_agr_share!Y$1, gdp_tot_mes!$B$1:$XFD$1, 0), 0)</f>
        <v>5.293049772268512E-2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x14ac:dyDescent="0.25">
      <c r="A99" s="1" t="s">
        <v>234</v>
      </c>
      <c r="B99" s="1" t="s">
        <v>237</v>
      </c>
      <c r="C99" s="1" t="s">
        <v>238</v>
      </c>
      <c r="D99" s="29">
        <f>VLOOKUP($B99, agr_mes!$B:$XFD, MATCH(gdp_agr_share!D$1, agr_mes!$B$1:$XFD$1, 0), 0)/VLOOKUP($B99, gdp_tot_mes!$B:$XFD, MATCH(gdp_agr_share!D$1, gdp_tot_mes!$B$1:$XFD$1, 0), 0)</f>
        <v>0.44297326287539884</v>
      </c>
      <c r="E99" s="29">
        <f>VLOOKUP($B99, agr_mes!$B:$XFD, MATCH(gdp_agr_share!E$1, agr_mes!$B$1:$XFD$1, 0), 0)/VLOOKUP($B99, gdp_tot_mes!$B:$XFD, MATCH(gdp_agr_share!E$1, gdp_tot_mes!$B$1:$XFD$1, 0), 0)</f>
        <v>0.4543736578971137</v>
      </c>
      <c r="F99" s="29">
        <f>VLOOKUP($B99, agr_mes!$B:$XFD, MATCH(gdp_agr_share!F$1, agr_mes!$B$1:$XFD$1, 0), 0)/VLOOKUP($B99, gdp_tot_mes!$B:$XFD, MATCH(gdp_agr_share!F$1, gdp_tot_mes!$B$1:$XFD$1, 0), 0)</f>
        <v>0.34714934514019113</v>
      </c>
      <c r="G99" s="29">
        <f>VLOOKUP($B99, agr_mes!$B:$XFD, MATCH(gdp_agr_share!G$1, agr_mes!$B$1:$XFD$1, 0), 0)/VLOOKUP($B99, gdp_tot_mes!$B:$XFD, MATCH(gdp_agr_share!G$1, gdp_tot_mes!$B$1:$XFD$1, 0), 0)</f>
        <v>0.3344608749854262</v>
      </c>
      <c r="H99" s="29">
        <f>VLOOKUP($B99, agr_mes!$B:$XFD, MATCH(gdp_agr_share!H$1, agr_mes!$B$1:$XFD$1, 0), 0)/VLOOKUP($B99, gdp_tot_mes!$B:$XFD, MATCH(gdp_agr_share!H$1, gdp_tot_mes!$B$1:$XFD$1, 0), 0)</f>
        <v>0.20320898481980373</v>
      </c>
      <c r="I99" s="29">
        <f>VLOOKUP($B99, agr_mes!$B:$XFD, MATCH(gdp_agr_share!I$1, agr_mes!$B$1:$XFD$1, 0), 0)/VLOOKUP($B99, gdp_tot_mes!$B:$XFD, MATCH(gdp_agr_share!I$1, gdp_tot_mes!$B$1:$XFD$1, 0), 0)</f>
        <v>0.27097532140211811</v>
      </c>
      <c r="J99" s="29">
        <f>VLOOKUP($B99, agr_mes!$B:$XFD, MATCH(gdp_agr_share!J$1, agr_mes!$B$1:$XFD$1, 0), 0)/VLOOKUP($B99, gdp_tot_mes!$B:$XFD, MATCH(gdp_agr_share!J$1, gdp_tot_mes!$B$1:$XFD$1, 0), 0)</f>
        <v>0.16046852752516502</v>
      </c>
      <c r="K99" s="29">
        <f>VLOOKUP($B99, agr_mes!$B:$XFD, MATCH(gdp_agr_share!K$1, agr_mes!$B$1:$XFD$1, 0), 0)/VLOOKUP($B99, gdp_tot_mes!$B:$XFD, MATCH(gdp_agr_share!K$1, gdp_tot_mes!$B$1:$XFD$1, 0), 0)</f>
        <v>0.16776309283395843</v>
      </c>
      <c r="L99" s="30">
        <f t="shared" si="1"/>
        <v>0.17953388831357886</v>
      </c>
      <c r="M99" s="29">
        <f>VLOOKUP($B99, agr_mes!$B:$XFD, MATCH(gdp_agr_share!M$1, agr_mes!$B$1:$XFD$1, 0), 0)/VLOOKUP($B99, gdp_tot_mes!$B:$XFD, MATCH(gdp_agr_share!M$1, gdp_tot_mes!$B$1:$XFD$1, 0), 0)</f>
        <v>0.19365884288912338</v>
      </c>
      <c r="N99" s="29">
        <f>VLOOKUP($B99, agr_mes!$B:$XFD, MATCH(gdp_agr_share!N$1, agr_mes!$B$1:$XFD$1, 0), 0)/VLOOKUP($B99, gdp_tot_mes!$B:$XFD, MATCH(gdp_agr_share!N$1, gdp_tot_mes!$B$1:$XFD$1, 0), 0)</f>
        <v>5.4154441328401463E-2</v>
      </c>
      <c r="O99" s="29">
        <f>VLOOKUP($B99, agr_mes!$B:$XFD, MATCH(gdp_agr_share!O$1, agr_mes!$B$1:$XFD$1, 0), 0)/VLOOKUP($B99, gdp_tot_mes!$B:$XFD, MATCH(gdp_agr_share!O$1, gdp_tot_mes!$B$1:$XFD$1, 0), 0)</f>
        <v>4.6025080115498891E-2</v>
      </c>
      <c r="P99" s="29">
        <f>VLOOKUP($B99, agr_mes!$B:$XFD, MATCH(gdp_agr_share!P$1, agr_mes!$B$1:$XFD$1, 0), 0)/VLOOKUP($B99, gdp_tot_mes!$B:$XFD, MATCH(gdp_agr_share!P$1, gdp_tot_mes!$B$1:$XFD$1, 0), 0)</f>
        <v>3.601886911215095E-2</v>
      </c>
      <c r="Q99" s="29">
        <f>VLOOKUP($B99, agr_mes!$B:$XFD, MATCH(gdp_agr_share!Q$1, agr_mes!$B$1:$XFD$1, 0), 0)/VLOOKUP($B99, gdp_tot_mes!$B:$XFD, MATCH(gdp_agr_share!Q$1, gdp_tot_mes!$B$1:$XFD$1, 0), 0)</f>
        <v>6.2970554038585563E-2</v>
      </c>
      <c r="R99" s="29">
        <f>VLOOKUP($B99, agr_mes!$B:$XFD, MATCH(gdp_agr_share!R$1, agr_mes!$B$1:$XFD$1, 0), 0)/VLOOKUP($B99, gdp_tot_mes!$B:$XFD, MATCH(gdp_agr_share!R$1, gdp_tot_mes!$B$1:$XFD$1, 0), 0)</f>
        <v>8.5472481256752317E-2</v>
      </c>
      <c r="S99" s="29">
        <f>VLOOKUP($B99, agr_mes!$B:$XFD, MATCH(gdp_agr_share!S$1, agr_mes!$B$1:$XFD$1, 0), 0)/VLOOKUP($B99, gdp_tot_mes!$B:$XFD, MATCH(gdp_agr_share!S$1, gdp_tot_mes!$B$1:$XFD$1, 0), 0)</f>
        <v>7.7469844235971461E-2</v>
      </c>
      <c r="T99" s="29">
        <f>VLOOKUP($B99, agr_mes!$B:$XFD, MATCH(gdp_agr_share!T$1, agr_mes!$B$1:$XFD$1, 0), 0)/VLOOKUP($B99, gdp_tot_mes!$B:$XFD, MATCH(gdp_agr_share!T$1, gdp_tot_mes!$B$1:$XFD$1, 0), 0)</f>
        <v>6.4440413900428359E-2</v>
      </c>
      <c r="U99" s="29">
        <f>VLOOKUP($B99, agr_mes!$B:$XFD, MATCH(gdp_agr_share!U$1, agr_mes!$B$1:$XFD$1, 0), 0)/VLOOKUP($B99, gdp_tot_mes!$B:$XFD, MATCH(gdp_agr_share!U$1, gdp_tot_mes!$B$1:$XFD$1, 0), 0)</f>
        <v>6.4649643215828584E-2</v>
      </c>
      <c r="V99" s="29">
        <f>VLOOKUP($B99, agr_mes!$B:$XFD, MATCH(gdp_agr_share!V$1, agr_mes!$B$1:$XFD$1, 0), 0)/VLOOKUP($B99, gdp_tot_mes!$B:$XFD, MATCH(gdp_agr_share!V$1, gdp_tot_mes!$B$1:$XFD$1, 0), 0)</f>
        <v>4.0696864172822735E-2</v>
      </c>
      <c r="W99" s="29">
        <f>VLOOKUP($B99, agr_mes!$B:$XFD, MATCH(gdp_agr_share!W$1, agr_mes!$B$1:$XFD$1, 0), 0)/VLOOKUP($B99, gdp_tot_mes!$B:$XFD, MATCH(gdp_agr_share!W$1, gdp_tot_mes!$B$1:$XFD$1, 0), 0)</f>
        <v>4.1339058100976156E-2</v>
      </c>
      <c r="X99" s="29">
        <f>VLOOKUP($B99, agr_mes!$B:$XFD, MATCH(gdp_agr_share!X$1, agr_mes!$B$1:$XFD$1, 0), 0)/VLOOKUP($B99, gdp_tot_mes!$B:$XFD, MATCH(gdp_agr_share!X$1, gdp_tot_mes!$B$1:$XFD$1, 0), 0)</f>
        <v>5.1968292889868276E-2</v>
      </c>
      <c r="Y99" s="29">
        <f>VLOOKUP($B99, agr_mes!$B:$XFD, MATCH(gdp_agr_share!Y$1, agr_mes!$B$1:$XFD$1, 0), 0)/VLOOKUP($B99, gdp_tot_mes!$B:$XFD, MATCH(gdp_agr_share!Y$1, gdp_tot_mes!$B$1:$XFD$1, 0), 0)</f>
        <v>4.4170021940066195E-2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x14ac:dyDescent="0.25">
      <c r="A100" s="1" t="s">
        <v>234</v>
      </c>
      <c r="B100" s="1" t="s">
        <v>239</v>
      </c>
      <c r="C100" s="1" t="s">
        <v>240</v>
      </c>
      <c r="D100" s="29">
        <f>VLOOKUP($B100, agr_mes!$B:$XFD, MATCH(gdp_agr_share!D$1, agr_mes!$B$1:$XFD$1, 0), 0)/VLOOKUP($B100, gdp_tot_mes!$B:$XFD, MATCH(gdp_agr_share!D$1, gdp_tot_mes!$B$1:$XFD$1, 0), 0)</f>
        <v>0.7072660614792996</v>
      </c>
      <c r="E100" s="29">
        <f>VLOOKUP($B100, agr_mes!$B:$XFD, MATCH(gdp_agr_share!E$1, agr_mes!$B$1:$XFD$1, 0), 0)/VLOOKUP($B100, gdp_tot_mes!$B:$XFD, MATCH(gdp_agr_share!E$1, gdp_tot_mes!$B$1:$XFD$1, 0), 0)</f>
        <v>0.61101912777209832</v>
      </c>
      <c r="F100" s="29">
        <f>VLOOKUP($B100, agr_mes!$B:$XFD, MATCH(gdp_agr_share!F$1, agr_mes!$B$1:$XFD$1, 0), 0)/VLOOKUP($B100, gdp_tot_mes!$B:$XFD, MATCH(gdp_agr_share!F$1, gdp_tot_mes!$B$1:$XFD$1, 0), 0)</f>
        <v>0.41619316476511603</v>
      </c>
      <c r="G100" s="29">
        <f>VLOOKUP($B100, agr_mes!$B:$XFD, MATCH(gdp_agr_share!G$1, agr_mes!$B$1:$XFD$1, 0), 0)/VLOOKUP($B100, gdp_tot_mes!$B:$XFD, MATCH(gdp_agr_share!G$1, gdp_tot_mes!$B$1:$XFD$1, 0), 0)</f>
        <v>0.64195235879473844</v>
      </c>
      <c r="H100" s="29">
        <f>VLOOKUP($B100, agr_mes!$B:$XFD, MATCH(gdp_agr_share!H$1, agr_mes!$B$1:$XFD$1, 0), 0)/VLOOKUP($B100, gdp_tot_mes!$B:$XFD, MATCH(gdp_agr_share!H$1, gdp_tot_mes!$B$1:$XFD$1, 0), 0)</f>
        <v>0.50087108144343062</v>
      </c>
      <c r="I100" s="29">
        <f>VLOOKUP($B100, agr_mes!$B:$XFD, MATCH(gdp_agr_share!I$1, agr_mes!$B$1:$XFD$1, 0), 0)/VLOOKUP($B100, gdp_tot_mes!$B:$XFD, MATCH(gdp_agr_share!I$1, gdp_tot_mes!$B$1:$XFD$1, 0), 0)</f>
        <v>0.51677402728274024</v>
      </c>
      <c r="J100" s="29">
        <f>VLOOKUP($B100, agr_mes!$B:$XFD, MATCH(gdp_agr_share!J$1, agr_mes!$B$1:$XFD$1, 0), 0)/VLOOKUP($B100, gdp_tot_mes!$B:$XFD, MATCH(gdp_agr_share!J$1, gdp_tot_mes!$B$1:$XFD$1, 0), 0)</f>
        <v>0.43286550115395256</v>
      </c>
      <c r="K100" s="29">
        <f>VLOOKUP($B100, agr_mes!$B:$XFD, MATCH(gdp_agr_share!K$1, agr_mes!$B$1:$XFD$1, 0), 0)/VLOOKUP($B100, gdp_tot_mes!$B:$XFD, MATCH(gdp_agr_share!K$1, gdp_tot_mes!$B$1:$XFD$1, 0), 0)</f>
        <v>0.38477127941429107</v>
      </c>
      <c r="L100" s="30">
        <f t="shared" si="1"/>
        <v>0.35289061705386415</v>
      </c>
      <c r="M100" s="29">
        <f>VLOOKUP($B100, agr_mes!$B:$XFD, MATCH(gdp_agr_share!M$1, agr_mes!$B$1:$XFD$1, 0), 0)/VLOOKUP($B100, gdp_tot_mes!$B:$XFD, MATCH(gdp_agr_share!M$1, gdp_tot_mes!$B$1:$XFD$1, 0), 0)</f>
        <v>0.31463382222135183</v>
      </c>
      <c r="N100" s="29">
        <f>VLOOKUP($B100, agr_mes!$B:$XFD, MATCH(gdp_agr_share!N$1, agr_mes!$B$1:$XFD$1, 0), 0)/VLOOKUP($B100, gdp_tot_mes!$B:$XFD, MATCH(gdp_agr_share!N$1, gdp_tot_mes!$B$1:$XFD$1, 0), 0)</f>
        <v>7.9121913279799311E-2</v>
      </c>
      <c r="O100" s="29">
        <f>VLOOKUP($B100, agr_mes!$B:$XFD, MATCH(gdp_agr_share!O$1, agr_mes!$B$1:$XFD$1, 0), 0)/VLOOKUP($B100, gdp_tot_mes!$B:$XFD, MATCH(gdp_agr_share!O$1, gdp_tot_mes!$B$1:$XFD$1, 0), 0)</f>
        <v>6.486628227908707E-2</v>
      </c>
      <c r="P100" s="29">
        <f>VLOOKUP($B100, agr_mes!$B:$XFD, MATCH(gdp_agr_share!P$1, agr_mes!$B$1:$XFD$1, 0), 0)/VLOOKUP($B100, gdp_tot_mes!$B:$XFD, MATCH(gdp_agr_share!P$1, gdp_tot_mes!$B$1:$XFD$1, 0), 0)</f>
        <v>5.6204517623842105E-2</v>
      </c>
      <c r="Q100" s="29">
        <f>VLOOKUP($B100, agr_mes!$B:$XFD, MATCH(gdp_agr_share!Q$1, agr_mes!$B$1:$XFD$1, 0), 0)/VLOOKUP($B100, gdp_tot_mes!$B:$XFD, MATCH(gdp_agr_share!Q$1, gdp_tot_mes!$B$1:$XFD$1, 0), 0)</f>
        <v>9.4371219032793843E-2</v>
      </c>
      <c r="R100" s="29">
        <f>VLOOKUP($B100, agr_mes!$B:$XFD, MATCH(gdp_agr_share!R$1, agr_mes!$B$1:$XFD$1, 0), 0)/VLOOKUP($B100, gdp_tot_mes!$B:$XFD, MATCH(gdp_agr_share!R$1, gdp_tot_mes!$B$1:$XFD$1, 0), 0)</f>
        <v>0.14268990417332281</v>
      </c>
      <c r="S100" s="29">
        <f>VLOOKUP($B100, agr_mes!$B:$XFD, MATCH(gdp_agr_share!S$1, agr_mes!$B$1:$XFD$1, 0), 0)/VLOOKUP($B100, gdp_tot_mes!$B:$XFD, MATCH(gdp_agr_share!S$1, gdp_tot_mes!$B$1:$XFD$1, 0), 0)</f>
        <v>0.1507379756578551</v>
      </c>
      <c r="T100" s="29">
        <f>VLOOKUP($B100, agr_mes!$B:$XFD, MATCH(gdp_agr_share!T$1, agr_mes!$B$1:$XFD$1, 0), 0)/VLOOKUP($B100, gdp_tot_mes!$B:$XFD, MATCH(gdp_agr_share!T$1, gdp_tot_mes!$B$1:$XFD$1, 0), 0)</f>
        <v>0.11845759464854355</v>
      </c>
      <c r="U100" s="29">
        <f>VLOOKUP($B100, agr_mes!$B:$XFD, MATCH(gdp_agr_share!U$1, agr_mes!$B$1:$XFD$1, 0), 0)/VLOOKUP($B100, gdp_tot_mes!$B:$XFD, MATCH(gdp_agr_share!U$1, gdp_tot_mes!$B$1:$XFD$1, 0), 0)</f>
        <v>0.10069644576478069</v>
      </c>
      <c r="V100" s="29">
        <f>VLOOKUP($B100, agr_mes!$B:$XFD, MATCH(gdp_agr_share!V$1, agr_mes!$B$1:$XFD$1, 0), 0)/VLOOKUP($B100, gdp_tot_mes!$B:$XFD, MATCH(gdp_agr_share!V$1, gdp_tot_mes!$B$1:$XFD$1, 0), 0)</f>
        <v>8.3834273822353783E-2</v>
      </c>
      <c r="W100" s="29">
        <f>VLOOKUP($B100, agr_mes!$B:$XFD, MATCH(gdp_agr_share!W$1, agr_mes!$B$1:$XFD$1, 0), 0)/VLOOKUP($B100, gdp_tot_mes!$B:$XFD, MATCH(gdp_agr_share!W$1, gdp_tot_mes!$B$1:$XFD$1, 0), 0)</f>
        <v>0.10570976841571463</v>
      </c>
      <c r="X100" s="29">
        <f>VLOOKUP($B100, agr_mes!$B:$XFD, MATCH(gdp_agr_share!X$1, agr_mes!$B$1:$XFD$1, 0), 0)/VLOOKUP($B100, gdp_tot_mes!$B:$XFD, MATCH(gdp_agr_share!X$1, gdp_tot_mes!$B$1:$XFD$1, 0), 0)</f>
        <v>8.7144772791486608E-2</v>
      </c>
      <c r="Y100" s="29">
        <f>VLOOKUP($B100, agr_mes!$B:$XFD, MATCH(gdp_agr_share!Y$1, agr_mes!$B$1:$XFD$1, 0), 0)/VLOOKUP($B100, gdp_tot_mes!$B:$XFD, MATCH(gdp_agr_share!Y$1, gdp_tot_mes!$B$1:$XFD$1, 0), 0)</f>
        <v>6.144895289168438E-2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x14ac:dyDescent="0.25">
      <c r="A101" s="1" t="s">
        <v>234</v>
      </c>
      <c r="B101" s="1" t="s">
        <v>241</v>
      </c>
      <c r="C101" s="1" t="s">
        <v>242</v>
      </c>
      <c r="D101" s="29">
        <f>VLOOKUP($B101, agr_mes!$B:$XFD, MATCH(gdp_agr_share!D$1, agr_mes!$B$1:$XFD$1, 0), 0)/VLOOKUP($B101, gdp_tot_mes!$B:$XFD, MATCH(gdp_agr_share!D$1, gdp_tot_mes!$B$1:$XFD$1, 0), 0)</f>
        <v>0.31626570067727816</v>
      </c>
      <c r="E101" s="29">
        <f>VLOOKUP($B101, agr_mes!$B:$XFD, MATCH(gdp_agr_share!E$1, agr_mes!$B$1:$XFD$1, 0), 0)/VLOOKUP($B101, gdp_tot_mes!$B:$XFD, MATCH(gdp_agr_share!E$1, gdp_tot_mes!$B$1:$XFD$1, 0), 0)</f>
        <v>0.20697260627352024</v>
      </c>
      <c r="F101" s="29">
        <f>VLOOKUP($B101, agr_mes!$B:$XFD, MATCH(gdp_agr_share!F$1, agr_mes!$B$1:$XFD$1, 0), 0)/VLOOKUP($B101, gdp_tot_mes!$B:$XFD, MATCH(gdp_agr_share!F$1, gdp_tot_mes!$B$1:$XFD$1, 0), 0)</f>
        <v>0.40965882094791806</v>
      </c>
      <c r="G101" s="29">
        <f>VLOOKUP($B101, agr_mes!$B:$XFD, MATCH(gdp_agr_share!G$1, agr_mes!$B$1:$XFD$1, 0), 0)/VLOOKUP($B101, gdp_tot_mes!$B:$XFD, MATCH(gdp_agr_share!G$1, gdp_tot_mes!$B$1:$XFD$1, 0), 0)</f>
        <v>0.17429101693222707</v>
      </c>
      <c r="H101" s="29">
        <f>VLOOKUP($B101, agr_mes!$B:$XFD, MATCH(gdp_agr_share!H$1, agr_mes!$B$1:$XFD$1, 0), 0)/VLOOKUP($B101, gdp_tot_mes!$B:$XFD, MATCH(gdp_agr_share!H$1, gdp_tot_mes!$B$1:$XFD$1, 0), 0)</f>
        <v>9.8405365434790962E-2</v>
      </c>
      <c r="I101" s="29">
        <f>VLOOKUP($B101, agr_mes!$B:$XFD, MATCH(gdp_agr_share!I$1, agr_mes!$B$1:$XFD$1, 0), 0)/VLOOKUP($B101, gdp_tot_mes!$B:$XFD, MATCH(gdp_agr_share!I$1, gdp_tot_mes!$B$1:$XFD$1, 0), 0)</f>
        <v>5.866356257559955E-2</v>
      </c>
      <c r="J101" s="29">
        <f>VLOOKUP($B101, agr_mes!$B:$XFD, MATCH(gdp_agr_share!J$1, agr_mes!$B$1:$XFD$1, 0), 0)/VLOOKUP($B101, gdp_tot_mes!$B:$XFD, MATCH(gdp_agr_share!J$1, gdp_tot_mes!$B$1:$XFD$1, 0), 0)</f>
        <v>6.3367175180442492E-2</v>
      </c>
      <c r="K101" s="29">
        <f>VLOOKUP($B101, agr_mes!$B:$XFD, MATCH(gdp_agr_share!K$1, agr_mes!$B$1:$XFD$1, 0), 0)/VLOOKUP($B101, gdp_tot_mes!$B:$XFD, MATCH(gdp_agr_share!K$1, gdp_tot_mes!$B$1:$XFD$1, 0), 0)</f>
        <v>6.4432352027027656E-2</v>
      </c>
      <c r="L101" s="30">
        <f t="shared" si="1"/>
        <v>4.9817440245252025E-2</v>
      </c>
      <c r="M101" s="29">
        <f>VLOOKUP($B101, agr_mes!$B:$XFD, MATCH(gdp_agr_share!M$1, agr_mes!$B$1:$XFD$1, 0), 0)/VLOOKUP($B101, gdp_tot_mes!$B:$XFD, MATCH(gdp_agr_share!M$1, gdp_tot_mes!$B$1:$XFD$1, 0), 0)</f>
        <v>3.2279546107121262E-2</v>
      </c>
      <c r="N101" s="29">
        <f>VLOOKUP($B101, agr_mes!$B:$XFD, MATCH(gdp_agr_share!N$1, agr_mes!$B$1:$XFD$1, 0), 0)/VLOOKUP($B101, gdp_tot_mes!$B:$XFD, MATCH(gdp_agr_share!N$1, gdp_tot_mes!$B$1:$XFD$1, 0), 0)</f>
        <v>1.6722747771780778E-2</v>
      </c>
      <c r="O101" s="29">
        <f>VLOOKUP($B101, agr_mes!$B:$XFD, MATCH(gdp_agr_share!O$1, agr_mes!$B$1:$XFD$1, 0), 0)/VLOOKUP($B101, gdp_tot_mes!$B:$XFD, MATCH(gdp_agr_share!O$1, gdp_tot_mes!$B$1:$XFD$1, 0), 0)</f>
        <v>1.2587149765566609E-2</v>
      </c>
      <c r="P101" s="29">
        <f>VLOOKUP($B101, agr_mes!$B:$XFD, MATCH(gdp_agr_share!P$1, agr_mes!$B$1:$XFD$1, 0), 0)/VLOOKUP($B101, gdp_tot_mes!$B:$XFD, MATCH(gdp_agr_share!P$1, gdp_tot_mes!$B$1:$XFD$1, 0), 0)</f>
        <v>1.0392235624490088E-2</v>
      </c>
      <c r="Q101" s="29">
        <f>VLOOKUP($B101, agr_mes!$B:$XFD, MATCH(gdp_agr_share!Q$1, agr_mes!$B$1:$XFD$1, 0), 0)/VLOOKUP($B101, gdp_tot_mes!$B:$XFD, MATCH(gdp_agr_share!Q$1, gdp_tot_mes!$B$1:$XFD$1, 0), 0)</f>
        <v>2.4913878310832444E-2</v>
      </c>
      <c r="R101" s="29">
        <f>VLOOKUP($B101, agr_mes!$B:$XFD, MATCH(gdp_agr_share!R$1, agr_mes!$B$1:$XFD$1, 0), 0)/VLOOKUP($B101, gdp_tot_mes!$B:$XFD, MATCH(gdp_agr_share!R$1, gdp_tot_mes!$B$1:$XFD$1, 0), 0)</f>
        <v>3.6771958782394309E-2</v>
      </c>
      <c r="S101" s="29">
        <f>VLOOKUP($B101, agr_mes!$B:$XFD, MATCH(gdp_agr_share!S$1, agr_mes!$B$1:$XFD$1, 0), 0)/VLOOKUP($B101, gdp_tot_mes!$B:$XFD, MATCH(gdp_agr_share!S$1, gdp_tot_mes!$B$1:$XFD$1, 0), 0)</f>
        <v>3.202784494352913E-2</v>
      </c>
      <c r="T101" s="29">
        <f>VLOOKUP($B101, agr_mes!$B:$XFD, MATCH(gdp_agr_share!T$1, agr_mes!$B$1:$XFD$1, 0), 0)/VLOOKUP($B101, gdp_tot_mes!$B:$XFD, MATCH(gdp_agr_share!T$1, gdp_tot_mes!$B$1:$XFD$1, 0), 0)</f>
        <v>3.0448455684044178E-2</v>
      </c>
      <c r="U101" s="29">
        <f>VLOOKUP($B101, agr_mes!$B:$XFD, MATCH(gdp_agr_share!U$1, agr_mes!$B$1:$XFD$1, 0), 0)/VLOOKUP($B101, gdp_tot_mes!$B:$XFD, MATCH(gdp_agr_share!U$1, gdp_tot_mes!$B$1:$XFD$1, 0), 0)</f>
        <v>3.1838862958372231E-2</v>
      </c>
      <c r="V101" s="29">
        <f>VLOOKUP($B101, agr_mes!$B:$XFD, MATCH(gdp_agr_share!V$1, agr_mes!$B$1:$XFD$1, 0), 0)/VLOOKUP($B101, gdp_tot_mes!$B:$XFD, MATCH(gdp_agr_share!V$1, gdp_tot_mes!$B$1:$XFD$1, 0), 0)</f>
        <v>2.4167466017270968E-2</v>
      </c>
      <c r="W101" s="29">
        <f>VLOOKUP($B101, agr_mes!$B:$XFD, MATCH(gdp_agr_share!W$1, agr_mes!$B$1:$XFD$1, 0), 0)/VLOOKUP($B101, gdp_tot_mes!$B:$XFD, MATCH(gdp_agr_share!W$1, gdp_tot_mes!$B$1:$XFD$1, 0), 0)</f>
        <v>2.4635397236471977E-2</v>
      </c>
      <c r="X101" s="29">
        <f>VLOOKUP($B101, agr_mes!$B:$XFD, MATCH(gdp_agr_share!X$1, agr_mes!$B$1:$XFD$1, 0), 0)/VLOOKUP($B101, gdp_tot_mes!$B:$XFD, MATCH(gdp_agr_share!X$1, gdp_tot_mes!$B$1:$XFD$1, 0), 0)</f>
        <v>2.7024043386541775E-2</v>
      </c>
      <c r="Y101" s="29">
        <f>VLOOKUP($B101, agr_mes!$B:$XFD, MATCH(gdp_agr_share!Y$1, agr_mes!$B$1:$XFD$1, 0), 0)/VLOOKUP($B101, gdp_tot_mes!$B:$XFD, MATCH(gdp_agr_share!Y$1, gdp_tot_mes!$B$1:$XFD$1, 0), 0)</f>
        <v>2.3277177973107882E-2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x14ac:dyDescent="0.25">
      <c r="A102" s="1" t="s">
        <v>243</v>
      </c>
      <c r="B102" s="1" t="s">
        <v>244</v>
      </c>
      <c r="C102" s="1" t="s">
        <v>245</v>
      </c>
      <c r="D102" s="29">
        <f>VLOOKUP($B102, agr_mes!$B:$XFD, MATCH(gdp_agr_share!D$1, agr_mes!$B$1:$XFD$1, 0), 0)/VLOOKUP($B102, gdp_tot_mes!$B:$XFD, MATCH(gdp_agr_share!D$1, gdp_tot_mes!$B$1:$XFD$1, 0), 0)</f>
        <v>5.9457592898103699E-2</v>
      </c>
      <c r="E102" s="29">
        <f>VLOOKUP($B102, agr_mes!$B:$XFD, MATCH(gdp_agr_share!E$1, agr_mes!$B$1:$XFD$1, 0), 0)/VLOOKUP($B102, gdp_tot_mes!$B:$XFD, MATCH(gdp_agr_share!E$1, gdp_tot_mes!$B$1:$XFD$1, 0), 0)</f>
        <v>7.1286982913895167E-2</v>
      </c>
      <c r="F102" s="29">
        <f>VLOOKUP($B102, agr_mes!$B:$XFD, MATCH(gdp_agr_share!F$1, agr_mes!$B$1:$XFD$1, 0), 0)/VLOOKUP($B102, gdp_tot_mes!$B:$XFD, MATCH(gdp_agr_share!F$1, gdp_tot_mes!$B$1:$XFD$1, 0), 0)</f>
        <v>8.6039284906658339E-2</v>
      </c>
      <c r="G102" s="29">
        <f>VLOOKUP($B102, agr_mes!$B:$XFD, MATCH(gdp_agr_share!G$1, agr_mes!$B$1:$XFD$1, 0), 0)/VLOOKUP($B102, gdp_tot_mes!$B:$XFD, MATCH(gdp_agr_share!G$1, gdp_tot_mes!$B$1:$XFD$1, 0), 0)</f>
        <v>0.1395395556686429</v>
      </c>
      <c r="H102" s="29">
        <f>VLOOKUP($B102, agr_mes!$B:$XFD, MATCH(gdp_agr_share!H$1, agr_mes!$B$1:$XFD$1, 0), 0)/VLOOKUP($B102, gdp_tot_mes!$B:$XFD, MATCH(gdp_agr_share!H$1, gdp_tot_mes!$B$1:$XFD$1, 0), 0)</f>
        <v>0.19891759212908489</v>
      </c>
      <c r="I102" s="29">
        <f>VLOOKUP($B102, agr_mes!$B:$XFD, MATCH(gdp_agr_share!I$1, agr_mes!$B$1:$XFD$1, 0), 0)/VLOOKUP($B102, gdp_tot_mes!$B:$XFD, MATCH(gdp_agr_share!I$1, gdp_tot_mes!$B$1:$XFD$1, 0), 0)</f>
        <v>0.24868118518319285</v>
      </c>
      <c r="J102" s="29">
        <f>VLOOKUP($B102, agr_mes!$B:$XFD, MATCH(gdp_agr_share!J$1, agr_mes!$B$1:$XFD$1, 0), 0)/VLOOKUP($B102, gdp_tot_mes!$B:$XFD, MATCH(gdp_agr_share!J$1, gdp_tot_mes!$B$1:$XFD$1, 0), 0)</f>
        <v>6.3877657967930712E-2</v>
      </c>
      <c r="K102" s="29">
        <f>VLOOKUP($B102, agr_mes!$B:$XFD, MATCH(gdp_agr_share!K$1, agr_mes!$B$1:$XFD$1, 0), 0)/VLOOKUP($B102, gdp_tot_mes!$B:$XFD, MATCH(gdp_agr_share!K$1, gdp_tot_mes!$B$1:$XFD$1, 0), 0)</f>
        <v>7.4364825598501494E-2</v>
      </c>
      <c r="L102" s="30">
        <f t="shared" si="1"/>
        <v>6.0934133685198497E-2</v>
      </c>
      <c r="M102" s="29">
        <f>VLOOKUP($B102, agr_mes!$B:$XFD, MATCH(gdp_agr_share!M$1, agr_mes!$B$1:$XFD$1, 0), 0)/VLOOKUP($B102, gdp_tot_mes!$B:$XFD, MATCH(gdp_agr_share!M$1, gdp_tot_mes!$B$1:$XFD$1, 0), 0)</f>
        <v>4.481730338923489E-2</v>
      </c>
      <c r="N102" s="29">
        <f>VLOOKUP($B102, agr_mes!$B:$XFD, MATCH(gdp_agr_share!N$1, agr_mes!$B$1:$XFD$1, 0), 0)/VLOOKUP($B102, gdp_tot_mes!$B:$XFD, MATCH(gdp_agr_share!N$1, gdp_tot_mes!$B$1:$XFD$1, 0), 0)</f>
        <v>4.9885188791396237E-2</v>
      </c>
      <c r="O102" s="29">
        <f>VLOOKUP($B102, agr_mes!$B:$XFD, MATCH(gdp_agr_share!O$1, agr_mes!$B$1:$XFD$1, 0), 0)/VLOOKUP($B102, gdp_tot_mes!$B:$XFD, MATCH(gdp_agr_share!O$1, gdp_tot_mes!$B$1:$XFD$1, 0), 0)</f>
        <v>4.8146603501555446E-2</v>
      </c>
      <c r="P102" s="29">
        <f>VLOOKUP($B102, agr_mes!$B:$XFD, MATCH(gdp_agr_share!P$1, agr_mes!$B$1:$XFD$1, 0), 0)/VLOOKUP($B102, gdp_tot_mes!$B:$XFD, MATCH(gdp_agr_share!P$1, gdp_tot_mes!$B$1:$XFD$1, 0), 0)</f>
        <v>4.9210900316379085E-2</v>
      </c>
      <c r="Q102" s="29">
        <f>VLOOKUP($B102, agr_mes!$B:$XFD, MATCH(gdp_agr_share!Q$1, agr_mes!$B$1:$XFD$1, 0), 0)/VLOOKUP($B102, gdp_tot_mes!$B:$XFD, MATCH(gdp_agr_share!Q$1, gdp_tot_mes!$B$1:$XFD$1, 0), 0)</f>
        <v>4.0329638663127949E-2</v>
      </c>
      <c r="R102" s="29">
        <f>VLOOKUP($B102, agr_mes!$B:$XFD, MATCH(gdp_agr_share!R$1, agr_mes!$B$1:$XFD$1, 0), 0)/VLOOKUP($B102, gdp_tot_mes!$B:$XFD, MATCH(gdp_agr_share!R$1, gdp_tot_mes!$B$1:$XFD$1, 0), 0)</f>
        <v>5.7899423213266431E-2</v>
      </c>
      <c r="S102" s="29">
        <f>VLOOKUP($B102, agr_mes!$B:$XFD, MATCH(gdp_agr_share!S$1, agr_mes!$B$1:$XFD$1, 0), 0)/VLOOKUP($B102, gdp_tot_mes!$B:$XFD, MATCH(gdp_agr_share!S$1, gdp_tot_mes!$B$1:$XFD$1, 0), 0)</f>
        <v>5.0904167396702407E-2</v>
      </c>
      <c r="T102" s="29">
        <f>VLOOKUP($B102, agr_mes!$B:$XFD, MATCH(gdp_agr_share!T$1, agr_mes!$B$1:$XFD$1, 0), 0)/VLOOKUP($B102, gdp_tot_mes!$B:$XFD, MATCH(gdp_agr_share!T$1, gdp_tot_mes!$B$1:$XFD$1, 0), 0)</f>
        <v>4.8398918993572612E-2</v>
      </c>
      <c r="U102" s="29">
        <f>VLOOKUP($B102, agr_mes!$B:$XFD, MATCH(gdp_agr_share!U$1, agr_mes!$B$1:$XFD$1, 0), 0)/VLOOKUP($B102, gdp_tot_mes!$B:$XFD, MATCH(gdp_agr_share!U$1, gdp_tot_mes!$B$1:$XFD$1, 0), 0)</f>
        <v>4.6669964760746051E-2</v>
      </c>
      <c r="V102" s="29">
        <f>VLOOKUP($B102, agr_mes!$B:$XFD, MATCH(gdp_agr_share!V$1, agr_mes!$B$1:$XFD$1, 0), 0)/VLOOKUP($B102, gdp_tot_mes!$B:$XFD, MATCH(gdp_agr_share!V$1, gdp_tot_mes!$B$1:$XFD$1, 0), 0)</f>
        <v>4.7477993507558887E-2</v>
      </c>
      <c r="W102" s="29">
        <f>VLOOKUP($B102, agr_mes!$B:$XFD, MATCH(gdp_agr_share!W$1, agr_mes!$B$1:$XFD$1, 0), 0)/VLOOKUP($B102, gdp_tot_mes!$B:$XFD, MATCH(gdp_agr_share!W$1, gdp_tot_mes!$B$1:$XFD$1, 0), 0)</f>
        <v>5.9634260046098571E-2</v>
      </c>
      <c r="X102" s="29">
        <f>VLOOKUP($B102, agr_mes!$B:$XFD, MATCH(gdp_agr_share!X$1, agr_mes!$B$1:$XFD$1, 0), 0)/VLOOKUP($B102, gdp_tot_mes!$B:$XFD, MATCH(gdp_agr_share!X$1, gdp_tot_mes!$B$1:$XFD$1, 0), 0)</f>
        <v>5.190154283242205E-2</v>
      </c>
      <c r="Y102" s="29">
        <f>VLOOKUP($B102, agr_mes!$B:$XFD, MATCH(gdp_agr_share!Y$1, agr_mes!$B$1:$XFD$1, 0), 0)/VLOOKUP($B102, gdp_tot_mes!$B:$XFD, MATCH(gdp_agr_share!Y$1, gdp_tot_mes!$B$1:$XFD$1, 0), 0)</f>
        <v>5.240930724824526E-2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x14ac:dyDescent="0.25">
      <c r="A103" s="1" t="s">
        <v>243</v>
      </c>
      <c r="B103" s="1" t="s">
        <v>246</v>
      </c>
      <c r="C103" s="1" t="s">
        <v>247</v>
      </c>
      <c r="D103" s="29" t="e">
        <f>VLOOKUP($B103, agr_mes!$B:$XFD, MATCH(gdp_agr_share!D$1, agr_mes!$B$1:$XFD$1, 0), 0)/VLOOKUP($B103, gdp_tot_mes!$B:$XFD, MATCH(gdp_agr_share!D$1, gdp_tot_mes!$B$1:$XFD$1, 0), 0)</f>
        <v>#DIV/0!</v>
      </c>
      <c r="E103" s="29" t="e">
        <f>VLOOKUP($B103, agr_mes!$B:$XFD, MATCH(gdp_agr_share!E$1, agr_mes!$B$1:$XFD$1, 0), 0)/VLOOKUP($B103, gdp_tot_mes!$B:$XFD, MATCH(gdp_agr_share!E$1, gdp_tot_mes!$B$1:$XFD$1, 0), 0)</f>
        <v>#DIV/0!</v>
      </c>
      <c r="F103" s="29" t="e">
        <f>VLOOKUP($B103, agr_mes!$B:$XFD, MATCH(gdp_agr_share!F$1, agr_mes!$B$1:$XFD$1, 0), 0)/VLOOKUP($B103, gdp_tot_mes!$B:$XFD, MATCH(gdp_agr_share!F$1, gdp_tot_mes!$B$1:$XFD$1, 0), 0)</f>
        <v>#DIV/0!</v>
      </c>
      <c r="G103" s="29" t="e">
        <f>VLOOKUP($B103, agr_mes!$B:$XFD, MATCH(gdp_agr_share!G$1, agr_mes!$B$1:$XFD$1, 0), 0)/VLOOKUP($B103, gdp_tot_mes!$B:$XFD, MATCH(gdp_agr_share!G$1, gdp_tot_mes!$B$1:$XFD$1, 0), 0)</f>
        <v>#DIV/0!</v>
      </c>
      <c r="H103" s="29" t="e">
        <f>VLOOKUP($B103, agr_mes!$B:$XFD, MATCH(gdp_agr_share!H$1, agr_mes!$B$1:$XFD$1, 0), 0)/VLOOKUP($B103, gdp_tot_mes!$B:$XFD, MATCH(gdp_agr_share!H$1, gdp_tot_mes!$B$1:$XFD$1, 0), 0)</f>
        <v>#DIV/0!</v>
      </c>
      <c r="I103" s="29" t="e">
        <f>VLOOKUP($B103, agr_mes!$B:$XFD, MATCH(gdp_agr_share!I$1, agr_mes!$B$1:$XFD$1, 0), 0)/VLOOKUP($B103, gdp_tot_mes!$B:$XFD, MATCH(gdp_agr_share!I$1, gdp_tot_mes!$B$1:$XFD$1, 0), 0)</f>
        <v>#DIV/0!</v>
      </c>
      <c r="J103" s="29">
        <f>VLOOKUP($B103, agr_mes!$B:$XFD, MATCH(gdp_agr_share!J$1, agr_mes!$B$1:$XFD$1, 0), 0)/VLOOKUP($B103, gdp_tot_mes!$B:$XFD, MATCH(gdp_agr_share!J$1, gdp_tot_mes!$B$1:$XFD$1, 0), 0)</f>
        <v>0.36350279179008105</v>
      </c>
      <c r="K103" s="29">
        <f>VLOOKUP($B103, agr_mes!$B:$XFD, MATCH(gdp_agr_share!K$1, agr_mes!$B$1:$XFD$1, 0), 0)/VLOOKUP($B103, gdp_tot_mes!$B:$XFD, MATCH(gdp_agr_share!K$1, gdp_tot_mes!$B$1:$XFD$1, 0), 0)</f>
        <v>0.24498593758973022</v>
      </c>
      <c r="L103" s="30">
        <f t="shared" si="1"/>
        <v>0.2507879001241709</v>
      </c>
      <c r="M103" s="29">
        <f>VLOOKUP($B103, agr_mes!$B:$XFD, MATCH(gdp_agr_share!M$1, agr_mes!$B$1:$XFD$1, 0), 0)/VLOOKUP($B103, gdp_tot_mes!$B:$XFD, MATCH(gdp_agr_share!M$1, gdp_tot_mes!$B$1:$XFD$1, 0), 0)</f>
        <v>0.25775025516549971</v>
      </c>
      <c r="N103" s="29">
        <f>VLOOKUP($B103, agr_mes!$B:$XFD, MATCH(gdp_agr_share!N$1, agr_mes!$B$1:$XFD$1, 0), 0)/VLOOKUP($B103, gdp_tot_mes!$B:$XFD, MATCH(gdp_agr_share!N$1, gdp_tot_mes!$B$1:$XFD$1, 0), 0)</f>
        <v>0.23345629961754319</v>
      </c>
      <c r="O103" s="29">
        <f>VLOOKUP($B103, agr_mes!$B:$XFD, MATCH(gdp_agr_share!O$1, agr_mes!$B$1:$XFD$1, 0), 0)/VLOOKUP($B103, gdp_tot_mes!$B:$XFD, MATCH(gdp_agr_share!O$1, gdp_tot_mes!$B$1:$XFD$1, 0), 0)</f>
        <v>0.22516388877480609</v>
      </c>
      <c r="P103" s="29">
        <f>VLOOKUP($B103, agr_mes!$B:$XFD, MATCH(gdp_agr_share!P$1, agr_mes!$B$1:$XFD$1, 0), 0)/VLOOKUP($B103, gdp_tot_mes!$B:$XFD, MATCH(gdp_agr_share!P$1, gdp_tot_mes!$B$1:$XFD$1, 0), 0)</f>
        <v>0.21622866316480843</v>
      </c>
      <c r="Q103" s="29">
        <f>VLOOKUP($B103, agr_mes!$B:$XFD, MATCH(gdp_agr_share!Q$1, agr_mes!$B$1:$XFD$1, 0), 0)/VLOOKUP($B103, gdp_tot_mes!$B:$XFD, MATCH(gdp_agr_share!Q$1, gdp_tot_mes!$B$1:$XFD$1, 0), 0)</f>
        <v>0.12067689529332012</v>
      </c>
      <c r="R103" s="29">
        <f>VLOOKUP($B103, agr_mes!$B:$XFD, MATCH(gdp_agr_share!R$1, agr_mes!$B$1:$XFD$1, 0), 0)/VLOOKUP($B103, gdp_tot_mes!$B:$XFD, MATCH(gdp_agr_share!R$1, gdp_tot_mes!$B$1:$XFD$1, 0), 0)</f>
        <v>0.17235032050021085</v>
      </c>
      <c r="S103" s="29">
        <f>VLOOKUP($B103, agr_mes!$B:$XFD, MATCH(gdp_agr_share!S$1, agr_mes!$B$1:$XFD$1, 0), 0)/VLOOKUP($B103, gdp_tot_mes!$B:$XFD, MATCH(gdp_agr_share!S$1, gdp_tot_mes!$B$1:$XFD$1, 0), 0)</f>
        <v>0.15214900820441821</v>
      </c>
      <c r="T103" s="29">
        <f>VLOOKUP($B103, agr_mes!$B:$XFD, MATCH(gdp_agr_share!T$1, agr_mes!$B$1:$XFD$1, 0), 0)/VLOOKUP($B103, gdp_tot_mes!$B:$XFD, MATCH(gdp_agr_share!T$1, gdp_tot_mes!$B$1:$XFD$1, 0), 0)</f>
        <v>0.13799370884722406</v>
      </c>
      <c r="U103" s="29">
        <f>VLOOKUP($B103, agr_mes!$B:$XFD, MATCH(gdp_agr_share!U$1, agr_mes!$B$1:$XFD$1, 0), 0)/VLOOKUP($B103, gdp_tot_mes!$B:$XFD, MATCH(gdp_agr_share!U$1, gdp_tot_mes!$B$1:$XFD$1, 0), 0)</f>
        <v>0.12732982932461642</v>
      </c>
      <c r="V103" s="29">
        <f>VLOOKUP($B103, agr_mes!$B:$XFD, MATCH(gdp_agr_share!V$1, agr_mes!$B$1:$XFD$1, 0), 0)/VLOOKUP($B103, gdp_tot_mes!$B:$XFD, MATCH(gdp_agr_share!V$1, gdp_tot_mes!$B$1:$XFD$1, 0), 0)</f>
        <v>0.12589929731651578</v>
      </c>
      <c r="W103" s="29">
        <f>VLOOKUP($B103, agr_mes!$B:$XFD, MATCH(gdp_agr_share!W$1, agr_mes!$B$1:$XFD$1, 0), 0)/VLOOKUP($B103, gdp_tot_mes!$B:$XFD, MATCH(gdp_agr_share!W$1, gdp_tot_mes!$B$1:$XFD$1, 0), 0)</f>
        <v>0.14736003757202237</v>
      </c>
      <c r="X103" s="29">
        <f>VLOOKUP($B103, agr_mes!$B:$XFD, MATCH(gdp_agr_share!X$1, agr_mes!$B$1:$XFD$1, 0), 0)/VLOOKUP($B103, gdp_tot_mes!$B:$XFD, MATCH(gdp_agr_share!X$1, gdp_tot_mes!$B$1:$XFD$1, 0), 0)</f>
        <v>0.1436744124852872</v>
      </c>
      <c r="Y103" s="29">
        <f>VLOOKUP($B103, agr_mes!$B:$XFD, MATCH(gdp_agr_share!Y$1, agr_mes!$B$1:$XFD$1, 0), 0)/VLOOKUP($B103, gdp_tot_mes!$B:$XFD, MATCH(gdp_agr_share!Y$1, gdp_tot_mes!$B$1:$XFD$1, 0), 0)</f>
        <v>0.12986240655846035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x14ac:dyDescent="0.25">
      <c r="A104" s="1" t="s">
        <v>248</v>
      </c>
      <c r="B104" s="1" t="s">
        <v>249</v>
      </c>
      <c r="C104" s="1" t="s">
        <v>250</v>
      </c>
      <c r="D104" s="29">
        <f>VLOOKUP($B104, agr_mes!$B:$XFD, MATCH(gdp_agr_share!D$1, agr_mes!$B$1:$XFD$1, 0), 0)/VLOOKUP($B104, gdp_tot_mes!$B:$XFD, MATCH(gdp_agr_share!D$1, gdp_tot_mes!$B$1:$XFD$1, 0), 0)</f>
        <v>0.74676902677268309</v>
      </c>
      <c r="E104" s="29">
        <f>VLOOKUP($B104, agr_mes!$B:$XFD, MATCH(gdp_agr_share!E$1, agr_mes!$B$1:$XFD$1, 0), 0)/VLOOKUP($B104, gdp_tot_mes!$B:$XFD, MATCH(gdp_agr_share!E$1, gdp_tot_mes!$B$1:$XFD$1, 0), 0)</f>
        <v>0.82615428055840057</v>
      </c>
      <c r="F104" s="29">
        <f>VLOOKUP($B104, agr_mes!$B:$XFD, MATCH(gdp_agr_share!F$1, agr_mes!$B$1:$XFD$1, 0), 0)/VLOOKUP($B104, gdp_tot_mes!$B:$XFD, MATCH(gdp_agr_share!F$1, gdp_tot_mes!$B$1:$XFD$1, 0), 0)</f>
        <v>0.60672039360902863</v>
      </c>
      <c r="G104" s="29">
        <f>VLOOKUP($B104, agr_mes!$B:$XFD, MATCH(gdp_agr_share!G$1, agr_mes!$B$1:$XFD$1, 0), 0)/VLOOKUP($B104, gdp_tot_mes!$B:$XFD, MATCH(gdp_agr_share!G$1, gdp_tot_mes!$B$1:$XFD$1, 0), 0)</f>
        <v>0.68148907731805308</v>
      </c>
      <c r="H104" s="29">
        <f>VLOOKUP($B104, agr_mes!$B:$XFD, MATCH(gdp_agr_share!H$1, agr_mes!$B$1:$XFD$1, 0), 0)/VLOOKUP($B104, gdp_tot_mes!$B:$XFD, MATCH(gdp_agr_share!H$1, gdp_tot_mes!$B$1:$XFD$1, 0), 0)</f>
        <v>0.28173595013557784</v>
      </c>
      <c r="I104" s="29">
        <f>VLOOKUP($B104, agr_mes!$B:$XFD, MATCH(gdp_agr_share!I$1, agr_mes!$B$1:$XFD$1, 0), 0)/VLOOKUP($B104, gdp_tot_mes!$B:$XFD, MATCH(gdp_agr_share!I$1, gdp_tot_mes!$B$1:$XFD$1, 0), 0)</f>
        <v>0.29478659856950273</v>
      </c>
      <c r="J104" s="29">
        <f>VLOOKUP($B104, agr_mes!$B:$XFD, MATCH(gdp_agr_share!J$1, agr_mes!$B$1:$XFD$1, 0), 0)/VLOOKUP($B104, gdp_tot_mes!$B:$XFD, MATCH(gdp_agr_share!J$1, gdp_tot_mes!$B$1:$XFD$1, 0), 0)</f>
        <v>0.17841453325063891</v>
      </c>
      <c r="K104" s="29">
        <f>VLOOKUP($B104, agr_mes!$B:$XFD, MATCH(gdp_agr_share!K$1, agr_mes!$B$1:$XFD$1, 0), 0)/VLOOKUP($B104, gdp_tot_mes!$B:$XFD, MATCH(gdp_agr_share!K$1, gdp_tot_mes!$B$1:$XFD$1, 0), 0)</f>
        <v>0.12436431060036456</v>
      </c>
      <c r="L104" s="30">
        <f t="shared" si="1"/>
        <v>0.1014815073762938</v>
      </c>
      <c r="M104" s="29">
        <f>VLOOKUP($B104, agr_mes!$B:$XFD, MATCH(gdp_agr_share!M$1, agr_mes!$B$1:$XFD$1, 0), 0)/VLOOKUP($B104, gdp_tot_mes!$B:$XFD, MATCH(gdp_agr_share!M$1, gdp_tot_mes!$B$1:$XFD$1, 0), 0)</f>
        <v>7.4022143507408905E-2</v>
      </c>
      <c r="N104" s="29">
        <f>VLOOKUP($B104, agr_mes!$B:$XFD, MATCH(gdp_agr_share!N$1, agr_mes!$B$1:$XFD$1, 0), 0)/VLOOKUP($B104, gdp_tot_mes!$B:$XFD, MATCH(gdp_agr_share!N$1, gdp_tot_mes!$B$1:$XFD$1, 0), 0)</f>
        <v>6.3515983001803555E-2</v>
      </c>
      <c r="O104" s="29">
        <f>VLOOKUP($B104, agr_mes!$B:$XFD, MATCH(gdp_agr_share!O$1, agr_mes!$B$1:$XFD$1, 0), 0)/VLOOKUP($B104, gdp_tot_mes!$B:$XFD, MATCH(gdp_agr_share!O$1, gdp_tot_mes!$B$1:$XFD$1, 0), 0)</f>
        <v>8.0861713302292165E-2</v>
      </c>
      <c r="P104" s="29">
        <f>VLOOKUP($B104, agr_mes!$B:$XFD, MATCH(gdp_agr_share!P$1, agr_mes!$B$1:$XFD$1, 0), 0)/VLOOKUP($B104, gdp_tot_mes!$B:$XFD, MATCH(gdp_agr_share!P$1, gdp_tot_mes!$B$1:$XFD$1, 0), 0)</f>
        <v>7.6022070877576814E-2</v>
      </c>
      <c r="Q104" s="29">
        <f>VLOOKUP($B104, agr_mes!$B:$XFD, MATCH(gdp_agr_share!Q$1, agr_mes!$B$1:$XFD$1, 0), 0)/VLOOKUP($B104, gdp_tot_mes!$B:$XFD, MATCH(gdp_agr_share!Q$1, gdp_tot_mes!$B$1:$XFD$1, 0), 0)</f>
        <v>2.5570078092936231E-2</v>
      </c>
      <c r="R104" s="29">
        <f>VLOOKUP($B104, agr_mes!$B:$XFD, MATCH(gdp_agr_share!R$1, agr_mes!$B$1:$XFD$1, 0), 0)/VLOOKUP($B104, gdp_tot_mes!$B:$XFD, MATCH(gdp_agr_share!R$1, gdp_tot_mes!$B$1:$XFD$1, 0), 0)</f>
        <v>2.9105341244362586E-2</v>
      </c>
      <c r="S104" s="29">
        <f>VLOOKUP($B104, agr_mes!$B:$XFD, MATCH(gdp_agr_share!S$1, agr_mes!$B$1:$XFD$1, 0), 0)/VLOOKUP($B104, gdp_tot_mes!$B:$XFD, MATCH(gdp_agr_share!S$1, gdp_tot_mes!$B$1:$XFD$1, 0), 0)</f>
        <v>3.4046217516444453E-2</v>
      </c>
      <c r="T104" s="29">
        <f>VLOOKUP($B104, agr_mes!$B:$XFD, MATCH(gdp_agr_share!T$1, agr_mes!$B$1:$XFD$1, 0), 0)/VLOOKUP($B104, gdp_tot_mes!$B:$XFD, MATCH(gdp_agr_share!T$1, gdp_tot_mes!$B$1:$XFD$1, 0), 0)</f>
        <v>2.564203968011082E-2</v>
      </c>
      <c r="U104" s="29">
        <f>VLOOKUP($B104, agr_mes!$B:$XFD, MATCH(gdp_agr_share!U$1, agr_mes!$B$1:$XFD$1, 0), 0)/VLOOKUP($B104, gdp_tot_mes!$B:$XFD, MATCH(gdp_agr_share!U$1, gdp_tot_mes!$B$1:$XFD$1, 0), 0)</f>
        <v>2.1084708382342453E-2</v>
      </c>
      <c r="V104" s="29">
        <f>VLOOKUP($B104, agr_mes!$B:$XFD, MATCH(gdp_agr_share!V$1, agr_mes!$B$1:$XFD$1, 0), 0)/VLOOKUP($B104, gdp_tot_mes!$B:$XFD, MATCH(gdp_agr_share!V$1, gdp_tot_mes!$B$1:$XFD$1, 0), 0)</f>
        <v>2.3800537979151853E-2</v>
      </c>
      <c r="W104" s="29">
        <f>VLOOKUP($B104, agr_mes!$B:$XFD, MATCH(gdp_agr_share!W$1, agr_mes!$B$1:$XFD$1, 0), 0)/VLOOKUP($B104, gdp_tot_mes!$B:$XFD, MATCH(gdp_agr_share!W$1, gdp_tot_mes!$B$1:$XFD$1, 0), 0)</f>
        <v>2.102745178089967E-2</v>
      </c>
      <c r="X104" s="29">
        <f>VLOOKUP($B104, agr_mes!$B:$XFD, MATCH(gdp_agr_share!X$1, agr_mes!$B$1:$XFD$1, 0), 0)/VLOOKUP($B104, gdp_tot_mes!$B:$XFD, MATCH(gdp_agr_share!X$1, gdp_tot_mes!$B$1:$XFD$1, 0), 0)</f>
        <v>1.6599537115151664E-2</v>
      </c>
      <c r="Y104" s="29">
        <f>VLOOKUP($B104, agr_mes!$B:$XFD, MATCH(gdp_agr_share!Y$1, agr_mes!$B$1:$XFD$1, 0), 0)/VLOOKUP($B104, gdp_tot_mes!$B:$XFD, MATCH(gdp_agr_share!Y$1, gdp_tot_mes!$B$1:$XFD$1, 0), 0)</f>
        <v>1.6457045175995631E-2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x14ac:dyDescent="0.25">
      <c r="A105" s="1" t="s">
        <v>248</v>
      </c>
      <c r="B105" s="1" t="s">
        <v>251</v>
      </c>
      <c r="C105" s="1" t="s">
        <v>252</v>
      </c>
      <c r="D105" s="29">
        <f>VLOOKUP($B105, agr_mes!$B:$XFD, MATCH(gdp_agr_share!D$1, agr_mes!$B$1:$XFD$1, 0), 0)/VLOOKUP($B105, gdp_tot_mes!$B:$XFD, MATCH(gdp_agr_share!D$1, gdp_tot_mes!$B$1:$XFD$1, 0), 0)</f>
        <v>0</v>
      </c>
      <c r="E105" s="29">
        <f>VLOOKUP($B105, agr_mes!$B:$XFD, MATCH(gdp_agr_share!E$1, agr_mes!$B$1:$XFD$1, 0), 0)/VLOOKUP($B105, gdp_tot_mes!$B:$XFD, MATCH(gdp_agr_share!E$1, gdp_tot_mes!$B$1:$XFD$1, 0), 0)</f>
        <v>0</v>
      </c>
      <c r="F105" s="29">
        <f>VLOOKUP($B105, agr_mes!$B:$XFD, MATCH(gdp_agr_share!F$1, agr_mes!$B$1:$XFD$1, 0), 0)/VLOOKUP($B105, gdp_tot_mes!$B:$XFD, MATCH(gdp_agr_share!F$1, gdp_tot_mes!$B$1:$XFD$1, 0), 0)</f>
        <v>1</v>
      </c>
      <c r="G105" s="29">
        <f>VLOOKUP($B105, agr_mes!$B:$XFD, MATCH(gdp_agr_share!G$1, agr_mes!$B$1:$XFD$1, 0), 0)/VLOOKUP($B105, gdp_tot_mes!$B:$XFD, MATCH(gdp_agr_share!G$1, gdp_tot_mes!$B$1:$XFD$1, 0), 0)</f>
        <v>0.85764528797737105</v>
      </c>
      <c r="H105" s="29">
        <f>VLOOKUP($B105, agr_mes!$B:$XFD, MATCH(gdp_agr_share!H$1, agr_mes!$B$1:$XFD$1, 0), 0)/VLOOKUP($B105, gdp_tot_mes!$B:$XFD, MATCH(gdp_agr_share!H$1, gdp_tot_mes!$B$1:$XFD$1, 0), 0)</f>
        <v>0.58444052011735959</v>
      </c>
      <c r="I105" s="29">
        <f>VLOOKUP($B105, agr_mes!$B:$XFD, MATCH(gdp_agr_share!I$1, agr_mes!$B$1:$XFD$1, 0), 0)/VLOOKUP($B105, gdp_tot_mes!$B:$XFD, MATCH(gdp_agr_share!I$1, gdp_tot_mes!$B$1:$XFD$1, 0), 0)</f>
        <v>0.43742219418480788</v>
      </c>
      <c r="J105" s="29">
        <f>VLOOKUP($B105, agr_mes!$B:$XFD, MATCH(gdp_agr_share!J$1, agr_mes!$B$1:$XFD$1, 0), 0)/VLOOKUP($B105, gdp_tot_mes!$B:$XFD, MATCH(gdp_agr_share!J$1, gdp_tot_mes!$B$1:$XFD$1, 0), 0)</f>
        <v>0.22547312849177836</v>
      </c>
      <c r="K105" s="29">
        <f>VLOOKUP($B105, agr_mes!$B:$XFD, MATCH(gdp_agr_share!K$1, agr_mes!$B$1:$XFD$1, 0), 0)/VLOOKUP($B105, gdp_tot_mes!$B:$XFD, MATCH(gdp_agr_share!K$1, gdp_tot_mes!$B$1:$XFD$1, 0), 0)</f>
        <v>0.38007010983796036</v>
      </c>
      <c r="L105" s="30">
        <f t="shared" si="1"/>
        <v>0.35474609299107135</v>
      </c>
      <c r="M105" s="29">
        <f>VLOOKUP($B105, agr_mes!$B:$XFD, MATCH(gdp_agr_share!M$1, agr_mes!$B$1:$XFD$1, 0), 0)/VLOOKUP($B105, gdp_tot_mes!$B:$XFD, MATCH(gdp_agr_share!M$1, gdp_tot_mes!$B$1:$XFD$1, 0), 0)</f>
        <v>0.32435727277480453</v>
      </c>
      <c r="N105" s="29">
        <f>VLOOKUP($B105, agr_mes!$B:$XFD, MATCH(gdp_agr_share!N$1, agr_mes!$B$1:$XFD$1, 0), 0)/VLOOKUP($B105, gdp_tot_mes!$B:$XFD, MATCH(gdp_agr_share!N$1, gdp_tot_mes!$B$1:$XFD$1, 0), 0)</f>
        <v>0.13683999756289889</v>
      </c>
      <c r="O105" s="29">
        <f>VLOOKUP($B105, agr_mes!$B:$XFD, MATCH(gdp_agr_share!O$1, agr_mes!$B$1:$XFD$1, 0), 0)/VLOOKUP($B105, gdp_tot_mes!$B:$XFD, MATCH(gdp_agr_share!O$1, gdp_tot_mes!$B$1:$XFD$1, 0), 0)</f>
        <v>0.15976380897468781</v>
      </c>
      <c r="P105" s="29">
        <f>VLOOKUP($B105, agr_mes!$B:$XFD, MATCH(gdp_agr_share!P$1, agr_mes!$B$1:$XFD$1, 0), 0)/VLOOKUP($B105, gdp_tot_mes!$B:$XFD, MATCH(gdp_agr_share!P$1, gdp_tot_mes!$B$1:$XFD$1, 0), 0)</f>
        <v>0.21151117358771043</v>
      </c>
      <c r="Q105" s="29">
        <f>VLOOKUP($B105, agr_mes!$B:$XFD, MATCH(gdp_agr_share!Q$1, agr_mes!$B$1:$XFD$1, 0), 0)/VLOOKUP($B105, gdp_tot_mes!$B:$XFD, MATCH(gdp_agr_share!Q$1, gdp_tot_mes!$B$1:$XFD$1, 0), 0)</f>
        <v>5.697524776437389E-2</v>
      </c>
      <c r="R105" s="29">
        <f>VLOOKUP($B105, agr_mes!$B:$XFD, MATCH(gdp_agr_share!R$1, agr_mes!$B$1:$XFD$1, 0), 0)/VLOOKUP($B105, gdp_tot_mes!$B:$XFD, MATCH(gdp_agr_share!R$1, gdp_tot_mes!$B$1:$XFD$1, 0), 0)</f>
        <v>6.4883435452664104E-2</v>
      </c>
      <c r="S105" s="29">
        <f>VLOOKUP($B105, agr_mes!$B:$XFD, MATCH(gdp_agr_share!S$1, agr_mes!$B$1:$XFD$1, 0), 0)/VLOOKUP($B105, gdp_tot_mes!$B:$XFD, MATCH(gdp_agr_share!S$1, gdp_tot_mes!$B$1:$XFD$1, 0), 0)</f>
        <v>6.7060611440231122E-2</v>
      </c>
      <c r="T105" s="29">
        <f>VLOOKUP($B105, agr_mes!$B:$XFD, MATCH(gdp_agr_share!T$1, agr_mes!$B$1:$XFD$1, 0), 0)/VLOOKUP($B105, gdp_tot_mes!$B:$XFD, MATCH(gdp_agr_share!T$1, gdp_tot_mes!$B$1:$XFD$1, 0), 0)</f>
        <v>6.1618403494623747E-2</v>
      </c>
      <c r="U105" s="29">
        <f>VLOOKUP($B105, agr_mes!$B:$XFD, MATCH(gdp_agr_share!U$1, agr_mes!$B$1:$XFD$1, 0), 0)/VLOOKUP($B105, gdp_tot_mes!$B:$XFD, MATCH(gdp_agr_share!U$1, gdp_tot_mes!$B$1:$XFD$1, 0), 0)</f>
        <v>5.1249471072926302E-2</v>
      </c>
      <c r="V105" s="29">
        <f>VLOOKUP($B105, agr_mes!$B:$XFD, MATCH(gdp_agr_share!V$1, agr_mes!$B$1:$XFD$1, 0), 0)/VLOOKUP($B105, gdp_tot_mes!$B:$XFD, MATCH(gdp_agr_share!V$1, gdp_tot_mes!$B$1:$XFD$1, 0), 0)</f>
        <v>6.5241910487425309E-2</v>
      </c>
      <c r="W105" s="29">
        <f>VLOOKUP($B105, agr_mes!$B:$XFD, MATCH(gdp_agr_share!W$1, agr_mes!$B$1:$XFD$1, 0), 0)/VLOOKUP($B105, gdp_tot_mes!$B:$XFD, MATCH(gdp_agr_share!W$1, gdp_tot_mes!$B$1:$XFD$1, 0), 0)</f>
        <v>5.6080996106483857E-2</v>
      </c>
      <c r="X105" s="29">
        <f>VLOOKUP($B105, agr_mes!$B:$XFD, MATCH(gdp_agr_share!X$1, agr_mes!$B$1:$XFD$1, 0), 0)/VLOOKUP($B105, gdp_tot_mes!$B:$XFD, MATCH(gdp_agr_share!X$1, gdp_tot_mes!$B$1:$XFD$1, 0), 0)</f>
        <v>5.4658951980413907E-2</v>
      </c>
      <c r="Y105" s="29">
        <f>VLOOKUP($B105, agr_mes!$B:$XFD, MATCH(gdp_agr_share!Y$1, agr_mes!$B$1:$XFD$1, 0), 0)/VLOOKUP($B105, gdp_tot_mes!$B:$XFD, MATCH(gdp_agr_share!Y$1, gdp_tot_mes!$B$1:$XFD$1, 0), 0)</f>
        <v>6.6608530189133958E-2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x14ac:dyDescent="0.25">
      <c r="A106" s="1" t="s">
        <v>253</v>
      </c>
      <c r="B106" s="1" t="s">
        <v>254</v>
      </c>
      <c r="C106" s="1" t="s">
        <v>255</v>
      </c>
      <c r="D106" s="29">
        <f>VLOOKUP($B106, agr_mes!$B:$XFD, MATCH(gdp_agr_share!D$1, agr_mes!$B$1:$XFD$1, 0), 0)/VLOOKUP($B106, gdp_tot_mes!$B:$XFD, MATCH(gdp_agr_share!D$1, gdp_tot_mes!$B$1:$XFD$1, 0), 0)</f>
        <v>0.70803097076273502</v>
      </c>
      <c r="E106" s="29">
        <f>VLOOKUP($B106, agr_mes!$B:$XFD, MATCH(gdp_agr_share!E$1, agr_mes!$B$1:$XFD$1, 0), 0)/VLOOKUP($B106, gdp_tot_mes!$B:$XFD, MATCH(gdp_agr_share!E$1, gdp_tot_mes!$B$1:$XFD$1, 0), 0)</f>
        <v>0.55905829689285946</v>
      </c>
      <c r="F106" s="29">
        <f>VLOOKUP($B106, agr_mes!$B:$XFD, MATCH(gdp_agr_share!F$1, agr_mes!$B$1:$XFD$1, 0), 0)/VLOOKUP($B106, gdp_tot_mes!$B:$XFD, MATCH(gdp_agr_share!F$1, gdp_tot_mes!$B$1:$XFD$1, 0), 0)</f>
        <v>0.48481743176139819</v>
      </c>
      <c r="G106" s="29">
        <f>VLOOKUP($B106, agr_mes!$B:$XFD, MATCH(gdp_agr_share!G$1, agr_mes!$B$1:$XFD$1, 0), 0)/VLOOKUP($B106, gdp_tot_mes!$B:$XFD, MATCH(gdp_agr_share!G$1, gdp_tot_mes!$B$1:$XFD$1, 0), 0)</f>
        <v>0.42851693812398539</v>
      </c>
      <c r="H106" s="29">
        <f>VLOOKUP($B106, agr_mes!$B:$XFD, MATCH(gdp_agr_share!H$1, agr_mes!$B$1:$XFD$1, 0), 0)/VLOOKUP($B106, gdp_tot_mes!$B:$XFD, MATCH(gdp_agr_share!H$1, gdp_tot_mes!$B$1:$XFD$1, 0), 0)</f>
        <v>0.43996330276562351</v>
      </c>
      <c r="I106" s="29">
        <f>VLOOKUP($B106, agr_mes!$B:$XFD, MATCH(gdp_agr_share!I$1, agr_mes!$B$1:$XFD$1, 0), 0)/VLOOKUP($B106, gdp_tot_mes!$B:$XFD, MATCH(gdp_agr_share!I$1, gdp_tot_mes!$B$1:$XFD$1, 0), 0)</f>
        <v>0.36656031578067017</v>
      </c>
      <c r="J106" s="29">
        <f>VLOOKUP($B106, agr_mes!$B:$XFD, MATCH(gdp_agr_share!J$1, agr_mes!$B$1:$XFD$1, 0), 0)/VLOOKUP($B106, gdp_tot_mes!$B:$XFD, MATCH(gdp_agr_share!J$1, gdp_tot_mes!$B$1:$XFD$1, 0), 0)</f>
        <v>0.39369713070907703</v>
      </c>
      <c r="K106" s="29">
        <f>VLOOKUP($B106, agr_mes!$B:$XFD, MATCH(gdp_agr_share!K$1, agr_mes!$B$1:$XFD$1, 0), 0)/VLOOKUP($B106, gdp_tot_mes!$B:$XFD, MATCH(gdp_agr_share!K$1, gdp_tot_mes!$B$1:$XFD$1, 0), 0)</f>
        <v>0.3993134774229154</v>
      </c>
      <c r="L106" s="30">
        <f t="shared" si="1"/>
        <v>0.36773968129755763</v>
      </c>
      <c r="M106" s="29">
        <f>VLOOKUP($B106, agr_mes!$B:$XFD, MATCH(gdp_agr_share!M$1, agr_mes!$B$1:$XFD$1, 0), 0)/VLOOKUP($B106, gdp_tot_mes!$B:$XFD, MATCH(gdp_agr_share!M$1, gdp_tot_mes!$B$1:$XFD$1, 0), 0)</f>
        <v>0.32985112594712834</v>
      </c>
      <c r="N106" s="29">
        <f>VLOOKUP($B106, agr_mes!$B:$XFD, MATCH(gdp_agr_share!N$1, agr_mes!$B$1:$XFD$1, 0), 0)/VLOOKUP($B106, gdp_tot_mes!$B:$XFD, MATCH(gdp_agr_share!N$1, gdp_tot_mes!$B$1:$XFD$1, 0), 0)</f>
        <v>0.19347847477036542</v>
      </c>
      <c r="O106" s="29">
        <f>VLOOKUP($B106, agr_mes!$B:$XFD, MATCH(gdp_agr_share!O$1, agr_mes!$B$1:$XFD$1, 0), 0)/VLOOKUP($B106, gdp_tot_mes!$B:$XFD, MATCH(gdp_agr_share!O$1, gdp_tot_mes!$B$1:$XFD$1, 0), 0)</f>
        <v>0.19266592090112905</v>
      </c>
      <c r="P106" s="29">
        <f>VLOOKUP($B106, agr_mes!$B:$XFD, MATCH(gdp_agr_share!P$1, agr_mes!$B$1:$XFD$1, 0), 0)/VLOOKUP($B106, gdp_tot_mes!$B:$XFD, MATCH(gdp_agr_share!P$1, gdp_tot_mes!$B$1:$XFD$1, 0), 0)</f>
        <v>0.22351999293704422</v>
      </c>
      <c r="Q106" s="29">
        <f>VLOOKUP($B106, agr_mes!$B:$XFD, MATCH(gdp_agr_share!Q$1, agr_mes!$B$1:$XFD$1, 0), 0)/VLOOKUP($B106, gdp_tot_mes!$B:$XFD, MATCH(gdp_agr_share!Q$1, gdp_tot_mes!$B$1:$XFD$1, 0), 0)</f>
        <v>0.19985039025523774</v>
      </c>
      <c r="R106" s="29">
        <f>VLOOKUP($B106, agr_mes!$B:$XFD, MATCH(gdp_agr_share!R$1, agr_mes!$B$1:$XFD$1, 0), 0)/VLOOKUP($B106, gdp_tot_mes!$B:$XFD, MATCH(gdp_agr_share!R$1, gdp_tot_mes!$B$1:$XFD$1, 0), 0)</f>
        <v>0.26642753019690135</v>
      </c>
      <c r="S106" s="29">
        <f>VLOOKUP($B106, agr_mes!$B:$XFD, MATCH(gdp_agr_share!S$1, agr_mes!$B$1:$XFD$1, 0), 0)/VLOOKUP($B106, gdp_tot_mes!$B:$XFD, MATCH(gdp_agr_share!S$1, gdp_tot_mes!$B$1:$XFD$1, 0), 0)</f>
        <v>0.20460857111454683</v>
      </c>
      <c r="T106" s="29">
        <f>VLOOKUP($B106, agr_mes!$B:$XFD, MATCH(gdp_agr_share!T$1, agr_mes!$B$1:$XFD$1, 0), 0)/VLOOKUP($B106, gdp_tot_mes!$B:$XFD, MATCH(gdp_agr_share!T$1, gdp_tot_mes!$B$1:$XFD$1, 0), 0)</f>
        <v>0.11834943245410054</v>
      </c>
      <c r="U106" s="29">
        <f>VLOOKUP($B106, agr_mes!$B:$XFD, MATCH(gdp_agr_share!U$1, agr_mes!$B$1:$XFD$1, 0), 0)/VLOOKUP($B106, gdp_tot_mes!$B:$XFD, MATCH(gdp_agr_share!U$1, gdp_tot_mes!$B$1:$XFD$1, 0), 0)</f>
        <v>0.15921156341560846</v>
      </c>
      <c r="V106" s="29">
        <f>VLOOKUP($B106, agr_mes!$B:$XFD, MATCH(gdp_agr_share!V$1, agr_mes!$B$1:$XFD$1, 0), 0)/VLOOKUP($B106, gdp_tot_mes!$B:$XFD, MATCH(gdp_agr_share!V$1, gdp_tot_mes!$B$1:$XFD$1, 0), 0)</f>
        <v>0.18206773079753041</v>
      </c>
      <c r="W106" s="29">
        <f>VLOOKUP($B106, agr_mes!$B:$XFD, MATCH(gdp_agr_share!W$1, agr_mes!$B$1:$XFD$1, 0), 0)/VLOOKUP($B106, gdp_tot_mes!$B:$XFD, MATCH(gdp_agr_share!W$1, gdp_tot_mes!$B$1:$XFD$1, 0), 0)</f>
        <v>0.19056033684289725</v>
      </c>
      <c r="X106" s="29">
        <f>VLOOKUP($B106, agr_mes!$B:$XFD, MATCH(gdp_agr_share!X$1, agr_mes!$B$1:$XFD$1, 0), 0)/VLOOKUP($B106, gdp_tot_mes!$B:$XFD, MATCH(gdp_agr_share!X$1, gdp_tot_mes!$B$1:$XFD$1, 0), 0)</f>
        <v>0.17340379203270478</v>
      </c>
      <c r="Y106" s="29">
        <f>VLOOKUP($B106, agr_mes!$B:$XFD, MATCH(gdp_agr_share!Y$1, agr_mes!$B$1:$XFD$1, 0), 0)/VLOOKUP($B106, gdp_tot_mes!$B:$XFD, MATCH(gdp_agr_share!Y$1, gdp_tot_mes!$B$1:$XFD$1, 0), 0)</f>
        <v>0.1726306568245439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x14ac:dyDescent="0.25">
      <c r="A107" s="1" t="s">
        <v>253</v>
      </c>
      <c r="B107" s="1" t="s">
        <v>256</v>
      </c>
      <c r="C107" s="1" t="s">
        <v>257</v>
      </c>
      <c r="D107" s="29">
        <f>VLOOKUP($B107, agr_mes!$B:$XFD, MATCH(gdp_agr_share!D$1, agr_mes!$B$1:$XFD$1, 0), 0)/VLOOKUP($B107, gdp_tot_mes!$B:$XFD, MATCH(gdp_agr_share!D$1, gdp_tot_mes!$B$1:$XFD$1, 0), 0)</f>
        <v>0.75781148406126331</v>
      </c>
      <c r="E107" s="29">
        <f>VLOOKUP($B107, agr_mes!$B:$XFD, MATCH(gdp_agr_share!E$1, agr_mes!$B$1:$XFD$1, 0), 0)/VLOOKUP($B107, gdp_tot_mes!$B:$XFD, MATCH(gdp_agr_share!E$1, gdp_tot_mes!$B$1:$XFD$1, 0), 0)</f>
        <v>0.44909127526192205</v>
      </c>
      <c r="F107" s="29">
        <f>VLOOKUP($B107, agr_mes!$B:$XFD, MATCH(gdp_agr_share!F$1, agr_mes!$B$1:$XFD$1, 0), 0)/VLOOKUP($B107, gdp_tot_mes!$B:$XFD, MATCH(gdp_agr_share!F$1, gdp_tot_mes!$B$1:$XFD$1, 0), 0)</f>
        <v>0.27972750242780103</v>
      </c>
      <c r="G107" s="29">
        <f>VLOOKUP($B107, agr_mes!$B:$XFD, MATCH(gdp_agr_share!G$1, agr_mes!$B$1:$XFD$1, 0), 0)/VLOOKUP($B107, gdp_tot_mes!$B:$XFD, MATCH(gdp_agr_share!G$1, gdp_tot_mes!$B$1:$XFD$1, 0), 0)</f>
        <v>0.1806087051561984</v>
      </c>
      <c r="H107" s="29">
        <f>VLOOKUP($B107, agr_mes!$B:$XFD, MATCH(gdp_agr_share!H$1, agr_mes!$B$1:$XFD$1, 0), 0)/VLOOKUP($B107, gdp_tot_mes!$B:$XFD, MATCH(gdp_agr_share!H$1, gdp_tot_mes!$B$1:$XFD$1, 0), 0)</f>
        <v>0.22505423013168996</v>
      </c>
      <c r="I107" s="29">
        <f>VLOOKUP($B107, agr_mes!$B:$XFD, MATCH(gdp_agr_share!I$1, agr_mes!$B$1:$XFD$1, 0), 0)/VLOOKUP($B107, gdp_tot_mes!$B:$XFD, MATCH(gdp_agr_share!I$1, gdp_tot_mes!$B$1:$XFD$1, 0), 0)</f>
        <v>0.16112741787127785</v>
      </c>
      <c r="J107" s="29">
        <f>VLOOKUP($B107, agr_mes!$B:$XFD, MATCH(gdp_agr_share!J$1, agr_mes!$B$1:$XFD$1, 0), 0)/VLOOKUP($B107, gdp_tot_mes!$B:$XFD, MATCH(gdp_agr_share!J$1, gdp_tot_mes!$B$1:$XFD$1, 0), 0)</f>
        <v>0.15025595667527594</v>
      </c>
      <c r="K107" s="29">
        <f>VLOOKUP($B107, agr_mes!$B:$XFD, MATCH(gdp_agr_share!K$1, agr_mes!$B$1:$XFD$1, 0), 0)/VLOOKUP($B107, gdp_tot_mes!$B:$XFD, MATCH(gdp_agr_share!K$1, gdp_tot_mes!$B$1:$XFD$1, 0), 0)</f>
        <v>0.11946527246757871</v>
      </c>
      <c r="L107" s="30">
        <f t="shared" si="1"/>
        <v>0.12788134384025662</v>
      </c>
      <c r="M107" s="29">
        <f>VLOOKUP($B107, agr_mes!$B:$XFD, MATCH(gdp_agr_share!M$1, agr_mes!$B$1:$XFD$1, 0), 0)/VLOOKUP($B107, gdp_tot_mes!$B:$XFD, MATCH(gdp_agr_share!M$1, gdp_tot_mes!$B$1:$XFD$1, 0), 0)</f>
        <v>0.13798062948747011</v>
      </c>
      <c r="N107" s="29">
        <f>VLOOKUP($B107, agr_mes!$B:$XFD, MATCH(gdp_agr_share!N$1, agr_mes!$B$1:$XFD$1, 0), 0)/VLOOKUP($B107, gdp_tot_mes!$B:$XFD, MATCH(gdp_agr_share!N$1, gdp_tot_mes!$B$1:$XFD$1, 0), 0)</f>
        <v>7.6720532044567483E-2</v>
      </c>
      <c r="O107" s="29">
        <f>VLOOKUP($B107, agr_mes!$B:$XFD, MATCH(gdp_agr_share!O$1, agr_mes!$B$1:$XFD$1, 0), 0)/VLOOKUP($B107, gdp_tot_mes!$B:$XFD, MATCH(gdp_agr_share!O$1, gdp_tot_mes!$B$1:$XFD$1, 0), 0)</f>
        <v>7.5231905549980937E-2</v>
      </c>
      <c r="P107" s="29">
        <f>VLOOKUP($B107, agr_mes!$B:$XFD, MATCH(gdp_agr_share!P$1, agr_mes!$B$1:$XFD$1, 0), 0)/VLOOKUP($B107, gdp_tot_mes!$B:$XFD, MATCH(gdp_agr_share!P$1, gdp_tot_mes!$B$1:$XFD$1, 0), 0)</f>
        <v>9.463258812914703E-2</v>
      </c>
      <c r="Q107" s="29">
        <f>VLOOKUP($B107, agr_mes!$B:$XFD, MATCH(gdp_agr_share!Q$1, agr_mes!$B$1:$XFD$1, 0), 0)/VLOOKUP($B107, gdp_tot_mes!$B:$XFD, MATCH(gdp_agr_share!Q$1, gdp_tot_mes!$B$1:$XFD$1, 0), 0)</f>
        <v>9.6181716767931386E-2</v>
      </c>
      <c r="R107" s="29">
        <f>VLOOKUP($B107, agr_mes!$B:$XFD, MATCH(gdp_agr_share!R$1, agr_mes!$B$1:$XFD$1, 0), 0)/VLOOKUP($B107, gdp_tot_mes!$B:$XFD, MATCH(gdp_agr_share!R$1, gdp_tot_mes!$B$1:$XFD$1, 0), 0)</f>
        <v>0.10578013592439987</v>
      </c>
      <c r="S107" s="29">
        <f>VLOOKUP($B107, agr_mes!$B:$XFD, MATCH(gdp_agr_share!S$1, agr_mes!$B$1:$XFD$1, 0), 0)/VLOOKUP($B107, gdp_tot_mes!$B:$XFD, MATCH(gdp_agr_share!S$1, gdp_tot_mes!$B$1:$XFD$1, 0), 0)</f>
        <v>8.9833768161614355E-2</v>
      </c>
      <c r="T107" s="29">
        <f>VLOOKUP($B107, agr_mes!$B:$XFD, MATCH(gdp_agr_share!T$1, agr_mes!$B$1:$XFD$1, 0), 0)/VLOOKUP($B107, gdp_tot_mes!$B:$XFD, MATCH(gdp_agr_share!T$1, gdp_tot_mes!$B$1:$XFD$1, 0), 0)</f>
        <v>6.4316231258940607E-2</v>
      </c>
      <c r="U107" s="29">
        <f>VLOOKUP($B107, agr_mes!$B:$XFD, MATCH(gdp_agr_share!U$1, agr_mes!$B$1:$XFD$1, 0), 0)/VLOOKUP($B107, gdp_tot_mes!$B:$XFD, MATCH(gdp_agr_share!U$1, gdp_tot_mes!$B$1:$XFD$1, 0), 0)</f>
        <v>7.7381523444415456E-2</v>
      </c>
      <c r="V107" s="29">
        <f>VLOOKUP($B107, agr_mes!$B:$XFD, MATCH(gdp_agr_share!V$1, agr_mes!$B$1:$XFD$1, 0), 0)/VLOOKUP($B107, gdp_tot_mes!$B:$XFD, MATCH(gdp_agr_share!V$1, gdp_tot_mes!$B$1:$XFD$1, 0), 0)</f>
        <v>7.4314303100622925E-2</v>
      </c>
      <c r="W107" s="29">
        <f>VLOOKUP($B107, agr_mes!$B:$XFD, MATCH(gdp_agr_share!W$1, agr_mes!$B$1:$XFD$1, 0), 0)/VLOOKUP($B107, gdp_tot_mes!$B:$XFD, MATCH(gdp_agr_share!W$1, gdp_tot_mes!$B$1:$XFD$1, 0), 0)</f>
        <v>7.7012547706704224E-2</v>
      </c>
      <c r="X107" s="29">
        <f>VLOOKUP($B107, agr_mes!$B:$XFD, MATCH(gdp_agr_share!X$1, agr_mes!$B$1:$XFD$1, 0), 0)/VLOOKUP($B107, gdp_tot_mes!$B:$XFD, MATCH(gdp_agr_share!X$1, gdp_tot_mes!$B$1:$XFD$1, 0), 0)</f>
        <v>6.7364243532926651E-2</v>
      </c>
      <c r="Y107" s="29">
        <f>VLOOKUP($B107, agr_mes!$B:$XFD, MATCH(gdp_agr_share!Y$1, agr_mes!$B$1:$XFD$1, 0), 0)/VLOOKUP($B107, gdp_tot_mes!$B:$XFD, MATCH(gdp_agr_share!Y$1, gdp_tot_mes!$B$1:$XFD$1, 0), 0)</f>
        <v>6.2954523282815492E-2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x14ac:dyDescent="0.25">
      <c r="A108" s="1" t="s">
        <v>253</v>
      </c>
      <c r="B108" s="1" t="s">
        <v>258</v>
      </c>
      <c r="C108" s="1" t="s">
        <v>259</v>
      </c>
      <c r="D108" s="29">
        <f>VLOOKUP($B108, agr_mes!$B:$XFD, MATCH(gdp_agr_share!D$1, agr_mes!$B$1:$XFD$1, 0), 0)/VLOOKUP($B108, gdp_tot_mes!$B:$XFD, MATCH(gdp_agr_share!D$1, gdp_tot_mes!$B$1:$XFD$1, 0), 0)</f>
        <v>0.5622293980171329</v>
      </c>
      <c r="E108" s="29">
        <f>VLOOKUP($B108, agr_mes!$B:$XFD, MATCH(gdp_agr_share!E$1, agr_mes!$B$1:$XFD$1, 0), 0)/VLOOKUP($B108, gdp_tot_mes!$B:$XFD, MATCH(gdp_agr_share!E$1, gdp_tot_mes!$B$1:$XFD$1, 0), 0)</f>
        <v>0.38986138603454001</v>
      </c>
      <c r="F108" s="29">
        <f>VLOOKUP($B108, agr_mes!$B:$XFD, MATCH(gdp_agr_share!F$1, agr_mes!$B$1:$XFD$1, 0), 0)/VLOOKUP($B108, gdp_tot_mes!$B:$XFD, MATCH(gdp_agr_share!F$1, gdp_tot_mes!$B$1:$XFD$1, 0), 0)</f>
        <v>0.41686856210186118</v>
      </c>
      <c r="G108" s="29">
        <f>VLOOKUP($B108, agr_mes!$B:$XFD, MATCH(gdp_agr_share!G$1, agr_mes!$B$1:$XFD$1, 0), 0)/VLOOKUP($B108, gdp_tot_mes!$B:$XFD, MATCH(gdp_agr_share!G$1, gdp_tot_mes!$B$1:$XFD$1, 0), 0)</f>
        <v>0.38316113170964644</v>
      </c>
      <c r="H108" s="29">
        <f>VLOOKUP($B108, agr_mes!$B:$XFD, MATCH(gdp_agr_share!H$1, agr_mes!$B$1:$XFD$1, 0), 0)/VLOOKUP($B108, gdp_tot_mes!$B:$XFD, MATCH(gdp_agr_share!H$1, gdp_tot_mes!$B$1:$XFD$1, 0), 0)</f>
        <v>0.32093105693013524</v>
      </c>
      <c r="I108" s="29">
        <f>VLOOKUP($B108, agr_mes!$B:$XFD, MATCH(gdp_agr_share!I$1, agr_mes!$B$1:$XFD$1, 0), 0)/VLOOKUP($B108, gdp_tot_mes!$B:$XFD, MATCH(gdp_agr_share!I$1, gdp_tot_mes!$B$1:$XFD$1, 0), 0)</f>
        <v>0.32713534873311501</v>
      </c>
      <c r="J108" s="29">
        <f>VLOOKUP($B108, agr_mes!$B:$XFD, MATCH(gdp_agr_share!J$1, agr_mes!$B$1:$XFD$1, 0), 0)/VLOOKUP($B108, gdp_tot_mes!$B:$XFD, MATCH(gdp_agr_share!J$1, gdp_tot_mes!$B$1:$XFD$1, 0), 0)</f>
        <v>0.32109912605770474</v>
      </c>
      <c r="K108" s="29">
        <f>VLOOKUP($B108, agr_mes!$B:$XFD, MATCH(gdp_agr_share!K$1, agr_mes!$B$1:$XFD$1, 0), 0)/VLOOKUP($B108, gdp_tot_mes!$B:$XFD, MATCH(gdp_agr_share!K$1, gdp_tot_mes!$B$1:$XFD$1, 0), 0)</f>
        <v>0.29767108431388256</v>
      </c>
      <c r="L108" s="30">
        <f t="shared" si="1"/>
        <v>0.27282753554735611</v>
      </c>
      <c r="M108" s="29">
        <f>VLOOKUP($B108, agr_mes!$B:$XFD, MATCH(gdp_agr_share!M$1, agr_mes!$B$1:$XFD$1, 0), 0)/VLOOKUP($B108, gdp_tot_mes!$B:$XFD, MATCH(gdp_agr_share!M$1, gdp_tot_mes!$B$1:$XFD$1, 0), 0)</f>
        <v>0.2430152770275244</v>
      </c>
      <c r="N108" s="29">
        <f>VLOOKUP($B108, agr_mes!$B:$XFD, MATCH(gdp_agr_share!N$1, agr_mes!$B$1:$XFD$1, 0), 0)/VLOOKUP($B108, gdp_tot_mes!$B:$XFD, MATCH(gdp_agr_share!N$1, gdp_tot_mes!$B$1:$XFD$1, 0), 0)</f>
        <v>0.16994595740737864</v>
      </c>
      <c r="O108" s="29">
        <f>VLOOKUP($B108, agr_mes!$B:$XFD, MATCH(gdp_agr_share!O$1, agr_mes!$B$1:$XFD$1, 0), 0)/VLOOKUP($B108, gdp_tot_mes!$B:$XFD, MATCH(gdp_agr_share!O$1, gdp_tot_mes!$B$1:$XFD$1, 0), 0)</f>
        <v>0.15798758102529115</v>
      </c>
      <c r="P108" s="29">
        <f>VLOOKUP($B108, agr_mes!$B:$XFD, MATCH(gdp_agr_share!P$1, agr_mes!$B$1:$XFD$1, 0), 0)/VLOOKUP($B108, gdp_tot_mes!$B:$XFD, MATCH(gdp_agr_share!P$1, gdp_tot_mes!$B$1:$XFD$1, 0), 0)</f>
        <v>0.18792849434534442</v>
      </c>
      <c r="Q108" s="29">
        <f>VLOOKUP($B108, agr_mes!$B:$XFD, MATCH(gdp_agr_share!Q$1, agr_mes!$B$1:$XFD$1, 0), 0)/VLOOKUP($B108, gdp_tot_mes!$B:$XFD, MATCH(gdp_agr_share!Q$1, gdp_tot_mes!$B$1:$XFD$1, 0), 0)</f>
        <v>0.17429584475936843</v>
      </c>
      <c r="R108" s="29">
        <f>VLOOKUP($B108, agr_mes!$B:$XFD, MATCH(gdp_agr_share!R$1, agr_mes!$B$1:$XFD$1, 0), 0)/VLOOKUP($B108, gdp_tot_mes!$B:$XFD, MATCH(gdp_agr_share!R$1, gdp_tot_mes!$B$1:$XFD$1, 0), 0)</f>
        <v>0.2310645283753574</v>
      </c>
      <c r="S108" s="29">
        <f>VLOOKUP($B108, agr_mes!$B:$XFD, MATCH(gdp_agr_share!S$1, agr_mes!$B$1:$XFD$1, 0), 0)/VLOOKUP($B108, gdp_tot_mes!$B:$XFD, MATCH(gdp_agr_share!S$1, gdp_tot_mes!$B$1:$XFD$1, 0), 0)</f>
        <v>0.19476707131783194</v>
      </c>
      <c r="T108" s="29">
        <f>VLOOKUP($B108, agr_mes!$B:$XFD, MATCH(gdp_agr_share!T$1, agr_mes!$B$1:$XFD$1, 0), 0)/VLOOKUP($B108, gdp_tot_mes!$B:$XFD, MATCH(gdp_agr_share!T$1, gdp_tot_mes!$B$1:$XFD$1, 0), 0)</f>
        <v>0.11281389233650076</v>
      </c>
      <c r="U108" s="29">
        <f>VLOOKUP($B108, agr_mes!$B:$XFD, MATCH(gdp_agr_share!U$1, agr_mes!$B$1:$XFD$1, 0), 0)/VLOOKUP($B108, gdp_tot_mes!$B:$XFD, MATCH(gdp_agr_share!U$1, gdp_tot_mes!$B$1:$XFD$1, 0), 0)</f>
        <v>0.13993690356880439</v>
      </c>
      <c r="V108" s="29">
        <f>VLOOKUP($B108, agr_mes!$B:$XFD, MATCH(gdp_agr_share!V$1, agr_mes!$B$1:$XFD$1, 0), 0)/VLOOKUP($B108, gdp_tot_mes!$B:$XFD, MATCH(gdp_agr_share!V$1, gdp_tot_mes!$B$1:$XFD$1, 0), 0)</f>
        <v>0.15518109369333694</v>
      </c>
      <c r="W108" s="29">
        <f>VLOOKUP($B108, agr_mes!$B:$XFD, MATCH(gdp_agr_share!W$1, agr_mes!$B$1:$XFD$1, 0), 0)/VLOOKUP($B108, gdp_tot_mes!$B:$XFD, MATCH(gdp_agr_share!W$1, gdp_tot_mes!$B$1:$XFD$1, 0), 0)</f>
        <v>0.18057070379949391</v>
      </c>
      <c r="X108" s="29">
        <f>VLOOKUP($B108, agr_mes!$B:$XFD, MATCH(gdp_agr_share!X$1, agr_mes!$B$1:$XFD$1, 0), 0)/VLOOKUP($B108, gdp_tot_mes!$B:$XFD, MATCH(gdp_agr_share!X$1, gdp_tot_mes!$B$1:$XFD$1, 0), 0)</f>
        <v>0.16630000440105092</v>
      </c>
      <c r="Y108" s="29">
        <f>VLOOKUP($B108, agr_mes!$B:$XFD, MATCH(gdp_agr_share!Y$1, agr_mes!$B$1:$XFD$1, 0), 0)/VLOOKUP($B108, gdp_tot_mes!$B:$XFD, MATCH(gdp_agr_share!Y$1, gdp_tot_mes!$B$1:$XFD$1, 0), 0)</f>
        <v>0.14620250717463865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x14ac:dyDescent="0.25">
      <c r="A109" s="1" t="s">
        <v>253</v>
      </c>
      <c r="B109" s="1" t="s">
        <v>260</v>
      </c>
      <c r="C109" s="1" t="s">
        <v>261</v>
      </c>
      <c r="D109" s="29">
        <f>VLOOKUP($B109, agr_mes!$B:$XFD, MATCH(gdp_agr_share!D$1, agr_mes!$B$1:$XFD$1, 0), 0)/VLOOKUP($B109, gdp_tot_mes!$B:$XFD, MATCH(gdp_agr_share!D$1, gdp_tot_mes!$B$1:$XFD$1, 0), 0)</f>
        <v>0.78506085811957449</v>
      </c>
      <c r="E109" s="29">
        <f>VLOOKUP($B109, agr_mes!$B:$XFD, MATCH(gdp_agr_share!E$1, agr_mes!$B$1:$XFD$1, 0), 0)/VLOOKUP($B109, gdp_tot_mes!$B:$XFD, MATCH(gdp_agr_share!E$1, gdp_tot_mes!$B$1:$XFD$1, 0), 0)</f>
        <v>0.57759204554040511</v>
      </c>
      <c r="F109" s="29">
        <f>VLOOKUP($B109, agr_mes!$B:$XFD, MATCH(gdp_agr_share!F$1, agr_mes!$B$1:$XFD$1, 0), 0)/VLOOKUP($B109, gdp_tot_mes!$B:$XFD, MATCH(gdp_agr_share!F$1, gdp_tot_mes!$B$1:$XFD$1, 0), 0)</f>
        <v>0.46122902175932434</v>
      </c>
      <c r="G109" s="29">
        <f>VLOOKUP($B109, agr_mes!$B:$XFD, MATCH(gdp_agr_share!G$1, agr_mes!$B$1:$XFD$1, 0), 0)/VLOOKUP($B109, gdp_tot_mes!$B:$XFD, MATCH(gdp_agr_share!G$1, gdp_tot_mes!$B$1:$XFD$1, 0), 0)</f>
        <v>0.44109484309758995</v>
      </c>
      <c r="H109" s="29">
        <f>VLOOKUP($B109, agr_mes!$B:$XFD, MATCH(gdp_agr_share!H$1, agr_mes!$B$1:$XFD$1, 0), 0)/VLOOKUP($B109, gdp_tot_mes!$B:$XFD, MATCH(gdp_agr_share!H$1, gdp_tot_mes!$B$1:$XFD$1, 0), 0)</f>
        <v>0.42515710550428748</v>
      </c>
      <c r="I109" s="29">
        <f>VLOOKUP($B109, agr_mes!$B:$XFD, MATCH(gdp_agr_share!I$1, agr_mes!$B$1:$XFD$1, 0), 0)/VLOOKUP($B109, gdp_tot_mes!$B:$XFD, MATCH(gdp_agr_share!I$1, gdp_tot_mes!$B$1:$XFD$1, 0), 0)</f>
        <v>0.29077632132571551</v>
      </c>
      <c r="J109" s="29">
        <f>VLOOKUP($B109, agr_mes!$B:$XFD, MATCH(gdp_agr_share!J$1, agr_mes!$B$1:$XFD$1, 0), 0)/VLOOKUP($B109, gdp_tot_mes!$B:$XFD, MATCH(gdp_agr_share!J$1, gdp_tot_mes!$B$1:$XFD$1, 0), 0)</f>
        <v>0.26147102713392323</v>
      </c>
      <c r="K109" s="29">
        <f>VLOOKUP($B109, agr_mes!$B:$XFD, MATCH(gdp_agr_share!K$1, agr_mes!$B$1:$XFD$1, 0), 0)/VLOOKUP($B109, gdp_tot_mes!$B:$XFD, MATCH(gdp_agr_share!K$1, gdp_tot_mes!$B$1:$XFD$1, 0), 0)</f>
        <v>0.21659783937122962</v>
      </c>
      <c r="L109" s="30">
        <f t="shared" si="1"/>
        <v>0.22236820896221757</v>
      </c>
      <c r="M109" s="29">
        <f>VLOOKUP($B109, agr_mes!$B:$XFD, MATCH(gdp_agr_share!M$1, agr_mes!$B$1:$XFD$1, 0), 0)/VLOOKUP($B109, gdp_tot_mes!$B:$XFD, MATCH(gdp_agr_share!M$1, gdp_tot_mes!$B$1:$XFD$1, 0), 0)</f>
        <v>0.22929265247140312</v>
      </c>
      <c r="N109" s="29">
        <f>VLOOKUP($B109, agr_mes!$B:$XFD, MATCH(gdp_agr_share!N$1, agr_mes!$B$1:$XFD$1, 0), 0)/VLOOKUP($B109, gdp_tot_mes!$B:$XFD, MATCH(gdp_agr_share!N$1, gdp_tot_mes!$B$1:$XFD$1, 0), 0)</f>
        <v>0.11675792789790859</v>
      </c>
      <c r="O109" s="29">
        <f>VLOOKUP($B109, agr_mes!$B:$XFD, MATCH(gdp_agr_share!O$1, agr_mes!$B$1:$XFD$1, 0), 0)/VLOOKUP($B109, gdp_tot_mes!$B:$XFD, MATCH(gdp_agr_share!O$1, gdp_tot_mes!$B$1:$XFD$1, 0), 0)</f>
        <v>0.11622519823373779</v>
      </c>
      <c r="P109" s="29">
        <f>VLOOKUP($B109, agr_mes!$B:$XFD, MATCH(gdp_agr_share!P$1, agr_mes!$B$1:$XFD$1, 0), 0)/VLOOKUP($B109, gdp_tot_mes!$B:$XFD, MATCH(gdp_agr_share!P$1, gdp_tot_mes!$B$1:$XFD$1, 0), 0)</f>
        <v>0.14298905304158768</v>
      </c>
      <c r="Q109" s="29">
        <f>VLOOKUP($B109, agr_mes!$B:$XFD, MATCH(gdp_agr_share!Q$1, agr_mes!$B$1:$XFD$1, 0), 0)/VLOOKUP($B109, gdp_tot_mes!$B:$XFD, MATCH(gdp_agr_share!Q$1, gdp_tot_mes!$B$1:$XFD$1, 0), 0)</f>
        <v>0.13824057351550817</v>
      </c>
      <c r="R109" s="29">
        <f>VLOOKUP($B109, agr_mes!$B:$XFD, MATCH(gdp_agr_share!R$1, agr_mes!$B$1:$XFD$1, 0), 0)/VLOOKUP($B109, gdp_tot_mes!$B:$XFD, MATCH(gdp_agr_share!R$1, gdp_tot_mes!$B$1:$XFD$1, 0), 0)</f>
        <v>0.15246258683575561</v>
      </c>
      <c r="S109" s="29">
        <f>VLOOKUP($B109, agr_mes!$B:$XFD, MATCH(gdp_agr_share!S$1, agr_mes!$B$1:$XFD$1, 0), 0)/VLOOKUP($B109, gdp_tot_mes!$B:$XFD, MATCH(gdp_agr_share!S$1, gdp_tot_mes!$B$1:$XFD$1, 0), 0)</f>
        <v>0.13640944708877623</v>
      </c>
      <c r="T109" s="29">
        <f>VLOOKUP($B109, agr_mes!$B:$XFD, MATCH(gdp_agr_share!T$1, agr_mes!$B$1:$XFD$1, 0), 0)/VLOOKUP($B109, gdp_tot_mes!$B:$XFD, MATCH(gdp_agr_share!T$1, gdp_tot_mes!$B$1:$XFD$1, 0), 0)</f>
        <v>0.10137865660673952</v>
      </c>
      <c r="U109" s="29">
        <f>VLOOKUP($B109, agr_mes!$B:$XFD, MATCH(gdp_agr_share!U$1, agr_mes!$B$1:$XFD$1, 0), 0)/VLOOKUP($B109, gdp_tot_mes!$B:$XFD, MATCH(gdp_agr_share!U$1, gdp_tot_mes!$B$1:$XFD$1, 0), 0)</f>
        <v>0.11199002452069688</v>
      </c>
      <c r="V109" s="29">
        <f>VLOOKUP($B109, agr_mes!$B:$XFD, MATCH(gdp_agr_share!V$1, agr_mes!$B$1:$XFD$1, 0), 0)/VLOOKUP($B109, gdp_tot_mes!$B:$XFD, MATCH(gdp_agr_share!V$1, gdp_tot_mes!$B$1:$XFD$1, 0), 0)</f>
        <v>0.11894272005280034</v>
      </c>
      <c r="W109" s="29">
        <f>VLOOKUP($B109, agr_mes!$B:$XFD, MATCH(gdp_agr_share!W$1, agr_mes!$B$1:$XFD$1, 0), 0)/VLOOKUP($B109, gdp_tot_mes!$B:$XFD, MATCH(gdp_agr_share!W$1, gdp_tot_mes!$B$1:$XFD$1, 0), 0)</f>
        <v>0.12035838459484806</v>
      </c>
      <c r="X109" s="29">
        <f>VLOOKUP($B109, agr_mes!$B:$XFD, MATCH(gdp_agr_share!X$1, agr_mes!$B$1:$XFD$1, 0), 0)/VLOOKUP($B109, gdp_tot_mes!$B:$XFD, MATCH(gdp_agr_share!X$1, gdp_tot_mes!$B$1:$XFD$1, 0), 0)</f>
        <v>0.10015274359380112</v>
      </c>
      <c r="Y109" s="29">
        <f>VLOOKUP($B109, agr_mes!$B:$XFD, MATCH(gdp_agr_share!Y$1, agr_mes!$B$1:$XFD$1, 0), 0)/VLOOKUP($B109, gdp_tot_mes!$B:$XFD, MATCH(gdp_agr_share!Y$1, gdp_tot_mes!$B$1:$XFD$1, 0), 0)</f>
        <v>9.8928557638627748E-2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x14ac:dyDescent="0.25">
      <c r="A110" s="1" t="s">
        <v>253</v>
      </c>
      <c r="B110" s="1" t="s">
        <v>262</v>
      </c>
      <c r="C110" s="1" t="s">
        <v>263</v>
      </c>
      <c r="D110" s="29">
        <f>VLOOKUP($B110, agr_mes!$B:$XFD, MATCH(gdp_agr_share!D$1, agr_mes!$B$1:$XFD$1, 0), 0)/VLOOKUP($B110, gdp_tot_mes!$B:$XFD, MATCH(gdp_agr_share!D$1, gdp_tot_mes!$B$1:$XFD$1, 0), 0)</f>
        <v>0.4253439143136048</v>
      </c>
      <c r="E110" s="29">
        <f>VLOOKUP($B110, agr_mes!$B:$XFD, MATCH(gdp_agr_share!E$1, agr_mes!$B$1:$XFD$1, 0), 0)/VLOOKUP($B110, gdp_tot_mes!$B:$XFD, MATCH(gdp_agr_share!E$1, gdp_tot_mes!$B$1:$XFD$1, 0), 0)</f>
        <v>0.18756911597079048</v>
      </c>
      <c r="F110" s="29">
        <f>VLOOKUP($B110, agr_mes!$B:$XFD, MATCH(gdp_agr_share!F$1, agr_mes!$B$1:$XFD$1, 0), 0)/VLOOKUP($B110, gdp_tot_mes!$B:$XFD, MATCH(gdp_agr_share!F$1, gdp_tot_mes!$B$1:$XFD$1, 0), 0)</f>
        <v>0.13330644868063779</v>
      </c>
      <c r="G110" s="29">
        <f>VLOOKUP($B110, agr_mes!$B:$XFD, MATCH(gdp_agr_share!G$1, agr_mes!$B$1:$XFD$1, 0), 0)/VLOOKUP($B110, gdp_tot_mes!$B:$XFD, MATCH(gdp_agr_share!G$1, gdp_tot_mes!$B$1:$XFD$1, 0), 0)</f>
        <v>7.5184058524578892E-2</v>
      </c>
      <c r="H110" s="29">
        <f>VLOOKUP($B110, agr_mes!$B:$XFD, MATCH(gdp_agr_share!H$1, agr_mes!$B$1:$XFD$1, 0), 0)/VLOOKUP($B110, gdp_tot_mes!$B:$XFD, MATCH(gdp_agr_share!H$1, gdp_tot_mes!$B$1:$XFD$1, 0), 0)</f>
        <v>4.8327827959996815E-2</v>
      </c>
      <c r="I110" s="29">
        <f>VLOOKUP($B110, agr_mes!$B:$XFD, MATCH(gdp_agr_share!I$1, agr_mes!$B$1:$XFD$1, 0), 0)/VLOOKUP($B110, gdp_tot_mes!$B:$XFD, MATCH(gdp_agr_share!I$1, gdp_tot_mes!$B$1:$XFD$1, 0), 0)</f>
        <v>4.2022734799534361E-2</v>
      </c>
      <c r="J110" s="29">
        <f>VLOOKUP($B110, agr_mes!$B:$XFD, MATCH(gdp_agr_share!J$1, agr_mes!$B$1:$XFD$1, 0), 0)/VLOOKUP($B110, gdp_tot_mes!$B:$XFD, MATCH(gdp_agr_share!J$1, gdp_tot_mes!$B$1:$XFD$1, 0), 0)</f>
        <v>3.6686170762103842E-2</v>
      </c>
      <c r="K110" s="29">
        <f>VLOOKUP($B110, agr_mes!$B:$XFD, MATCH(gdp_agr_share!K$1, agr_mes!$B$1:$XFD$1, 0), 0)/VLOOKUP($B110, gdp_tot_mes!$B:$XFD, MATCH(gdp_agr_share!K$1, gdp_tot_mes!$B$1:$XFD$1, 0), 0)</f>
        <v>3.5754726174006095E-2</v>
      </c>
      <c r="L110" s="30">
        <f t="shared" si="1"/>
        <v>3.0738896927464281E-2</v>
      </c>
      <c r="M110" s="29">
        <f>VLOOKUP($B110, agr_mes!$B:$XFD, MATCH(gdp_agr_share!M$1, agr_mes!$B$1:$XFD$1, 0), 0)/VLOOKUP($B110, gdp_tot_mes!$B:$XFD, MATCH(gdp_agr_share!M$1, gdp_tot_mes!$B$1:$XFD$1, 0), 0)</f>
        <v>2.4719901831614103E-2</v>
      </c>
      <c r="N110" s="29">
        <f>VLOOKUP($B110, agr_mes!$B:$XFD, MATCH(gdp_agr_share!N$1, agr_mes!$B$1:$XFD$1, 0), 0)/VLOOKUP($B110, gdp_tot_mes!$B:$XFD, MATCH(gdp_agr_share!N$1, gdp_tot_mes!$B$1:$XFD$1, 0), 0)</f>
        <v>1.6557280513423676E-2</v>
      </c>
      <c r="O110" s="29">
        <f>VLOOKUP($B110, agr_mes!$B:$XFD, MATCH(gdp_agr_share!O$1, agr_mes!$B$1:$XFD$1, 0), 0)/VLOOKUP($B110, gdp_tot_mes!$B:$XFD, MATCH(gdp_agr_share!O$1, gdp_tot_mes!$B$1:$XFD$1, 0), 0)</f>
        <v>1.5405430804837328E-2</v>
      </c>
      <c r="P110" s="29">
        <f>VLOOKUP($B110, agr_mes!$B:$XFD, MATCH(gdp_agr_share!P$1, agr_mes!$B$1:$XFD$1, 0), 0)/VLOOKUP($B110, gdp_tot_mes!$B:$XFD, MATCH(gdp_agr_share!P$1, gdp_tot_mes!$B$1:$XFD$1, 0), 0)</f>
        <v>1.8203200799591947E-2</v>
      </c>
      <c r="Q110" s="29">
        <f>VLOOKUP($B110, agr_mes!$B:$XFD, MATCH(gdp_agr_share!Q$1, agr_mes!$B$1:$XFD$1, 0), 0)/VLOOKUP($B110, gdp_tot_mes!$B:$XFD, MATCH(gdp_agr_share!Q$1, gdp_tot_mes!$B$1:$XFD$1, 0), 0)</f>
        <v>2.2435323929151339E-2</v>
      </c>
      <c r="R110" s="29">
        <f>VLOOKUP($B110, agr_mes!$B:$XFD, MATCH(gdp_agr_share!R$1, agr_mes!$B$1:$XFD$1, 0), 0)/VLOOKUP($B110, gdp_tot_mes!$B:$XFD, MATCH(gdp_agr_share!R$1, gdp_tot_mes!$B$1:$XFD$1, 0), 0)</f>
        <v>2.4359604456241597E-2</v>
      </c>
      <c r="S110" s="29">
        <f>VLOOKUP($B110, agr_mes!$B:$XFD, MATCH(gdp_agr_share!S$1, agr_mes!$B$1:$XFD$1, 0), 0)/VLOOKUP($B110, gdp_tot_mes!$B:$XFD, MATCH(gdp_agr_share!S$1, gdp_tot_mes!$B$1:$XFD$1, 0), 0)</f>
        <v>2.4918795212821965E-2</v>
      </c>
      <c r="T110" s="29">
        <f>VLOOKUP($B110, agr_mes!$B:$XFD, MATCH(gdp_agr_share!T$1, agr_mes!$B$1:$XFD$1, 0), 0)/VLOOKUP($B110, gdp_tot_mes!$B:$XFD, MATCH(gdp_agr_share!T$1, gdp_tot_mes!$B$1:$XFD$1, 0), 0)</f>
        <v>1.5331320910656813E-2</v>
      </c>
      <c r="U110" s="29">
        <f>VLOOKUP($B110, agr_mes!$B:$XFD, MATCH(gdp_agr_share!U$1, agr_mes!$B$1:$XFD$1, 0), 0)/VLOOKUP($B110, gdp_tot_mes!$B:$XFD, MATCH(gdp_agr_share!U$1, gdp_tot_mes!$B$1:$XFD$1, 0), 0)</f>
        <v>1.6084715193901113E-2</v>
      </c>
      <c r="V110" s="29">
        <f>VLOOKUP($B110, agr_mes!$B:$XFD, MATCH(gdp_agr_share!V$1, agr_mes!$B$1:$XFD$1, 0), 0)/VLOOKUP($B110, gdp_tot_mes!$B:$XFD, MATCH(gdp_agr_share!V$1, gdp_tot_mes!$B$1:$XFD$1, 0), 0)</f>
        <v>1.5387121745890291E-2</v>
      </c>
      <c r="W110" s="29">
        <f>VLOOKUP($B110, agr_mes!$B:$XFD, MATCH(gdp_agr_share!W$1, agr_mes!$B$1:$XFD$1, 0), 0)/VLOOKUP($B110, gdp_tot_mes!$B:$XFD, MATCH(gdp_agr_share!W$1, gdp_tot_mes!$B$1:$XFD$1, 0), 0)</f>
        <v>1.6355669938883679E-2</v>
      </c>
      <c r="X110" s="29">
        <f>VLOOKUP($B110, agr_mes!$B:$XFD, MATCH(gdp_agr_share!X$1, agr_mes!$B$1:$XFD$1, 0), 0)/VLOOKUP($B110, gdp_tot_mes!$B:$XFD, MATCH(gdp_agr_share!X$1, gdp_tot_mes!$B$1:$XFD$1, 0), 0)</f>
        <v>1.5491544765584724E-2</v>
      </c>
      <c r="Y110" s="29">
        <f>VLOOKUP($B110, agr_mes!$B:$XFD, MATCH(gdp_agr_share!Y$1, agr_mes!$B$1:$XFD$1, 0), 0)/VLOOKUP($B110, gdp_tot_mes!$B:$XFD, MATCH(gdp_agr_share!Y$1, gdp_tot_mes!$B$1:$XFD$1, 0), 0)</f>
        <v>1.4238413586964959E-2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x14ac:dyDescent="0.25">
      <c r="A111" s="1" t="s">
        <v>253</v>
      </c>
      <c r="B111" s="1" t="s">
        <v>264</v>
      </c>
      <c r="C111" s="1" t="s">
        <v>265</v>
      </c>
      <c r="D111" s="29">
        <f>VLOOKUP($B111, agr_mes!$B:$XFD, MATCH(gdp_agr_share!D$1, agr_mes!$B$1:$XFD$1, 0), 0)/VLOOKUP($B111, gdp_tot_mes!$B:$XFD, MATCH(gdp_agr_share!D$1, gdp_tot_mes!$B$1:$XFD$1, 0), 0)</f>
        <v>0.54552159342706019</v>
      </c>
      <c r="E111" s="29">
        <f>VLOOKUP($B111, agr_mes!$B:$XFD, MATCH(gdp_agr_share!E$1, agr_mes!$B$1:$XFD$1, 0), 0)/VLOOKUP($B111, gdp_tot_mes!$B:$XFD, MATCH(gdp_agr_share!E$1, gdp_tot_mes!$B$1:$XFD$1, 0), 0)</f>
        <v>0.29475197232193212</v>
      </c>
      <c r="F111" s="29">
        <f>VLOOKUP($B111, agr_mes!$B:$XFD, MATCH(gdp_agr_share!F$1, agr_mes!$B$1:$XFD$1, 0), 0)/VLOOKUP($B111, gdp_tot_mes!$B:$XFD, MATCH(gdp_agr_share!F$1, gdp_tot_mes!$B$1:$XFD$1, 0), 0)</f>
        <v>0.34680620941304252</v>
      </c>
      <c r="G111" s="29">
        <f>VLOOKUP($B111, agr_mes!$B:$XFD, MATCH(gdp_agr_share!G$1, agr_mes!$B$1:$XFD$1, 0), 0)/VLOOKUP($B111, gdp_tot_mes!$B:$XFD, MATCH(gdp_agr_share!G$1, gdp_tot_mes!$B$1:$XFD$1, 0), 0)</f>
        <v>0.35850050707994052</v>
      </c>
      <c r="H111" s="29">
        <f>VLOOKUP($B111, agr_mes!$B:$XFD, MATCH(gdp_agr_share!H$1, agr_mes!$B$1:$XFD$1, 0), 0)/VLOOKUP($B111, gdp_tot_mes!$B:$XFD, MATCH(gdp_agr_share!H$1, gdp_tot_mes!$B$1:$XFD$1, 0), 0)</f>
        <v>0.32422179590929101</v>
      </c>
      <c r="I111" s="29">
        <f>VLOOKUP($B111, agr_mes!$B:$XFD, MATCH(gdp_agr_share!I$1, agr_mes!$B$1:$XFD$1, 0), 0)/VLOOKUP($B111, gdp_tot_mes!$B:$XFD, MATCH(gdp_agr_share!I$1, gdp_tot_mes!$B$1:$XFD$1, 0), 0)</f>
        <v>0.35133948432671708</v>
      </c>
      <c r="J111" s="29">
        <f>VLOOKUP($B111, agr_mes!$B:$XFD, MATCH(gdp_agr_share!J$1, agr_mes!$B$1:$XFD$1, 0), 0)/VLOOKUP($B111, gdp_tot_mes!$B:$XFD, MATCH(gdp_agr_share!J$1, gdp_tot_mes!$B$1:$XFD$1, 0), 0)</f>
        <v>0.36134136461660971</v>
      </c>
      <c r="K111" s="29">
        <f>VLOOKUP($B111, agr_mes!$B:$XFD, MATCH(gdp_agr_share!K$1, agr_mes!$B$1:$XFD$1, 0), 0)/VLOOKUP($B111, gdp_tot_mes!$B:$XFD, MATCH(gdp_agr_share!K$1, gdp_tot_mes!$B$1:$XFD$1, 0), 0)</f>
        <v>0.32762234060278728</v>
      </c>
      <c r="L111" s="30">
        <f t="shared" si="1"/>
        <v>0.31840908039847254</v>
      </c>
      <c r="M111" s="29">
        <f>VLOOKUP($B111, agr_mes!$B:$XFD, MATCH(gdp_agr_share!M$1, agr_mes!$B$1:$XFD$1, 0), 0)/VLOOKUP($B111, gdp_tot_mes!$B:$XFD, MATCH(gdp_agr_share!M$1, gdp_tot_mes!$B$1:$XFD$1, 0), 0)</f>
        <v>0.30735316815329489</v>
      </c>
      <c r="N111" s="29">
        <f>VLOOKUP($B111, agr_mes!$B:$XFD, MATCH(gdp_agr_share!N$1, agr_mes!$B$1:$XFD$1, 0), 0)/VLOOKUP($B111, gdp_tot_mes!$B:$XFD, MATCH(gdp_agr_share!N$1, gdp_tot_mes!$B$1:$XFD$1, 0), 0)</f>
        <v>0.19726807784512634</v>
      </c>
      <c r="O111" s="29">
        <f>VLOOKUP($B111, agr_mes!$B:$XFD, MATCH(gdp_agr_share!O$1, agr_mes!$B$1:$XFD$1, 0), 0)/VLOOKUP($B111, gdp_tot_mes!$B:$XFD, MATCH(gdp_agr_share!O$1, gdp_tot_mes!$B$1:$XFD$1, 0), 0)</f>
        <v>0.17193106007561199</v>
      </c>
      <c r="P111" s="29">
        <f>VLOOKUP($B111, agr_mes!$B:$XFD, MATCH(gdp_agr_share!P$1, agr_mes!$B$1:$XFD$1, 0), 0)/VLOOKUP($B111, gdp_tot_mes!$B:$XFD, MATCH(gdp_agr_share!P$1, gdp_tot_mes!$B$1:$XFD$1, 0), 0)</f>
        <v>0.21305562270309975</v>
      </c>
      <c r="Q111" s="29">
        <f>VLOOKUP($B111, agr_mes!$B:$XFD, MATCH(gdp_agr_share!Q$1, agr_mes!$B$1:$XFD$1, 0), 0)/VLOOKUP($B111, gdp_tot_mes!$B:$XFD, MATCH(gdp_agr_share!Q$1, gdp_tot_mes!$B$1:$XFD$1, 0), 0)</f>
        <v>0.20828388716849952</v>
      </c>
      <c r="R111" s="29">
        <f>VLOOKUP($B111, agr_mes!$B:$XFD, MATCH(gdp_agr_share!R$1, agr_mes!$B$1:$XFD$1, 0), 0)/VLOOKUP($B111, gdp_tot_mes!$B:$XFD, MATCH(gdp_agr_share!R$1, gdp_tot_mes!$B$1:$XFD$1, 0), 0)</f>
        <v>0.26031636538637343</v>
      </c>
      <c r="S111" s="29">
        <f>VLOOKUP($B111, agr_mes!$B:$XFD, MATCH(gdp_agr_share!S$1, agr_mes!$B$1:$XFD$1, 0), 0)/VLOOKUP($B111, gdp_tot_mes!$B:$XFD, MATCH(gdp_agr_share!S$1, gdp_tot_mes!$B$1:$XFD$1, 0), 0)</f>
        <v>0.24322726414230908</v>
      </c>
      <c r="T111" s="29">
        <f>VLOOKUP($B111, agr_mes!$B:$XFD, MATCH(gdp_agr_share!T$1, agr_mes!$B$1:$XFD$1, 0), 0)/VLOOKUP($B111, gdp_tot_mes!$B:$XFD, MATCH(gdp_agr_share!T$1, gdp_tot_mes!$B$1:$XFD$1, 0), 0)</f>
        <v>0.1554343292233196</v>
      </c>
      <c r="U111" s="29">
        <f>VLOOKUP($B111, agr_mes!$B:$XFD, MATCH(gdp_agr_share!U$1, agr_mes!$B$1:$XFD$1, 0), 0)/VLOOKUP($B111, gdp_tot_mes!$B:$XFD, MATCH(gdp_agr_share!U$1, gdp_tot_mes!$B$1:$XFD$1, 0), 0)</f>
        <v>0.16438014796285716</v>
      </c>
      <c r="V111" s="29">
        <f>VLOOKUP($B111, agr_mes!$B:$XFD, MATCH(gdp_agr_share!V$1, agr_mes!$B$1:$XFD$1, 0), 0)/VLOOKUP($B111, gdp_tot_mes!$B:$XFD, MATCH(gdp_agr_share!V$1, gdp_tot_mes!$B$1:$XFD$1, 0), 0)</f>
        <v>0.15943610018504828</v>
      </c>
      <c r="W111" s="29">
        <f>VLOOKUP($B111, agr_mes!$B:$XFD, MATCH(gdp_agr_share!W$1, agr_mes!$B$1:$XFD$1, 0), 0)/VLOOKUP($B111, gdp_tot_mes!$B:$XFD, MATCH(gdp_agr_share!W$1, gdp_tot_mes!$B$1:$XFD$1, 0), 0)</f>
        <v>0.1947639512708661</v>
      </c>
      <c r="X111" s="29">
        <f>VLOOKUP($B111, agr_mes!$B:$XFD, MATCH(gdp_agr_share!X$1, agr_mes!$B$1:$XFD$1, 0), 0)/VLOOKUP($B111, gdp_tot_mes!$B:$XFD, MATCH(gdp_agr_share!X$1, gdp_tot_mes!$B$1:$XFD$1, 0), 0)</f>
        <v>0.18293547332066312</v>
      </c>
      <c r="Y111" s="29">
        <f>VLOOKUP($B111, agr_mes!$B:$XFD, MATCH(gdp_agr_share!Y$1, agr_mes!$B$1:$XFD$1, 0), 0)/VLOOKUP($B111, gdp_tot_mes!$B:$XFD, MATCH(gdp_agr_share!Y$1, gdp_tot_mes!$B$1:$XFD$1, 0), 0)</f>
        <v>0.15960556094523506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x14ac:dyDescent="0.25">
      <c r="A112" s="1" t="s">
        <v>253</v>
      </c>
      <c r="B112" s="1" t="s">
        <v>266</v>
      </c>
      <c r="C112" s="1" t="s">
        <v>267</v>
      </c>
      <c r="D112" s="29">
        <f>VLOOKUP($B112, agr_mes!$B:$XFD, MATCH(gdp_agr_share!D$1, agr_mes!$B$1:$XFD$1, 0), 0)/VLOOKUP($B112, gdp_tot_mes!$B:$XFD, MATCH(gdp_agr_share!D$1, gdp_tot_mes!$B$1:$XFD$1, 0), 0)</f>
        <v>0.47228907495875938</v>
      </c>
      <c r="E112" s="29">
        <f>VLOOKUP($B112, agr_mes!$B:$XFD, MATCH(gdp_agr_share!E$1, agr_mes!$B$1:$XFD$1, 0), 0)/VLOOKUP($B112, gdp_tot_mes!$B:$XFD, MATCH(gdp_agr_share!E$1, gdp_tot_mes!$B$1:$XFD$1, 0), 0)</f>
        <v>0.30241169210931773</v>
      </c>
      <c r="F112" s="29">
        <f>VLOOKUP($B112, agr_mes!$B:$XFD, MATCH(gdp_agr_share!F$1, agr_mes!$B$1:$XFD$1, 0), 0)/VLOOKUP($B112, gdp_tot_mes!$B:$XFD, MATCH(gdp_agr_share!F$1, gdp_tot_mes!$B$1:$XFD$1, 0), 0)</f>
        <v>0.33254174291566874</v>
      </c>
      <c r="G112" s="29">
        <f>VLOOKUP($B112, agr_mes!$B:$XFD, MATCH(gdp_agr_share!G$1, agr_mes!$B$1:$XFD$1, 0), 0)/VLOOKUP($B112, gdp_tot_mes!$B:$XFD, MATCH(gdp_agr_share!G$1, gdp_tot_mes!$B$1:$XFD$1, 0), 0)</f>
        <v>0.23105832132449605</v>
      </c>
      <c r="H112" s="29">
        <f>VLOOKUP($B112, agr_mes!$B:$XFD, MATCH(gdp_agr_share!H$1, agr_mes!$B$1:$XFD$1, 0), 0)/VLOOKUP($B112, gdp_tot_mes!$B:$XFD, MATCH(gdp_agr_share!H$1, gdp_tot_mes!$B$1:$XFD$1, 0), 0)</f>
        <v>0.22224745806548282</v>
      </c>
      <c r="I112" s="29">
        <f>VLOOKUP($B112, agr_mes!$B:$XFD, MATCH(gdp_agr_share!I$1, agr_mes!$B$1:$XFD$1, 0), 0)/VLOOKUP($B112, gdp_tot_mes!$B:$XFD, MATCH(gdp_agr_share!I$1, gdp_tot_mes!$B$1:$XFD$1, 0), 0)</f>
        <v>0.2517492150346855</v>
      </c>
      <c r="J112" s="29">
        <f>VLOOKUP($B112, agr_mes!$B:$XFD, MATCH(gdp_agr_share!J$1, agr_mes!$B$1:$XFD$1, 0), 0)/VLOOKUP($B112, gdp_tot_mes!$B:$XFD, MATCH(gdp_agr_share!J$1, gdp_tot_mes!$B$1:$XFD$1, 0), 0)</f>
        <v>0.20186985186265466</v>
      </c>
      <c r="K112" s="29">
        <f>VLOOKUP($B112, agr_mes!$B:$XFD, MATCH(gdp_agr_share!K$1, agr_mes!$B$1:$XFD$1, 0), 0)/VLOOKUP($B112, gdp_tot_mes!$B:$XFD, MATCH(gdp_agr_share!K$1, gdp_tot_mes!$B$1:$XFD$1, 0), 0)</f>
        <v>0.19695338558961167</v>
      </c>
      <c r="L112" s="30">
        <f t="shared" si="1"/>
        <v>0.18589419923290354</v>
      </c>
      <c r="M112" s="29">
        <f>VLOOKUP($B112, agr_mes!$B:$XFD, MATCH(gdp_agr_share!M$1, agr_mes!$B$1:$XFD$1, 0), 0)/VLOOKUP($B112, gdp_tot_mes!$B:$XFD, MATCH(gdp_agr_share!M$1, gdp_tot_mes!$B$1:$XFD$1, 0), 0)</f>
        <v>0.17262317560485377</v>
      </c>
      <c r="N112" s="29">
        <f>VLOOKUP($B112, agr_mes!$B:$XFD, MATCH(gdp_agr_share!N$1, agr_mes!$B$1:$XFD$1, 0), 0)/VLOOKUP($B112, gdp_tot_mes!$B:$XFD, MATCH(gdp_agr_share!N$1, gdp_tot_mes!$B$1:$XFD$1, 0), 0)</f>
        <v>0.10490507369091173</v>
      </c>
      <c r="O112" s="29">
        <f>VLOOKUP($B112, agr_mes!$B:$XFD, MATCH(gdp_agr_share!O$1, agr_mes!$B$1:$XFD$1, 0), 0)/VLOOKUP($B112, gdp_tot_mes!$B:$XFD, MATCH(gdp_agr_share!O$1, gdp_tot_mes!$B$1:$XFD$1, 0), 0)</f>
        <v>9.3877531779942708E-2</v>
      </c>
      <c r="P112" s="29">
        <f>VLOOKUP($B112, agr_mes!$B:$XFD, MATCH(gdp_agr_share!P$1, agr_mes!$B$1:$XFD$1, 0), 0)/VLOOKUP($B112, gdp_tot_mes!$B:$XFD, MATCH(gdp_agr_share!P$1, gdp_tot_mes!$B$1:$XFD$1, 0), 0)</f>
        <v>0.11628888297118242</v>
      </c>
      <c r="Q112" s="29">
        <f>VLOOKUP($B112, agr_mes!$B:$XFD, MATCH(gdp_agr_share!Q$1, agr_mes!$B$1:$XFD$1, 0), 0)/VLOOKUP($B112, gdp_tot_mes!$B:$XFD, MATCH(gdp_agr_share!Q$1, gdp_tot_mes!$B$1:$XFD$1, 0), 0)</f>
        <v>0.10358137958563526</v>
      </c>
      <c r="R112" s="29">
        <f>VLOOKUP($B112, agr_mes!$B:$XFD, MATCH(gdp_agr_share!R$1, agr_mes!$B$1:$XFD$1, 0), 0)/VLOOKUP($B112, gdp_tot_mes!$B:$XFD, MATCH(gdp_agr_share!R$1, gdp_tot_mes!$B$1:$XFD$1, 0), 0)</f>
        <v>0.12784929474641279</v>
      </c>
      <c r="S112" s="29">
        <f>VLOOKUP($B112, agr_mes!$B:$XFD, MATCH(gdp_agr_share!S$1, agr_mes!$B$1:$XFD$1, 0), 0)/VLOOKUP($B112, gdp_tot_mes!$B:$XFD, MATCH(gdp_agr_share!S$1, gdp_tot_mes!$B$1:$XFD$1, 0), 0)</f>
        <v>0.11875991462140502</v>
      </c>
      <c r="T112" s="29">
        <f>VLOOKUP($B112, agr_mes!$B:$XFD, MATCH(gdp_agr_share!T$1, agr_mes!$B$1:$XFD$1, 0), 0)/VLOOKUP($B112, gdp_tot_mes!$B:$XFD, MATCH(gdp_agr_share!T$1, gdp_tot_mes!$B$1:$XFD$1, 0), 0)</f>
        <v>8.7280436252685931E-2</v>
      </c>
      <c r="U112" s="29">
        <f>VLOOKUP($B112, agr_mes!$B:$XFD, MATCH(gdp_agr_share!U$1, agr_mes!$B$1:$XFD$1, 0), 0)/VLOOKUP($B112, gdp_tot_mes!$B:$XFD, MATCH(gdp_agr_share!U$1, gdp_tot_mes!$B$1:$XFD$1, 0), 0)</f>
        <v>8.4685778635902875E-2</v>
      </c>
      <c r="V112" s="29">
        <f>VLOOKUP($B112, agr_mes!$B:$XFD, MATCH(gdp_agr_share!V$1, agr_mes!$B$1:$XFD$1, 0), 0)/VLOOKUP($B112, gdp_tot_mes!$B:$XFD, MATCH(gdp_agr_share!V$1, gdp_tot_mes!$B$1:$XFD$1, 0), 0)</f>
        <v>8.6665871973765879E-2</v>
      </c>
      <c r="W112" s="29">
        <f>VLOOKUP($B112, agr_mes!$B:$XFD, MATCH(gdp_agr_share!W$1, agr_mes!$B$1:$XFD$1, 0), 0)/VLOOKUP($B112, gdp_tot_mes!$B:$XFD, MATCH(gdp_agr_share!W$1, gdp_tot_mes!$B$1:$XFD$1, 0), 0)</f>
        <v>8.7603547422855865E-2</v>
      </c>
      <c r="X112" s="29">
        <f>VLOOKUP($B112, agr_mes!$B:$XFD, MATCH(gdp_agr_share!X$1, agr_mes!$B$1:$XFD$1, 0), 0)/VLOOKUP($B112, gdp_tot_mes!$B:$XFD, MATCH(gdp_agr_share!X$1, gdp_tot_mes!$B$1:$XFD$1, 0), 0)</f>
        <v>8.6250178795486424E-2</v>
      </c>
      <c r="Y112" s="29">
        <f>VLOOKUP($B112, agr_mes!$B:$XFD, MATCH(gdp_agr_share!Y$1, agr_mes!$B$1:$XFD$1, 0), 0)/VLOOKUP($B112, gdp_tot_mes!$B:$XFD, MATCH(gdp_agr_share!Y$1, gdp_tot_mes!$B$1:$XFD$1, 0), 0)</f>
        <v>7.6457323410469832E-2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x14ac:dyDescent="0.25">
      <c r="A113" s="1" t="s">
        <v>268</v>
      </c>
      <c r="B113" s="1" t="s">
        <v>269</v>
      </c>
      <c r="C113" s="1" t="s">
        <v>270</v>
      </c>
      <c r="D113" s="29">
        <f>VLOOKUP($B113, agr_mes!$B:$XFD, MATCH(gdp_agr_share!D$1, agr_mes!$B$1:$XFD$1, 0), 0)/VLOOKUP($B113, gdp_tot_mes!$B:$XFD, MATCH(gdp_agr_share!D$1, gdp_tot_mes!$B$1:$XFD$1, 0), 0)</f>
        <v>0.46710404005136064</v>
      </c>
      <c r="E113" s="29">
        <f>VLOOKUP($B113, agr_mes!$B:$XFD, MATCH(gdp_agr_share!E$1, agr_mes!$B$1:$XFD$1, 0), 0)/VLOOKUP($B113, gdp_tot_mes!$B:$XFD, MATCH(gdp_agr_share!E$1, gdp_tot_mes!$B$1:$XFD$1, 0), 0)</f>
        <v>0.69302100692038182</v>
      </c>
      <c r="F113" s="29">
        <f>VLOOKUP($B113, agr_mes!$B:$XFD, MATCH(gdp_agr_share!F$1, agr_mes!$B$1:$XFD$1, 0), 0)/VLOOKUP($B113, gdp_tot_mes!$B:$XFD, MATCH(gdp_agr_share!F$1, gdp_tot_mes!$B$1:$XFD$1, 0), 0)</f>
        <v>0.52176428587195778</v>
      </c>
      <c r="G113" s="29">
        <f>VLOOKUP($B113, agr_mes!$B:$XFD, MATCH(gdp_agr_share!G$1, agr_mes!$B$1:$XFD$1, 0), 0)/VLOOKUP($B113, gdp_tot_mes!$B:$XFD, MATCH(gdp_agr_share!G$1, gdp_tot_mes!$B$1:$XFD$1, 0), 0)</f>
        <v>0.51088989935843443</v>
      </c>
      <c r="H113" s="29">
        <f>VLOOKUP($B113, agr_mes!$B:$XFD, MATCH(gdp_agr_share!H$1, agr_mes!$B$1:$XFD$1, 0), 0)/VLOOKUP($B113, gdp_tot_mes!$B:$XFD, MATCH(gdp_agr_share!H$1, gdp_tot_mes!$B$1:$XFD$1, 0), 0)</f>
        <v>0.42902051006169672</v>
      </c>
      <c r="I113" s="29">
        <f>VLOOKUP($B113, agr_mes!$B:$XFD, MATCH(gdp_agr_share!I$1, agr_mes!$B$1:$XFD$1, 0), 0)/VLOOKUP($B113, gdp_tot_mes!$B:$XFD, MATCH(gdp_agr_share!I$1, gdp_tot_mes!$B$1:$XFD$1, 0), 0)</f>
        <v>0.41666699382306449</v>
      </c>
      <c r="J113" s="29">
        <f>VLOOKUP($B113, agr_mes!$B:$XFD, MATCH(gdp_agr_share!J$1, agr_mes!$B$1:$XFD$1, 0), 0)/VLOOKUP($B113, gdp_tot_mes!$B:$XFD, MATCH(gdp_agr_share!J$1, gdp_tot_mes!$B$1:$XFD$1, 0), 0)</f>
        <v>0.39789665580929906</v>
      </c>
      <c r="K113" s="29">
        <f>VLOOKUP($B113, agr_mes!$B:$XFD, MATCH(gdp_agr_share!K$1, agr_mes!$B$1:$XFD$1, 0), 0)/VLOOKUP($B113, gdp_tot_mes!$B:$XFD, MATCH(gdp_agr_share!K$1, gdp_tot_mes!$B$1:$XFD$1, 0), 0)</f>
        <v>0.36702306012075592</v>
      </c>
      <c r="L113" s="30">
        <f t="shared" si="1"/>
        <v>0.29253997102176538</v>
      </c>
      <c r="M113" s="29">
        <f>VLOOKUP($B113, agr_mes!$B:$XFD, MATCH(gdp_agr_share!M$1, agr_mes!$B$1:$XFD$1, 0), 0)/VLOOKUP($B113, gdp_tot_mes!$B:$XFD, MATCH(gdp_agr_share!M$1, gdp_tot_mes!$B$1:$XFD$1, 0), 0)</f>
        <v>0.20316026410297672</v>
      </c>
      <c r="N113" s="29">
        <f>VLOOKUP($B113, agr_mes!$B:$XFD, MATCH(gdp_agr_share!N$1, agr_mes!$B$1:$XFD$1, 0), 0)/VLOOKUP($B113, gdp_tot_mes!$B:$XFD, MATCH(gdp_agr_share!N$1, gdp_tot_mes!$B$1:$XFD$1, 0), 0)</f>
        <v>0.14307587877417369</v>
      </c>
      <c r="O113" s="29">
        <f>VLOOKUP($B113, agr_mes!$B:$XFD, MATCH(gdp_agr_share!O$1, agr_mes!$B$1:$XFD$1, 0), 0)/VLOOKUP($B113, gdp_tot_mes!$B:$XFD, MATCH(gdp_agr_share!O$1, gdp_tot_mes!$B$1:$XFD$1, 0), 0)</f>
        <v>0.15878789752664016</v>
      </c>
      <c r="P113" s="29">
        <f>VLOOKUP($B113, agr_mes!$B:$XFD, MATCH(gdp_agr_share!P$1, agr_mes!$B$1:$XFD$1, 0), 0)/VLOOKUP($B113, gdp_tot_mes!$B:$XFD, MATCH(gdp_agr_share!P$1, gdp_tot_mes!$B$1:$XFD$1, 0), 0)</f>
        <v>0.15158019835905581</v>
      </c>
      <c r="Q113" s="29">
        <f>VLOOKUP($B113, agr_mes!$B:$XFD, MATCH(gdp_agr_share!Q$1, agr_mes!$B$1:$XFD$1, 0), 0)/VLOOKUP($B113, gdp_tot_mes!$B:$XFD, MATCH(gdp_agr_share!Q$1, gdp_tot_mes!$B$1:$XFD$1, 0), 0)</f>
        <v>0.18476592892637286</v>
      </c>
      <c r="R113" s="29">
        <f>VLOOKUP($B113, agr_mes!$B:$XFD, MATCH(gdp_agr_share!R$1, agr_mes!$B$1:$XFD$1, 0), 0)/VLOOKUP($B113, gdp_tot_mes!$B:$XFD, MATCH(gdp_agr_share!R$1, gdp_tot_mes!$B$1:$XFD$1, 0), 0)</f>
        <v>0.18886062066922407</v>
      </c>
      <c r="S113" s="29">
        <f>VLOOKUP($B113, agr_mes!$B:$XFD, MATCH(gdp_agr_share!S$1, agr_mes!$B$1:$XFD$1, 0), 0)/VLOOKUP($B113, gdp_tot_mes!$B:$XFD, MATCH(gdp_agr_share!S$1, gdp_tot_mes!$B$1:$XFD$1, 0), 0)</f>
        <v>0.16878109015985607</v>
      </c>
      <c r="T113" s="29">
        <f>VLOOKUP($B113, agr_mes!$B:$XFD, MATCH(gdp_agr_share!T$1, agr_mes!$B$1:$XFD$1, 0), 0)/VLOOKUP($B113, gdp_tot_mes!$B:$XFD, MATCH(gdp_agr_share!T$1, gdp_tot_mes!$B$1:$XFD$1, 0), 0)</f>
        <v>0.15805617928596835</v>
      </c>
      <c r="U113" s="29">
        <f>VLOOKUP($B113, agr_mes!$B:$XFD, MATCH(gdp_agr_share!U$1, agr_mes!$B$1:$XFD$1, 0), 0)/VLOOKUP($B113, gdp_tot_mes!$B:$XFD, MATCH(gdp_agr_share!U$1, gdp_tot_mes!$B$1:$XFD$1, 0), 0)</f>
        <v>0.15456372214049505</v>
      </c>
      <c r="V113" s="29">
        <f>VLOOKUP($B113, agr_mes!$B:$XFD, MATCH(gdp_agr_share!V$1, agr_mes!$B$1:$XFD$1, 0), 0)/VLOOKUP($B113, gdp_tot_mes!$B:$XFD, MATCH(gdp_agr_share!V$1, gdp_tot_mes!$B$1:$XFD$1, 0), 0)</f>
        <v>0.15475469132735714</v>
      </c>
      <c r="W113" s="29">
        <f>VLOOKUP($B113, agr_mes!$B:$XFD, MATCH(gdp_agr_share!W$1, agr_mes!$B$1:$XFD$1, 0), 0)/VLOOKUP($B113, gdp_tot_mes!$B:$XFD, MATCH(gdp_agr_share!W$1, gdp_tot_mes!$B$1:$XFD$1, 0), 0)</f>
        <v>0.15863728374287289</v>
      </c>
      <c r="X113" s="29">
        <f>VLOOKUP($B113, agr_mes!$B:$XFD, MATCH(gdp_agr_share!X$1, agr_mes!$B$1:$XFD$1, 0), 0)/VLOOKUP($B113, gdp_tot_mes!$B:$XFD, MATCH(gdp_agr_share!X$1, gdp_tot_mes!$B$1:$XFD$1, 0), 0)</f>
        <v>0.1520722069557629</v>
      </c>
      <c r="Y113" s="29">
        <f>VLOOKUP($B113, agr_mes!$B:$XFD, MATCH(gdp_agr_share!Y$1, agr_mes!$B$1:$XFD$1, 0), 0)/VLOOKUP($B113, gdp_tot_mes!$B:$XFD, MATCH(gdp_agr_share!Y$1, gdp_tot_mes!$B$1:$XFD$1, 0), 0)</f>
        <v>0.14429240508858265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x14ac:dyDescent="0.25">
      <c r="A114" s="1" t="s">
        <v>268</v>
      </c>
      <c r="B114" s="1" t="s">
        <v>271</v>
      </c>
      <c r="C114" s="1" t="s">
        <v>272</v>
      </c>
      <c r="D114" s="29">
        <f>VLOOKUP($B114, agr_mes!$B:$XFD, MATCH(gdp_agr_share!D$1, agr_mes!$B$1:$XFD$1, 0), 0)/VLOOKUP($B114, gdp_tot_mes!$B:$XFD, MATCH(gdp_agr_share!D$1, gdp_tot_mes!$B$1:$XFD$1, 0), 0)</f>
        <v>0.45990691097967945</v>
      </c>
      <c r="E114" s="29">
        <f>VLOOKUP($B114, agr_mes!$B:$XFD, MATCH(gdp_agr_share!E$1, agr_mes!$B$1:$XFD$1, 0), 0)/VLOOKUP($B114, gdp_tot_mes!$B:$XFD, MATCH(gdp_agr_share!E$1, gdp_tot_mes!$B$1:$XFD$1, 0), 0)</f>
        <v>0.24579884693833673</v>
      </c>
      <c r="F114" s="29">
        <f>VLOOKUP($B114, agr_mes!$B:$XFD, MATCH(gdp_agr_share!F$1, agr_mes!$B$1:$XFD$1, 0), 0)/VLOOKUP($B114, gdp_tot_mes!$B:$XFD, MATCH(gdp_agr_share!F$1, gdp_tot_mes!$B$1:$XFD$1, 0), 0)</f>
        <v>0.27577837866382837</v>
      </c>
      <c r="G114" s="29">
        <f>VLOOKUP($B114, agr_mes!$B:$XFD, MATCH(gdp_agr_share!G$1, agr_mes!$B$1:$XFD$1, 0), 0)/VLOOKUP($B114, gdp_tot_mes!$B:$XFD, MATCH(gdp_agr_share!G$1, gdp_tot_mes!$B$1:$XFD$1, 0), 0)</f>
        <v>0.23585925032665592</v>
      </c>
      <c r="H114" s="29">
        <f>VLOOKUP($B114, agr_mes!$B:$XFD, MATCH(gdp_agr_share!H$1, agr_mes!$B$1:$XFD$1, 0), 0)/VLOOKUP($B114, gdp_tot_mes!$B:$XFD, MATCH(gdp_agr_share!H$1, gdp_tot_mes!$B$1:$XFD$1, 0), 0)</f>
        <v>0.11948242305902718</v>
      </c>
      <c r="I114" s="29">
        <f>VLOOKUP($B114, agr_mes!$B:$XFD, MATCH(gdp_agr_share!I$1, agr_mes!$B$1:$XFD$1, 0), 0)/VLOOKUP($B114, gdp_tot_mes!$B:$XFD, MATCH(gdp_agr_share!I$1, gdp_tot_mes!$B$1:$XFD$1, 0), 0)</f>
        <v>9.8067043540482179E-2</v>
      </c>
      <c r="J114" s="29">
        <f>VLOOKUP($B114, agr_mes!$B:$XFD, MATCH(gdp_agr_share!J$1, agr_mes!$B$1:$XFD$1, 0), 0)/VLOOKUP($B114, gdp_tot_mes!$B:$XFD, MATCH(gdp_agr_share!J$1, gdp_tot_mes!$B$1:$XFD$1, 0), 0)</f>
        <v>6.008944790240843E-2</v>
      </c>
      <c r="K114" s="29">
        <f>VLOOKUP($B114, agr_mes!$B:$XFD, MATCH(gdp_agr_share!K$1, agr_mes!$B$1:$XFD$1, 0), 0)/VLOOKUP($B114, gdp_tot_mes!$B:$XFD, MATCH(gdp_agr_share!K$1, gdp_tot_mes!$B$1:$XFD$1, 0), 0)</f>
        <v>6.7207233283334514E-2</v>
      </c>
      <c r="L114" s="30">
        <f t="shared" si="1"/>
        <v>6.0642059020123443E-2</v>
      </c>
      <c r="M114" s="29">
        <f>VLOOKUP($B114, agr_mes!$B:$XFD, MATCH(gdp_agr_share!M$1, agr_mes!$B$1:$XFD$1, 0), 0)/VLOOKUP($B114, gdp_tot_mes!$B:$XFD, MATCH(gdp_agr_share!M$1, gdp_tot_mes!$B$1:$XFD$1, 0), 0)</f>
        <v>5.276384990427016E-2</v>
      </c>
      <c r="N114" s="29">
        <f>VLOOKUP($B114, agr_mes!$B:$XFD, MATCH(gdp_agr_share!N$1, agr_mes!$B$1:$XFD$1, 0), 0)/VLOOKUP($B114, gdp_tot_mes!$B:$XFD, MATCH(gdp_agr_share!N$1, gdp_tot_mes!$B$1:$XFD$1, 0), 0)</f>
        <v>4.1997431599645321E-2</v>
      </c>
      <c r="O114" s="29">
        <f>VLOOKUP($B114, agr_mes!$B:$XFD, MATCH(gdp_agr_share!O$1, agr_mes!$B$1:$XFD$1, 0), 0)/VLOOKUP($B114, gdp_tot_mes!$B:$XFD, MATCH(gdp_agr_share!O$1, gdp_tot_mes!$B$1:$XFD$1, 0), 0)</f>
        <v>4.6137762483447829E-2</v>
      </c>
      <c r="P114" s="29">
        <f>VLOOKUP($B114, agr_mes!$B:$XFD, MATCH(gdp_agr_share!P$1, agr_mes!$B$1:$XFD$1, 0), 0)/VLOOKUP($B114, gdp_tot_mes!$B:$XFD, MATCH(gdp_agr_share!P$1, gdp_tot_mes!$B$1:$XFD$1, 0), 0)</f>
        <v>4.1792942604456207E-2</v>
      </c>
      <c r="Q114" s="29">
        <f>VLOOKUP($B114, agr_mes!$B:$XFD, MATCH(gdp_agr_share!Q$1, agr_mes!$B$1:$XFD$1, 0), 0)/VLOOKUP($B114, gdp_tot_mes!$B:$XFD, MATCH(gdp_agr_share!Q$1, gdp_tot_mes!$B$1:$XFD$1, 0), 0)</f>
        <v>4.7612693561400216E-2</v>
      </c>
      <c r="R114" s="29">
        <f>VLOOKUP($B114, agr_mes!$B:$XFD, MATCH(gdp_agr_share!R$1, agr_mes!$B$1:$XFD$1, 0), 0)/VLOOKUP($B114, gdp_tot_mes!$B:$XFD, MATCH(gdp_agr_share!R$1, gdp_tot_mes!$B$1:$XFD$1, 0), 0)</f>
        <v>4.8773845186860301E-2</v>
      </c>
      <c r="S114" s="29">
        <f>VLOOKUP($B114, agr_mes!$B:$XFD, MATCH(gdp_agr_share!S$1, agr_mes!$B$1:$XFD$1, 0), 0)/VLOOKUP($B114, gdp_tot_mes!$B:$XFD, MATCH(gdp_agr_share!S$1, gdp_tot_mes!$B$1:$XFD$1, 0), 0)</f>
        <v>4.693986034692911E-2</v>
      </c>
      <c r="T114" s="29">
        <f>VLOOKUP($B114, agr_mes!$B:$XFD, MATCH(gdp_agr_share!T$1, agr_mes!$B$1:$XFD$1, 0), 0)/VLOOKUP($B114, gdp_tot_mes!$B:$XFD, MATCH(gdp_agr_share!T$1, gdp_tot_mes!$B$1:$XFD$1, 0), 0)</f>
        <v>3.6217457878174063E-2</v>
      </c>
      <c r="U114" s="29">
        <f>VLOOKUP($B114, agr_mes!$B:$XFD, MATCH(gdp_agr_share!U$1, agr_mes!$B$1:$XFD$1, 0), 0)/VLOOKUP($B114, gdp_tot_mes!$B:$XFD, MATCH(gdp_agr_share!U$1, gdp_tot_mes!$B$1:$XFD$1, 0), 0)</f>
        <v>3.2302433939460466E-2</v>
      </c>
      <c r="V114" s="29">
        <f>VLOOKUP($B114, agr_mes!$B:$XFD, MATCH(gdp_agr_share!V$1, agr_mes!$B$1:$XFD$1, 0), 0)/VLOOKUP($B114, gdp_tot_mes!$B:$XFD, MATCH(gdp_agr_share!V$1, gdp_tot_mes!$B$1:$XFD$1, 0), 0)</f>
        <v>3.3351198292354042E-2</v>
      </c>
      <c r="W114" s="29">
        <f>VLOOKUP($B114, agr_mes!$B:$XFD, MATCH(gdp_agr_share!W$1, agr_mes!$B$1:$XFD$1, 0), 0)/VLOOKUP($B114, gdp_tot_mes!$B:$XFD, MATCH(gdp_agr_share!W$1, gdp_tot_mes!$B$1:$XFD$1, 0), 0)</f>
        <v>3.7203629584960478E-2</v>
      </c>
      <c r="X114" s="29">
        <f>VLOOKUP($B114, agr_mes!$B:$XFD, MATCH(gdp_agr_share!X$1, agr_mes!$B$1:$XFD$1, 0), 0)/VLOOKUP($B114, gdp_tot_mes!$B:$XFD, MATCH(gdp_agr_share!X$1, gdp_tot_mes!$B$1:$XFD$1, 0), 0)</f>
        <v>4.0129853836842956E-2</v>
      </c>
      <c r="Y114" s="29">
        <f>VLOOKUP($B114, agr_mes!$B:$XFD, MATCH(gdp_agr_share!Y$1, agr_mes!$B$1:$XFD$1, 0), 0)/VLOOKUP($B114, gdp_tot_mes!$B:$XFD, MATCH(gdp_agr_share!Y$1, gdp_tot_mes!$B$1:$XFD$1, 0), 0)</f>
        <v>3.5847373923200289E-2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x14ac:dyDescent="0.25">
      <c r="A115" s="1" t="s">
        <v>268</v>
      </c>
      <c r="B115" s="1" t="s">
        <v>273</v>
      </c>
      <c r="C115" s="1" t="s">
        <v>274</v>
      </c>
      <c r="D115" s="29">
        <f>VLOOKUP($B115, agr_mes!$B:$XFD, MATCH(gdp_agr_share!D$1, agr_mes!$B$1:$XFD$1, 0), 0)/VLOOKUP($B115, gdp_tot_mes!$B:$XFD, MATCH(gdp_agr_share!D$1, gdp_tot_mes!$B$1:$XFD$1, 0), 0)</f>
        <v>0.63128012618780438</v>
      </c>
      <c r="E115" s="29">
        <f>VLOOKUP($B115, agr_mes!$B:$XFD, MATCH(gdp_agr_share!E$1, agr_mes!$B$1:$XFD$1, 0), 0)/VLOOKUP($B115, gdp_tot_mes!$B:$XFD, MATCH(gdp_agr_share!E$1, gdp_tot_mes!$B$1:$XFD$1, 0), 0)</f>
        <v>0.64769155945511414</v>
      </c>
      <c r="F115" s="29">
        <f>VLOOKUP($B115, agr_mes!$B:$XFD, MATCH(gdp_agr_share!F$1, agr_mes!$B$1:$XFD$1, 0), 0)/VLOOKUP($B115, gdp_tot_mes!$B:$XFD, MATCH(gdp_agr_share!F$1, gdp_tot_mes!$B$1:$XFD$1, 0), 0)</f>
        <v>0.48456244597694004</v>
      </c>
      <c r="G115" s="29">
        <f>VLOOKUP($B115, agr_mes!$B:$XFD, MATCH(gdp_agr_share!G$1, agr_mes!$B$1:$XFD$1, 0), 0)/VLOOKUP($B115, gdp_tot_mes!$B:$XFD, MATCH(gdp_agr_share!G$1, gdp_tot_mes!$B$1:$XFD$1, 0), 0)</f>
        <v>0.27144471977160101</v>
      </c>
      <c r="H115" s="29">
        <f>VLOOKUP($B115, agr_mes!$B:$XFD, MATCH(gdp_agr_share!H$1, agr_mes!$B$1:$XFD$1, 0), 0)/VLOOKUP($B115, gdp_tot_mes!$B:$XFD, MATCH(gdp_agr_share!H$1, gdp_tot_mes!$B$1:$XFD$1, 0), 0)</f>
        <v>0.2432168068500663</v>
      </c>
      <c r="I115" s="29">
        <f>VLOOKUP($B115, agr_mes!$B:$XFD, MATCH(gdp_agr_share!I$1, agr_mes!$B$1:$XFD$1, 0), 0)/VLOOKUP($B115, gdp_tot_mes!$B:$XFD, MATCH(gdp_agr_share!I$1, gdp_tot_mes!$B$1:$XFD$1, 0), 0)</f>
        <v>0.17611957134263317</v>
      </c>
      <c r="J115" s="29">
        <f>VLOOKUP($B115, agr_mes!$B:$XFD, MATCH(gdp_agr_share!J$1, agr_mes!$B$1:$XFD$1, 0), 0)/VLOOKUP($B115, gdp_tot_mes!$B:$XFD, MATCH(gdp_agr_share!J$1, gdp_tot_mes!$B$1:$XFD$1, 0), 0)</f>
        <v>0.23772808874610202</v>
      </c>
      <c r="K115" s="29">
        <f>VLOOKUP($B115, agr_mes!$B:$XFD, MATCH(gdp_agr_share!K$1, agr_mes!$B$1:$XFD$1, 0), 0)/VLOOKUP($B115, gdp_tot_mes!$B:$XFD, MATCH(gdp_agr_share!K$1, gdp_tot_mes!$B$1:$XFD$1, 0), 0)</f>
        <v>0.21932539935574469</v>
      </c>
      <c r="L115" s="30">
        <f t="shared" si="1"/>
        <v>0.23587587350331329</v>
      </c>
      <c r="M115" s="29">
        <f>VLOOKUP($B115, agr_mes!$B:$XFD, MATCH(gdp_agr_share!M$1, agr_mes!$B$1:$XFD$1, 0), 0)/VLOOKUP($B115, gdp_tot_mes!$B:$XFD, MATCH(gdp_agr_share!M$1, gdp_tot_mes!$B$1:$XFD$1, 0), 0)</f>
        <v>0.25573644248039562</v>
      </c>
      <c r="N115" s="29">
        <f>VLOOKUP($B115, agr_mes!$B:$XFD, MATCH(gdp_agr_share!N$1, agr_mes!$B$1:$XFD$1, 0), 0)/VLOOKUP($B115, gdp_tot_mes!$B:$XFD, MATCH(gdp_agr_share!N$1, gdp_tot_mes!$B$1:$XFD$1, 0), 0)</f>
        <v>0.17569325559237553</v>
      </c>
      <c r="O115" s="29">
        <f>VLOOKUP($B115, agr_mes!$B:$XFD, MATCH(gdp_agr_share!O$1, agr_mes!$B$1:$XFD$1, 0), 0)/VLOOKUP($B115, gdp_tot_mes!$B:$XFD, MATCH(gdp_agr_share!O$1, gdp_tot_mes!$B$1:$XFD$1, 0), 0)</f>
        <v>0.18129711556650602</v>
      </c>
      <c r="P115" s="29">
        <f>VLOOKUP($B115, agr_mes!$B:$XFD, MATCH(gdp_agr_share!P$1, agr_mes!$B$1:$XFD$1, 0), 0)/VLOOKUP($B115, gdp_tot_mes!$B:$XFD, MATCH(gdp_agr_share!P$1, gdp_tot_mes!$B$1:$XFD$1, 0), 0)</f>
        <v>0.20116635793527676</v>
      </c>
      <c r="Q115" s="29">
        <f>VLOOKUP($B115, agr_mes!$B:$XFD, MATCH(gdp_agr_share!Q$1, agr_mes!$B$1:$XFD$1, 0), 0)/VLOOKUP($B115, gdp_tot_mes!$B:$XFD, MATCH(gdp_agr_share!Q$1, gdp_tot_mes!$B$1:$XFD$1, 0), 0)</f>
        <v>0.19862723256997272</v>
      </c>
      <c r="R115" s="29">
        <f>VLOOKUP($B115, agr_mes!$B:$XFD, MATCH(gdp_agr_share!R$1, agr_mes!$B$1:$XFD$1, 0), 0)/VLOOKUP($B115, gdp_tot_mes!$B:$XFD, MATCH(gdp_agr_share!R$1, gdp_tot_mes!$B$1:$XFD$1, 0), 0)</f>
        <v>0.19565339555031924</v>
      </c>
      <c r="S115" s="29">
        <f>VLOOKUP($B115, agr_mes!$B:$XFD, MATCH(gdp_agr_share!S$1, agr_mes!$B$1:$XFD$1, 0), 0)/VLOOKUP($B115, gdp_tot_mes!$B:$XFD, MATCH(gdp_agr_share!S$1, gdp_tot_mes!$B$1:$XFD$1, 0), 0)</f>
        <v>0.15911709747057418</v>
      </c>
      <c r="T115" s="29">
        <f>VLOOKUP($B115, agr_mes!$B:$XFD, MATCH(gdp_agr_share!T$1, agr_mes!$B$1:$XFD$1, 0), 0)/VLOOKUP($B115, gdp_tot_mes!$B:$XFD, MATCH(gdp_agr_share!T$1, gdp_tot_mes!$B$1:$XFD$1, 0), 0)</f>
        <v>0.1474404693755999</v>
      </c>
      <c r="U115" s="29">
        <f>VLOOKUP($B115, agr_mes!$B:$XFD, MATCH(gdp_agr_share!U$1, agr_mes!$B$1:$XFD$1, 0), 0)/VLOOKUP($B115, gdp_tot_mes!$B:$XFD, MATCH(gdp_agr_share!U$1, gdp_tot_mes!$B$1:$XFD$1, 0), 0)</f>
        <v>0.14169420990201689</v>
      </c>
      <c r="V115" s="29">
        <f>VLOOKUP($B115, agr_mes!$B:$XFD, MATCH(gdp_agr_share!V$1, agr_mes!$B$1:$XFD$1, 0), 0)/VLOOKUP($B115, gdp_tot_mes!$B:$XFD, MATCH(gdp_agr_share!V$1, gdp_tot_mes!$B$1:$XFD$1, 0), 0)</f>
        <v>0.14289669827932266</v>
      </c>
      <c r="W115" s="29">
        <f>VLOOKUP($B115, agr_mes!$B:$XFD, MATCH(gdp_agr_share!W$1, agr_mes!$B$1:$XFD$1, 0), 0)/VLOOKUP($B115, gdp_tot_mes!$B:$XFD, MATCH(gdp_agr_share!W$1, gdp_tot_mes!$B$1:$XFD$1, 0), 0)</f>
        <v>0.17510613524151719</v>
      </c>
      <c r="X115" s="29">
        <f>VLOOKUP($B115, agr_mes!$B:$XFD, MATCH(gdp_agr_share!X$1, agr_mes!$B$1:$XFD$1, 0), 0)/VLOOKUP($B115, gdp_tot_mes!$B:$XFD, MATCH(gdp_agr_share!X$1, gdp_tot_mes!$B$1:$XFD$1, 0), 0)</f>
        <v>0.15784893555621277</v>
      </c>
      <c r="Y115" s="29">
        <f>VLOOKUP($B115, agr_mes!$B:$XFD, MATCH(gdp_agr_share!Y$1, agr_mes!$B$1:$XFD$1, 0), 0)/VLOOKUP($B115, gdp_tot_mes!$B:$XFD, MATCH(gdp_agr_share!Y$1, gdp_tot_mes!$B$1:$XFD$1, 0), 0)</f>
        <v>0.15457709806337269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x14ac:dyDescent="0.25">
      <c r="A116" s="1" t="s">
        <v>268</v>
      </c>
      <c r="B116" s="1" t="s">
        <v>275</v>
      </c>
      <c r="C116" s="1" t="s">
        <v>276</v>
      </c>
      <c r="D116" s="29">
        <f>VLOOKUP($B116, agr_mes!$B:$XFD, MATCH(gdp_agr_share!D$1, agr_mes!$B$1:$XFD$1, 0), 0)/VLOOKUP($B116, gdp_tot_mes!$B:$XFD, MATCH(gdp_agr_share!D$1, gdp_tot_mes!$B$1:$XFD$1, 0), 0)</f>
        <v>0.58053164425830039</v>
      </c>
      <c r="E116" s="29">
        <f>VLOOKUP($B116, agr_mes!$B:$XFD, MATCH(gdp_agr_share!E$1, agr_mes!$B$1:$XFD$1, 0), 0)/VLOOKUP($B116, gdp_tot_mes!$B:$XFD, MATCH(gdp_agr_share!E$1, gdp_tot_mes!$B$1:$XFD$1, 0), 0)</f>
        <v>0.4260362745107984</v>
      </c>
      <c r="F116" s="29">
        <f>VLOOKUP($B116, agr_mes!$B:$XFD, MATCH(gdp_agr_share!F$1, agr_mes!$B$1:$XFD$1, 0), 0)/VLOOKUP($B116, gdp_tot_mes!$B:$XFD, MATCH(gdp_agr_share!F$1, gdp_tot_mes!$B$1:$XFD$1, 0), 0)</f>
        <v>0.28199681358529249</v>
      </c>
      <c r="G116" s="29">
        <f>VLOOKUP($B116, agr_mes!$B:$XFD, MATCH(gdp_agr_share!G$1, agr_mes!$B$1:$XFD$1, 0), 0)/VLOOKUP($B116, gdp_tot_mes!$B:$XFD, MATCH(gdp_agr_share!G$1, gdp_tot_mes!$B$1:$XFD$1, 0), 0)</f>
        <v>0.1814229946882602</v>
      </c>
      <c r="H116" s="29">
        <f>VLOOKUP($B116, agr_mes!$B:$XFD, MATCH(gdp_agr_share!H$1, agr_mes!$B$1:$XFD$1, 0), 0)/VLOOKUP($B116, gdp_tot_mes!$B:$XFD, MATCH(gdp_agr_share!H$1, gdp_tot_mes!$B$1:$XFD$1, 0), 0)</f>
        <v>0.16830841070723221</v>
      </c>
      <c r="I116" s="29">
        <f>VLOOKUP($B116, agr_mes!$B:$XFD, MATCH(gdp_agr_share!I$1, agr_mes!$B$1:$XFD$1, 0), 0)/VLOOKUP($B116, gdp_tot_mes!$B:$XFD, MATCH(gdp_agr_share!I$1, gdp_tot_mes!$B$1:$XFD$1, 0), 0)</f>
        <v>0.10108507576152594</v>
      </c>
      <c r="J116" s="29">
        <f>VLOOKUP($B116, agr_mes!$B:$XFD, MATCH(gdp_agr_share!J$1, agr_mes!$B$1:$XFD$1, 0), 0)/VLOOKUP($B116, gdp_tot_mes!$B:$XFD, MATCH(gdp_agr_share!J$1, gdp_tot_mes!$B$1:$XFD$1, 0), 0)</f>
        <v>8.400098586610931E-2</v>
      </c>
      <c r="K116" s="29">
        <f>VLOOKUP($B116, agr_mes!$B:$XFD, MATCH(gdp_agr_share!K$1, agr_mes!$B$1:$XFD$1, 0), 0)/VLOOKUP($B116, gdp_tot_mes!$B:$XFD, MATCH(gdp_agr_share!K$1, gdp_tot_mes!$B$1:$XFD$1, 0), 0)</f>
        <v>6.6901296798883708E-2</v>
      </c>
      <c r="L116" s="30">
        <f t="shared" si="1"/>
        <v>6.69551822087322E-2</v>
      </c>
      <c r="M116" s="29">
        <f>VLOOKUP($B116, agr_mes!$B:$XFD, MATCH(gdp_agr_share!M$1, agr_mes!$B$1:$XFD$1, 0), 0)/VLOOKUP($B116, gdp_tot_mes!$B:$XFD, MATCH(gdp_agr_share!M$1, gdp_tot_mes!$B$1:$XFD$1, 0), 0)</f>
        <v>6.7019844700550377E-2</v>
      </c>
      <c r="N116" s="29">
        <f>VLOOKUP($B116, agr_mes!$B:$XFD, MATCH(gdp_agr_share!N$1, agr_mes!$B$1:$XFD$1, 0), 0)/VLOOKUP($B116, gdp_tot_mes!$B:$XFD, MATCH(gdp_agr_share!N$1, gdp_tot_mes!$B$1:$XFD$1, 0), 0)</f>
        <v>4.7101024842322807E-2</v>
      </c>
      <c r="O116" s="29">
        <f>VLOOKUP($B116, agr_mes!$B:$XFD, MATCH(gdp_agr_share!O$1, agr_mes!$B$1:$XFD$1, 0), 0)/VLOOKUP($B116, gdp_tot_mes!$B:$XFD, MATCH(gdp_agr_share!O$1, gdp_tot_mes!$B$1:$XFD$1, 0), 0)</f>
        <v>4.7405191037082434E-2</v>
      </c>
      <c r="P116" s="29">
        <f>VLOOKUP($B116, agr_mes!$B:$XFD, MATCH(gdp_agr_share!P$1, agr_mes!$B$1:$XFD$1, 0), 0)/VLOOKUP($B116, gdp_tot_mes!$B:$XFD, MATCH(gdp_agr_share!P$1, gdp_tot_mes!$B$1:$XFD$1, 0), 0)</f>
        <v>4.89274642105045E-2</v>
      </c>
      <c r="Q116" s="29">
        <f>VLOOKUP($B116, agr_mes!$B:$XFD, MATCH(gdp_agr_share!Q$1, agr_mes!$B$1:$XFD$1, 0), 0)/VLOOKUP($B116, gdp_tot_mes!$B:$XFD, MATCH(gdp_agr_share!Q$1, gdp_tot_mes!$B$1:$XFD$1, 0), 0)</f>
        <v>4.1635763108837834E-2</v>
      </c>
      <c r="R116" s="29">
        <f>VLOOKUP($B116, agr_mes!$B:$XFD, MATCH(gdp_agr_share!R$1, agr_mes!$B$1:$XFD$1, 0), 0)/VLOOKUP($B116, gdp_tot_mes!$B:$XFD, MATCH(gdp_agr_share!R$1, gdp_tot_mes!$B$1:$XFD$1, 0), 0)</f>
        <v>3.8924918944518799E-2</v>
      </c>
      <c r="S116" s="29">
        <f>VLOOKUP($B116, agr_mes!$B:$XFD, MATCH(gdp_agr_share!S$1, agr_mes!$B$1:$XFD$1, 0), 0)/VLOOKUP($B116, gdp_tot_mes!$B:$XFD, MATCH(gdp_agr_share!S$1, gdp_tot_mes!$B$1:$XFD$1, 0), 0)</f>
        <v>3.5946900746090769E-2</v>
      </c>
      <c r="T116" s="29">
        <f>VLOOKUP($B116, agr_mes!$B:$XFD, MATCH(gdp_agr_share!T$1, agr_mes!$B$1:$XFD$1, 0), 0)/VLOOKUP($B116, gdp_tot_mes!$B:$XFD, MATCH(gdp_agr_share!T$1, gdp_tot_mes!$B$1:$XFD$1, 0), 0)</f>
        <v>3.2317848086759998E-2</v>
      </c>
      <c r="U116" s="29">
        <f>VLOOKUP($B116, agr_mes!$B:$XFD, MATCH(gdp_agr_share!U$1, agr_mes!$B$1:$XFD$1, 0), 0)/VLOOKUP($B116, gdp_tot_mes!$B:$XFD, MATCH(gdp_agr_share!U$1, gdp_tot_mes!$B$1:$XFD$1, 0), 0)</f>
        <v>2.9184875644307495E-2</v>
      </c>
      <c r="V116" s="29">
        <f>VLOOKUP($B116, agr_mes!$B:$XFD, MATCH(gdp_agr_share!V$1, agr_mes!$B$1:$XFD$1, 0), 0)/VLOOKUP($B116, gdp_tot_mes!$B:$XFD, MATCH(gdp_agr_share!V$1, gdp_tot_mes!$B$1:$XFD$1, 0), 0)</f>
        <v>2.7879399542363605E-2</v>
      </c>
      <c r="W116" s="29">
        <f>VLOOKUP($B116, agr_mes!$B:$XFD, MATCH(gdp_agr_share!W$1, agr_mes!$B$1:$XFD$1, 0), 0)/VLOOKUP($B116, gdp_tot_mes!$B:$XFD, MATCH(gdp_agr_share!W$1, gdp_tot_mes!$B$1:$XFD$1, 0), 0)</f>
        <v>2.768862203208523E-2</v>
      </c>
      <c r="X116" s="29">
        <f>VLOOKUP($B116, agr_mes!$B:$XFD, MATCH(gdp_agr_share!X$1, agr_mes!$B$1:$XFD$1, 0), 0)/VLOOKUP($B116, gdp_tot_mes!$B:$XFD, MATCH(gdp_agr_share!X$1, gdp_tot_mes!$B$1:$XFD$1, 0), 0)</f>
        <v>2.6567207622252176E-2</v>
      </c>
      <c r="Y116" s="29">
        <f>VLOOKUP($B116, agr_mes!$B:$XFD, MATCH(gdp_agr_share!Y$1, agr_mes!$B$1:$XFD$1, 0), 0)/VLOOKUP($B116, gdp_tot_mes!$B:$XFD, MATCH(gdp_agr_share!Y$1, gdp_tot_mes!$B$1:$XFD$1, 0), 0)</f>
        <v>2.5168572399524483E-2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x14ac:dyDescent="0.25">
      <c r="A117" s="1" t="s">
        <v>268</v>
      </c>
      <c r="B117" s="1" t="s">
        <v>277</v>
      </c>
      <c r="C117" s="1" t="s">
        <v>278</v>
      </c>
      <c r="D117" s="29">
        <f>VLOOKUP($B117, agr_mes!$B:$XFD, MATCH(gdp_agr_share!D$1, agr_mes!$B$1:$XFD$1, 0), 0)/VLOOKUP($B117, gdp_tot_mes!$B:$XFD, MATCH(gdp_agr_share!D$1, gdp_tot_mes!$B$1:$XFD$1, 0), 0)</f>
        <v>0.22966380540035766</v>
      </c>
      <c r="E117" s="29">
        <f>VLOOKUP($B117, agr_mes!$B:$XFD, MATCH(gdp_agr_share!E$1, agr_mes!$B$1:$XFD$1, 0), 0)/VLOOKUP($B117, gdp_tot_mes!$B:$XFD, MATCH(gdp_agr_share!E$1, gdp_tot_mes!$B$1:$XFD$1, 0), 0)</f>
        <v>0.25151347587446549</v>
      </c>
      <c r="F117" s="29">
        <f>VLOOKUP($B117, agr_mes!$B:$XFD, MATCH(gdp_agr_share!F$1, agr_mes!$B$1:$XFD$1, 0), 0)/VLOOKUP($B117, gdp_tot_mes!$B:$XFD, MATCH(gdp_agr_share!F$1, gdp_tot_mes!$B$1:$XFD$1, 0), 0)</f>
        <v>0.30190189963886493</v>
      </c>
      <c r="G117" s="29">
        <f>VLOOKUP($B117, agr_mes!$B:$XFD, MATCH(gdp_agr_share!G$1, agr_mes!$B$1:$XFD$1, 0), 0)/VLOOKUP($B117, gdp_tot_mes!$B:$XFD, MATCH(gdp_agr_share!G$1, gdp_tot_mes!$B$1:$XFD$1, 0), 0)</f>
        <v>0.2685970948640502</v>
      </c>
      <c r="H117" s="29">
        <f>VLOOKUP($B117, agr_mes!$B:$XFD, MATCH(gdp_agr_share!H$1, agr_mes!$B$1:$XFD$1, 0), 0)/VLOOKUP($B117, gdp_tot_mes!$B:$XFD, MATCH(gdp_agr_share!H$1, gdp_tot_mes!$B$1:$XFD$1, 0), 0)</f>
        <v>0.11275546492372575</v>
      </c>
      <c r="I117" s="29">
        <f>VLOOKUP($B117, agr_mes!$B:$XFD, MATCH(gdp_agr_share!I$1, agr_mes!$B$1:$XFD$1, 0), 0)/VLOOKUP($B117, gdp_tot_mes!$B:$XFD, MATCH(gdp_agr_share!I$1, gdp_tot_mes!$B$1:$XFD$1, 0), 0)</f>
        <v>7.9679008924159425E-2</v>
      </c>
      <c r="J117" s="29">
        <f>VLOOKUP($B117, agr_mes!$B:$XFD, MATCH(gdp_agr_share!J$1, agr_mes!$B$1:$XFD$1, 0), 0)/VLOOKUP($B117, gdp_tot_mes!$B:$XFD, MATCH(gdp_agr_share!J$1, gdp_tot_mes!$B$1:$XFD$1, 0), 0)</f>
        <v>6.1814048490733804E-2</v>
      </c>
      <c r="K117" s="29">
        <f>VLOOKUP($B117, agr_mes!$B:$XFD, MATCH(gdp_agr_share!K$1, agr_mes!$B$1:$XFD$1, 0), 0)/VLOOKUP($B117, gdp_tot_mes!$B:$XFD, MATCH(gdp_agr_share!K$1, gdp_tot_mes!$B$1:$XFD$1, 0), 0)</f>
        <v>3.8048070343637282E-2</v>
      </c>
      <c r="L117" s="30">
        <f t="shared" si="1"/>
        <v>2.8776083757998103E-2</v>
      </c>
      <c r="M117" s="29">
        <f>VLOOKUP($B117, agr_mes!$B:$XFD, MATCH(gdp_agr_share!M$1, agr_mes!$B$1:$XFD$1, 0), 0)/VLOOKUP($B117, gdp_tot_mes!$B:$XFD, MATCH(gdp_agr_share!M$1, gdp_tot_mes!$B$1:$XFD$1, 0), 0)</f>
        <v>1.7649699855231089E-2</v>
      </c>
      <c r="N117" s="29">
        <f>VLOOKUP($B117, agr_mes!$B:$XFD, MATCH(gdp_agr_share!N$1, agr_mes!$B$1:$XFD$1, 0), 0)/VLOOKUP($B117, gdp_tot_mes!$B:$XFD, MATCH(gdp_agr_share!N$1, gdp_tot_mes!$B$1:$XFD$1, 0), 0)</f>
        <v>3.1330184081432469E-2</v>
      </c>
      <c r="O117" s="29">
        <f>VLOOKUP($B117, agr_mes!$B:$XFD, MATCH(gdp_agr_share!O$1, agr_mes!$B$1:$XFD$1, 0), 0)/VLOOKUP($B117, gdp_tot_mes!$B:$XFD, MATCH(gdp_agr_share!O$1, gdp_tot_mes!$B$1:$XFD$1, 0), 0)</f>
        <v>3.3652578598616659E-2</v>
      </c>
      <c r="P117" s="29">
        <f>VLOOKUP($B117, agr_mes!$B:$XFD, MATCH(gdp_agr_share!P$1, agr_mes!$B$1:$XFD$1, 0), 0)/VLOOKUP($B117, gdp_tot_mes!$B:$XFD, MATCH(gdp_agr_share!P$1, gdp_tot_mes!$B$1:$XFD$1, 0), 0)</f>
        <v>3.3038652920753329E-2</v>
      </c>
      <c r="Q117" s="29">
        <f>VLOOKUP($B117, agr_mes!$B:$XFD, MATCH(gdp_agr_share!Q$1, agr_mes!$B$1:$XFD$1, 0), 0)/VLOOKUP($B117, gdp_tot_mes!$B:$XFD, MATCH(gdp_agr_share!Q$1, gdp_tot_mes!$B$1:$XFD$1, 0), 0)</f>
        <v>3.7326162322921158E-2</v>
      </c>
      <c r="R117" s="29">
        <f>VLOOKUP($B117, agr_mes!$B:$XFD, MATCH(gdp_agr_share!R$1, agr_mes!$B$1:$XFD$1, 0), 0)/VLOOKUP($B117, gdp_tot_mes!$B:$XFD, MATCH(gdp_agr_share!R$1, gdp_tot_mes!$B$1:$XFD$1, 0), 0)</f>
        <v>3.3074682840914388E-2</v>
      </c>
      <c r="S117" s="29">
        <f>VLOOKUP($B117, agr_mes!$B:$XFD, MATCH(gdp_agr_share!S$1, agr_mes!$B$1:$XFD$1, 0), 0)/VLOOKUP($B117, gdp_tot_mes!$B:$XFD, MATCH(gdp_agr_share!S$1, gdp_tot_mes!$B$1:$XFD$1, 0), 0)</f>
        <v>2.9483344322546214E-2</v>
      </c>
      <c r="T117" s="29">
        <f>VLOOKUP($B117, agr_mes!$B:$XFD, MATCH(gdp_agr_share!T$1, agr_mes!$B$1:$XFD$1, 0), 0)/VLOOKUP($B117, gdp_tot_mes!$B:$XFD, MATCH(gdp_agr_share!T$1, gdp_tot_mes!$B$1:$XFD$1, 0), 0)</f>
        <v>2.5856617757441979E-2</v>
      </c>
      <c r="U117" s="29">
        <f>VLOOKUP($B117, agr_mes!$B:$XFD, MATCH(gdp_agr_share!U$1, agr_mes!$B$1:$XFD$1, 0), 0)/VLOOKUP($B117, gdp_tot_mes!$B:$XFD, MATCH(gdp_agr_share!U$1, gdp_tot_mes!$B$1:$XFD$1, 0), 0)</f>
        <v>2.5086432456025352E-2</v>
      </c>
      <c r="V117" s="29">
        <f>VLOOKUP($B117, agr_mes!$B:$XFD, MATCH(gdp_agr_share!V$1, agr_mes!$B$1:$XFD$1, 0), 0)/VLOOKUP($B117, gdp_tot_mes!$B:$XFD, MATCH(gdp_agr_share!V$1, gdp_tot_mes!$B$1:$XFD$1, 0), 0)</f>
        <v>2.2240861941619294E-2</v>
      </c>
      <c r="W117" s="29">
        <f>VLOOKUP($B117, agr_mes!$B:$XFD, MATCH(gdp_agr_share!W$1, agr_mes!$B$1:$XFD$1, 0), 0)/VLOOKUP($B117, gdp_tot_mes!$B:$XFD, MATCH(gdp_agr_share!W$1, gdp_tot_mes!$B$1:$XFD$1, 0), 0)</f>
        <v>2.5027550273587829E-2</v>
      </c>
      <c r="X117" s="29">
        <f>VLOOKUP($B117, agr_mes!$B:$XFD, MATCH(gdp_agr_share!X$1, agr_mes!$B$1:$XFD$1, 0), 0)/VLOOKUP($B117, gdp_tot_mes!$B:$XFD, MATCH(gdp_agr_share!X$1, gdp_tot_mes!$B$1:$XFD$1, 0), 0)</f>
        <v>2.5919258858906065E-2</v>
      </c>
      <c r="Y117" s="29">
        <f>VLOOKUP($B117, agr_mes!$B:$XFD, MATCH(gdp_agr_share!Y$1, agr_mes!$B$1:$XFD$1, 0), 0)/VLOOKUP($B117, gdp_tot_mes!$B:$XFD, MATCH(gdp_agr_share!Y$1, gdp_tot_mes!$B$1:$XFD$1, 0), 0)</f>
        <v>2.6918783764025383E-2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x14ac:dyDescent="0.25">
      <c r="A118" s="1" t="s">
        <v>268</v>
      </c>
      <c r="B118" s="1" t="s">
        <v>279</v>
      </c>
      <c r="C118" s="1" t="s">
        <v>280</v>
      </c>
      <c r="D118" s="29">
        <f>VLOOKUP($B118, agr_mes!$B:$XFD, MATCH(gdp_agr_share!D$1, agr_mes!$B$1:$XFD$1, 0), 0)/VLOOKUP($B118, gdp_tot_mes!$B:$XFD, MATCH(gdp_agr_share!D$1, gdp_tot_mes!$B$1:$XFD$1, 0), 0)</f>
        <v>0.64414569127444143</v>
      </c>
      <c r="E118" s="29">
        <f>VLOOKUP($B118, agr_mes!$B:$XFD, MATCH(gdp_agr_share!E$1, agr_mes!$B$1:$XFD$1, 0), 0)/VLOOKUP($B118, gdp_tot_mes!$B:$XFD, MATCH(gdp_agr_share!E$1, gdp_tot_mes!$B$1:$XFD$1, 0), 0)</f>
        <v>0.52586279931143221</v>
      </c>
      <c r="F118" s="29">
        <f>VLOOKUP($B118, agr_mes!$B:$XFD, MATCH(gdp_agr_share!F$1, agr_mes!$B$1:$XFD$1, 0), 0)/VLOOKUP($B118, gdp_tot_mes!$B:$XFD, MATCH(gdp_agr_share!F$1, gdp_tot_mes!$B$1:$XFD$1, 0), 0)</f>
        <v>0.41231787003470888</v>
      </c>
      <c r="G118" s="29">
        <f>VLOOKUP($B118, agr_mes!$B:$XFD, MATCH(gdp_agr_share!G$1, agr_mes!$B$1:$XFD$1, 0), 0)/VLOOKUP($B118, gdp_tot_mes!$B:$XFD, MATCH(gdp_agr_share!G$1, gdp_tot_mes!$B$1:$XFD$1, 0), 0)</f>
        <v>0.3566879481456704</v>
      </c>
      <c r="H118" s="29">
        <f>VLOOKUP($B118, agr_mes!$B:$XFD, MATCH(gdp_agr_share!H$1, agr_mes!$B$1:$XFD$1, 0), 0)/VLOOKUP($B118, gdp_tot_mes!$B:$XFD, MATCH(gdp_agr_share!H$1, gdp_tot_mes!$B$1:$XFD$1, 0), 0)</f>
        <v>0.28974371040471036</v>
      </c>
      <c r="I118" s="29">
        <f>VLOOKUP($B118, agr_mes!$B:$XFD, MATCH(gdp_agr_share!I$1, agr_mes!$B$1:$XFD$1, 0), 0)/VLOOKUP($B118, gdp_tot_mes!$B:$XFD, MATCH(gdp_agr_share!I$1, gdp_tot_mes!$B$1:$XFD$1, 0), 0)</f>
        <v>0.17972508862047532</v>
      </c>
      <c r="J118" s="29">
        <f>VLOOKUP($B118, agr_mes!$B:$XFD, MATCH(gdp_agr_share!J$1, agr_mes!$B$1:$XFD$1, 0), 0)/VLOOKUP($B118, gdp_tot_mes!$B:$XFD, MATCH(gdp_agr_share!J$1, gdp_tot_mes!$B$1:$XFD$1, 0), 0)</f>
        <v>0.16702971076034751</v>
      </c>
      <c r="K118" s="29">
        <f>VLOOKUP($B118, agr_mes!$B:$XFD, MATCH(gdp_agr_share!K$1, agr_mes!$B$1:$XFD$1, 0), 0)/VLOOKUP($B118, gdp_tot_mes!$B:$XFD, MATCH(gdp_agr_share!K$1, gdp_tot_mes!$B$1:$XFD$1, 0), 0)</f>
        <v>0.17844570887711791</v>
      </c>
      <c r="L118" s="30">
        <f t="shared" si="1"/>
        <v>0.16842205583606348</v>
      </c>
      <c r="M118" s="29">
        <f>VLOOKUP($B118, agr_mes!$B:$XFD, MATCH(gdp_agr_share!M$1, agr_mes!$B$1:$XFD$1, 0), 0)/VLOOKUP($B118, gdp_tot_mes!$B:$XFD, MATCH(gdp_agr_share!M$1, gdp_tot_mes!$B$1:$XFD$1, 0), 0)</f>
        <v>0.15639367218679814</v>
      </c>
      <c r="N118" s="29">
        <f>VLOOKUP($B118, agr_mes!$B:$XFD, MATCH(gdp_agr_share!N$1, agr_mes!$B$1:$XFD$1, 0), 0)/VLOOKUP($B118, gdp_tot_mes!$B:$XFD, MATCH(gdp_agr_share!N$1, gdp_tot_mes!$B$1:$XFD$1, 0), 0)</f>
        <v>8.9016291399378444E-2</v>
      </c>
      <c r="O118" s="29">
        <f>VLOOKUP($B118, agr_mes!$B:$XFD, MATCH(gdp_agr_share!O$1, agr_mes!$B$1:$XFD$1, 0), 0)/VLOOKUP($B118, gdp_tot_mes!$B:$XFD, MATCH(gdp_agr_share!O$1, gdp_tot_mes!$B$1:$XFD$1, 0), 0)</f>
        <v>7.9457951141384403E-2</v>
      </c>
      <c r="P118" s="29">
        <f>VLOOKUP($B118, agr_mes!$B:$XFD, MATCH(gdp_agr_share!P$1, agr_mes!$B$1:$XFD$1, 0), 0)/VLOOKUP($B118, gdp_tot_mes!$B:$XFD, MATCH(gdp_agr_share!P$1, gdp_tot_mes!$B$1:$XFD$1, 0), 0)</f>
        <v>8.4420969269174306E-2</v>
      </c>
      <c r="Q118" s="29">
        <f>VLOOKUP($B118, agr_mes!$B:$XFD, MATCH(gdp_agr_share!Q$1, agr_mes!$B$1:$XFD$1, 0), 0)/VLOOKUP($B118, gdp_tot_mes!$B:$XFD, MATCH(gdp_agr_share!Q$1, gdp_tot_mes!$B$1:$XFD$1, 0), 0)</f>
        <v>9.7682645223688344E-2</v>
      </c>
      <c r="R118" s="29">
        <f>VLOOKUP($B118, agr_mes!$B:$XFD, MATCH(gdp_agr_share!R$1, agr_mes!$B$1:$XFD$1, 0), 0)/VLOOKUP($B118, gdp_tot_mes!$B:$XFD, MATCH(gdp_agr_share!R$1, gdp_tot_mes!$B$1:$XFD$1, 0), 0)</f>
        <v>0.10193937913746452</v>
      </c>
      <c r="S118" s="29">
        <f>VLOOKUP($B118, agr_mes!$B:$XFD, MATCH(gdp_agr_share!S$1, agr_mes!$B$1:$XFD$1, 0), 0)/VLOOKUP($B118, gdp_tot_mes!$B:$XFD, MATCH(gdp_agr_share!S$1, gdp_tot_mes!$B$1:$XFD$1, 0), 0)</f>
        <v>9.1096945595256579E-2</v>
      </c>
      <c r="T118" s="29">
        <f>VLOOKUP($B118, agr_mes!$B:$XFD, MATCH(gdp_agr_share!T$1, agr_mes!$B$1:$XFD$1, 0), 0)/VLOOKUP($B118, gdp_tot_mes!$B:$XFD, MATCH(gdp_agr_share!T$1, gdp_tot_mes!$B$1:$XFD$1, 0), 0)</f>
        <v>8.5197216356211122E-2</v>
      </c>
      <c r="U118" s="29">
        <f>VLOOKUP($B118, agr_mes!$B:$XFD, MATCH(gdp_agr_share!U$1, agr_mes!$B$1:$XFD$1, 0), 0)/VLOOKUP($B118, gdp_tot_mes!$B:$XFD, MATCH(gdp_agr_share!U$1, gdp_tot_mes!$B$1:$XFD$1, 0), 0)</f>
        <v>7.1792952511216326E-2</v>
      </c>
      <c r="V118" s="29">
        <f>VLOOKUP($B118, agr_mes!$B:$XFD, MATCH(gdp_agr_share!V$1, agr_mes!$B$1:$XFD$1, 0), 0)/VLOOKUP($B118, gdp_tot_mes!$B:$XFD, MATCH(gdp_agr_share!V$1, gdp_tot_mes!$B$1:$XFD$1, 0), 0)</f>
        <v>6.7539860629696649E-2</v>
      </c>
      <c r="W118" s="29">
        <f>VLOOKUP($B118, agr_mes!$B:$XFD, MATCH(gdp_agr_share!W$1, agr_mes!$B$1:$XFD$1, 0), 0)/VLOOKUP($B118, gdp_tot_mes!$B:$XFD, MATCH(gdp_agr_share!W$1, gdp_tot_mes!$B$1:$XFD$1, 0), 0)</f>
        <v>7.6096933255762361E-2</v>
      </c>
      <c r="X118" s="29">
        <f>VLOOKUP($B118, agr_mes!$B:$XFD, MATCH(gdp_agr_share!X$1, agr_mes!$B$1:$XFD$1, 0), 0)/VLOOKUP($B118, gdp_tot_mes!$B:$XFD, MATCH(gdp_agr_share!X$1, gdp_tot_mes!$B$1:$XFD$1, 0), 0)</f>
        <v>7.9818555071914821E-2</v>
      </c>
      <c r="Y118" s="29">
        <f>VLOOKUP($B118, agr_mes!$B:$XFD, MATCH(gdp_agr_share!Y$1, agr_mes!$B$1:$XFD$1, 0), 0)/VLOOKUP($B118, gdp_tot_mes!$B:$XFD, MATCH(gdp_agr_share!Y$1, gdp_tot_mes!$B$1:$XFD$1, 0), 0)</f>
        <v>6.7261975966623075E-2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x14ac:dyDescent="0.25">
      <c r="A119" s="1" t="s">
        <v>281</v>
      </c>
      <c r="B119" s="1" t="s">
        <v>282</v>
      </c>
      <c r="C119" s="1" t="s">
        <v>283</v>
      </c>
      <c r="D119" s="29">
        <f>VLOOKUP($B119, agr_mes!$B:$XFD, MATCH(gdp_agr_share!D$1, agr_mes!$B$1:$XFD$1, 0), 0)/VLOOKUP($B119, gdp_tot_mes!$B:$XFD, MATCH(gdp_agr_share!D$1, gdp_tot_mes!$B$1:$XFD$1, 0), 0)</f>
        <v>0.71322524191163106</v>
      </c>
      <c r="E119" s="29">
        <f>VLOOKUP($B119, agr_mes!$B:$XFD, MATCH(gdp_agr_share!E$1, agr_mes!$B$1:$XFD$1, 0), 0)/VLOOKUP($B119, gdp_tot_mes!$B:$XFD, MATCH(gdp_agr_share!E$1, gdp_tot_mes!$B$1:$XFD$1, 0), 0)</f>
        <v>0.60700046030788313</v>
      </c>
      <c r="F119" s="29">
        <f>VLOOKUP($B119, agr_mes!$B:$XFD, MATCH(gdp_agr_share!F$1, agr_mes!$B$1:$XFD$1, 0), 0)/VLOOKUP($B119, gdp_tot_mes!$B:$XFD, MATCH(gdp_agr_share!F$1, gdp_tot_mes!$B$1:$XFD$1, 0), 0)</f>
        <v>0.5994766624244845</v>
      </c>
      <c r="G119" s="29">
        <f>VLOOKUP($B119, agr_mes!$B:$XFD, MATCH(gdp_agr_share!G$1, agr_mes!$B$1:$XFD$1, 0), 0)/VLOOKUP($B119, gdp_tot_mes!$B:$XFD, MATCH(gdp_agr_share!G$1, gdp_tot_mes!$B$1:$XFD$1, 0), 0)</f>
        <v>0.65367215411387902</v>
      </c>
      <c r="H119" s="29">
        <f>VLOOKUP($B119, agr_mes!$B:$XFD, MATCH(gdp_agr_share!H$1, agr_mes!$B$1:$XFD$1, 0), 0)/VLOOKUP($B119, gdp_tot_mes!$B:$XFD, MATCH(gdp_agr_share!H$1, gdp_tot_mes!$B$1:$XFD$1, 0), 0)</f>
        <v>0.30821528067296772</v>
      </c>
      <c r="I119" s="29">
        <f>VLOOKUP($B119, agr_mes!$B:$XFD, MATCH(gdp_agr_share!I$1, agr_mes!$B$1:$XFD$1, 0), 0)/VLOOKUP($B119, gdp_tot_mes!$B:$XFD, MATCH(gdp_agr_share!I$1, gdp_tot_mes!$B$1:$XFD$1, 0), 0)</f>
        <v>0.47425596007902499</v>
      </c>
      <c r="J119" s="29">
        <f>VLOOKUP($B119, agr_mes!$B:$XFD, MATCH(gdp_agr_share!J$1, agr_mes!$B$1:$XFD$1, 0), 0)/VLOOKUP($B119, gdp_tot_mes!$B:$XFD, MATCH(gdp_agr_share!J$1, gdp_tot_mes!$B$1:$XFD$1, 0), 0)</f>
        <v>0.52573796321662725</v>
      </c>
      <c r="K119" s="29">
        <f>VLOOKUP($B119, agr_mes!$B:$XFD, MATCH(gdp_agr_share!K$1, agr_mes!$B$1:$XFD$1, 0), 0)/VLOOKUP($B119, gdp_tot_mes!$B:$XFD, MATCH(gdp_agr_share!K$1, gdp_tot_mes!$B$1:$XFD$1, 0), 0)</f>
        <v>0.43439951757094331</v>
      </c>
      <c r="L119" s="30">
        <f t="shared" si="1"/>
        <v>0.40138851545963306</v>
      </c>
      <c r="M119" s="29">
        <f>VLOOKUP($B119, agr_mes!$B:$XFD, MATCH(gdp_agr_share!M$1, agr_mes!$B$1:$XFD$1, 0), 0)/VLOOKUP($B119, gdp_tot_mes!$B:$XFD, MATCH(gdp_agr_share!M$1, gdp_tot_mes!$B$1:$XFD$1, 0), 0)</f>
        <v>0.36177531292606074</v>
      </c>
      <c r="N119" s="29">
        <f>VLOOKUP($B119, agr_mes!$B:$XFD, MATCH(gdp_agr_share!N$1, agr_mes!$B$1:$XFD$1, 0), 0)/VLOOKUP($B119, gdp_tot_mes!$B:$XFD, MATCH(gdp_agr_share!N$1, gdp_tot_mes!$B$1:$XFD$1, 0), 0)</f>
        <v>0.14386517937129903</v>
      </c>
      <c r="O119" s="29">
        <f>VLOOKUP($B119, agr_mes!$B:$XFD, MATCH(gdp_agr_share!O$1, agr_mes!$B$1:$XFD$1, 0), 0)/VLOOKUP($B119, gdp_tot_mes!$B:$XFD, MATCH(gdp_agr_share!O$1, gdp_tot_mes!$B$1:$XFD$1, 0), 0)</f>
        <v>0.12430627870915495</v>
      </c>
      <c r="P119" s="29">
        <f>VLOOKUP($B119, agr_mes!$B:$XFD, MATCH(gdp_agr_share!P$1, agr_mes!$B$1:$XFD$1, 0), 0)/VLOOKUP($B119, gdp_tot_mes!$B:$XFD, MATCH(gdp_agr_share!P$1, gdp_tot_mes!$B$1:$XFD$1, 0), 0)</f>
        <v>6.180492217103175E-2</v>
      </c>
      <c r="Q119" s="29">
        <f>VLOOKUP($B119, agr_mes!$B:$XFD, MATCH(gdp_agr_share!Q$1, agr_mes!$B$1:$XFD$1, 0), 0)/VLOOKUP($B119, gdp_tot_mes!$B:$XFD, MATCH(gdp_agr_share!Q$1, gdp_tot_mes!$B$1:$XFD$1, 0), 0)</f>
        <v>5.6910821414933095E-2</v>
      </c>
      <c r="R119" s="29">
        <f>VLOOKUP($B119, agr_mes!$B:$XFD, MATCH(gdp_agr_share!R$1, agr_mes!$B$1:$XFD$1, 0), 0)/VLOOKUP($B119, gdp_tot_mes!$B:$XFD, MATCH(gdp_agr_share!R$1, gdp_tot_mes!$B$1:$XFD$1, 0), 0)</f>
        <v>6.172398315565239E-2</v>
      </c>
      <c r="S119" s="29">
        <f>VLOOKUP($B119, agr_mes!$B:$XFD, MATCH(gdp_agr_share!S$1, agr_mes!$B$1:$XFD$1, 0), 0)/VLOOKUP($B119, gdp_tot_mes!$B:$XFD, MATCH(gdp_agr_share!S$1, gdp_tot_mes!$B$1:$XFD$1, 0), 0)</f>
        <v>5.8102444001578928E-2</v>
      </c>
      <c r="T119" s="29">
        <f>VLOOKUP($B119, agr_mes!$B:$XFD, MATCH(gdp_agr_share!T$1, agr_mes!$B$1:$XFD$1, 0), 0)/VLOOKUP($B119, gdp_tot_mes!$B:$XFD, MATCH(gdp_agr_share!T$1, gdp_tot_mes!$B$1:$XFD$1, 0), 0)</f>
        <v>7.6282961684133385E-2</v>
      </c>
      <c r="U119" s="29">
        <f>VLOOKUP($B119, agr_mes!$B:$XFD, MATCH(gdp_agr_share!U$1, agr_mes!$B$1:$XFD$1, 0), 0)/VLOOKUP($B119, gdp_tot_mes!$B:$XFD, MATCH(gdp_agr_share!U$1, gdp_tot_mes!$B$1:$XFD$1, 0), 0)</f>
        <v>8.890828357361151E-2</v>
      </c>
      <c r="V119" s="29">
        <f>VLOOKUP($B119, agr_mes!$B:$XFD, MATCH(gdp_agr_share!V$1, agr_mes!$B$1:$XFD$1, 0), 0)/VLOOKUP($B119, gdp_tot_mes!$B:$XFD, MATCH(gdp_agr_share!V$1, gdp_tot_mes!$B$1:$XFD$1, 0), 0)</f>
        <v>8.797025854851491E-2</v>
      </c>
      <c r="W119" s="29">
        <f>VLOOKUP($B119, agr_mes!$B:$XFD, MATCH(gdp_agr_share!W$1, agr_mes!$B$1:$XFD$1, 0), 0)/VLOOKUP($B119, gdp_tot_mes!$B:$XFD, MATCH(gdp_agr_share!W$1, gdp_tot_mes!$B$1:$XFD$1, 0), 0)</f>
        <v>0.11778309611957934</v>
      </c>
      <c r="X119" s="29">
        <f>VLOOKUP($B119, agr_mes!$B:$XFD, MATCH(gdp_agr_share!X$1, agr_mes!$B$1:$XFD$1, 0), 0)/VLOOKUP($B119, gdp_tot_mes!$B:$XFD, MATCH(gdp_agr_share!X$1, gdp_tot_mes!$B$1:$XFD$1, 0), 0)</f>
        <v>0.1280318263195436</v>
      </c>
      <c r="Y119" s="29">
        <f>VLOOKUP($B119, agr_mes!$B:$XFD, MATCH(gdp_agr_share!Y$1, agr_mes!$B$1:$XFD$1, 0), 0)/VLOOKUP($B119, gdp_tot_mes!$B:$XFD, MATCH(gdp_agr_share!Y$1, gdp_tot_mes!$B$1:$XFD$1, 0), 0)</f>
        <v>0.10913859783702946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x14ac:dyDescent="0.25">
      <c r="A120" s="1" t="s">
        <v>281</v>
      </c>
      <c r="B120" s="1" t="s">
        <v>284</v>
      </c>
      <c r="C120" s="1" t="s">
        <v>285</v>
      </c>
      <c r="D120" s="29">
        <f>VLOOKUP($B120, agr_mes!$B:$XFD, MATCH(gdp_agr_share!D$1, agr_mes!$B$1:$XFD$1, 0), 0)/VLOOKUP($B120, gdp_tot_mes!$B:$XFD, MATCH(gdp_agr_share!D$1, gdp_tot_mes!$B$1:$XFD$1, 0), 0)</f>
        <v>0.63357553753078522</v>
      </c>
      <c r="E120" s="29">
        <f>VLOOKUP($B120, agr_mes!$B:$XFD, MATCH(gdp_agr_share!E$1, agr_mes!$B$1:$XFD$1, 0), 0)/VLOOKUP($B120, gdp_tot_mes!$B:$XFD, MATCH(gdp_agr_share!E$1, gdp_tot_mes!$B$1:$XFD$1, 0), 0)</f>
        <v>0.6320712332671492</v>
      </c>
      <c r="F120" s="29">
        <f>VLOOKUP($B120, agr_mes!$B:$XFD, MATCH(gdp_agr_share!F$1, agr_mes!$B$1:$XFD$1, 0), 0)/VLOOKUP($B120, gdp_tot_mes!$B:$XFD, MATCH(gdp_agr_share!F$1, gdp_tot_mes!$B$1:$XFD$1, 0), 0)</f>
        <v>0.56698403439534661</v>
      </c>
      <c r="G120" s="29">
        <f>VLOOKUP($B120, agr_mes!$B:$XFD, MATCH(gdp_agr_share!G$1, agr_mes!$B$1:$XFD$1, 0), 0)/VLOOKUP($B120, gdp_tot_mes!$B:$XFD, MATCH(gdp_agr_share!G$1, gdp_tot_mes!$B$1:$XFD$1, 0), 0)</f>
        <v>0.54039281543833539</v>
      </c>
      <c r="H120" s="29">
        <f>VLOOKUP($B120, agr_mes!$B:$XFD, MATCH(gdp_agr_share!H$1, agr_mes!$B$1:$XFD$1, 0), 0)/VLOOKUP($B120, gdp_tot_mes!$B:$XFD, MATCH(gdp_agr_share!H$1, gdp_tot_mes!$B$1:$XFD$1, 0), 0)</f>
        <v>0.48874856342739159</v>
      </c>
      <c r="I120" s="29">
        <f>VLOOKUP($B120, agr_mes!$B:$XFD, MATCH(gdp_agr_share!I$1, agr_mes!$B$1:$XFD$1, 0), 0)/VLOOKUP($B120, gdp_tot_mes!$B:$XFD, MATCH(gdp_agr_share!I$1, gdp_tot_mes!$B$1:$XFD$1, 0), 0)</f>
        <v>0.4401898894074574</v>
      </c>
      <c r="J120" s="29">
        <f>VLOOKUP($B120, agr_mes!$B:$XFD, MATCH(gdp_agr_share!J$1, agr_mes!$B$1:$XFD$1, 0), 0)/VLOOKUP($B120, gdp_tot_mes!$B:$XFD, MATCH(gdp_agr_share!J$1, gdp_tot_mes!$B$1:$XFD$1, 0), 0)</f>
        <v>0.43069983642195808</v>
      </c>
      <c r="K120" s="29">
        <f>VLOOKUP($B120, agr_mes!$B:$XFD, MATCH(gdp_agr_share!K$1, agr_mes!$B$1:$XFD$1, 0), 0)/VLOOKUP($B120, gdp_tot_mes!$B:$XFD, MATCH(gdp_agr_share!K$1, gdp_tot_mes!$B$1:$XFD$1, 0), 0)</f>
        <v>0.33425924529345508</v>
      </c>
      <c r="L120" s="30">
        <f t="shared" si="1"/>
        <v>0.31646061267521425</v>
      </c>
      <c r="M120" s="29">
        <f>VLOOKUP($B120, agr_mes!$B:$XFD, MATCH(gdp_agr_share!M$1, agr_mes!$B$1:$XFD$1, 0), 0)/VLOOKUP($B120, gdp_tot_mes!$B:$XFD, MATCH(gdp_agr_share!M$1, gdp_tot_mes!$B$1:$XFD$1, 0), 0)</f>
        <v>0.2951022535333252</v>
      </c>
      <c r="N120" s="29">
        <f>VLOOKUP($B120, agr_mes!$B:$XFD, MATCH(gdp_agr_share!N$1, agr_mes!$B$1:$XFD$1, 0), 0)/VLOOKUP($B120, gdp_tot_mes!$B:$XFD, MATCH(gdp_agr_share!N$1, gdp_tot_mes!$B$1:$XFD$1, 0), 0)</f>
        <v>0.11183888948625036</v>
      </c>
      <c r="O120" s="29">
        <f>VLOOKUP($B120, agr_mes!$B:$XFD, MATCH(gdp_agr_share!O$1, agr_mes!$B$1:$XFD$1, 0), 0)/VLOOKUP($B120, gdp_tot_mes!$B:$XFD, MATCH(gdp_agr_share!O$1, gdp_tot_mes!$B$1:$XFD$1, 0), 0)</f>
        <v>0.1044761906625449</v>
      </c>
      <c r="P120" s="29">
        <f>VLOOKUP($B120, agr_mes!$B:$XFD, MATCH(gdp_agr_share!P$1, agr_mes!$B$1:$XFD$1, 0), 0)/VLOOKUP($B120, gdp_tot_mes!$B:$XFD, MATCH(gdp_agr_share!P$1, gdp_tot_mes!$B$1:$XFD$1, 0), 0)</f>
        <v>0.10021379351779303</v>
      </c>
      <c r="Q120" s="29">
        <f>VLOOKUP($B120, agr_mes!$B:$XFD, MATCH(gdp_agr_share!Q$1, agr_mes!$B$1:$XFD$1, 0), 0)/VLOOKUP($B120, gdp_tot_mes!$B:$XFD, MATCH(gdp_agr_share!Q$1, gdp_tot_mes!$B$1:$XFD$1, 0), 0)</f>
        <v>0.16859143873737401</v>
      </c>
      <c r="R120" s="29">
        <f>VLOOKUP($B120, agr_mes!$B:$XFD, MATCH(gdp_agr_share!R$1, agr_mes!$B$1:$XFD$1, 0), 0)/VLOOKUP($B120, gdp_tot_mes!$B:$XFD, MATCH(gdp_agr_share!R$1, gdp_tot_mes!$B$1:$XFD$1, 0), 0)</f>
        <v>0.22232105517072917</v>
      </c>
      <c r="S120" s="29">
        <f>VLOOKUP($B120, agr_mes!$B:$XFD, MATCH(gdp_agr_share!S$1, agr_mes!$B$1:$XFD$1, 0), 0)/VLOOKUP($B120, gdp_tot_mes!$B:$XFD, MATCH(gdp_agr_share!S$1, gdp_tot_mes!$B$1:$XFD$1, 0), 0)</f>
        <v>0.1721407231277228</v>
      </c>
      <c r="T120" s="29">
        <f>VLOOKUP($B120, agr_mes!$B:$XFD, MATCH(gdp_agr_share!T$1, agr_mes!$B$1:$XFD$1, 0), 0)/VLOOKUP($B120, gdp_tot_mes!$B:$XFD, MATCH(gdp_agr_share!T$1, gdp_tot_mes!$B$1:$XFD$1, 0), 0)</f>
        <v>0.15665986610654975</v>
      </c>
      <c r="U120" s="29">
        <f>VLOOKUP($B120, agr_mes!$B:$XFD, MATCH(gdp_agr_share!U$1, agr_mes!$B$1:$XFD$1, 0), 0)/VLOOKUP($B120, gdp_tot_mes!$B:$XFD, MATCH(gdp_agr_share!U$1, gdp_tot_mes!$B$1:$XFD$1, 0), 0)</f>
        <v>0.16040181383366464</v>
      </c>
      <c r="V120" s="29">
        <f>VLOOKUP($B120, agr_mes!$B:$XFD, MATCH(gdp_agr_share!V$1, agr_mes!$B$1:$XFD$1, 0), 0)/VLOOKUP($B120, gdp_tot_mes!$B:$XFD, MATCH(gdp_agr_share!V$1, gdp_tot_mes!$B$1:$XFD$1, 0), 0)</f>
        <v>0.14540090242776324</v>
      </c>
      <c r="W120" s="29">
        <f>VLOOKUP($B120, agr_mes!$B:$XFD, MATCH(gdp_agr_share!W$1, agr_mes!$B$1:$XFD$1, 0), 0)/VLOOKUP($B120, gdp_tot_mes!$B:$XFD, MATCH(gdp_agr_share!W$1, gdp_tot_mes!$B$1:$XFD$1, 0), 0)</f>
        <v>0.1738514308638815</v>
      </c>
      <c r="X120" s="29">
        <f>VLOOKUP($B120, agr_mes!$B:$XFD, MATCH(gdp_agr_share!X$1, agr_mes!$B$1:$XFD$1, 0), 0)/VLOOKUP($B120, gdp_tot_mes!$B:$XFD, MATCH(gdp_agr_share!X$1, gdp_tot_mes!$B$1:$XFD$1, 0), 0)</f>
        <v>0.16539037907706469</v>
      </c>
      <c r="Y120" s="29">
        <f>VLOOKUP($B120, agr_mes!$B:$XFD, MATCH(gdp_agr_share!Y$1, agr_mes!$B$1:$XFD$1, 0), 0)/VLOOKUP($B120, gdp_tot_mes!$B:$XFD, MATCH(gdp_agr_share!Y$1, gdp_tot_mes!$B$1:$XFD$1, 0), 0)</f>
        <v>0.13752444858163987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x14ac:dyDescent="0.25">
      <c r="A121" s="1" t="s">
        <v>281</v>
      </c>
      <c r="B121" s="1" t="s">
        <v>286</v>
      </c>
      <c r="C121" s="1" t="s">
        <v>287</v>
      </c>
      <c r="D121" s="29">
        <f>VLOOKUP($B121, agr_mes!$B:$XFD, MATCH(gdp_agr_share!D$1, agr_mes!$B$1:$XFD$1, 0), 0)/VLOOKUP($B121, gdp_tot_mes!$B:$XFD, MATCH(gdp_agr_share!D$1, gdp_tot_mes!$B$1:$XFD$1, 0), 0)</f>
        <v>0.31295115906133275</v>
      </c>
      <c r="E121" s="29">
        <f>VLOOKUP($B121, agr_mes!$B:$XFD, MATCH(gdp_agr_share!E$1, agr_mes!$B$1:$XFD$1, 0), 0)/VLOOKUP($B121, gdp_tot_mes!$B:$XFD, MATCH(gdp_agr_share!E$1, gdp_tot_mes!$B$1:$XFD$1, 0), 0)</f>
        <v>0.2487920862860038</v>
      </c>
      <c r="F121" s="29">
        <f>VLOOKUP($B121, agr_mes!$B:$XFD, MATCH(gdp_agr_share!F$1, agr_mes!$B$1:$XFD$1, 0), 0)/VLOOKUP($B121, gdp_tot_mes!$B:$XFD, MATCH(gdp_agr_share!F$1, gdp_tot_mes!$B$1:$XFD$1, 0), 0)</f>
        <v>0.2122507119266063</v>
      </c>
      <c r="G121" s="29">
        <f>VLOOKUP($B121, agr_mes!$B:$XFD, MATCH(gdp_agr_share!G$1, agr_mes!$B$1:$XFD$1, 0), 0)/VLOOKUP($B121, gdp_tot_mes!$B:$XFD, MATCH(gdp_agr_share!G$1, gdp_tot_mes!$B$1:$XFD$1, 0), 0)</f>
        <v>0.20067506641276214</v>
      </c>
      <c r="H121" s="29">
        <f>VLOOKUP($B121, agr_mes!$B:$XFD, MATCH(gdp_agr_share!H$1, agr_mes!$B$1:$XFD$1, 0), 0)/VLOOKUP($B121, gdp_tot_mes!$B:$XFD, MATCH(gdp_agr_share!H$1, gdp_tot_mes!$B$1:$XFD$1, 0), 0)</f>
        <v>0.12255285091144079</v>
      </c>
      <c r="I121" s="29">
        <f>VLOOKUP($B121, agr_mes!$B:$XFD, MATCH(gdp_agr_share!I$1, agr_mes!$B$1:$XFD$1, 0), 0)/VLOOKUP($B121, gdp_tot_mes!$B:$XFD, MATCH(gdp_agr_share!I$1, gdp_tot_mes!$B$1:$XFD$1, 0), 0)</f>
        <v>7.2088459566984092E-2</v>
      </c>
      <c r="J121" s="29">
        <f>VLOOKUP($B121, agr_mes!$B:$XFD, MATCH(gdp_agr_share!J$1, agr_mes!$B$1:$XFD$1, 0), 0)/VLOOKUP($B121, gdp_tot_mes!$B:$XFD, MATCH(gdp_agr_share!J$1, gdp_tot_mes!$B$1:$XFD$1, 0), 0)</f>
        <v>8.9909919029084559E-2</v>
      </c>
      <c r="K121" s="29">
        <f>VLOOKUP($B121, agr_mes!$B:$XFD, MATCH(gdp_agr_share!K$1, agr_mes!$B$1:$XFD$1, 0), 0)/VLOOKUP($B121, gdp_tot_mes!$B:$XFD, MATCH(gdp_agr_share!K$1, gdp_tot_mes!$B$1:$XFD$1, 0), 0)</f>
        <v>6.429826299350927E-2</v>
      </c>
      <c r="L121" s="30">
        <f t="shared" si="1"/>
        <v>5.7520048452591836E-2</v>
      </c>
      <c r="M121" s="29">
        <f>VLOOKUP($B121, agr_mes!$B:$XFD, MATCH(gdp_agr_share!M$1, agr_mes!$B$1:$XFD$1, 0), 0)/VLOOKUP($B121, gdp_tot_mes!$B:$XFD, MATCH(gdp_agr_share!M$1, gdp_tot_mes!$B$1:$XFD$1, 0), 0)</f>
        <v>4.9386191003490919E-2</v>
      </c>
      <c r="N121" s="29">
        <f>VLOOKUP($B121, agr_mes!$B:$XFD, MATCH(gdp_agr_share!N$1, agr_mes!$B$1:$XFD$1, 0), 0)/VLOOKUP($B121, gdp_tot_mes!$B:$XFD, MATCH(gdp_agr_share!N$1, gdp_tot_mes!$B$1:$XFD$1, 0), 0)</f>
        <v>2.6374773161608848E-2</v>
      </c>
      <c r="O121" s="29">
        <f>VLOOKUP($B121, agr_mes!$B:$XFD, MATCH(gdp_agr_share!O$1, agr_mes!$B$1:$XFD$1, 0), 0)/VLOOKUP($B121, gdp_tot_mes!$B:$XFD, MATCH(gdp_agr_share!O$1, gdp_tot_mes!$B$1:$XFD$1, 0), 0)</f>
        <v>2.2477729472067113E-2</v>
      </c>
      <c r="P121" s="29">
        <f>VLOOKUP($B121, agr_mes!$B:$XFD, MATCH(gdp_agr_share!P$1, agr_mes!$B$1:$XFD$1, 0), 0)/VLOOKUP($B121, gdp_tot_mes!$B:$XFD, MATCH(gdp_agr_share!P$1, gdp_tot_mes!$B$1:$XFD$1, 0), 0)</f>
        <v>2.3948672328142878E-2</v>
      </c>
      <c r="Q121" s="29">
        <f>VLOOKUP($B121, agr_mes!$B:$XFD, MATCH(gdp_agr_share!Q$1, agr_mes!$B$1:$XFD$1, 0), 0)/VLOOKUP($B121, gdp_tot_mes!$B:$XFD, MATCH(gdp_agr_share!Q$1, gdp_tot_mes!$B$1:$XFD$1, 0), 0)</f>
        <v>4.6187627002710736E-2</v>
      </c>
      <c r="R121" s="29">
        <f>VLOOKUP($B121, agr_mes!$B:$XFD, MATCH(gdp_agr_share!R$1, agr_mes!$B$1:$XFD$1, 0), 0)/VLOOKUP($B121, gdp_tot_mes!$B:$XFD, MATCH(gdp_agr_share!R$1, gdp_tot_mes!$B$1:$XFD$1, 0), 0)</f>
        <v>5.6417411565011413E-2</v>
      </c>
      <c r="S121" s="29">
        <f>VLOOKUP($B121, agr_mes!$B:$XFD, MATCH(gdp_agr_share!S$1, agr_mes!$B$1:$XFD$1, 0), 0)/VLOOKUP($B121, gdp_tot_mes!$B:$XFD, MATCH(gdp_agr_share!S$1, gdp_tot_mes!$B$1:$XFD$1, 0), 0)</f>
        <v>4.9179601923899439E-2</v>
      </c>
      <c r="T121" s="29">
        <f>VLOOKUP($B121, agr_mes!$B:$XFD, MATCH(gdp_agr_share!T$1, agr_mes!$B$1:$XFD$1, 0), 0)/VLOOKUP($B121, gdp_tot_mes!$B:$XFD, MATCH(gdp_agr_share!T$1, gdp_tot_mes!$B$1:$XFD$1, 0), 0)</f>
        <v>4.5775006921423507E-2</v>
      </c>
      <c r="U121" s="29">
        <f>VLOOKUP($B121, agr_mes!$B:$XFD, MATCH(gdp_agr_share!U$1, agr_mes!$B$1:$XFD$1, 0), 0)/VLOOKUP($B121, gdp_tot_mes!$B:$XFD, MATCH(gdp_agr_share!U$1, gdp_tot_mes!$B$1:$XFD$1, 0), 0)</f>
        <v>5.2278452554015947E-2</v>
      </c>
      <c r="V121" s="29">
        <f>VLOOKUP($B121, agr_mes!$B:$XFD, MATCH(gdp_agr_share!V$1, agr_mes!$B$1:$XFD$1, 0), 0)/VLOOKUP($B121, gdp_tot_mes!$B:$XFD, MATCH(gdp_agr_share!V$1, gdp_tot_mes!$B$1:$XFD$1, 0), 0)</f>
        <v>4.2750023724143757E-2</v>
      </c>
      <c r="W121" s="29">
        <f>VLOOKUP($B121, agr_mes!$B:$XFD, MATCH(gdp_agr_share!W$1, agr_mes!$B$1:$XFD$1, 0), 0)/VLOOKUP($B121, gdp_tot_mes!$B:$XFD, MATCH(gdp_agr_share!W$1, gdp_tot_mes!$B$1:$XFD$1, 0), 0)</f>
        <v>4.6197895588765671E-2</v>
      </c>
      <c r="X121" s="29">
        <f>VLOOKUP($B121, agr_mes!$B:$XFD, MATCH(gdp_agr_share!X$1, agr_mes!$B$1:$XFD$1, 0), 0)/VLOOKUP($B121, gdp_tot_mes!$B:$XFD, MATCH(gdp_agr_share!X$1, gdp_tot_mes!$B$1:$XFD$1, 0), 0)</f>
        <v>5.9217408815965503E-2</v>
      </c>
      <c r="Y121" s="29">
        <f>VLOOKUP($B121, agr_mes!$B:$XFD, MATCH(gdp_agr_share!Y$1, agr_mes!$B$1:$XFD$1, 0), 0)/VLOOKUP($B121, gdp_tot_mes!$B:$XFD, MATCH(gdp_agr_share!Y$1, gdp_tot_mes!$B$1:$XFD$1, 0), 0)</f>
        <v>4.2950608680271195E-2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x14ac:dyDescent="0.25">
      <c r="A122" s="1" t="s">
        <v>288</v>
      </c>
      <c r="B122" s="1" t="s">
        <v>289</v>
      </c>
      <c r="C122" s="1" t="s">
        <v>290</v>
      </c>
      <c r="D122" s="29">
        <f>VLOOKUP($B122, agr_mes!$B:$XFD, MATCH(gdp_agr_share!D$1, agr_mes!$B$1:$XFD$1, 0), 0)/VLOOKUP($B122, gdp_tot_mes!$B:$XFD, MATCH(gdp_agr_share!D$1, gdp_tot_mes!$B$1:$XFD$1, 0), 0)</f>
        <v>0.76680084835933726</v>
      </c>
      <c r="E122" s="29">
        <f>VLOOKUP($B122, agr_mes!$B:$XFD, MATCH(gdp_agr_share!E$1, agr_mes!$B$1:$XFD$1, 0), 0)/VLOOKUP($B122, gdp_tot_mes!$B:$XFD, MATCH(gdp_agr_share!E$1, gdp_tot_mes!$B$1:$XFD$1, 0), 0)</f>
        <v>0.56045445661240256</v>
      </c>
      <c r="F122" s="29">
        <f>VLOOKUP($B122, agr_mes!$B:$XFD, MATCH(gdp_agr_share!F$1, agr_mes!$B$1:$XFD$1, 0), 0)/VLOOKUP($B122, gdp_tot_mes!$B:$XFD, MATCH(gdp_agr_share!F$1, gdp_tot_mes!$B$1:$XFD$1, 0), 0)</f>
        <v>0.56216155190784201</v>
      </c>
      <c r="G122" s="29">
        <f>VLOOKUP($B122, agr_mes!$B:$XFD, MATCH(gdp_agr_share!G$1, agr_mes!$B$1:$XFD$1, 0), 0)/VLOOKUP($B122, gdp_tot_mes!$B:$XFD, MATCH(gdp_agr_share!G$1, gdp_tot_mes!$B$1:$XFD$1, 0), 0)</f>
        <v>0.46506630452926923</v>
      </c>
      <c r="H122" s="29">
        <f>VLOOKUP($B122, agr_mes!$B:$XFD, MATCH(gdp_agr_share!H$1, agr_mes!$B$1:$XFD$1, 0), 0)/VLOOKUP($B122, gdp_tot_mes!$B:$XFD, MATCH(gdp_agr_share!H$1, gdp_tot_mes!$B$1:$XFD$1, 0), 0)</f>
        <v>0.31983827804421311</v>
      </c>
      <c r="I122" s="29">
        <f>VLOOKUP($B122, agr_mes!$B:$XFD, MATCH(gdp_agr_share!I$1, agr_mes!$B$1:$XFD$1, 0), 0)/VLOOKUP($B122, gdp_tot_mes!$B:$XFD, MATCH(gdp_agr_share!I$1, gdp_tot_mes!$B$1:$XFD$1, 0), 0)</f>
        <v>0.32224243107256156</v>
      </c>
      <c r="J122" s="29">
        <f>VLOOKUP($B122, agr_mes!$B:$XFD, MATCH(gdp_agr_share!J$1, agr_mes!$B$1:$XFD$1, 0), 0)/VLOOKUP($B122, gdp_tot_mes!$B:$XFD, MATCH(gdp_agr_share!J$1, gdp_tot_mes!$B$1:$XFD$1, 0), 0)</f>
        <v>0.29638095120871016</v>
      </c>
      <c r="K122" s="29">
        <f>VLOOKUP($B122, agr_mes!$B:$XFD, MATCH(gdp_agr_share!K$1, agr_mes!$B$1:$XFD$1, 0), 0)/VLOOKUP($B122, gdp_tot_mes!$B:$XFD, MATCH(gdp_agr_share!K$1, gdp_tot_mes!$B$1:$XFD$1, 0), 0)</f>
        <v>0.28301469786608763</v>
      </c>
      <c r="L122" s="30">
        <f t="shared" si="1"/>
        <v>0.24826136510769903</v>
      </c>
      <c r="M122" s="29">
        <f>VLOOKUP($B122, agr_mes!$B:$XFD, MATCH(gdp_agr_share!M$1, agr_mes!$B$1:$XFD$1, 0), 0)/VLOOKUP($B122, gdp_tot_mes!$B:$XFD, MATCH(gdp_agr_share!M$1, gdp_tot_mes!$B$1:$XFD$1, 0), 0)</f>
        <v>0.20655736579763273</v>
      </c>
      <c r="N122" s="29">
        <f>VLOOKUP($B122, agr_mes!$B:$XFD, MATCH(gdp_agr_share!N$1, agr_mes!$B$1:$XFD$1, 0), 0)/VLOOKUP($B122, gdp_tot_mes!$B:$XFD, MATCH(gdp_agr_share!N$1, gdp_tot_mes!$B$1:$XFD$1, 0), 0)</f>
        <v>8.1847486214772044E-2</v>
      </c>
      <c r="O122" s="29">
        <f>VLOOKUP($B122, agr_mes!$B:$XFD, MATCH(gdp_agr_share!O$1, agr_mes!$B$1:$XFD$1, 0), 0)/VLOOKUP($B122, gdp_tot_mes!$B:$XFD, MATCH(gdp_agr_share!O$1, gdp_tot_mes!$B$1:$XFD$1, 0), 0)</f>
        <v>6.0693889979103285E-2</v>
      </c>
      <c r="P122" s="29">
        <f>VLOOKUP($B122, agr_mes!$B:$XFD, MATCH(gdp_agr_share!P$1, agr_mes!$B$1:$XFD$1, 0), 0)/VLOOKUP($B122, gdp_tot_mes!$B:$XFD, MATCH(gdp_agr_share!P$1, gdp_tot_mes!$B$1:$XFD$1, 0), 0)</f>
        <v>0.11431412499138777</v>
      </c>
      <c r="Q122" s="29">
        <f>VLOOKUP($B122, agr_mes!$B:$XFD, MATCH(gdp_agr_share!Q$1, agr_mes!$B$1:$XFD$1, 0), 0)/VLOOKUP($B122, gdp_tot_mes!$B:$XFD, MATCH(gdp_agr_share!Q$1, gdp_tot_mes!$B$1:$XFD$1, 0), 0)</f>
        <v>0.12410101740254874</v>
      </c>
      <c r="R122" s="29">
        <f>VLOOKUP($B122, agr_mes!$B:$XFD, MATCH(gdp_agr_share!R$1, agr_mes!$B$1:$XFD$1, 0), 0)/VLOOKUP($B122, gdp_tot_mes!$B:$XFD, MATCH(gdp_agr_share!R$1, gdp_tot_mes!$B$1:$XFD$1, 0), 0)</f>
        <v>0.12326192513352086</v>
      </c>
      <c r="S122" s="29">
        <f>VLOOKUP($B122, agr_mes!$B:$XFD, MATCH(gdp_agr_share!S$1, agr_mes!$B$1:$XFD$1, 0), 0)/VLOOKUP($B122, gdp_tot_mes!$B:$XFD, MATCH(gdp_agr_share!S$1, gdp_tot_mes!$B$1:$XFD$1, 0), 0)</f>
        <v>0.10294405606508698</v>
      </c>
      <c r="T122" s="29">
        <f>VLOOKUP($B122, agr_mes!$B:$XFD, MATCH(gdp_agr_share!T$1, agr_mes!$B$1:$XFD$1, 0), 0)/VLOOKUP($B122, gdp_tot_mes!$B:$XFD, MATCH(gdp_agr_share!T$1, gdp_tot_mes!$B$1:$XFD$1, 0), 0)</f>
        <v>0.10166451113929</v>
      </c>
      <c r="U122" s="29">
        <f>VLOOKUP($B122, agr_mes!$B:$XFD, MATCH(gdp_agr_share!U$1, agr_mes!$B$1:$XFD$1, 0), 0)/VLOOKUP($B122, gdp_tot_mes!$B:$XFD, MATCH(gdp_agr_share!U$1, gdp_tot_mes!$B$1:$XFD$1, 0), 0)</f>
        <v>0.11660053822879775</v>
      </c>
      <c r="V122" s="29">
        <f>VLOOKUP($B122, agr_mes!$B:$XFD, MATCH(gdp_agr_share!V$1, agr_mes!$B$1:$XFD$1, 0), 0)/VLOOKUP($B122, gdp_tot_mes!$B:$XFD, MATCH(gdp_agr_share!V$1, gdp_tot_mes!$B$1:$XFD$1, 0), 0)</f>
        <v>0.10566725828967888</v>
      </c>
      <c r="W122" s="29">
        <f>VLOOKUP($B122, agr_mes!$B:$XFD, MATCH(gdp_agr_share!W$1, agr_mes!$B$1:$XFD$1, 0), 0)/VLOOKUP($B122, gdp_tot_mes!$B:$XFD, MATCH(gdp_agr_share!W$1, gdp_tot_mes!$B$1:$XFD$1, 0), 0)</f>
        <v>9.2867492004755664E-2</v>
      </c>
      <c r="X122" s="29">
        <f>VLOOKUP($B122, agr_mes!$B:$XFD, MATCH(gdp_agr_share!X$1, agr_mes!$B$1:$XFD$1, 0), 0)/VLOOKUP($B122, gdp_tot_mes!$B:$XFD, MATCH(gdp_agr_share!X$1, gdp_tot_mes!$B$1:$XFD$1, 0), 0)</f>
        <v>0.11521978790654915</v>
      </c>
      <c r="Y122" s="29">
        <f>VLOOKUP($B122, agr_mes!$B:$XFD, MATCH(gdp_agr_share!Y$1, agr_mes!$B$1:$XFD$1, 0), 0)/VLOOKUP($B122, gdp_tot_mes!$B:$XFD, MATCH(gdp_agr_share!Y$1, gdp_tot_mes!$B$1:$XFD$1, 0), 0)</f>
        <v>9.8090455543352703E-2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x14ac:dyDescent="0.25">
      <c r="A123" s="1" t="s">
        <v>288</v>
      </c>
      <c r="B123" s="1" t="s">
        <v>291</v>
      </c>
      <c r="C123" s="1" t="s">
        <v>292</v>
      </c>
      <c r="D123" s="29">
        <f>VLOOKUP($B123, agr_mes!$B:$XFD, MATCH(gdp_agr_share!D$1, agr_mes!$B$1:$XFD$1, 0), 0)/VLOOKUP($B123, gdp_tot_mes!$B:$XFD, MATCH(gdp_agr_share!D$1, gdp_tot_mes!$B$1:$XFD$1, 0), 0)</f>
        <v>0.70838551483201362</v>
      </c>
      <c r="E123" s="29">
        <f>VLOOKUP($B123, agr_mes!$B:$XFD, MATCH(gdp_agr_share!E$1, agr_mes!$B$1:$XFD$1, 0), 0)/VLOOKUP($B123, gdp_tot_mes!$B:$XFD, MATCH(gdp_agr_share!E$1, gdp_tot_mes!$B$1:$XFD$1, 0), 0)</f>
        <v>0.37375989398149961</v>
      </c>
      <c r="F123" s="29">
        <f>VLOOKUP($B123, agr_mes!$B:$XFD, MATCH(gdp_agr_share!F$1, agr_mes!$B$1:$XFD$1, 0), 0)/VLOOKUP($B123, gdp_tot_mes!$B:$XFD, MATCH(gdp_agr_share!F$1, gdp_tot_mes!$B$1:$XFD$1, 0), 0)</f>
        <v>0.39744934861565651</v>
      </c>
      <c r="G123" s="29">
        <f>VLOOKUP($B123, agr_mes!$B:$XFD, MATCH(gdp_agr_share!G$1, agr_mes!$B$1:$XFD$1, 0), 0)/VLOOKUP($B123, gdp_tot_mes!$B:$XFD, MATCH(gdp_agr_share!G$1, gdp_tot_mes!$B$1:$XFD$1, 0), 0)</f>
        <v>0.33348121616111348</v>
      </c>
      <c r="H123" s="29">
        <f>VLOOKUP($B123, agr_mes!$B:$XFD, MATCH(gdp_agr_share!H$1, agr_mes!$B$1:$XFD$1, 0), 0)/VLOOKUP($B123, gdp_tot_mes!$B:$XFD, MATCH(gdp_agr_share!H$1, gdp_tot_mes!$B$1:$XFD$1, 0), 0)</f>
        <v>0.22649358620854215</v>
      </c>
      <c r="I123" s="29">
        <f>VLOOKUP($B123, agr_mes!$B:$XFD, MATCH(gdp_agr_share!I$1, agr_mes!$B$1:$XFD$1, 0), 0)/VLOOKUP($B123, gdp_tot_mes!$B:$XFD, MATCH(gdp_agr_share!I$1, gdp_tot_mes!$B$1:$XFD$1, 0), 0)</f>
        <v>0.17011592288748162</v>
      </c>
      <c r="J123" s="29">
        <f>VLOOKUP($B123, agr_mes!$B:$XFD, MATCH(gdp_agr_share!J$1, agr_mes!$B$1:$XFD$1, 0), 0)/VLOOKUP($B123, gdp_tot_mes!$B:$XFD, MATCH(gdp_agr_share!J$1, gdp_tot_mes!$B$1:$XFD$1, 0), 0)</f>
        <v>0.16187538409331315</v>
      </c>
      <c r="K123" s="29">
        <f>VLOOKUP($B123, agr_mes!$B:$XFD, MATCH(gdp_agr_share!K$1, agr_mes!$B$1:$XFD$1, 0), 0)/VLOOKUP($B123, gdp_tot_mes!$B:$XFD, MATCH(gdp_agr_share!K$1, gdp_tot_mes!$B$1:$XFD$1, 0), 0)</f>
        <v>0.20390921227952108</v>
      </c>
      <c r="L123" s="30">
        <f t="shared" si="1"/>
        <v>0.17945995508709578</v>
      </c>
      <c r="M123" s="29">
        <f>VLOOKUP($B123, agr_mes!$B:$XFD, MATCH(gdp_agr_share!M$1, agr_mes!$B$1:$XFD$1, 0), 0)/VLOOKUP($B123, gdp_tot_mes!$B:$XFD, MATCH(gdp_agr_share!M$1, gdp_tot_mes!$B$1:$XFD$1, 0), 0)</f>
        <v>0.15012084645618542</v>
      </c>
      <c r="N123" s="29">
        <f>VLOOKUP($B123, agr_mes!$B:$XFD, MATCH(gdp_agr_share!N$1, agr_mes!$B$1:$XFD$1, 0), 0)/VLOOKUP($B123, gdp_tot_mes!$B:$XFD, MATCH(gdp_agr_share!N$1, gdp_tot_mes!$B$1:$XFD$1, 0), 0)</f>
        <v>5.9106881097400553E-2</v>
      </c>
      <c r="O123" s="29">
        <f>VLOOKUP($B123, agr_mes!$B:$XFD, MATCH(gdp_agr_share!O$1, agr_mes!$B$1:$XFD$1, 0), 0)/VLOOKUP($B123, gdp_tot_mes!$B:$XFD, MATCH(gdp_agr_share!O$1, gdp_tot_mes!$B$1:$XFD$1, 0), 0)</f>
        <v>4.9804785269283544E-2</v>
      </c>
      <c r="P123" s="29">
        <f>VLOOKUP($B123, agr_mes!$B:$XFD, MATCH(gdp_agr_share!P$1, agr_mes!$B$1:$XFD$1, 0), 0)/VLOOKUP($B123, gdp_tot_mes!$B:$XFD, MATCH(gdp_agr_share!P$1, gdp_tot_mes!$B$1:$XFD$1, 0), 0)</f>
        <v>8.0681460259468984E-2</v>
      </c>
      <c r="Q123" s="29">
        <f>VLOOKUP($B123, agr_mes!$B:$XFD, MATCH(gdp_agr_share!Q$1, agr_mes!$B$1:$XFD$1, 0), 0)/VLOOKUP($B123, gdp_tot_mes!$B:$XFD, MATCH(gdp_agr_share!Q$1, gdp_tot_mes!$B$1:$XFD$1, 0), 0)</f>
        <v>0.10610353895416939</v>
      </c>
      <c r="R123" s="29">
        <f>VLOOKUP($B123, agr_mes!$B:$XFD, MATCH(gdp_agr_share!R$1, agr_mes!$B$1:$XFD$1, 0), 0)/VLOOKUP($B123, gdp_tot_mes!$B:$XFD, MATCH(gdp_agr_share!R$1, gdp_tot_mes!$B$1:$XFD$1, 0), 0)</f>
        <v>9.3229889235728614E-2</v>
      </c>
      <c r="S123" s="29">
        <f>VLOOKUP($B123, agr_mes!$B:$XFD, MATCH(gdp_agr_share!S$1, agr_mes!$B$1:$XFD$1, 0), 0)/VLOOKUP($B123, gdp_tot_mes!$B:$XFD, MATCH(gdp_agr_share!S$1, gdp_tot_mes!$B$1:$XFD$1, 0), 0)</f>
        <v>7.9835387355198364E-2</v>
      </c>
      <c r="T123" s="29">
        <f>VLOOKUP($B123, agr_mes!$B:$XFD, MATCH(gdp_agr_share!T$1, agr_mes!$B$1:$XFD$1, 0), 0)/VLOOKUP($B123, gdp_tot_mes!$B:$XFD, MATCH(gdp_agr_share!T$1, gdp_tot_mes!$B$1:$XFD$1, 0), 0)</f>
        <v>8.3659990813043081E-2</v>
      </c>
      <c r="U123" s="29">
        <f>VLOOKUP($B123, agr_mes!$B:$XFD, MATCH(gdp_agr_share!U$1, agr_mes!$B$1:$XFD$1, 0), 0)/VLOOKUP($B123, gdp_tot_mes!$B:$XFD, MATCH(gdp_agr_share!U$1, gdp_tot_mes!$B$1:$XFD$1, 0), 0)</f>
        <v>0.10098400213416783</v>
      </c>
      <c r="V123" s="29">
        <f>VLOOKUP($B123, agr_mes!$B:$XFD, MATCH(gdp_agr_share!V$1, agr_mes!$B$1:$XFD$1, 0), 0)/VLOOKUP($B123, gdp_tot_mes!$B:$XFD, MATCH(gdp_agr_share!V$1, gdp_tot_mes!$B$1:$XFD$1, 0), 0)</f>
        <v>9.3997994447784991E-2</v>
      </c>
      <c r="W123" s="29">
        <f>VLOOKUP($B123, agr_mes!$B:$XFD, MATCH(gdp_agr_share!W$1, agr_mes!$B$1:$XFD$1, 0), 0)/VLOOKUP($B123, gdp_tot_mes!$B:$XFD, MATCH(gdp_agr_share!W$1, gdp_tot_mes!$B$1:$XFD$1, 0), 0)</f>
        <v>7.3522708531335676E-2</v>
      </c>
      <c r="X123" s="29">
        <f>VLOOKUP($B123, agr_mes!$B:$XFD, MATCH(gdp_agr_share!X$1, agr_mes!$B$1:$XFD$1, 0), 0)/VLOOKUP($B123, gdp_tot_mes!$B:$XFD, MATCH(gdp_agr_share!X$1, gdp_tot_mes!$B$1:$XFD$1, 0), 0)</f>
        <v>8.3904154862738459E-2</v>
      </c>
      <c r="Y123" s="29">
        <f>VLOOKUP($B123, agr_mes!$B:$XFD, MATCH(gdp_agr_share!Y$1, agr_mes!$B$1:$XFD$1, 0), 0)/VLOOKUP($B123, gdp_tot_mes!$B:$XFD, MATCH(gdp_agr_share!Y$1, gdp_tot_mes!$B$1:$XFD$1, 0), 0)</f>
        <v>6.8485956656821959E-2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x14ac:dyDescent="0.25">
      <c r="A124" s="1" t="s">
        <v>288</v>
      </c>
      <c r="B124" s="1" t="s">
        <v>293</v>
      </c>
      <c r="C124" s="1" t="s">
        <v>294</v>
      </c>
      <c r="D124" s="29">
        <f>VLOOKUP($B124, agr_mes!$B:$XFD, MATCH(gdp_agr_share!D$1, agr_mes!$B$1:$XFD$1, 0), 0)/VLOOKUP($B124, gdp_tot_mes!$B:$XFD, MATCH(gdp_agr_share!D$1, gdp_tot_mes!$B$1:$XFD$1, 0), 0)</f>
        <v>0.76373106120129686</v>
      </c>
      <c r="E124" s="29">
        <f>VLOOKUP($B124, agr_mes!$B:$XFD, MATCH(gdp_agr_share!E$1, agr_mes!$B$1:$XFD$1, 0), 0)/VLOOKUP($B124, gdp_tot_mes!$B:$XFD, MATCH(gdp_agr_share!E$1, gdp_tot_mes!$B$1:$XFD$1, 0), 0)</f>
        <v>0.57668862255515341</v>
      </c>
      <c r="F124" s="29">
        <f>VLOOKUP($B124, agr_mes!$B:$XFD, MATCH(gdp_agr_share!F$1, agr_mes!$B$1:$XFD$1, 0), 0)/VLOOKUP($B124, gdp_tot_mes!$B:$XFD, MATCH(gdp_agr_share!F$1, gdp_tot_mes!$B$1:$XFD$1, 0), 0)</f>
        <v>0.53236004820591776</v>
      </c>
      <c r="G124" s="29">
        <f>VLOOKUP($B124, agr_mes!$B:$XFD, MATCH(gdp_agr_share!G$1, agr_mes!$B$1:$XFD$1, 0), 0)/VLOOKUP($B124, gdp_tot_mes!$B:$XFD, MATCH(gdp_agr_share!G$1, gdp_tot_mes!$B$1:$XFD$1, 0), 0)</f>
        <v>0.43509072493299589</v>
      </c>
      <c r="H124" s="29">
        <f>VLOOKUP($B124, agr_mes!$B:$XFD, MATCH(gdp_agr_share!H$1, agr_mes!$B$1:$XFD$1, 0), 0)/VLOOKUP($B124, gdp_tot_mes!$B:$XFD, MATCH(gdp_agr_share!H$1, gdp_tot_mes!$B$1:$XFD$1, 0), 0)</f>
        <v>0.28206422264973452</v>
      </c>
      <c r="I124" s="29">
        <f>VLOOKUP($B124, agr_mes!$B:$XFD, MATCH(gdp_agr_share!I$1, agr_mes!$B$1:$XFD$1, 0), 0)/VLOOKUP($B124, gdp_tot_mes!$B:$XFD, MATCH(gdp_agr_share!I$1, gdp_tot_mes!$B$1:$XFD$1, 0), 0)</f>
        <v>0.30685752918888609</v>
      </c>
      <c r="J124" s="29">
        <f>VLOOKUP($B124, agr_mes!$B:$XFD, MATCH(gdp_agr_share!J$1, agr_mes!$B$1:$XFD$1, 0), 0)/VLOOKUP($B124, gdp_tot_mes!$B:$XFD, MATCH(gdp_agr_share!J$1, gdp_tot_mes!$B$1:$XFD$1, 0), 0)</f>
        <v>0.27440186130124022</v>
      </c>
      <c r="K124" s="29">
        <f>VLOOKUP($B124, agr_mes!$B:$XFD, MATCH(gdp_agr_share!K$1, agr_mes!$B$1:$XFD$1, 0), 0)/VLOOKUP($B124, gdp_tot_mes!$B:$XFD, MATCH(gdp_agr_share!K$1, gdp_tot_mes!$B$1:$XFD$1, 0), 0)</f>
        <v>0.24317309459299918</v>
      </c>
      <c r="L124" s="30">
        <f t="shared" si="1"/>
        <v>0.20907513520099733</v>
      </c>
      <c r="M124" s="29">
        <f>VLOOKUP($B124, agr_mes!$B:$XFD, MATCH(gdp_agr_share!M$1, agr_mes!$B$1:$XFD$1, 0), 0)/VLOOKUP($B124, gdp_tot_mes!$B:$XFD, MATCH(gdp_agr_share!M$1, gdp_tot_mes!$B$1:$XFD$1, 0), 0)</f>
        <v>0.16815758393059507</v>
      </c>
      <c r="N124" s="29">
        <f>VLOOKUP($B124, agr_mes!$B:$XFD, MATCH(gdp_agr_share!N$1, agr_mes!$B$1:$XFD$1, 0), 0)/VLOOKUP($B124, gdp_tot_mes!$B:$XFD, MATCH(gdp_agr_share!N$1, gdp_tot_mes!$B$1:$XFD$1, 0), 0)</f>
        <v>4.4485819659408184E-2</v>
      </c>
      <c r="O124" s="29">
        <f>VLOOKUP($B124, agr_mes!$B:$XFD, MATCH(gdp_agr_share!O$1, agr_mes!$B$1:$XFD$1, 0), 0)/VLOOKUP($B124, gdp_tot_mes!$B:$XFD, MATCH(gdp_agr_share!O$1, gdp_tot_mes!$B$1:$XFD$1, 0), 0)</f>
        <v>5.001724997107973E-2</v>
      </c>
      <c r="P124" s="29">
        <f>VLOOKUP($B124, agr_mes!$B:$XFD, MATCH(gdp_agr_share!P$1, agr_mes!$B$1:$XFD$1, 0), 0)/VLOOKUP($B124, gdp_tot_mes!$B:$XFD, MATCH(gdp_agr_share!P$1, gdp_tot_mes!$B$1:$XFD$1, 0), 0)</f>
        <v>6.5684608321871826E-2</v>
      </c>
      <c r="Q124" s="29">
        <f>VLOOKUP($B124, agr_mes!$B:$XFD, MATCH(gdp_agr_share!Q$1, agr_mes!$B$1:$XFD$1, 0), 0)/VLOOKUP($B124, gdp_tot_mes!$B:$XFD, MATCH(gdp_agr_share!Q$1, gdp_tot_mes!$B$1:$XFD$1, 0), 0)</f>
        <v>0.12414490496009284</v>
      </c>
      <c r="R124" s="29">
        <f>VLOOKUP($B124, agr_mes!$B:$XFD, MATCH(gdp_agr_share!R$1, agr_mes!$B$1:$XFD$1, 0), 0)/VLOOKUP($B124, gdp_tot_mes!$B:$XFD, MATCH(gdp_agr_share!R$1, gdp_tot_mes!$B$1:$XFD$1, 0), 0)</f>
        <v>0.12407578195199617</v>
      </c>
      <c r="S124" s="29">
        <f>VLOOKUP($B124, agr_mes!$B:$XFD, MATCH(gdp_agr_share!S$1, agr_mes!$B$1:$XFD$1, 0), 0)/VLOOKUP($B124, gdp_tot_mes!$B:$XFD, MATCH(gdp_agr_share!S$1, gdp_tot_mes!$B$1:$XFD$1, 0), 0)</f>
        <v>0.10896202739560813</v>
      </c>
      <c r="T124" s="29">
        <f>VLOOKUP($B124, agr_mes!$B:$XFD, MATCH(gdp_agr_share!T$1, agr_mes!$B$1:$XFD$1, 0), 0)/VLOOKUP($B124, gdp_tot_mes!$B:$XFD, MATCH(gdp_agr_share!T$1, gdp_tot_mes!$B$1:$XFD$1, 0), 0)</f>
        <v>9.645263750601249E-2</v>
      </c>
      <c r="U124" s="29">
        <f>VLOOKUP($B124, agr_mes!$B:$XFD, MATCH(gdp_agr_share!U$1, agr_mes!$B$1:$XFD$1, 0), 0)/VLOOKUP($B124, gdp_tot_mes!$B:$XFD, MATCH(gdp_agr_share!U$1, gdp_tot_mes!$B$1:$XFD$1, 0), 0)</f>
        <v>0.11333734014666921</v>
      </c>
      <c r="V124" s="29">
        <f>VLOOKUP($B124, agr_mes!$B:$XFD, MATCH(gdp_agr_share!V$1, agr_mes!$B$1:$XFD$1, 0), 0)/VLOOKUP($B124, gdp_tot_mes!$B:$XFD, MATCH(gdp_agr_share!V$1, gdp_tot_mes!$B$1:$XFD$1, 0), 0)</f>
        <v>0.12235982698569706</v>
      </c>
      <c r="W124" s="29">
        <f>VLOOKUP($B124, agr_mes!$B:$XFD, MATCH(gdp_agr_share!W$1, agr_mes!$B$1:$XFD$1, 0), 0)/VLOOKUP($B124, gdp_tot_mes!$B:$XFD, MATCH(gdp_agr_share!W$1, gdp_tot_mes!$B$1:$XFD$1, 0), 0)</f>
        <v>0.10297578891794601</v>
      </c>
      <c r="X124" s="29">
        <f>VLOOKUP($B124, agr_mes!$B:$XFD, MATCH(gdp_agr_share!X$1, agr_mes!$B$1:$XFD$1, 0), 0)/VLOOKUP($B124, gdp_tot_mes!$B:$XFD, MATCH(gdp_agr_share!X$1, gdp_tot_mes!$B$1:$XFD$1, 0), 0)</f>
        <v>0.12779138991597608</v>
      </c>
      <c r="Y124" s="29">
        <f>VLOOKUP($B124, agr_mes!$B:$XFD, MATCH(gdp_agr_share!Y$1, agr_mes!$B$1:$XFD$1, 0), 0)/VLOOKUP($B124, gdp_tot_mes!$B:$XFD, MATCH(gdp_agr_share!Y$1, gdp_tot_mes!$B$1:$XFD$1, 0), 0)</f>
        <v>0.11043402992789632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x14ac:dyDescent="0.25">
      <c r="A125" s="1" t="s">
        <v>288</v>
      </c>
      <c r="B125" s="1" t="s">
        <v>295</v>
      </c>
      <c r="C125" s="1" t="s">
        <v>296</v>
      </c>
      <c r="D125" s="29">
        <f>VLOOKUP($B125, agr_mes!$B:$XFD, MATCH(gdp_agr_share!D$1, agr_mes!$B$1:$XFD$1, 0), 0)/VLOOKUP($B125, gdp_tot_mes!$B:$XFD, MATCH(gdp_agr_share!D$1, gdp_tot_mes!$B$1:$XFD$1, 0), 0)</f>
        <v>0.72715989809528392</v>
      </c>
      <c r="E125" s="29">
        <f>VLOOKUP($B125, agr_mes!$B:$XFD, MATCH(gdp_agr_share!E$1, agr_mes!$B$1:$XFD$1, 0), 0)/VLOOKUP($B125, gdp_tot_mes!$B:$XFD, MATCH(gdp_agr_share!E$1, gdp_tot_mes!$B$1:$XFD$1, 0), 0)</f>
        <v>0.48575463126783985</v>
      </c>
      <c r="F125" s="29">
        <f>VLOOKUP($B125, agr_mes!$B:$XFD, MATCH(gdp_agr_share!F$1, agr_mes!$B$1:$XFD$1, 0), 0)/VLOOKUP($B125, gdp_tot_mes!$B:$XFD, MATCH(gdp_agr_share!F$1, gdp_tot_mes!$B$1:$XFD$1, 0), 0)</f>
        <v>0.45744359940109419</v>
      </c>
      <c r="G125" s="29">
        <f>VLOOKUP($B125, agr_mes!$B:$XFD, MATCH(gdp_agr_share!G$1, agr_mes!$B$1:$XFD$1, 0), 0)/VLOOKUP($B125, gdp_tot_mes!$B:$XFD, MATCH(gdp_agr_share!G$1, gdp_tot_mes!$B$1:$XFD$1, 0), 0)</f>
        <v>0.36809078442749671</v>
      </c>
      <c r="H125" s="29">
        <f>VLOOKUP($B125, agr_mes!$B:$XFD, MATCH(gdp_agr_share!H$1, agr_mes!$B$1:$XFD$1, 0), 0)/VLOOKUP($B125, gdp_tot_mes!$B:$XFD, MATCH(gdp_agr_share!H$1, gdp_tot_mes!$B$1:$XFD$1, 0), 0)</f>
        <v>0.22361124702714302</v>
      </c>
      <c r="I125" s="29">
        <f>VLOOKUP($B125, agr_mes!$B:$XFD, MATCH(gdp_agr_share!I$1, agr_mes!$B$1:$XFD$1, 0), 0)/VLOOKUP($B125, gdp_tot_mes!$B:$XFD, MATCH(gdp_agr_share!I$1, gdp_tot_mes!$B$1:$XFD$1, 0), 0)</f>
        <v>0.17626659191040381</v>
      </c>
      <c r="J125" s="29">
        <f>VLOOKUP($B125, agr_mes!$B:$XFD, MATCH(gdp_agr_share!J$1, agr_mes!$B$1:$XFD$1, 0), 0)/VLOOKUP($B125, gdp_tot_mes!$B:$XFD, MATCH(gdp_agr_share!J$1, gdp_tot_mes!$B$1:$XFD$1, 0), 0)</f>
        <v>0.14954969525997325</v>
      </c>
      <c r="K125" s="29">
        <f>VLOOKUP($B125, agr_mes!$B:$XFD, MATCH(gdp_agr_share!K$1, agr_mes!$B$1:$XFD$1, 0), 0)/VLOOKUP($B125, gdp_tot_mes!$B:$XFD, MATCH(gdp_agr_share!K$1, gdp_tot_mes!$B$1:$XFD$1, 0), 0)</f>
        <v>0.19227355322385237</v>
      </c>
      <c r="L125" s="30">
        <f t="shared" si="1"/>
        <v>0.16820891873703861</v>
      </c>
      <c r="M125" s="29">
        <f>VLOOKUP($B125, agr_mes!$B:$XFD, MATCH(gdp_agr_share!M$1, agr_mes!$B$1:$XFD$1, 0), 0)/VLOOKUP($B125, gdp_tot_mes!$B:$XFD, MATCH(gdp_agr_share!M$1, gdp_tot_mes!$B$1:$XFD$1, 0), 0)</f>
        <v>0.13933135735286212</v>
      </c>
      <c r="N125" s="29">
        <f>VLOOKUP($B125, agr_mes!$B:$XFD, MATCH(gdp_agr_share!N$1, agr_mes!$B$1:$XFD$1, 0), 0)/VLOOKUP($B125, gdp_tot_mes!$B:$XFD, MATCH(gdp_agr_share!N$1, gdp_tot_mes!$B$1:$XFD$1, 0), 0)</f>
        <v>5.2403940317552841E-2</v>
      </c>
      <c r="O125" s="29">
        <f>VLOOKUP($B125, agr_mes!$B:$XFD, MATCH(gdp_agr_share!O$1, agr_mes!$B$1:$XFD$1, 0), 0)/VLOOKUP($B125, gdp_tot_mes!$B:$XFD, MATCH(gdp_agr_share!O$1, gdp_tot_mes!$B$1:$XFD$1, 0), 0)</f>
        <v>4.8361904679901938E-2</v>
      </c>
      <c r="P125" s="29">
        <f>VLOOKUP($B125, agr_mes!$B:$XFD, MATCH(gdp_agr_share!P$1, agr_mes!$B$1:$XFD$1, 0), 0)/VLOOKUP($B125, gdp_tot_mes!$B:$XFD, MATCH(gdp_agr_share!P$1, gdp_tot_mes!$B$1:$XFD$1, 0), 0)</f>
        <v>7.7141225109269559E-2</v>
      </c>
      <c r="Q125" s="29">
        <f>VLOOKUP($B125, agr_mes!$B:$XFD, MATCH(gdp_agr_share!Q$1, agr_mes!$B$1:$XFD$1, 0), 0)/VLOOKUP($B125, gdp_tot_mes!$B:$XFD, MATCH(gdp_agr_share!Q$1, gdp_tot_mes!$B$1:$XFD$1, 0), 0)</f>
        <v>0.12079209894447086</v>
      </c>
      <c r="R125" s="29">
        <f>VLOOKUP($B125, agr_mes!$B:$XFD, MATCH(gdp_agr_share!R$1, agr_mes!$B$1:$XFD$1, 0), 0)/VLOOKUP($B125, gdp_tot_mes!$B:$XFD, MATCH(gdp_agr_share!R$1, gdp_tot_mes!$B$1:$XFD$1, 0), 0)</f>
        <v>0.11925635958952555</v>
      </c>
      <c r="S125" s="29">
        <f>VLOOKUP($B125, agr_mes!$B:$XFD, MATCH(gdp_agr_share!S$1, agr_mes!$B$1:$XFD$1, 0), 0)/VLOOKUP($B125, gdp_tot_mes!$B:$XFD, MATCH(gdp_agr_share!S$1, gdp_tot_mes!$B$1:$XFD$1, 0), 0)</f>
        <v>9.5015597410154876E-2</v>
      </c>
      <c r="T125" s="29">
        <f>VLOOKUP($B125, agr_mes!$B:$XFD, MATCH(gdp_agr_share!T$1, agr_mes!$B$1:$XFD$1, 0), 0)/VLOOKUP($B125, gdp_tot_mes!$B:$XFD, MATCH(gdp_agr_share!T$1, gdp_tot_mes!$B$1:$XFD$1, 0), 0)</f>
        <v>9.2481392959520833E-2</v>
      </c>
      <c r="U125" s="29">
        <f>VLOOKUP($B125, agr_mes!$B:$XFD, MATCH(gdp_agr_share!U$1, agr_mes!$B$1:$XFD$1, 0), 0)/VLOOKUP($B125, gdp_tot_mes!$B:$XFD, MATCH(gdp_agr_share!U$1, gdp_tot_mes!$B$1:$XFD$1, 0), 0)</f>
        <v>0.10112642919056938</v>
      </c>
      <c r="V125" s="29">
        <f>VLOOKUP($B125, agr_mes!$B:$XFD, MATCH(gdp_agr_share!V$1, agr_mes!$B$1:$XFD$1, 0), 0)/VLOOKUP($B125, gdp_tot_mes!$B:$XFD, MATCH(gdp_agr_share!V$1, gdp_tot_mes!$B$1:$XFD$1, 0), 0)</f>
        <v>0.10620006752339675</v>
      </c>
      <c r="W125" s="29">
        <f>VLOOKUP($B125, agr_mes!$B:$XFD, MATCH(gdp_agr_share!W$1, agr_mes!$B$1:$XFD$1, 0), 0)/VLOOKUP($B125, gdp_tot_mes!$B:$XFD, MATCH(gdp_agr_share!W$1, gdp_tot_mes!$B$1:$XFD$1, 0), 0)</f>
        <v>7.7216264645511623E-2</v>
      </c>
      <c r="X125" s="29">
        <f>VLOOKUP($B125, agr_mes!$B:$XFD, MATCH(gdp_agr_share!X$1, agr_mes!$B$1:$XFD$1, 0), 0)/VLOOKUP($B125, gdp_tot_mes!$B:$XFD, MATCH(gdp_agr_share!X$1, gdp_tot_mes!$B$1:$XFD$1, 0), 0)</f>
        <v>9.1324176745618602E-2</v>
      </c>
      <c r="Y125" s="29">
        <f>VLOOKUP($B125, agr_mes!$B:$XFD, MATCH(gdp_agr_share!Y$1, agr_mes!$B$1:$XFD$1, 0), 0)/VLOOKUP($B125, gdp_tot_mes!$B:$XFD, MATCH(gdp_agr_share!Y$1, gdp_tot_mes!$B$1:$XFD$1, 0), 0)</f>
        <v>7.3093610107397414E-2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x14ac:dyDescent="0.25">
      <c r="A126" s="1" t="s">
        <v>288</v>
      </c>
      <c r="B126" s="1" t="s">
        <v>297</v>
      </c>
      <c r="C126" s="1" t="s">
        <v>298</v>
      </c>
      <c r="D126" s="29">
        <f>VLOOKUP($B126, agr_mes!$B:$XFD, MATCH(gdp_agr_share!D$1, agr_mes!$B$1:$XFD$1, 0), 0)/VLOOKUP($B126, gdp_tot_mes!$B:$XFD, MATCH(gdp_agr_share!D$1, gdp_tot_mes!$B$1:$XFD$1, 0), 0)</f>
        <v>0.70810783253189635</v>
      </c>
      <c r="E126" s="29">
        <f>VLOOKUP($B126, agr_mes!$B:$XFD, MATCH(gdp_agr_share!E$1, agr_mes!$B$1:$XFD$1, 0), 0)/VLOOKUP($B126, gdp_tot_mes!$B:$XFD, MATCH(gdp_agr_share!E$1, gdp_tot_mes!$B$1:$XFD$1, 0), 0)</f>
        <v>0.3607877564707454</v>
      </c>
      <c r="F126" s="29">
        <f>VLOOKUP($B126, agr_mes!$B:$XFD, MATCH(gdp_agr_share!F$1, agr_mes!$B$1:$XFD$1, 0), 0)/VLOOKUP($B126, gdp_tot_mes!$B:$XFD, MATCH(gdp_agr_share!F$1, gdp_tot_mes!$B$1:$XFD$1, 0), 0)</f>
        <v>0.36653410239231921</v>
      </c>
      <c r="G126" s="29">
        <f>VLOOKUP($B126, agr_mes!$B:$XFD, MATCH(gdp_agr_share!G$1, agr_mes!$B$1:$XFD$1, 0), 0)/VLOOKUP($B126, gdp_tot_mes!$B:$XFD, MATCH(gdp_agr_share!G$1, gdp_tot_mes!$B$1:$XFD$1, 0), 0)</f>
        <v>0.25345083192195439</v>
      </c>
      <c r="H126" s="29">
        <f>VLOOKUP($B126, agr_mes!$B:$XFD, MATCH(gdp_agr_share!H$1, agr_mes!$B$1:$XFD$1, 0), 0)/VLOOKUP($B126, gdp_tot_mes!$B:$XFD, MATCH(gdp_agr_share!H$1, gdp_tot_mes!$B$1:$XFD$1, 0), 0)</f>
        <v>0.16230436124091394</v>
      </c>
      <c r="I126" s="29">
        <f>VLOOKUP($B126, agr_mes!$B:$XFD, MATCH(gdp_agr_share!I$1, agr_mes!$B$1:$XFD$1, 0), 0)/VLOOKUP($B126, gdp_tot_mes!$B:$XFD, MATCH(gdp_agr_share!I$1, gdp_tot_mes!$B$1:$XFD$1, 0), 0)</f>
        <v>9.5981087723679567E-2</v>
      </c>
      <c r="J126" s="29">
        <f>VLOOKUP($B126, agr_mes!$B:$XFD, MATCH(gdp_agr_share!J$1, agr_mes!$B$1:$XFD$1, 0), 0)/VLOOKUP($B126, gdp_tot_mes!$B:$XFD, MATCH(gdp_agr_share!J$1, gdp_tot_mes!$B$1:$XFD$1, 0), 0)</f>
        <v>0.10707317916622094</v>
      </c>
      <c r="K126" s="29">
        <f>VLOOKUP($B126, agr_mes!$B:$XFD, MATCH(gdp_agr_share!K$1, agr_mes!$B$1:$XFD$1, 0), 0)/VLOOKUP($B126, gdp_tot_mes!$B:$XFD, MATCH(gdp_agr_share!K$1, gdp_tot_mes!$B$1:$XFD$1, 0), 0)</f>
        <v>0.1441914094384579</v>
      </c>
      <c r="L126" s="30">
        <f t="shared" si="1"/>
        <v>0.14607288404057922</v>
      </c>
      <c r="M126" s="29">
        <f>VLOOKUP($B126, agr_mes!$B:$XFD, MATCH(gdp_agr_share!M$1, agr_mes!$B$1:$XFD$1, 0), 0)/VLOOKUP($B126, gdp_tot_mes!$B:$XFD, MATCH(gdp_agr_share!M$1, gdp_tot_mes!$B$1:$XFD$1, 0), 0)</f>
        <v>0.14833065356312483</v>
      </c>
      <c r="N126" s="29">
        <f>VLOOKUP($B126, agr_mes!$B:$XFD, MATCH(gdp_agr_share!N$1, agr_mes!$B$1:$XFD$1, 0), 0)/VLOOKUP($B126, gdp_tot_mes!$B:$XFD, MATCH(gdp_agr_share!N$1, gdp_tot_mes!$B$1:$XFD$1, 0), 0)</f>
        <v>6.239427096330729E-2</v>
      </c>
      <c r="O126" s="29">
        <f>VLOOKUP($B126, agr_mes!$B:$XFD, MATCH(gdp_agr_share!O$1, agr_mes!$B$1:$XFD$1, 0), 0)/VLOOKUP($B126, gdp_tot_mes!$B:$XFD, MATCH(gdp_agr_share!O$1, gdp_tot_mes!$B$1:$XFD$1, 0), 0)</f>
        <v>4.5900176308689804E-2</v>
      </c>
      <c r="P126" s="29">
        <f>VLOOKUP($B126, agr_mes!$B:$XFD, MATCH(gdp_agr_share!P$1, agr_mes!$B$1:$XFD$1, 0), 0)/VLOOKUP($B126, gdp_tot_mes!$B:$XFD, MATCH(gdp_agr_share!P$1, gdp_tot_mes!$B$1:$XFD$1, 0), 0)</f>
        <v>0.10496927703097633</v>
      </c>
      <c r="Q126" s="29">
        <f>VLOOKUP($B126, agr_mes!$B:$XFD, MATCH(gdp_agr_share!Q$1, agr_mes!$B$1:$XFD$1, 0), 0)/VLOOKUP($B126, gdp_tot_mes!$B:$XFD, MATCH(gdp_agr_share!Q$1, gdp_tot_mes!$B$1:$XFD$1, 0), 0)</f>
        <v>9.7046779184602167E-2</v>
      </c>
      <c r="R126" s="29">
        <f>VLOOKUP($B126, agr_mes!$B:$XFD, MATCH(gdp_agr_share!R$1, agr_mes!$B$1:$XFD$1, 0), 0)/VLOOKUP($B126, gdp_tot_mes!$B:$XFD, MATCH(gdp_agr_share!R$1, gdp_tot_mes!$B$1:$XFD$1, 0), 0)</f>
        <v>9.2796788688818077E-2</v>
      </c>
      <c r="S126" s="29">
        <f>VLOOKUP($B126, agr_mes!$B:$XFD, MATCH(gdp_agr_share!S$1, agr_mes!$B$1:$XFD$1, 0), 0)/VLOOKUP($B126, gdp_tot_mes!$B:$XFD, MATCH(gdp_agr_share!S$1, gdp_tot_mes!$B$1:$XFD$1, 0), 0)</f>
        <v>9.2098445736931073E-2</v>
      </c>
      <c r="T126" s="29">
        <f>VLOOKUP($B126, agr_mes!$B:$XFD, MATCH(gdp_agr_share!T$1, agr_mes!$B$1:$XFD$1, 0), 0)/VLOOKUP($B126, gdp_tot_mes!$B:$XFD, MATCH(gdp_agr_share!T$1, gdp_tot_mes!$B$1:$XFD$1, 0), 0)</f>
        <v>8.4688269612825287E-2</v>
      </c>
      <c r="U126" s="29">
        <f>VLOOKUP($B126, agr_mes!$B:$XFD, MATCH(gdp_agr_share!U$1, agr_mes!$B$1:$XFD$1, 0), 0)/VLOOKUP($B126, gdp_tot_mes!$B:$XFD, MATCH(gdp_agr_share!U$1, gdp_tot_mes!$B$1:$XFD$1, 0), 0)</f>
        <v>9.5847950775012083E-2</v>
      </c>
      <c r="V126" s="29">
        <f>VLOOKUP($B126, agr_mes!$B:$XFD, MATCH(gdp_agr_share!V$1, agr_mes!$B$1:$XFD$1, 0), 0)/VLOOKUP($B126, gdp_tot_mes!$B:$XFD, MATCH(gdp_agr_share!V$1, gdp_tot_mes!$B$1:$XFD$1, 0), 0)</f>
        <v>8.1243077111609621E-2</v>
      </c>
      <c r="W126" s="29">
        <f>VLOOKUP($B126, agr_mes!$B:$XFD, MATCH(gdp_agr_share!W$1, agr_mes!$B$1:$XFD$1, 0), 0)/VLOOKUP($B126, gdp_tot_mes!$B:$XFD, MATCH(gdp_agr_share!W$1, gdp_tot_mes!$B$1:$XFD$1, 0), 0)</f>
        <v>5.4322146537738362E-2</v>
      </c>
      <c r="X126" s="29">
        <f>VLOOKUP($B126, agr_mes!$B:$XFD, MATCH(gdp_agr_share!X$1, agr_mes!$B$1:$XFD$1, 0), 0)/VLOOKUP($B126, gdp_tot_mes!$B:$XFD, MATCH(gdp_agr_share!X$1, gdp_tot_mes!$B$1:$XFD$1, 0), 0)</f>
        <v>5.8026047699135073E-2</v>
      </c>
      <c r="Y126" s="29">
        <f>VLOOKUP($B126, agr_mes!$B:$XFD, MATCH(gdp_agr_share!Y$1, agr_mes!$B$1:$XFD$1, 0), 0)/VLOOKUP($B126, gdp_tot_mes!$B:$XFD, MATCH(gdp_agr_share!Y$1, gdp_tot_mes!$B$1:$XFD$1, 0), 0)</f>
        <v>4.7272935636877275E-2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x14ac:dyDescent="0.25">
      <c r="A127" s="1" t="s">
        <v>288</v>
      </c>
      <c r="B127" s="1" t="s">
        <v>299</v>
      </c>
      <c r="C127" s="1" t="s">
        <v>300</v>
      </c>
      <c r="D127" s="29">
        <f>VLOOKUP($B127, agr_mes!$B:$XFD, MATCH(gdp_agr_share!D$1, agr_mes!$B$1:$XFD$1, 0), 0)/VLOOKUP($B127, gdp_tot_mes!$B:$XFD, MATCH(gdp_agr_share!D$1, gdp_tot_mes!$B$1:$XFD$1, 0), 0)</f>
        <v>0.58101676681674441</v>
      </c>
      <c r="E127" s="29">
        <f>VLOOKUP($B127, agr_mes!$B:$XFD, MATCH(gdp_agr_share!E$1, agr_mes!$B$1:$XFD$1, 0), 0)/VLOOKUP($B127, gdp_tot_mes!$B:$XFD, MATCH(gdp_agr_share!E$1, gdp_tot_mes!$B$1:$XFD$1, 0), 0)</f>
        <v>0.35958326658725143</v>
      </c>
      <c r="F127" s="29">
        <f>VLOOKUP($B127, agr_mes!$B:$XFD, MATCH(gdp_agr_share!F$1, agr_mes!$B$1:$XFD$1, 0), 0)/VLOOKUP($B127, gdp_tot_mes!$B:$XFD, MATCH(gdp_agr_share!F$1, gdp_tot_mes!$B$1:$XFD$1, 0), 0)</f>
        <v>0.28636551919638048</v>
      </c>
      <c r="G127" s="29">
        <f>VLOOKUP($B127, agr_mes!$B:$XFD, MATCH(gdp_agr_share!G$1, agr_mes!$B$1:$XFD$1, 0), 0)/VLOOKUP($B127, gdp_tot_mes!$B:$XFD, MATCH(gdp_agr_share!G$1, gdp_tot_mes!$B$1:$XFD$1, 0), 0)</f>
        <v>0.23433375337899062</v>
      </c>
      <c r="H127" s="29">
        <f>VLOOKUP($B127, agr_mes!$B:$XFD, MATCH(gdp_agr_share!H$1, agr_mes!$B$1:$XFD$1, 0), 0)/VLOOKUP($B127, gdp_tot_mes!$B:$XFD, MATCH(gdp_agr_share!H$1, gdp_tot_mes!$B$1:$XFD$1, 0), 0)</f>
        <v>0.14205088517800538</v>
      </c>
      <c r="I127" s="29">
        <f>VLOOKUP($B127, agr_mes!$B:$XFD, MATCH(gdp_agr_share!I$1, agr_mes!$B$1:$XFD$1, 0), 0)/VLOOKUP($B127, gdp_tot_mes!$B:$XFD, MATCH(gdp_agr_share!I$1, gdp_tot_mes!$B$1:$XFD$1, 0), 0)</f>
        <v>7.0152938641859744E-2</v>
      </c>
      <c r="J127" s="29">
        <f>VLOOKUP($B127, agr_mes!$B:$XFD, MATCH(gdp_agr_share!J$1, agr_mes!$B$1:$XFD$1, 0), 0)/VLOOKUP($B127, gdp_tot_mes!$B:$XFD, MATCH(gdp_agr_share!J$1, gdp_tot_mes!$B$1:$XFD$1, 0), 0)</f>
        <v>7.5779250978497581E-2</v>
      </c>
      <c r="K127" s="29">
        <f>VLOOKUP($B127, agr_mes!$B:$XFD, MATCH(gdp_agr_share!K$1, agr_mes!$B$1:$XFD$1, 0), 0)/VLOOKUP($B127, gdp_tot_mes!$B:$XFD, MATCH(gdp_agr_share!K$1, gdp_tot_mes!$B$1:$XFD$1, 0), 0)</f>
        <v>9.8871594979608832E-2</v>
      </c>
      <c r="L127" s="30">
        <f t="shared" si="1"/>
        <v>8.0295639287346135E-2</v>
      </c>
      <c r="M127" s="29">
        <f>VLOOKUP($B127, agr_mes!$B:$XFD, MATCH(gdp_agr_share!M$1, agr_mes!$B$1:$XFD$1, 0), 0)/VLOOKUP($B127, gdp_tot_mes!$B:$XFD, MATCH(gdp_agr_share!M$1, gdp_tot_mes!$B$1:$XFD$1, 0), 0)</f>
        <v>5.8004492456630904E-2</v>
      </c>
      <c r="N127" s="29">
        <f>VLOOKUP($B127, agr_mes!$B:$XFD, MATCH(gdp_agr_share!N$1, agr_mes!$B$1:$XFD$1, 0), 0)/VLOOKUP($B127, gdp_tot_mes!$B:$XFD, MATCH(gdp_agr_share!N$1, gdp_tot_mes!$B$1:$XFD$1, 0), 0)</f>
        <v>3.0423161402984462E-2</v>
      </c>
      <c r="O127" s="29">
        <f>VLOOKUP($B127, agr_mes!$B:$XFD, MATCH(gdp_agr_share!O$1, agr_mes!$B$1:$XFD$1, 0), 0)/VLOOKUP($B127, gdp_tot_mes!$B:$XFD, MATCH(gdp_agr_share!O$1, gdp_tot_mes!$B$1:$XFD$1, 0), 0)</f>
        <v>2.6342498946005228E-2</v>
      </c>
      <c r="P127" s="29">
        <f>VLOOKUP($B127, agr_mes!$B:$XFD, MATCH(gdp_agr_share!P$1, agr_mes!$B$1:$XFD$1, 0), 0)/VLOOKUP($B127, gdp_tot_mes!$B:$XFD, MATCH(gdp_agr_share!P$1, gdp_tot_mes!$B$1:$XFD$1, 0), 0)</f>
        <v>4.6707190924107071E-2</v>
      </c>
      <c r="Q127" s="29">
        <f>VLOOKUP($B127, agr_mes!$B:$XFD, MATCH(gdp_agr_share!Q$1, agr_mes!$B$1:$XFD$1, 0), 0)/VLOOKUP($B127, gdp_tot_mes!$B:$XFD, MATCH(gdp_agr_share!Q$1, gdp_tot_mes!$B$1:$XFD$1, 0), 0)</f>
        <v>5.6414443199208672E-2</v>
      </c>
      <c r="R127" s="29">
        <f>VLOOKUP($B127, agr_mes!$B:$XFD, MATCH(gdp_agr_share!R$1, agr_mes!$B$1:$XFD$1, 0), 0)/VLOOKUP($B127, gdp_tot_mes!$B:$XFD, MATCH(gdp_agr_share!R$1, gdp_tot_mes!$B$1:$XFD$1, 0), 0)</f>
        <v>4.8719332492186171E-2</v>
      </c>
      <c r="S127" s="29">
        <f>VLOOKUP($B127, agr_mes!$B:$XFD, MATCH(gdp_agr_share!S$1, agr_mes!$B$1:$XFD$1, 0), 0)/VLOOKUP($B127, gdp_tot_mes!$B:$XFD, MATCH(gdp_agr_share!S$1, gdp_tot_mes!$B$1:$XFD$1, 0), 0)</f>
        <v>4.0911283919942198E-2</v>
      </c>
      <c r="T127" s="29">
        <f>VLOOKUP($B127, agr_mes!$B:$XFD, MATCH(gdp_agr_share!T$1, agr_mes!$B$1:$XFD$1, 0), 0)/VLOOKUP($B127, gdp_tot_mes!$B:$XFD, MATCH(gdp_agr_share!T$1, gdp_tot_mes!$B$1:$XFD$1, 0), 0)</f>
        <v>4.0923536690235907E-2</v>
      </c>
      <c r="U127" s="29">
        <f>VLOOKUP($B127, agr_mes!$B:$XFD, MATCH(gdp_agr_share!U$1, agr_mes!$B$1:$XFD$1, 0), 0)/VLOOKUP($B127, gdp_tot_mes!$B:$XFD, MATCH(gdp_agr_share!U$1, gdp_tot_mes!$B$1:$XFD$1, 0), 0)</f>
        <v>4.7922500585227706E-2</v>
      </c>
      <c r="V127" s="29">
        <f>VLOOKUP($B127, agr_mes!$B:$XFD, MATCH(gdp_agr_share!V$1, agr_mes!$B$1:$XFD$1, 0), 0)/VLOOKUP($B127, gdp_tot_mes!$B:$XFD, MATCH(gdp_agr_share!V$1, gdp_tot_mes!$B$1:$XFD$1, 0), 0)</f>
        <v>4.4183642793868688E-2</v>
      </c>
      <c r="W127" s="29">
        <f>VLOOKUP($B127, agr_mes!$B:$XFD, MATCH(gdp_agr_share!W$1, agr_mes!$B$1:$XFD$1, 0), 0)/VLOOKUP($B127, gdp_tot_mes!$B:$XFD, MATCH(gdp_agr_share!W$1, gdp_tot_mes!$B$1:$XFD$1, 0), 0)</f>
        <v>3.1414497272772117E-2</v>
      </c>
      <c r="X127" s="29">
        <f>VLOOKUP($B127, agr_mes!$B:$XFD, MATCH(gdp_agr_share!X$1, agr_mes!$B$1:$XFD$1, 0), 0)/VLOOKUP($B127, gdp_tot_mes!$B:$XFD, MATCH(gdp_agr_share!X$1, gdp_tot_mes!$B$1:$XFD$1, 0), 0)</f>
        <v>3.9469462760209691E-2</v>
      </c>
      <c r="Y127" s="29">
        <f>VLOOKUP($B127, agr_mes!$B:$XFD, MATCH(gdp_agr_share!Y$1, agr_mes!$B$1:$XFD$1, 0), 0)/VLOOKUP($B127, gdp_tot_mes!$B:$XFD, MATCH(gdp_agr_share!Y$1, gdp_tot_mes!$B$1:$XFD$1, 0), 0)</f>
        <v>3.0552292616354063E-2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x14ac:dyDescent="0.25">
      <c r="A128" s="1" t="s">
        <v>288</v>
      </c>
      <c r="B128" s="1" t="s">
        <v>301</v>
      </c>
      <c r="C128" s="1" t="s">
        <v>302</v>
      </c>
      <c r="D128" s="29">
        <f>VLOOKUP($B128, agr_mes!$B:$XFD, MATCH(gdp_agr_share!D$1, agr_mes!$B$1:$XFD$1, 0), 0)/VLOOKUP($B128, gdp_tot_mes!$B:$XFD, MATCH(gdp_agr_share!D$1, gdp_tot_mes!$B$1:$XFD$1, 0), 0)</f>
        <v>0.64112310872707878</v>
      </c>
      <c r="E128" s="29">
        <f>VLOOKUP($B128, agr_mes!$B:$XFD, MATCH(gdp_agr_share!E$1, agr_mes!$B$1:$XFD$1, 0), 0)/VLOOKUP($B128, gdp_tot_mes!$B:$XFD, MATCH(gdp_agr_share!E$1, gdp_tot_mes!$B$1:$XFD$1, 0), 0)</f>
        <v>0.30067659952681086</v>
      </c>
      <c r="F128" s="29">
        <f>VLOOKUP($B128, agr_mes!$B:$XFD, MATCH(gdp_agr_share!F$1, agr_mes!$B$1:$XFD$1, 0), 0)/VLOOKUP($B128, gdp_tot_mes!$B:$XFD, MATCH(gdp_agr_share!F$1, gdp_tot_mes!$B$1:$XFD$1, 0), 0)</f>
        <v>0.26984005757373924</v>
      </c>
      <c r="G128" s="29">
        <f>VLOOKUP($B128, agr_mes!$B:$XFD, MATCH(gdp_agr_share!G$1, agr_mes!$B$1:$XFD$1, 0), 0)/VLOOKUP($B128, gdp_tot_mes!$B:$XFD, MATCH(gdp_agr_share!G$1, gdp_tot_mes!$B$1:$XFD$1, 0), 0)</f>
        <v>0.14645123111839742</v>
      </c>
      <c r="H128" s="29">
        <f>VLOOKUP($B128, agr_mes!$B:$XFD, MATCH(gdp_agr_share!H$1, agr_mes!$B$1:$XFD$1, 0), 0)/VLOOKUP($B128, gdp_tot_mes!$B:$XFD, MATCH(gdp_agr_share!H$1, gdp_tot_mes!$B$1:$XFD$1, 0), 0)</f>
        <v>9.3192509503739862E-2</v>
      </c>
      <c r="I128" s="29">
        <f>VLOOKUP($B128, agr_mes!$B:$XFD, MATCH(gdp_agr_share!I$1, agr_mes!$B$1:$XFD$1, 0), 0)/VLOOKUP($B128, gdp_tot_mes!$B:$XFD, MATCH(gdp_agr_share!I$1, gdp_tot_mes!$B$1:$XFD$1, 0), 0)</f>
        <v>4.2211895979853378E-2</v>
      </c>
      <c r="J128" s="29">
        <f>VLOOKUP($B128, agr_mes!$B:$XFD, MATCH(gdp_agr_share!J$1, agr_mes!$B$1:$XFD$1, 0), 0)/VLOOKUP($B128, gdp_tot_mes!$B:$XFD, MATCH(gdp_agr_share!J$1, gdp_tot_mes!$B$1:$XFD$1, 0), 0)</f>
        <v>3.8075782646369481E-2</v>
      </c>
      <c r="K128" s="29">
        <f>VLOOKUP($B128, agr_mes!$B:$XFD, MATCH(gdp_agr_share!K$1, agr_mes!$B$1:$XFD$1, 0), 0)/VLOOKUP($B128, gdp_tot_mes!$B:$XFD, MATCH(gdp_agr_share!K$1, gdp_tot_mes!$B$1:$XFD$1, 0), 0)</f>
        <v>7.6631288862276006E-2</v>
      </c>
      <c r="L128" s="30">
        <f t="shared" si="1"/>
        <v>5.6212261939153393E-2</v>
      </c>
      <c r="M128" s="29">
        <f>VLOOKUP($B128, agr_mes!$B:$XFD, MATCH(gdp_agr_share!M$1, agr_mes!$B$1:$XFD$1, 0), 0)/VLOOKUP($B128, gdp_tot_mes!$B:$XFD, MATCH(gdp_agr_share!M$1, gdp_tot_mes!$B$1:$XFD$1, 0), 0)</f>
        <v>3.1709429631406258E-2</v>
      </c>
      <c r="N128" s="29">
        <f>VLOOKUP($B128, agr_mes!$B:$XFD, MATCH(gdp_agr_share!N$1, agr_mes!$B$1:$XFD$1, 0), 0)/VLOOKUP($B128, gdp_tot_mes!$B:$XFD, MATCH(gdp_agr_share!N$1, gdp_tot_mes!$B$1:$XFD$1, 0), 0)</f>
        <v>1.7805396390571954E-2</v>
      </c>
      <c r="O128" s="29">
        <f>VLOOKUP($B128, agr_mes!$B:$XFD, MATCH(gdp_agr_share!O$1, agr_mes!$B$1:$XFD$1, 0), 0)/VLOOKUP($B128, gdp_tot_mes!$B:$XFD, MATCH(gdp_agr_share!O$1, gdp_tot_mes!$B$1:$XFD$1, 0), 0)</f>
        <v>1.520013906927686E-2</v>
      </c>
      <c r="P128" s="29">
        <f>VLOOKUP($B128, agr_mes!$B:$XFD, MATCH(gdp_agr_share!P$1, agr_mes!$B$1:$XFD$1, 0), 0)/VLOOKUP($B128, gdp_tot_mes!$B:$XFD, MATCH(gdp_agr_share!P$1, gdp_tot_mes!$B$1:$XFD$1, 0), 0)</f>
        <v>2.8250404859952758E-2</v>
      </c>
      <c r="Q128" s="29">
        <f>VLOOKUP($B128, agr_mes!$B:$XFD, MATCH(gdp_agr_share!Q$1, agr_mes!$B$1:$XFD$1, 0), 0)/VLOOKUP($B128, gdp_tot_mes!$B:$XFD, MATCH(gdp_agr_share!Q$1, gdp_tot_mes!$B$1:$XFD$1, 0), 0)</f>
        <v>3.2279318183777314E-2</v>
      </c>
      <c r="R128" s="29">
        <f>VLOOKUP($B128, agr_mes!$B:$XFD, MATCH(gdp_agr_share!R$1, agr_mes!$B$1:$XFD$1, 0), 0)/VLOOKUP($B128, gdp_tot_mes!$B:$XFD, MATCH(gdp_agr_share!R$1, gdp_tot_mes!$B$1:$XFD$1, 0), 0)</f>
        <v>2.9908970971747384E-2</v>
      </c>
      <c r="S128" s="29">
        <f>VLOOKUP($B128, agr_mes!$B:$XFD, MATCH(gdp_agr_share!S$1, agr_mes!$B$1:$XFD$1, 0), 0)/VLOOKUP($B128, gdp_tot_mes!$B:$XFD, MATCH(gdp_agr_share!S$1, gdp_tot_mes!$B$1:$XFD$1, 0), 0)</f>
        <v>2.6674560881508547E-2</v>
      </c>
      <c r="T128" s="29">
        <f>VLOOKUP($B128, agr_mes!$B:$XFD, MATCH(gdp_agr_share!T$1, agr_mes!$B$1:$XFD$1, 0), 0)/VLOOKUP($B128, gdp_tot_mes!$B:$XFD, MATCH(gdp_agr_share!T$1, gdp_tot_mes!$B$1:$XFD$1, 0), 0)</f>
        <v>2.3182613860256992E-2</v>
      </c>
      <c r="U128" s="29">
        <f>VLOOKUP($B128, agr_mes!$B:$XFD, MATCH(gdp_agr_share!U$1, agr_mes!$B$1:$XFD$1, 0), 0)/VLOOKUP($B128, gdp_tot_mes!$B:$XFD, MATCH(gdp_agr_share!U$1, gdp_tot_mes!$B$1:$XFD$1, 0), 0)</f>
        <v>2.7182092501503642E-2</v>
      </c>
      <c r="V128" s="29">
        <f>VLOOKUP($B128, agr_mes!$B:$XFD, MATCH(gdp_agr_share!V$1, agr_mes!$B$1:$XFD$1, 0), 0)/VLOOKUP($B128, gdp_tot_mes!$B:$XFD, MATCH(gdp_agr_share!V$1, gdp_tot_mes!$B$1:$XFD$1, 0), 0)</f>
        <v>2.798854898595398E-2</v>
      </c>
      <c r="W128" s="29">
        <f>VLOOKUP($B128, agr_mes!$B:$XFD, MATCH(gdp_agr_share!W$1, agr_mes!$B$1:$XFD$1, 0), 0)/VLOOKUP($B128, gdp_tot_mes!$B:$XFD, MATCH(gdp_agr_share!W$1, gdp_tot_mes!$B$1:$XFD$1, 0), 0)</f>
        <v>1.9452474348713222E-2</v>
      </c>
      <c r="X128" s="29">
        <f>VLOOKUP($B128, agr_mes!$B:$XFD, MATCH(gdp_agr_share!X$1, agr_mes!$B$1:$XFD$1, 0), 0)/VLOOKUP($B128, gdp_tot_mes!$B:$XFD, MATCH(gdp_agr_share!X$1, gdp_tot_mes!$B$1:$XFD$1, 0), 0)</f>
        <v>2.102629605756795E-2</v>
      </c>
      <c r="Y128" s="29">
        <f>VLOOKUP($B128, agr_mes!$B:$XFD, MATCH(gdp_agr_share!Y$1, agr_mes!$B$1:$XFD$1, 0), 0)/VLOOKUP($B128, gdp_tot_mes!$B:$XFD, MATCH(gdp_agr_share!Y$1, gdp_tot_mes!$B$1:$XFD$1, 0), 0)</f>
        <v>1.6133459322693115E-2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x14ac:dyDescent="0.25">
      <c r="A129" s="1" t="s">
        <v>288</v>
      </c>
      <c r="B129" s="1" t="s">
        <v>303</v>
      </c>
      <c r="C129" s="1" t="s">
        <v>304</v>
      </c>
      <c r="D129" s="29" t="e">
        <f>VLOOKUP($B129, agr_mes!$B:$XFD, MATCH(gdp_agr_share!D$1, agr_mes!$B$1:$XFD$1, 0), 0)/VLOOKUP($B129, gdp_tot_mes!$B:$XFD, MATCH(gdp_agr_share!D$1, gdp_tot_mes!$B$1:$XFD$1, 0), 0)</f>
        <v>#DIV/0!</v>
      </c>
      <c r="E129" s="29">
        <f>VLOOKUP($B129, agr_mes!$B:$XFD, MATCH(gdp_agr_share!E$1, agr_mes!$B$1:$XFD$1, 0), 0)/VLOOKUP($B129, gdp_tot_mes!$B:$XFD, MATCH(gdp_agr_share!E$1, gdp_tot_mes!$B$1:$XFD$1, 0), 0)</f>
        <v>0.62543420598506416</v>
      </c>
      <c r="F129" s="29">
        <f>VLOOKUP($B129, agr_mes!$B:$XFD, MATCH(gdp_agr_share!F$1, agr_mes!$B$1:$XFD$1, 0), 0)/VLOOKUP($B129, gdp_tot_mes!$B:$XFD, MATCH(gdp_agr_share!F$1, gdp_tot_mes!$B$1:$XFD$1, 0), 0)</f>
        <v>0.66791632171306647</v>
      </c>
      <c r="G129" s="29">
        <f>VLOOKUP($B129, agr_mes!$B:$XFD, MATCH(gdp_agr_share!G$1, agr_mes!$B$1:$XFD$1, 0), 0)/VLOOKUP($B129, gdp_tot_mes!$B:$XFD, MATCH(gdp_agr_share!G$1, gdp_tot_mes!$B$1:$XFD$1, 0), 0)</f>
        <v>0.49958572967505743</v>
      </c>
      <c r="H129" s="29">
        <f>VLOOKUP($B129, agr_mes!$B:$XFD, MATCH(gdp_agr_share!H$1, agr_mes!$B$1:$XFD$1, 0), 0)/VLOOKUP($B129, gdp_tot_mes!$B:$XFD, MATCH(gdp_agr_share!H$1, gdp_tot_mes!$B$1:$XFD$1, 0), 0)</f>
        <v>0.3264688996941249</v>
      </c>
      <c r="I129" s="29">
        <f>VLOOKUP($B129, agr_mes!$B:$XFD, MATCH(gdp_agr_share!I$1, agr_mes!$B$1:$XFD$1, 0), 0)/VLOOKUP($B129, gdp_tot_mes!$B:$XFD, MATCH(gdp_agr_share!I$1, gdp_tot_mes!$B$1:$XFD$1, 0), 0)</f>
        <v>0.33277446372219088</v>
      </c>
      <c r="J129" s="29">
        <f>VLOOKUP($B129, agr_mes!$B:$XFD, MATCH(gdp_agr_share!J$1, agr_mes!$B$1:$XFD$1, 0), 0)/VLOOKUP($B129, gdp_tot_mes!$B:$XFD, MATCH(gdp_agr_share!J$1, gdp_tot_mes!$B$1:$XFD$1, 0), 0)</f>
        <v>0.28003151471473509</v>
      </c>
      <c r="K129" s="29">
        <f>VLOOKUP($B129, agr_mes!$B:$XFD, MATCH(gdp_agr_share!K$1, agr_mes!$B$1:$XFD$1, 0), 0)/VLOOKUP($B129, gdp_tot_mes!$B:$XFD, MATCH(gdp_agr_share!K$1, gdp_tot_mes!$B$1:$XFD$1, 0), 0)</f>
        <v>0.26733004505580255</v>
      </c>
      <c r="L129" s="30">
        <f t="shared" si="1"/>
        <v>0.21076529734414787</v>
      </c>
      <c r="M129" s="29">
        <f>VLOOKUP($B129, agr_mes!$B:$XFD, MATCH(gdp_agr_share!M$1, agr_mes!$B$1:$XFD$1, 0), 0)/VLOOKUP($B129, gdp_tot_mes!$B:$XFD, MATCH(gdp_agr_share!M$1, gdp_tot_mes!$B$1:$XFD$1, 0), 0)</f>
        <v>0.14288760009016224</v>
      </c>
      <c r="N129" s="29">
        <f>VLOOKUP($B129, agr_mes!$B:$XFD, MATCH(gdp_agr_share!N$1, agr_mes!$B$1:$XFD$1, 0), 0)/VLOOKUP($B129, gdp_tot_mes!$B:$XFD, MATCH(gdp_agr_share!N$1, gdp_tot_mes!$B$1:$XFD$1, 0), 0)</f>
        <v>4.075031418019532E-2</v>
      </c>
      <c r="O129" s="29">
        <f>VLOOKUP($B129, agr_mes!$B:$XFD, MATCH(gdp_agr_share!O$1, agr_mes!$B$1:$XFD$1, 0), 0)/VLOOKUP($B129, gdp_tot_mes!$B:$XFD, MATCH(gdp_agr_share!O$1, gdp_tot_mes!$B$1:$XFD$1, 0), 0)</f>
        <v>4.0693005093591562E-2</v>
      </c>
      <c r="P129" s="29">
        <f>VLOOKUP($B129, agr_mes!$B:$XFD, MATCH(gdp_agr_share!P$1, agr_mes!$B$1:$XFD$1, 0), 0)/VLOOKUP($B129, gdp_tot_mes!$B:$XFD, MATCH(gdp_agr_share!P$1, gdp_tot_mes!$B$1:$XFD$1, 0), 0)</f>
        <v>5.3678341282578458E-2</v>
      </c>
      <c r="Q129" s="29">
        <f>VLOOKUP($B129, agr_mes!$B:$XFD, MATCH(gdp_agr_share!Q$1, agr_mes!$B$1:$XFD$1, 0), 0)/VLOOKUP($B129, gdp_tot_mes!$B:$XFD, MATCH(gdp_agr_share!Q$1, gdp_tot_mes!$B$1:$XFD$1, 0), 0)</f>
        <v>9.9575482544914606E-2</v>
      </c>
      <c r="R129" s="29">
        <f>VLOOKUP($B129, agr_mes!$B:$XFD, MATCH(gdp_agr_share!R$1, agr_mes!$B$1:$XFD$1, 0), 0)/VLOOKUP($B129, gdp_tot_mes!$B:$XFD, MATCH(gdp_agr_share!R$1, gdp_tot_mes!$B$1:$XFD$1, 0), 0)</f>
        <v>0.10606187182709824</v>
      </c>
      <c r="S129" s="29">
        <f>VLOOKUP($B129, agr_mes!$B:$XFD, MATCH(gdp_agr_share!S$1, agr_mes!$B$1:$XFD$1, 0), 0)/VLOOKUP($B129, gdp_tot_mes!$B:$XFD, MATCH(gdp_agr_share!S$1, gdp_tot_mes!$B$1:$XFD$1, 0), 0)</f>
        <v>9.7671642122130697E-2</v>
      </c>
      <c r="T129" s="29">
        <f>VLOOKUP($B129, agr_mes!$B:$XFD, MATCH(gdp_agr_share!T$1, agr_mes!$B$1:$XFD$1, 0), 0)/VLOOKUP($B129, gdp_tot_mes!$B:$XFD, MATCH(gdp_agr_share!T$1, gdp_tot_mes!$B$1:$XFD$1, 0), 0)</f>
        <v>9.2983808048204164E-2</v>
      </c>
      <c r="U129" s="29">
        <f>VLOOKUP($B129, agr_mes!$B:$XFD, MATCH(gdp_agr_share!U$1, agr_mes!$B$1:$XFD$1, 0), 0)/VLOOKUP($B129, gdp_tot_mes!$B:$XFD, MATCH(gdp_agr_share!U$1, gdp_tot_mes!$B$1:$XFD$1, 0), 0)</f>
        <v>0.10858304349895863</v>
      </c>
      <c r="V129" s="29">
        <f>VLOOKUP($B129, agr_mes!$B:$XFD, MATCH(gdp_agr_share!V$1, agr_mes!$B$1:$XFD$1, 0), 0)/VLOOKUP($B129, gdp_tot_mes!$B:$XFD, MATCH(gdp_agr_share!V$1, gdp_tot_mes!$B$1:$XFD$1, 0), 0)</f>
        <v>0.10625795193492807</v>
      </c>
      <c r="W129" s="29">
        <f>VLOOKUP($B129, agr_mes!$B:$XFD, MATCH(gdp_agr_share!W$1, agr_mes!$B$1:$XFD$1, 0), 0)/VLOOKUP($B129, gdp_tot_mes!$B:$XFD, MATCH(gdp_agr_share!W$1, gdp_tot_mes!$B$1:$XFD$1, 0), 0)</f>
        <v>9.6002054841743942E-2</v>
      </c>
      <c r="X129" s="29">
        <f>VLOOKUP($B129, agr_mes!$B:$XFD, MATCH(gdp_agr_share!X$1, agr_mes!$B$1:$XFD$1, 0), 0)/VLOOKUP($B129, gdp_tot_mes!$B:$XFD, MATCH(gdp_agr_share!X$1, gdp_tot_mes!$B$1:$XFD$1, 0), 0)</f>
        <v>0.11508160626098533</v>
      </c>
      <c r="Y129" s="29">
        <f>VLOOKUP($B129, agr_mes!$B:$XFD, MATCH(gdp_agr_share!Y$1, agr_mes!$B$1:$XFD$1, 0), 0)/VLOOKUP($B129, gdp_tot_mes!$B:$XFD, MATCH(gdp_agr_share!Y$1, gdp_tot_mes!$B$1:$XFD$1, 0), 0)</f>
        <v>9.8872105845937849E-2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x14ac:dyDescent="0.25">
      <c r="A130" s="1" t="s">
        <v>288</v>
      </c>
      <c r="B130" s="1" t="s">
        <v>305</v>
      </c>
      <c r="C130" s="1" t="s">
        <v>306</v>
      </c>
      <c r="D130" s="29">
        <f>VLOOKUP($B130, agr_mes!$B:$XFD, MATCH(gdp_agr_share!D$1, agr_mes!$B$1:$XFD$1, 0), 0)/VLOOKUP($B130, gdp_tot_mes!$B:$XFD, MATCH(gdp_agr_share!D$1, gdp_tot_mes!$B$1:$XFD$1, 0), 0)</f>
        <v>0.75482080273437824</v>
      </c>
      <c r="E130" s="29">
        <f>VLOOKUP($B130, agr_mes!$B:$XFD, MATCH(gdp_agr_share!E$1, agr_mes!$B$1:$XFD$1, 0), 0)/VLOOKUP($B130, gdp_tot_mes!$B:$XFD, MATCH(gdp_agr_share!E$1, gdp_tot_mes!$B$1:$XFD$1, 0), 0)</f>
        <v>0.57957863528214804</v>
      </c>
      <c r="F130" s="29">
        <f>VLOOKUP($B130, agr_mes!$B:$XFD, MATCH(gdp_agr_share!F$1, agr_mes!$B$1:$XFD$1, 0), 0)/VLOOKUP($B130, gdp_tot_mes!$B:$XFD, MATCH(gdp_agr_share!F$1, gdp_tot_mes!$B$1:$XFD$1, 0), 0)</f>
        <v>0.50748097749075149</v>
      </c>
      <c r="G130" s="29">
        <f>VLOOKUP($B130, agr_mes!$B:$XFD, MATCH(gdp_agr_share!G$1, agr_mes!$B$1:$XFD$1, 0), 0)/VLOOKUP($B130, gdp_tot_mes!$B:$XFD, MATCH(gdp_agr_share!G$1, gdp_tot_mes!$B$1:$XFD$1, 0), 0)</f>
        <v>0.39415523800649027</v>
      </c>
      <c r="H130" s="29">
        <f>VLOOKUP($B130, agr_mes!$B:$XFD, MATCH(gdp_agr_share!H$1, agr_mes!$B$1:$XFD$1, 0), 0)/VLOOKUP($B130, gdp_tot_mes!$B:$XFD, MATCH(gdp_agr_share!H$1, gdp_tot_mes!$B$1:$XFD$1, 0), 0)</f>
        <v>0.2840657565436886</v>
      </c>
      <c r="I130" s="29">
        <f>VLOOKUP($B130, agr_mes!$B:$XFD, MATCH(gdp_agr_share!I$1, agr_mes!$B$1:$XFD$1, 0), 0)/VLOOKUP($B130, gdp_tot_mes!$B:$XFD, MATCH(gdp_agr_share!I$1, gdp_tot_mes!$B$1:$XFD$1, 0), 0)</f>
        <v>0.28101162583410993</v>
      </c>
      <c r="J130" s="29">
        <f>VLOOKUP($B130, agr_mes!$B:$XFD, MATCH(gdp_agr_share!J$1, agr_mes!$B$1:$XFD$1, 0), 0)/VLOOKUP($B130, gdp_tot_mes!$B:$XFD, MATCH(gdp_agr_share!J$1, gdp_tot_mes!$B$1:$XFD$1, 0), 0)</f>
        <v>0.19199826185983437</v>
      </c>
      <c r="K130" s="29">
        <f>VLOOKUP($B130, agr_mes!$B:$XFD, MATCH(gdp_agr_share!K$1, agr_mes!$B$1:$XFD$1, 0), 0)/VLOOKUP($B130, gdp_tot_mes!$B:$XFD, MATCH(gdp_agr_share!K$1, gdp_tot_mes!$B$1:$XFD$1, 0), 0)</f>
        <v>0.24710524490958488</v>
      </c>
      <c r="L130" s="30">
        <f t="shared" si="1"/>
        <v>0.2236472590148908</v>
      </c>
      <c r="M130" s="29">
        <f>VLOOKUP($B130, agr_mes!$B:$XFD, MATCH(gdp_agr_share!M$1, agr_mes!$B$1:$XFD$1, 0), 0)/VLOOKUP($B130, gdp_tot_mes!$B:$XFD, MATCH(gdp_agr_share!M$1, gdp_tot_mes!$B$1:$XFD$1, 0), 0)</f>
        <v>0.19549767594125791</v>
      </c>
      <c r="N130" s="29">
        <f>VLOOKUP($B130, agr_mes!$B:$XFD, MATCH(gdp_agr_share!N$1, agr_mes!$B$1:$XFD$1, 0), 0)/VLOOKUP($B130, gdp_tot_mes!$B:$XFD, MATCH(gdp_agr_share!N$1, gdp_tot_mes!$B$1:$XFD$1, 0), 0)</f>
        <v>3.2662540989732966E-2</v>
      </c>
      <c r="O130" s="29">
        <f>VLOOKUP($B130, agr_mes!$B:$XFD, MATCH(gdp_agr_share!O$1, agr_mes!$B$1:$XFD$1, 0), 0)/VLOOKUP($B130, gdp_tot_mes!$B:$XFD, MATCH(gdp_agr_share!O$1, gdp_tot_mes!$B$1:$XFD$1, 0), 0)</f>
        <v>2.9752656318498914E-2</v>
      </c>
      <c r="P130" s="29">
        <f>VLOOKUP($B130, agr_mes!$B:$XFD, MATCH(gdp_agr_share!P$1, agr_mes!$B$1:$XFD$1, 0), 0)/VLOOKUP($B130, gdp_tot_mes!$B:$XFD, MATCH(gdp_agr_share!P$1, gdp_tot_mes!$B$1:$XFD$1, 0), 0)</f>
        <v>3.7156486200920012E-2</v>
      </c>
      <c r="Q130" s="29">
        <f>VLOOKUP($B130, agr_mes!$B:$XFD, MATCH(gdp_agr_share!Q$1, agr_mes!$B$1:$XFD$1, 0), 0)/VLOOKUP($B130, gdp_tot_mes!$B:$XFD, MATCH(gdp_agr_share!Q$1, gdp_tot_mes!$B$1:$XFD$1, 0), 0)</f>
        <v>0.12607072902292255</v>
      </c>
      <c r="R130" s="29">
        <f>VLOOKUP($B130, agr_mes!$B:$XFD, MATCH(gdp_agr_share!R$1, agr_mes!$B$1:$XFD$1, 0), 0)/VLOOKUP($B130, gdp_tot_mes!$B:$XFD, MATCH(gdp_agr_share!R$1, gdp_tot_mes!$B$1:$XFD$1, 0), 0)</f>
        <v>0.1290147343135562</v>
      </c>
      <c r="S130" s="29">
        <f>VLOOKUP($B130, agr_mes!$B:$XFD, MATCH(gdp_agr_share!S$1, agr_mes!$B$1:$XFD$1, 0), 0)/VLOOKUP($B130, gdp_tot_mes!$B:$XFD, MATCH(gdp_agr_share!S$1, gdp_tot_mes!$B$1:$XFD$1, 0), 0)</f>
        <v>0.1198732477204051</v>
      </c>
      <c r="T130" s="29">
        <f>VLOOKUP($B130, agr_mes!$B:$XFD, MATCH(gdp_agr_share!T$1, agr_mes!$B$1:$XFD$1, 0), 0)/VLOOKUP($B130, gdp_tot_mes!$B:$XFD, MATCH(gdp_agr_share!T$1, gdp_tot_mes!$B$1:$XFD$1, 0), 0)</f>
        <v>0.10666619722888598</v>
      </c>
      <c r="U130" s="29">
        <f>VLOOKUP($B130, agr_mes!$B:$XFD, MATCH(gdp_agr_share!U$1, agr_mes!$B$1:$XFD$1, 0), 0)/VLOOKUP($B130, gdp_tot_mes!$B:$XFD, MATCH(gdp_agr_share!U$1, gdp_tot_mes!$B$1:$XFD$1, 0), 0)</f>
        <v>0.10288793509124562</v>
      </c>
      <c r="V130" s="29">
        <f>VLOOKUP($B130, agr_mes!$B:$XFD, MATCH(gdp_agr_share!V$1, agr_mes!$B$1:$XFD$1, 0), 0)/VLOOKUP($B130, gdp_tot_mes!$B:$XFD, MATCH(gdp_agr_share!V$1, gdp_tot_mes!$B$1:$XFD$1, 0), 0)</f>
        <v>0.12194977973061842</v>
      </c>
      <c r="W130" s="29">
        <f>VLOOKUP($B130, agr_mes!$B:$XFD, MATCH(gdp_agr_share!W$1, agr_mes!$B$1:$XFD$1, 0), 0)/VLOOKUP($B130, gdp_tot_mes!$B:$XFD, MATCH(gdp_agr_share!W$1, gdp_tot_mes!$B$1:$XFD$1, 0), 0)</f>
        <v>0.10044507760987507</v>
      </c>
      <c r="X130" s="29">
        <f>VLOOKUP($B130, agr_mes!$B:$XFD, MATCH(gdp_agr_share!X$1, agr_mes!$B$1:$XFD$1, 0), 0)/VLOOKUP($B130, gdp_tot_mes!$B:$XFD, MATCH(gdp_agr_share!X$1, gdp_tot_mes!$B$1:$XFD$1, 0), 0)</f>
        <v>0.11757782293471145</v>
      </c>
      <c r="Y130" s="29">
        <f>VLOOKUP($B130, agr_mes!$B:$XFD, MATCH(gdp_agr_share!Y$1, agr_mes!$B$1:$XFD$1, 0), 0)/VLOOKUP($B130, gdp_tot_mes!$B:$XFD, MATCH(gdp_agr_share!Y$1, gdp_tot_mes!$B$1:$XFD$1, 0), 0)</f>
        <v>0.10072330969667059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x14ac:dyDescent="0.25">
      <c r="A131" s="1" t="s">
        <v>288</v>
      </c>
      <c r="B131" s="1" t="s">
        <v>307</v>
      </c>
      <c r="C131" s="1" t="s">
        <v>308</v>
      </c>
      <c r="D131" s="29">
        <f>VLOOKUP($B131, agr_mes!$B:$XFD, MATCH(gdp_agr_share!D$1, agr_mes!$B$1:$XFD$1, 0), 0)/VLOOKUP($B131, gdp_tot_mes!$B:$XFD, MATCH(gdp_agr_share!D$1, gdp_tot_mes!$B$1:$XFD$1, 0), 0)</f>
        <v>0.73183935544131018</v>
      </c>
      <c r="E131" s="29">
        <f>VLOOKUP($B131, agr_mes!$B:$XFD, MATCH(gdp_agr_share!E$1, agr_mes!$B$1:$XFD$1, 0), 0)/VLOOKUP($B131, gdp_tot_mes!$B:$XFD, MATCH(gdp_agr_share!E$1, gdp_tot_mes!$B$1:$XFD$1, 0), 0)</f>
        <v>0.57771997058080515</v>
      </c>
      <c r="F131" s="29">
        <f>VLOOKUP($B131, agr_mes!$B:$XFD, MATCH(gdp_agr_share!F$1, agr_mes!$B$1:$XFD$1, 0), 0)/VLOOKUP($B131, gdp_tot_mes!$B:$XFD, MATCH(gdp_agr_share!F$1, gdp_tot_mes!$B$1:$XFD$1, 0), 0)</f>
        <v>0.50719513156868623</v>
      </c>
      <c r="G131" s="29">
        <f>VLOOKUP($B131, agr_mes!$B:$XFD, MATCH(gdp_agr_share!G$1, agr_mes!$B$1:$XFD$1, 0), 0)/VLOOKUP($B131, gdp_tot_mes!$B:$XFD, MATCH(gdp_agr_share!G$1, gdp_tot_mes!$B$1:$XFD$1, 0), 0)</f>
        <v>0.43941250211914179</v>
      </c>
      <c r="H131" s="29">
        <f>VLOOKUP($B131, agr_mes!$B:$XFD, MATCH(gdp_agr_share!H$1, agr_mes!$B$1:$XFD$1, 0), 0)/VLOOKUP($B131, gdp_tot_mes!$B:$XFD, MATCH(gdp_agr_share!H$1, gdp_tot_mes!$B$1:$XFD$1, 0), 0)</f>
        <v>0.25397332558539604</v>
      </c>
      <c r="I131" s="29">
        <f>VLOOKUP($B131, agr_mes!$B:$XFD, MATCH(gdp_agr_share!I$1, agr_mes!$B$1:$XFD$1, 0), 0)/VLOOKUP($B131, gdp_tot_mes!$B:$XFD, MATCH(gdp_agr_share!I$1, gdp_tot_mes!$B$1:$XFD$1, 0), 0)</f>
        <v>0.24149443413259308</v>
      </c>
      <c r="J131" s="29">
        <f>VLOOKUP($B131, agr_mes!$B:$XFD, MATCH(gdp_agr_share!J$1, agr_mes!$B$1:$XFD$1, 0), 0)/VLOOKUP($B131, gdp_tot_mes!$B:$XFD, MATCH(gdp_agr_share!J$1, gdp_tot_mes!$B$1:$XFD$1, 0), 0)</f>
        <v>0.27122326758237331</v>
      </c>
      <c r="K131" s="29">
        <f>VLOOKUP($B131, agr_mes!$B:$XFD, MATCH(gdp_agr_share!K$1, agr_mes!$B$1:$XFD$1, 0), 0)/VLOOKUP($B131, gdp_tot_mes!$B:$XFD, MATCH(gdp_agr_share!K$1, gdp_tot_mes!$B$1:$XFD$1, 0), 0)</f>
        <v>0.37144829404569635</v>
      </c>
      <c r="L131" s="30">
        <f t="shared" ref="L131:L138" si="2">K131+5*(M131-K131)/11</f>
        <v>0.31438129755090893</v>
      </c>
      <c r="M131" s="29">
        <f>VLOOKUP($B131, agr_mes!$B:$XFD, MATCH(gdp_agr_share!M$1, agr_mes!$B$1:$XFD$1, 0), 0)/VLOOKUP($B131, gdp_tot_mes!$B:$XFD, MATCH(gdp_agr_share!M$1, gdp_tot_mes!$B$1:$XFD$1, 0), 0)</f>
        <v>0.24590090175716409</v>
      </c>
      <c r="N131" s="29">
        <f>VLOOKUP($B131, agr_mes!$B:$XFD, MATCH(gdp_agr_share!N$1, agr_mes!$B$1:$XFD$1, 0), 0)/VLOOKUP($B131, gdp_tot_mes!$B:$XFD, MATCH(gdp_agr_share!N$1, gdp_tot_mes!$B$1:$XFD$1, 0), 0)</f>
        <v>7.5170934229257677E-2</v>
      </c>
      <c r="O131" s="29">
        <f>VLOOKUP($B131, agr_mes!$B:$XFD, MATCH(gdp_agr_share!O$1, agr_mes!$B$1:$XFD$1, 0), 0)/VLOOKUP($B131, gdp_tot_mes!$B:$XFD, MATCH(gdp_agr_share!O$1, gdp_tot_mes!$B$1:$XFD$1, 0), 0)</f>
        <v>7.5583337256825603E-2</v>
      </c>
      <c r="P131" s="29">
        <f>VLOOKUP($B131, agr_mes!$B:$XFD, MATCH(gdp_agr_share!P$1, agr_mes!$B$1:$XFD$1, 0), 0)/VLOOKUP($B131, gdp_tot_mes!$B:$XFD, MATCH(gdp_agr_share!P$1, gdp_tot_mes!$B$1:$XFD$1, 0), 0)</f>
        <v>0.10626149124198868</v>
      </c>
      <c r="Q131" s="29">
        <f>VLOOKUP($B131, agr_mes!$B:$XFD, MATCH(gdp_agr_share!Q$1, agr_mes!$B$1:$XFD$1, 0), 0)/VLOOKUP($B131, gdp_tot_mes!$B:$XFD, MATCH(gdp_agr_share!Q$1, gdp_tot_mes!$B$1:$XFD$1, 0), 0)</f>
        <v>0.15674673053349703</v>
      </c>
      <c r="R131" s="29">
        <f>VLOOKUP($B131, agr_mes!$B:$XFD, MATCH(gdp_agr_share!R$1, agr_mes!$B$1:$XFD$1, 0), 0)/VLOOKUP($B131, gdp_tot_mes!$B:$XFD, MATCH(gdp_agr_share!R$1, gdp_tot_mes!$B$1:$XFD$1, 0), 0)</f>
        <v>0.16464649578036974</v>
      </c>
      <c r="S131" s="29">
        <f>VLOOKUP($B131, agr_mes!$B:$XFD, MATCH(gdp_agr_share!S$1, agr_mes!$B$1:$XFD$1, 0), 0)/VLOOKUP($B131, gdp_tot_mes!$B:$XFD, MATCH(gdp_agr_share!S$1, gdp_tot_mes!$B$1:$XFD$1, 0), 0)</f>
        <v>0.12941458275665463</v>
      </c>
      <c r="T131" s="29">
        <f>VLOOKUP($B131, agr_mes!$B:$XFD, MATCH(gdp_agr_share!T$1, agr_mes!$B$1:$XFD$1, 0), 0)/VLOOKUP($B131, gdp_tot_mes!$B:$XFD, MATCH(gdp_agr_share!T$1, gdp_tot_mes!$B$1:$XFD$1, 0), 0)</f>
        <v>0.1303384493829087</v>
      </c>
      <c r="U131" s="29">
        <f>VLOOKUP($B131, agr_mes!$B:$XFD, MATCH(gdp_agr_share!U$1, agr_mes!$B$1:$XFD$1, 0), 0)/VLOOKUP($B131, gdp_tot_mes!$B:$XFD, MATCH(gdp_agr_share!U$1, gdp_tot_mes!$B$1:$XFD$1, 0), 0)</f>
        <v>0.16576155432759443</v>
      </c>
      <c r="V131" s="29">
        <f>VLOOKUP($B131, agr_mes!$B:$XFD, MATCH(gdp_agr_share!V$1, agr_mes!$B$1:$XFD$1, 0), 0)/VLOOKUP($B131, gdp_tot_mes!$B:$XFD, MATCH(gdp_agr_share!V$1, gdp_tot_mes!$B$1:$XFD$1, 0), 0)</f>
        <v>0.13838659236576581</v>
      </c>
      <c r="W131" s="29">
        <f>VLOOKUP($B131, agr_mes!$B:$XFD, MATCH(gdp_agr_share!W$1, agr_mes!$B$1:$XFD$1, 0), 0)/VLOOKUP($B131, gdp_tot_mes!$B:$XFD, MATCH(gdp_agr_share!W$1, gdp_tot_mes!$B$1:$XFD$1, 0), 0)</f>
        <v>0.12787580077626434</v>
      </c>
      <c r="X131" s="29">
        <f>VLOOKUP($B131, agr_mes!$B:$XFD, MATCH(gdp_agr_share!X$1, agr_mes!$B$1:$XFD$1, 0), 0)/VLOOKUP($B131, gdp_tot_mes!$B:$XFD, MATCH(gdp_agr_share!X$1, gdp_tot_mes!$B$1:$XFD$1, 0), 0)</f>
        <v>0.13374649616481002</v>
      </c>
      <c r="Y131" s="29">
        <f>VLOOKUP($B131, agr_mes!$B:$XFD, MATCH(gdp_agr_share!Y$1, agr_mes!$B$1:$XFD$1, 0), 0)/VLOOKUP($B131, gdp_tot_mes!$B:$XFD, MATCH(gdp_agr_share!Y$1, gdp_tot_mes!$B$1:$XFD$1, 0), 0)</f>
        <v>0.11027962952756863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x14ac:dyDescent="0.25">
      <c r="A132" s="1" t="s">
        <v>288</v>
      </c>
      <c r="B132" s="1" t="s">
        <v>309</v>
      </c>
      <c r="C132" s="1" t="s">
        <v>310</v>
      </c>
      <c r="D132" s="29">
        <f>VLOOKUP($B132, agr_mes!$B:$XFD, MATCH(gdp_agr_share!D$1, agr_mes!$B$1:$XFD$1, 0), 0)/VLOOKUP($B132, gdp_tot_mes!$B:$XFD, MATCH(gdp_agr_share!D$1, gdp_tot_mes!$B$1:$XFD$1, 0), 0)</f>
        <v>0.62440318445628551</v>
      </c>
      <c r="E132" s="29">
        <f>VLOOKUP($B132, agr_mes!$B:$XFD, MATCH(gdp_agr_share!E$1, agr_mes!$B$1:$XFD$1, 0), 0)/VLOOKUP($B132, gdp_tot_mes!$B:$XFD, MATCH(gdp_agr_share!E$1, gdp_tot_mes!$B$1:$XFD$1, 0), 0)</f>
        <v>0.43875397435471247</v>
      </c>
      <c r="F132" s="29">
        <f>VLOOKUP($B132, agr_mes!$B:$XFD, MATCH(gdp_agr_share!F$1, agr_mes!$B$1:$XFD$1, 0), 0)/VLOOKUP($B132, gdp_tot_mes!$B:$XFD, MATCH(gdp_agr_share!F$1, gdp_tot_mes!$B$1:$XFD$1, 0), 0)</f>
        <v>0.47210131998673366</v>
      </c>
      <c r="G132" s="29">
        <f>VLOOKUP($B132, agr_mes!$B:$XFD, MATCH(gdp_agr_share!G$1, agr_mes!$B$1:$XFD$1, 0), 0)/VLOOKUP($B132, gdp_tot_mes!$B:$XFD, MATCH(gdp_agr_share!G$1, gdp_tot_mes!$B$1:$XFD$1, 0), 0)</f>
        <v>0.40793095406060897</v>
      </c>
      <c r="H132" s="29">
        <f>VLOOKUP($B132, agr_mes!$B:$XFD, MATCH(gdp_agr_share!H$1, agr_mes!$B$1:$XFD$1, 0), 0)/VLOOKUP($B132, gdp_tot_mes!$B:$XFD, MATCH(gdp_agr_share!H$1, gdp_tot_mes!$B$1:$XFD$1, 0), 0)</f>
        <v>0.32514310346889419</v>
      </c>
      <c r="I132" s="29">
        <f>VLOOKUP($B132, agr_mes!$B:$XFD, MATCH(gdp_agr_share!I$1, agr_mes!$B$1:$XFD$1, 0), 0)/VLOOKUP($B132, gdp_tot_mes!$B:$XFD, MATCH(gdp_agr_share!I$1, gdp_tot_mes!$B$1:$XFD$1, 0), 0)</f>
        <v>0.26286137454940933</v>
      </c>
      <c r="J132" s="29">
        <f>VLOOKUP($B132, agr_mes!$B:$XFD, MATCH(gdp_agr_share!J$1, agr_mes!$B$1:$XFD$1, 0), 0)/VLOOKUP($B132, gdp_tot_mes!$B:$XFD, MATCH(gdp_agr_share!J$1, gdp_tot_mes!$B$1:$XFD$1, 0), 0)</f>
        <v>0.25088167348374285</v>
      </c>
      <c r="K132" s="29">
        <f>VLOOKUP($B132, agr_mes!$B:$XFD, MATCH(gdp_agr_share!K$1, agr_mes!$B$1:$XFD$1, 0), 0)/VLOOKUP($B132, gdp_tot_mes!$B:$XFD, MATCH(gdp_agr_share!K$1, gdp_tot_mes!$B$1:$XFD$1, 0), 0)</f>
        <v>0.20035222542097297</v>
      </c>
      <c r="L132" s="30">
        <f t="shared" si="2"/>
        <v>0.18672562142396348</v>
      </c>
      <c r="M132" s="29">
        <f>VLOOKUP($B132, agr_mes!$B:$XFD, MATCH(gdp_agr_share!M$1, agr_mes!$B$1:$XFD$1, 0), 0)/VLOOKUP($B132, gdp_tot_mes!$B:$XFD, MATCH(gdp_agr_share!M$1, gdp_tot_mes!$B$1:$XFD$1, 0), 0)</f>
        <v>0.17037369662755211</v>
      </c>
      <c r="N132" s="29">
        <f>VLOOKUP($B132, agr_mes!$B:$XFD, MATCH(gdp_agr_share!N$1, agr_mes!$B$1:$XFD$1, 0), 0)/VLOOKUP($B132, gdp_tot_mes!$B:$XFD, MATCH(gdp_agr_share!N$1, gdp_tot_mes!$B$1:$XFD$1, 0), 0)</f>
        <v>6.6093620745576273E-2</v>
      </c>
      <c r="O132" s="29">
        <f>VLOOKUP($B132, agr_mes!$B:$XFD, MATCH(gdp_agr_share!O$1, agr_mes!$B$1:$XFD$1, 0), 0)/VLOOKUP($B132, gdp_tot_mes!$B:$XFD, MATCH(gdp_agr_share!O$1, gdp_tot_mes!$B$1:$XFD$1, 0), 0)</f>
        <v>6.4136654076884306E-2</v>
      </c>
      <c r="P132" s="29">
        <f>VLOOKUP($B132, agr_mes!$B:$XFD, MATCH(gdp_agr_share!P$1, agr_mes!$B$1:$XFD$1, 0), 0)/VLOOKUP($B132, gdp_tot_mes!$B:$XFD, MATCH(gdp_agr_share!P$1, gdp_tot_mes!$B$1:$XFD$1, 0), 0)</f>
        <v>0.10605465164965031</v>
      </c>
      <c r="Q132" s="29">
        <f>VLOOKUP($B132, agr_mes!$B:$XFD, MATCH(gdp_agr_share!Q$1, agr_mes!$B$1:$XFD$1, 0), 0)/VLOOKUP($B132, gdp_tot_mes!$B:$XFD, MATCH(gdp_agr_share!Q$1, gdp_tot_mes!$B$1:$XFD$1, 0), 0)</f>
        <v>0.13869632641903779</v>
      </c>
      <c r="R132" s="29">
        <f>VLOOKUP($B132, agr_mes!$B:$XFD, MATCH(gdp_agr_share!R$1, agr_mes!$B$1:$XFD$1, 0), 0)/VLOOKUP($B132, gdp_tot_mes!$B:$XFD, MATCH(gdp_agr_share!R$1, gdp_tot_mes!$B$1:$XFD$1, 0), 0)</f>
        <v>0.14708690247645959</v>
      </c>
      <c r="S132" s="29">
        <f>VLOOKUP($B132, agr_mes!$B:$XFD, MATCH(gdp_agr_share!S$1, agr_mes!$B$1:$XFD$1, 0), 0)/VLOOKUP($B132, gdp_tot_mes!$B:$XFD, MATCH(gdp_agr_share!S$1, gdp_tot_mes!$B$1:$XFD$1, 0), 0)</f>
        <v>0.14496445577697037</v>
      </c>
      <c r="T132" s="29">
        <f>VLOOKUP($B132, agr_mes!$B:$XFD, MATCH(gdp_agr_share!T$1, agr_mes!$B$1:$XFD$1, 0), 0)/VLOOKUP($B132, gdp_tot_mes!$B:$XFD, MATCH(gdp_agr_share!T$1, gdp_tot_mes!$B$1:$XFD$1, 0), 0)</f>
        <v>0.14205946305448555</v>
      </c>
      <c r="U132" s="29">
        <f>VLOOKUP($B132, agr_mes!$B:$XFD, MATCH(gdp_agr_share!U$1, agr_mes!$B$1:$XFD$1, 0), 0)/VLOOKUP($B132, gdp_tot_mes!$B:$XFD, MATCH(gdp_agr_share!U$1, gdp_tot_mes!$B$1:$XFD$1, 0), 0)</f>
        <v>0.14374689080399297</v>
      </c>
      <c r="V132" s="29">
        <f>VLOOKUP($B132, agr_mes!$B:$XFD, MATCH(gdp_agr_share!V$1, agr_mes!$B$1:$XFD$1, 0), 0)/VLOOKUP($B132, gdp_tot_mes!$B:$XFD, MATCH(gdp_agr_share!V$1, gdp_tot_mes!$B$1:$XFD$1, 0), 0)</f>
        <v>0.17001894488686459</v>
      </c>
      <c r="W132" s="29">
        <f>VLOOKUP($B132, agr_mes!$B:$XFD, MATCH(gdp_agr_share!W$1, agr_mes!$B$1:$XFD$1, 0), 0)/VLOOKUP($B132, gdp_tot_mes!$B:$XFD, MATCH(gdp_agr_share!W$1, gdp_tot_mes!$B$1:$XFD$1, 0), 0)</f>
        <v>0.1292376639671563</v>
      </c>
      <c r="X132" s="29">
        <f>VLOOKUP($B132, agr_mes!$B:$XFD, MATCH(gdp_agr_share!X$1, agr_mes!$B$1:$XFD$1, 0), 0)/VLOOKUP($B132, gdp_tot_mes!$B:$XFD, MATCH(gdp_agr_share!X$1, gdp_tot_mes!$B$1:$XFD$1, 0), 0)</f>
        <v>0.15097441980920401</v>
      </c>
      <c r="Y132" s="29">
        <f>VLOOKUP($B132, agr_mes!$B:$XFD, MATCH(gdp_agr_share!Y$1, agr_mes!$B$1:$XFD$1, 0), 0)/VLOOKUP($B132, gdp_tot_mes!$B:$XFD, MATCH(gdp_agr_share!Y$1, gdp_tot_mes!$B$1:$XFD$1, 0), 0)</f>
        <v>0.10589304629248393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x14ac:dyDescent="0.25">
      <c r="A133" s="1" t="s">
        <v>288</v>
      </c>
      <c r="B133" s="1" t="s">
        <v>311</v>
      </c>
      <c r="C133" s="1" t="s">
        <v>312</v>
      </c>
      <c r="D133" s="29">
        <f>VLOOKUP($B133, agr_mes!$B:$XFD, MATCH(gdp_agr_share!D$1, agr_mes!$B$1:$XFD$1, 0), 0)/VLOOKUP($B133, gdp_tot_mes!$B:$XFD, MATCH(gdp_agr_share!D$1, gdp_tot_mes!$B$1:$XFD$1, 0), 0)</f>
        <v>0.41827780982191398</v>
      </c>
      <c r="E133" s="29">
        <f>VLOOKUP($B133, agr_mes!$B:$XFD, MATCH(gdp_agr_share!E$1, agr_mes!$B$1:$XFD$1, 0), 0)/VLOOKUP($B133, gdp_tot_mes!$B:$XFD, MATCH(gdp_agr_share!E$1, gdp_tot_mes!$B$1:$XFD$1, 0), 0)</f>
        <v>0.21112018778175648</v>
      </c>
      <c r="F133" s="29">
        <f>VLOOKUP($B133, agr_mes!$B:$XFD, MATCH(gdp_agr_share!F$1, agr_mes!$B$1:$XFD$1, 0), 0)/VLOOKUP($B133, gdp_tot_mes!$B:$XFD, MATCH(gdp_agr_share!F$1, gdp_tot_mes!$B$1:$XFD$1, 0), 0)</f>
        <v>0.14779375230919606</v>
      </c>
      <c r="G133" s="29">
        <f>VLOOKUP($B133, agr_mes!$B:$XFD, MATCH(gdp_agr_share!G$1, agr_mes!$B$1:$XFD$1, 0), 0)/VLOOKUP($B133, gdp_tot_mes!$B:$XFD, MATCH(gdp_agr_share!G$1, gdp_tot_mes!$B$1:$XFD$1, 0), 0)</f>
        <v>0.15110888990809596</v>
      </c>
      <c r="H133" s="29">
        <f>VLOOKUP($B133, agr_mes!$B:$XFD, MATCH(gdp_agr_share!H$1, agr_mes!$B$1:$XFD$1, 0), 0)/VLOOKUP($B133, gdp_tot_mes!$B:$XFD, MATCH(gdp_agr_share!H$1, gdp_tot_mes!$B$1:$XFD$1, 0), 0)</f>
        <v>8.9309531826896382E-2</v>
      </c>
      <c r="I133" s="29">
        <f>VLOOKUP($B133, agr_mes!$B:$XFD, MATCH(gdp_agr_share!I$1, agr_mes!$B$1:$XFD$1, 0), 0)/VLOOKUP($B133, gdp_tot_mes!$B:$XFD, MATCH(gdp_agr_share!I$1, gdp_tot_mes!$B$1:$XFD$1, 0), 0)</f>
        <v>6.1020232970588652E-2</v>
      </c>
      <c r="J133" s="29">
        <f>VLOOKUP($B133, agr_mes!$B:$XFD, MATCH(gdp_agr_share!J$1, agr_mes!$B$1:$XFD$1, 0), 0)/VLOOKUP($B133, gdp_tot_mes!$B:$XFD, MATCH(gdp_agr_share!J$1, gdp_tot_mes!$B$1:$XFD$1, 0), 0)</f>
        <v>4.1820902046628888E-2</v>
      </c>
      <c r="K133" s="29">
        <f>VLOOKUP($B133, agr_mes!$B:$XFD, MATCH(gdp_agr_share!K$1, agr_mes!$B$1:$XFD$1, 0), 0)/VLOOKUP($B133, gdp_tot_mes!$B:$XFD, MATCH(gdp_agr_share!K$1, gdp_tot_mes!$B$1:$XFD$1, 0), 0)</f>
        <v>5.5179406608454468E-2</v>
      </c>
      <c r="L133" s="30">
        <f t="shared" si="2"/>
        <v>4.6352832828919312E-2</v>
      </c>
      <c r="M133" s="29">
        <f>VLOOKUP($B133, agr_mes!$B:$XFD, MATCH(gdp_agr_share!M$1, agr_mes!$B$1:$XFD$1, 0), 0)/VLOOKUP($B133, gdp_tot_mes!$B:$XFD, MATCH(gdp_agr_share!M$1, gdp_tot_mes!$B$1:$XFD$1, 0), 0)</f>
        <v>3.5760944293477127E-2</v>
      </c>
      <c r="N133" s="29">
        <f>VLOOKUP($B133, agr_mes!$B:$XFD, MATCH(gdp_agr_share!N$1, agr_mes!$B$1:$XFD$1, 0), 0)/VLOOKUP($B133, gdp_tot_mes!$B:$XFD, MATCH(gdp_agr_share!N$1, gdp_tot_mes!$B$1:$XFD$1, 0), 0)</f>
        <v>1.4486864322948849E-2</v>
      </c>
      <c r="O133" s="29">
        <f>VLOOKUP($B133, agr_mes!$B:$XFD, MATCH(gdp_agr_share!O$1, agr_mes!$B$1:$XFD$1, 0), 0)/VLOOKUP($B133, gdp_tot_mes!$B:$XFD, MATCH(gdp_agr_share!O$1, gdp_tot_mes!$B$1:$XFD$1, 0), 0)</f>
        <v>1.2654491419538593E-2</v>
      </c>
      <c r="P133" s="29">
        <f>VLOOKUP($B133, agr_mes!$B:$XFD, MATCH(gdp_agr_share!P$1, agr_mes!$B$1:$XFD$1, 0), 0)/VLOOKUP($B133, gdp_tot_mes!$B:$XFD, MATCH(gdp_agr_share!P$1, gdp_tot_mes!$B$1:$XFD$1, 0), 0)</f>
        <v>1.9485206475467406E-2</v>
      </c>
      <c r="Q133" s="29">
        <f>VLOOKUP($B133, agr_mes!$B:$XFD, MATCH(gdp_agr_share!Q$1, agr_mes!$B$1:$XFD$1, 0), 0)/VLOOKUP($B133, gdp_tot_mes!$B:$XFD, MATCH(gdp_agr_share!Q$1, gdp_tot_mes!$B$1:$XFD$1, 0), 0)</f>
        <v>2.7636324669513795E-2</v>
      </c>
      <c r="R133" s="29">
        <f>VLOOKUP($B133, agr_mes!$B:$XFD, MATCH(gdp_agr_share!R$1, agr_mes!$B$1:$XFD$1, 0), 0)/VLOOKUP($B133, gdp_tot_mes!$B:$XFD, MATCH(gdp_agr_share!R$1, gdp_tot_mes!$B$1:$XFD$1, 0), 0)</f>
        <v>2.6510301689140415E-2</v>
      </c>
      <c r="S133" s="29">
        <f>VLOOKUP($B133, agr_mes!$B:$XFD, MATCH(gdp_agr_share!S$1, agr_mes!$B$1:$XFD$1, 0), 0)/VLOOKUP($B133, gdp_tot_mes!$B:$XFD, MATCH(gdp_agr_share!S$1, gdp_tot_mes!$B$1:$XFD$1, 0), 0)</f>
        <v>2.3171338307876186E-2</v>
      </c>
      <c r="T133" s="29">
        <f>VLOOKUP($B133, agr_mes!$B:$XFD, MATCH(gdp_agr_share!T$1, agr_mes!$B$1:$XFD$1, 0), 0)/VLOOKUP($B133, gdp_tot_mes!$B:$XFD, MATCH(gdp_agr_share!T$1, gdp_tot_mes!$B$1:$XFD$1, 0), 0)</f>
        <v>2.2681353570720163E-2</v>
      </c>
      <c r="U133" s="29">
        <f>VLOOKUP($B133, agr_mes!$B:$XFD, MATCH(gdp_agr_share!U$1, agr_mes!$B$1:$XFD$1, 0), 0)/VLOOKUP($B133, gdp_tot_mes!$B:$XFD, MATCH(gdp_agr_share!U$1, gdp_tot_mes!$B$1:$XFD$1, 0), 0)</f>
        <v>2.116758203546355E-2</v>
      </c>
      <c r="V133" s="29">
        <f>VLOOKUP($B133, agr_mes!$B:$XFD, MATCH(gdp_agr_share!V$1, agr_mes!$B$1:$XFD$1, 0), 0)/VLOOKUP($B133, gdp_tot_mes!$B:$XFD, MATCH(gdp_agr_share!V$1, gdp_tot_mes!$B$1:$XFD$1, 0), 0)</f>
        <v>2.1596355244460536E-2</v>
      </c>
      <c r="W133" s="29">
        <f>VLOOKUP($B133, agr_mes!$B:$XFD, MATCH(gdp_agr_share!W$1, agr_mes!$B$1:$XFD$1, 0), 0)/VLOOKUP($B133, gdp_tot_mes!$B:$XFD, MATCH(gdp_agr_share!W$1, gdp_tot_mes!$B$1:$XFD$1, 0), 0)</f>
        <v>1.7127159789774072E-2</v>
      </c>
      <c r="X133" s="29">
        <f>VLOOKUP($B133, agr_mes!$B:$XFD, MATCH(gdp_agr_share!X$1, agr_mes!$B$1:$XFD$1, 0), 0)/VLOOKUP($B133, gdp_tot_mes!$B:$XFD, MATCH(gdp_agr_share!X$1, gdp_tot_mes!$B$1:$XFD$1, 0), 0)</f>
        <v>1.981243641985736E-2</v>
      </c>
      <c r="Y133" s="29">
        <f>VLOOKUP($B133, agr_mes!$B:$XFD, MATCH(gdp_agr_share!Y$1, agr_mes!$B$1:$XFD$1, 0), 0)/VLOOKUP($B133, gdp_tot_mes!$B:$XFD, MATCH(gdp_agr_share!Y$1, gdp_tot_mes!$B$1:$XFD$1, 0), 0)</f>
        <v>1.5533106499330785E-2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x14ac:dyDescent="0.25">
      <c r="A134" s="1" t="s">
        <v>288</v>
      </c>
      <c r="B134" s="1" t="s">
        <v>313</v>
      </c>
      <c r="C134" s="1" t="s">
        <v>314</v>
      </c>
      <c r="D134" s="29">
        <f>VLOOKUP($B134, agr_mes!$B:$XFD, MATCH(gdp_agr_share!D$1, agr_mes!$B$1:$XFD$1, 0), 0)/VLOOKUP($B134, gdp_tot_mes!$B:$XFD, MATCH(gdp_agr_share!D$1, gdp_tot_mes!$B$1:$XFD$1, 0), 0)</f>
        <v>0.41124087617815275</v>
      </c>
      <c r="E134" s="29">
        <f>VLOOKUP($B134, agr_mes!$B:$XFD, MATCH(gdp_agr_share!E$1, agr_mes!$B$1:$XFD$1, 0), 0)/VLOOKUP($B134, gdp_tot_mes!$B:$XFD, MATCH(gdp_agr_share!E$1, gdp_tot_mes!$B$1:$XFD$1, 0), 0)</f>
        <v>0.24489405619845755</v>
      </c>
      <c r="F134" s="29">
        <f>VLOOKUP($B134, agr_mes!$B:$XFD, MATCH(gdp_agr_share!F$1, agr_mes!$B$1:$XFD$1, 0), 0)/VLOOKUP($B134, gdp_tot_mes!$B:$XFD, MATCH(gdp_agr_share!F$1, gdp_tot_mes!$B$1:$XFD$1, 0), 0)</f>
        <v>0.17649807563008998</v>
      </c>
      <c r="G134" s="29">
        <f>VLOOKUP($B134, agr_mes!$B:$XFD, MATCH(gdp_agr_share!G$1, agr_mes!$B$1:$XFD$1, 0), 0)/VLOOKUP($B134, gdp_tot_mes!$B:$XFD, MATCH(gdp_agr_share!G$1, gdp_tot_mes!$B$1:$XFD$1, 0), 0)</f>
        <v>9.5941425917093107E-2</v>
      </c>
      <c r="H134" s="29">
        <f>VLOOKUP($B134, agr_mes!$B:$XFD, MATCH(gdp_agr_share!H$1, agr_mes!$B$1:$XFD$1, 0), 0)/VLOOKUP($B134, gdp_tot_mes!$B:$XFD, MATCH(gdp_agr_share!H$1, gdp_tot_mes!$B$1:$XFD$1, 0), 0)</f>
        <v>5.9254138076734207E-2</v>
      </c>
      <c r="I134" s="29">
        <f>VLOOKUP($B134, agr_mes!$B:$XFD, MATCH(gdp_agr_share!I$1, agr_mes!$B$1:$XFD$1, 0), 0)/VLOOKUP($B134, gdp_tot_mes!$B:$XFD, MATCH(gdp_agr_share!I$1, gdp_tot_mes!$B$1:$XFD$1, 0), 0)</f>
        <v>4.12968488603054E-2</v>
      </c>
      <c r="J134" s="29">
        <f>VLOOKUP($B134, agr_mes!$B:$XFD, MATCH(gdp_agr_share!J$1, agr_mes!$B$1:$XFD$1, 0), 0)/VLOOKUP($B134, gdp_tot_mes!$B:$XFD, MATCH(gdp_agr_share!J$1, gdp_tot_mes!$B$1:$XFD$1, 0), 0)</f>
        <v>3.4679357441983701E-2</v>
      </c>
      <c r="K134" s="29">
        <f>VLOOKUP($B134, agr_mes!$B:$XFD, MATCH(gdp_agr_share!K$1, agr_mes!$B$1:$XFD$1, 0), 0)/VLOOKUP($B134, gdp_tot_mes!$B:$XFD, MATCH(gdp_agr_share!K$1, gdp_tot_mes!$B$1:$XFD$1, 0), 0)</f>
        <v>1.9274345548298408E-2</v>
      </c>
      <c r="L134" s="30">
        <f t="shared" si="2"/>
        <v>2.3522744718642338E-2</v>
      </c>
      <c r="M134" s="29">
        <f>VLOOKUP($B134, agr_mes!$B:$XFD, MATCH(gdp_agr_share!M$1, agr_mes!$B$1:$XFD$1, 0), 0)/VLOOKUP($B134, gdp_tot_mes!$B:$XFD, MATCH(gdp_agr_share!M$1, gdp_tot_mes!$B$1:$XFD$1, 0), 0)</f>
        <v>2.8620823723055053E-2</v>
      </c>
      <c r="N134" s="29">
        <f>VLOOKUP($B134, agr_mes!$B:$XFD, MATCH(gdp_agr_share!N$1, agr_mes!$B$1:$XFD$1, 0), 0)/VLOOKUP($B134, gdp_tot_mes!$B:$XFD, MATCH(gdp_agr_share!N$1, gdp_tot_mes!$B$1:$XFD$1, 0), 0)</f>
        <v>3.76459074317544E-3</v>
      </c>
      <c r="O134" s="29">
        <f>VLOOKUP($B134, agr_mes!$B:$XFD, MATCH(gdp_agr_share!O$1, agr_mes!$B$1:$XFD$1, 0), 0)/VLOOKUP($B134, gdp_tot_mes!$B:$XFD, MATCH(gdp_agr_share!O$1, gdp_tot_mes!$B$1:$XFD$1, 0), 0)</f>
        <v>3.1419819919420058E-3</v>
      </c>
      <c r="P134" s="29">
        <f>VLOOKUP($B134, agr_mes!$B:$XFD, MATCH(gdp_agr_share!P$1, agr_mes!$B$1:$XFD$1, 0), 0)/VLOOKUP($B134, gdp_tot_mes!$B:$XFD, MATCH(gdp_agr_share!P$1, gdp_tot_mes!$B$1:$XFD$1, 0), 0)</f>
        <v>3.9280570515962858E-3</v>
      </c>
      <c r="Q134" s="29">
        <f>VLOOKUP($B134, agr_mes!$B:$XFD, MATCH(gdp_agr_share!Q$1, agr_mes!$B$1:$XFD$1, 0), 0)/VLOOKUP($B134, gdp_tot_mes!$B:$XFD, MATCH(gdp_agr_share!Q$1, gdp_tot_mes!$B$1:$XFD$1, 0), 0)</f>
        <v>7.3191187189869077E-3</v>
      </c>
      <c r="R134" s="29">
        <f>VLOOKUP($B134, agr_mes!$B:$XFD, MATCH(gdp_agr_share!R$1, agr_mes!$B$1:$XFD$1, 0), 0)/VLOOKUP($B134, gdp_tot_mes!$B:$XFD, MATCH(gdp_agr_share!R$1, gdp_tot_mes!$B$1:$XFD$1, 0), 0)</f>
        <v>1.0672514375510948E-2</v>
      </c>
      <c r="S134" s="29">
        <f>VLOOKUP($B134, agr_mes!$B:$XFD, MATCH(gdp_agr_share!S$1, agr_mes!$B$1:$XFD$1, 0), 0)/VLOOKUP($B134, gdp_tot_mes!$B:$XFD, MATCH(gdp_agr_share!S$1, gdp_tot_mes!$B$1:$XFD$1, 0), 0)</f>
        <v>6.0416412384109311E-3</v>
      </c>
      <c r="T134" s="29">
        <f>VLOOKUP($B134, agr_mes!$B:$XFD, MATCH(gdp_agr_share!T$1, agr_mes!$B$1:$XFD$1, 0), 0)/VLOOKUP($B134, gdp_tot_mes!$B:$XFD, MATCH(gdp_agr_share!T$1, gdp_tot_mes!$B$1:$XFD$1, 0), 0)</f>
        <v>5.8325970832394216E-3</v>
      </c>
      <c r="U134" s="29">
        <f>VLOOKUP($B134, agr_mes!$B:$XFD, MATCH(gdp_agr_share!U$1, agr_mes!$B$1:$XFD$1, 0), 0)/VLOOKUP($B134, gdp_tot_mes!$B:$XFD, MATCH(gdp_agr_share!U$1, gdp_tot_mes!$B$1:$XFD$1, 0), 0)</f>
        <v>6.5855965916752192E-3</v>
      </c>
      <c r="V134" s="29">
        <f>VLOOKUP($B134, agr_mes!$B:$XFD, MATCH(gdp_agr_share!V$1, agr_mes!$B$1:$XFD$1, 0), 0)/VLOOKUP($B134, gdp_tot_mes!$B:$XFD, MATCH(gdp_agr_share!V$1, gdp_tot_mes!$B$1:$XFD$1, 0), 0)</f>
        <v>6.8299182396957848E-3</v>
      </c>
      <c r="W134" s="29">
        <f>VLOOKUP($B134, agr_mes!$B:$XFD, MATCH(gdp_agr_share!W$1, agr_mes!$B$1:$XFD$1, 0), 0)/VLOOKUP($B134, gdp_tot_mes!$B:$XFD, MATCH(gdp_agr_share!W$1, gdp_tot_mes!$B$1:$XFD$1, 0), 0)</f>
        <v>4.4657042159947351E-3</v>
      </c>
      <c r="X134" s="29">
        <f>VLOOKUP($B134, agr_mes!$B:$XFD, MATCH(gdp_agr_share!X$1, agr_mes!$B$1:$XFD$1, 0), 0)/VLOOKUP($B134, gdp_tot_mes!$B:$XFD, MATCH(gdp_agr_share!X$1, gdp_tot_mes!$B$1:$XFD$1, 0), 0)</f>
        <v>5.6689178563389172E-3</v>
      </c>
      <c r="Y134" s="29">
        <f>VLOOKUP($B134, agr_mes!$B:$XFD, MATCH(gdp_agr_share!Y$1, agr_mes!$B$1:$XFD$1, 0), 0)/VLOOKUP($B134, gdp_tot_mes!$B:$XFD, MATCH(gdp_agr_share!Y$1, gdp_tot_mes!$B$1:$XFD$1, 0), 0)</f>
        <v>4.8532797516494496E-3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x14ac:dyDescent="0.25">
      <c r="A135" s="1" t="s">
        <v>288</v>
      </c>
      <c r="B135" s="1" t="s">
        <v>315</v>
      </c>
      <c r="C135" s="1" t="s">
        <v>316</v>
      </c>
      <c r="D135" s="29">
        <f>VLOOKUP($B135, agr_mes!$B:$XFD, MATCH(gdp_agr_share!D$1, agr_mes!$B$1:$XFD$1, 0), 0)/VLOOKUP($B135, gdp_tot_mes!$B:$XFD, MATCH(gdp_agr_share!D$1, gdp_tot_mes!$B$1:$XFD$1, 0), 0)</f>
        <v>0.62195246368097246</v>
      </c>
      <c r="E135" s="29">
        <f>VLOOKUP($B135, agr_mes!$B:$XFD, MATCH(gdp_agr_share!E$1, agr_mes!$B$1:$XFD$1, 0), 0)/VLOOKUP($B135, gdp_tot_mes!$B:$XFD, MATCH(gdp_agr_share!E$1, gdp_tot_mes!$B$1:$XFD$1, 0), 0)</f>
        <v>0.692904690493649</v>
      </c>
      <c r="F135" s="29">
        <f>VLOOKUP($B135, agr_mes!$B:$XFD, MATCH(gdp_agr_share!F$1, agr_mes!$B$1:$XFD$1, 0), 0)/VLOOKUP($B135, gdp_tot_mes!$B:$XFD, MATCH(gdp_agr_share!F$1, gdp_tot_mes!$B$1:$XFD$1, 0), 0)</f>
        <v>0.59977937924369784</v>
      </c>
      <c r="G135" s="29">
        <f>VLOOKUP($B135, agr_mes!$B:$XFD, MATCH(gdp_agr_share!G$1, agr_mes!$B$1:$XFD$1, 0), 0)/VLOOKUP($B135, gdp_tot_mes!$B:$XFD, MATCH(gdp_agr_share!G$1, gdp_tot_mes!$B$1:$XFD$1, 0), 0)</f>
        <v>0.55306839530839724</v>
      </c>
      <c r="H135" s="29">
        <f>VLOOKUP($B135, agr_mes!$B:$XFD, MATCH(gdp_agr_share!H$1, agr_mes!$B$1:$XFD$1, 0), 0)/VLOOKUP($B135, gdp_tot_mes!$B:$XFD, MATCH(gdp_agr_share!H$1, gdp_tot_mes!$B$1:$XFD$1, 0), 0)</f>
        <v>0.18750428487644236</v>
      </c>
      <c r="I135" s="29">
        <f>VLOOKUP($B135, agr_mes!$B:$XFD, MATCH(gdp_agr_share!I$1, agr_mes!$B$1:$XFD$1, 0), 0)/VLOOKUP($B135, gdp_tot_mes!$B:$XFD, MATCH(gdp_agr_share!I$1, gdp_tot_mes!$B$1:$XFD$1, 0), 0)</f>
        <v>0.21220678826315323</v>
      </c>
      <c r="J135" s="29">
        <f>VLOOKUP($B135, agr_mes!$B:$XFD, MATCH(gdp_agr_share!J$1, agr_mes!$B$1:$XFD$1, 0), 0)/VLOOKUP($B135, gdp_tot_mes!$B:$XFD, MATCH(gdp_agr_share!J$1, gdp_tot_mes!$B$1:$XFD$1, 0), 0)</f>
        <v>0.13242198295492061</v>
      </c>
      <c r="K135" s="29">
        <f>VLOOKUP($B135, agr_mes!$B:$XFD, MATCH(gdp_agr_share!K$1, agr_mes!$B$1:$XFD$1, 0), 0)/VLOOKUP($B135, gdp_tot_mes!$B:$XFD, MATCH(gdp_agr_share!K$1, gdp_tot_mes!$B$1:$XFD$1, 0), 0)</f>
        <v>0.17547913729507253</v>
      </c>
      <c r="L135" s="30">
        <f t="shared" si="2"/>
        <v>0.17079588202475665</v>
      </c>
      <c r="M135" s="29">
        <f>VLOOKUP($B135, agr_mes!$B:$XFD, MATCH(gdp_agr_share!M$1, agr_mes!$B$1:$XFD$1, 0), 0)/VLOOKUP($B135, gdp_tot_mes!$B:$XFD, MATCH(gdp_agr_share!M$1, gdp_tot_mes!$B$1:$XFD$1, 0), 0)</f>
        <v>0.16517597570037759</v>
      </c>
      <c r="N135" s="29">
        <f>VLOOKUP($B135, agr_mes!$B:$XFD, MATCH(gdp_agr_share!N$1, agr_mes!$B$1:$XFD$1, 0), 0)/VLOOKUP($B135, gdp_tot_mes!$B:$XFD, MATCH(gdp_agr_share!N$1, gdp_tot_mes!$B$1:$XFD$1, 0), 0)</f>
        <v>4.6374449935461054E-2</v>
      </c>
      <c r="O135" s="29">
        <f>VLOOKUP($B135, agr_mes!$B:$XFD, MATCH(gdp_agr_share!O$1, agr_mes!$B$1:$XFD$1, 0), 0)/VLOOKUP($B135, gdp_tot_mes!$B:$XFD, MATCH(gdp_agr_share!O$1, gdp_tot_mes!$B$1:$XFD$1, 0), 0)</f>
        <v>4.8958853111409267E-2</v>
      </c>
      <c r="P135" s="29">
        <f>VLOOKUP($B135, agr_mes!$B:$XFD, MATCH(gdp_agr_share!P$1, agr_mes!$B$1:$XFD$1, 0), 0)/VLOOKUP($B135, gdp_tot_mes!$B:$XFD, MATCH(gdp_agr_share!P$1, gdp_tot_mes!$B$1:$XFD$1, 0), 0)</f>
        <v>5.5870528210103486E-2</v>
      </c>
      <c r="Q135" s="29">
        <f>VLOOKUP($B135, agr_mes!$B:$XFD, MATCH(gdp_agr_share!Q$1, agr_mes!$B$1:$XFD$1, 0), 0)/VLOOKUP($B135, gdp_tot_mes!$B:$XFD, MATCH(gdp_agr_share!Q$1, gdp_tot_mes!$B$1:$XFD$1, 0), 0)</f>
        <v>0.1635883669637439</v>
      </c>
      <c r="R135" s="29">
        <f>VLOOKUP($B135, agr_mes!$B:$XFD, MATCH(gdp_agr_share!R$1, agr_mes!$B$1:$XFD$1, 0), 0)/VLOOKUP($B135, gdp_tot_mes!$B:$XFD, MATCH(gdp_agr_share!R$1, gdp_tot_mes!$B$1:$XFD$1, 0), 0)</f>
        <v>0.13292094744540606</v>
      </c>
      <c r="S135" s="29">
        <f>VLOOKUP($B135, agr_mes!$B:$XFD, MATCH(gdp_agr_share!S$1, agr_mes!$B$1:$XFD$1, 0), 0)/VLOOKUP($B135, gdp_tot_mes!$B:$XFD, MATCH(gdp_agr_share!S$1, gdp_tot_mes!$B$1:$XFD$1, 0), 0)</f>
        <v>0.13634726465147606</v>
      </c>
      <c r="T135" s="29">
        <f>VLOOKUP($B135, agr_mes!$B:$XFD, MATCH(gdp_agr_share!T$1, agr_mes!$B$1:$XFD$1, 0), 0)/VLOOKUP($B135, gdp_tot_mes!$B:$XFD, MATCH(gdp_agr_share!T$1, gdp_tot_mes!$B$1:$XFD$1, 0), 0)</f>
        <v>0.13916150510890182</v>
      </c>
      <c r="U135" s="29">
        <f>VLOOKUP($B135, agr_mes!$B:$XFD, MATCH(gdp_agr_share!U$1, agr_mes!$B$1:$XFD$1, 0), 0)/VLOOKUP($B135, gdp_tot_mes!$B:$XFD, MATCH(gdp_agr_share!U$1, gdp_tot_mes!$B$1:$XFD$1, 0), 0)</f>
        <v>0.15665703557134217</v>
      </c>
      <c r="V135" s="29">
        <f>VLOOKUP($B135, agr_mes!$B:$XFD, MATCH(gdp_agr_share!V$1, agr_mes!$B$1:$XFD$1, 0), 0)/VLOOKUP($B135, gdp_tot_mes!$B:$XFD, MATCH(gdp_agr_share!V$1, gdp_tot_mes!$B$1:$XFD$1, 0), 0)</f>
        <v>0.12420845471027814</v>
      </c>
      <c r="W135" s="29">
        <f>VLOOKUP($B135, agr_mes!$B:$XFD, MATCH(gdp_agr_share!W$1, agr_mes!$B$1:$XFD$1, 0), 0)/VLOOKUP($B135, gdp_tot_mes!$B:$XFD, MATCH(gdp_agr_share!W$1, gdp_tot_mes!$B$1:$XFD$1, 0), 0)</f>
        <v>0.10338341777262346</v>
      </c>
      <c r="X135" s="29">
        <f>VLOOKUP($B135, agr_mes!$B:$XFD, MATCH(gdp_agr_share!X$1, agr_mes!$B$1:$XFD$1, 0), 0)/VLOOKUP($B135, gdp_tot_mes!$B:$XFD, MATCH(gdp_agr_share!X$1, gdp_tot_mes!$B$1:$XFD$1, 0), 0)</f>
        <v>0.11983274293726502</v>
      </c>
      <c r="Y135" s="29">
        <f>VLOOKUP($B135, agr_mes!$B:$XFD, MATCH(gdp_agr_share!Y$1, agr_mes!$B$1:$XFD$1, 0), 0)/VLOOKUP($B135, gdp_tot_mes!$B:$XFD, MATCH(gdp_agr_share!Y$1, gdp_tot_mes!$B$1:$XFD$1, 0), 0)</f>
        <v>0.18176540788073445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x14ac:dyDescent="0.25">
      <c r="A136" s="1" t="s">
        <v>288</v>
      </c>
      <c r="B136" s="1" t="s">
        <v>317</v>
      </c>
      <c r="C136" s="1" t="s">
        <v>318</v>
      </c>
      <c r="D136" s="29">
        <f>VLOOKUP($B136, agr_mes!$B:$XFD, MATCH(gdp_agr_share!D$1, agr_mes!$B$1:$XFD$1, 0), 0)/VLOOKUP($B136, gdp_tot_mes!$B:$XFD, MATCH(gdp_agr_share!D$1, gdp_tot_mes!$B$1:$XFD$1, 0), 0)</f>
        <v>3.5401494428591078E-2</v>
      </c>
      <c r="E136" s="29">
        <f>VLOOKUP($B136, agr_mes!$B:$XFD, MATCH(gdp_agr_share!E$1, agr_mes!$B$1:$XFD$1, 0), 0)/VLOOKUP($B136, gdp_tot_mes!$B:$XFD, MATCH(gdp_agr_share!E$1, gdp_tot_mes!$B$1:$XFD$1, 0), 0)</f>
        <v>6.8074458999957182E-3</v>
      </c>
      <c r="F136" s="29">
        <f>VLOOKUP($B136, agr_mes!$B:$XFD, MATCH(gdp_agr_share!F$1, agr_mes!$B$1:$XFD$1, 0), 0)/VLOOKUP($B136, gdp_tot_mes!$B:$XFD, MATCH(gdp_agr_share!F$1, gdp_tot_mes!$B$1:$XFD$1, 0), 0)</f>
        <v>4.2677506004378443E-3</v>
      </c>
      <c r="G136" s="29">
        <f>VLOOKUP($B136, agr_mes!$B:$XFD, MATCH(gdp_agr_share!G$1, agr_mes!$B$1:$XFD$1, 0), 0)/VLOOKUP($B136, gdp_tot_mes!$B:$XFD, MATCH(gdp_agr_share!G$1, gdp_tot_mes!$B$1:$XFD$1, 0), 0)</f>
        <v>2.5707898361588101E-3</v>
      </c>
      <c r="H136" s="29">
        <f>VLOOKUP($B136, agr_mes!$B:$XFD, MATCH(gdp_agr_share!H$1, agr_mes!$B$1:$XFD$1, 0), 0)/VLOOKUP($B136, gdp_tot_mes!$B:$XFD, MATCH(gdp_agr_share!H$1, gdp_tot_mes!$B$1:$XFD$1, 0), 0)</f>
        <v>1.7131043240877931E-3</v>
      </c>
      <c r="I136" s="29">
        <f>VLOOKUP($B136, agr_mes!$B:$XFD, MATCH(gdp_agr_share!I$1, agr_mes!$B$1:$XFD$1, 0), 0)/VLOOKUP($B136, gdp_tot_mes!$B:$XFD, MATCH(gdp_agr_share!I$1, gdp_tot_mes!$B$1:$XFD$1, 0), 0)</f>
        <v>3.1549241704038828E-3</v>
      </c>
      <c r="J136" s="29">
        <f>VLOOKUP($B136, agr_mes!$B:$XFD, MATCH(gdp_agr_share!J$1, agr_mes!$B$1:$XFD$1, 0), 0)/VLOOKUP($B136, gdp_tot_mes!$B:$XFD, MATCH(gdp_agr_share!J$1, gdp_tot_mes!$B$1:$XFD$1, 0), 0)</f>
        <v>2.5384575534198165E-3</v>
      </c>
      <c r="K136" s="29">
        <f>VLOOKUP($B136, agr_mes!$B:$XFD, MATCH(gdp_agr_share!K$1, agr_mes!$B$1:$XFD$1, 0), 0)/VLOOKUP($B136, gdp_tot_mes!$B:$XFD, MATCH(gdp_agr_share!K$1, gdp_tot_mes!$B$1:$XFD$1, 0), 0)</f>
        <v>1.8797944573744052E-3</v>
      </c>
      <c r="L136" s="30">
        <f t="shared" si="2"/>
        <v>1.3120717151522731E-3</v>
      </c>
      <c r="M136" s="29">
        <f>VLOOKUP($B136, agr_mes!$B:$XFD, MATCH(gdp_agr_share!M$1, agr_mes!$B$1:$XFD$1, 0), 0)/VLOOKUP($B136, gdp_tot_mes!$B:$XFD, MATCH(gdp_agr_share!M$1, gdp_tot_mes!$B$1:$XFD$1, 0), 0)</f>
        <v>6.308044244857147E-4</v>
      </c>
      <c r="N136" s="29">
        <f>VLOOKUP($B136, agr_mes!$B:$XFD, MATCH(gdp_agr_share!N$1, agr_mes!$B$1:$XFD$1, 0), 0)/VLOOKUP($B136, gdp_tot_mes!$B:$XFD, MATCH(gdp_agr_share!N$1, gdp_tot_mes!$B$1:$XFD$1, 0), 0)</f>
        <v>4.3936578269520541E-4</v>
      </c>
      <c r="O136" s="29">
        <f>VLOOKUP($B136, agr_mes!$B:$XFD, MATCH(gdp_agr_share!O$1, agr_mes!$B$1:$XFD$1, 0), 0)/VLOOKUP($B136, gdp_tot_mes!$B:$XFD, MATCH(gdp_agr_share!O$1, gdp_tot_mes!$B$1:$XFD$1, 0), 0)</f>
        <v>4.9473760417631182E-4</v>
      </c>
      <c r="P136" s="29">
        <f>VLOOKUP($B136, agr_mes!$B:$XFD, MATCH(gdp_agr_share!P$1, agr_mes!$B$1:$XFD$1, 0), 0)/VLOOKUP($B136, gdp_tot_mes!$B:$XFD, MATCH(gdp_agr_share!P$1, gdp_tot_mes!$B$1:$XFD$1, 0), 0)</f>
        <v>6.1311429758261773E-4</v>
      </c>
      <c r="Q136" s="29">
        <f>VLOOKUP($B136, agr_mes!$B:$XFD, MATCH(gdp_agr_share!Q$1, agr_mes!$B$1:$XFD$1, 0), 0)/VLOOKUP($B136, gdp_tot_mes!$B:$XFD, MATCH(gdp_agr_share!Q$1, gdp_tot_mes!$B$1:$XFD$1, 0), 0)</f>
        <v>1.2332607548414189E-3</v>
      </c>
      <c r="R136" s="29">
        <f>VLOOKUP($B136, agr_mes!$B:$XFD, MATCH(gdp_agr_share!R$1, agr_mes!$B$1:$XFD$1, 0), 0)/VLOOKUP($B136, gdp_tot_mes!$B:$XFD, MATCH(gdp_agr_share!R$1, gdp_tot_mes!$B$1:$XFD$1, 0), 0)</f>
        <v>1.1957162431024783E-3</v>
      </c>
      <c r="S136" s="29">
        <f>VLOOKUP($B136, agr_mes!$B:$XFD, MATCH(gdp_agr_share!S$1, agr_mes!$B$1:$XFD$1, 0), 0)/VLOOKUP($B136, gdp_tot_mes!$B:$XFD, MATCH(gdp_agr_share!S$1, gdp_tot_mes!$B$1:$XFD$1, 0), 0)</f>
        <v>1.0349952172384151E-3</v>
      </c>
      <c r="T136" s="29">
        <f>VLOOKUP($B136, agr_mes!$B:$XFD, MATCH(gdp_agr_share!T$1, agr_mes!$B$1:$XFD$1, 0), 0)/VLOOKUP($B136, gdp_tot_mes!$B:$XFD, MATCH(gdp_agr_share!T$1, gdp_tot_mes!$B$1:$XFD$1, 0), 0)</f>
        <v>9.349167808907062E-4</v>
      </c>
      <c r="U136" s="29">
        <f>VLOOKUP($B136, agr_mes!$B:$XFD, MATCH(gdp_agr_share!U$1, agr_mes!$B$1:$XFD$1, 0), 0)/VLOOKUP($B136, gdp_tot_mes!$B:$XFD, MATCH(gdp_agr_share!U$1, gdp_tot_mes!$B$1:$XFD$1, 0), 0)</f>
        <v>9.006986065318289E-4</v>
      </c>
      <c r="V136" s="29">
        <f>VLOOKUP($B136, agr_mes!$B:$XFD, MATCH(gdp_agr_share!V$1, agr_mes!$B$1:$XFD$1, 0), 0)/VLOOKUP($B136, gdp_tot_mes!$B:$XFD, MATCH(gdp_agr_share!V$1, gdp_tot_mes!$B$1:$XFD$1, 0), 0)</f>
        <v>1.0558235374943993E-3</v>
      </c>
      <c r="W136" s="29">
        <f>VLOOKUP($B136, agr_mes!$B:$XFD, MATCH(gdp_agr_share!W$1, agr_mes!$B$1:$XFD$1, 0), 0)/VLOOKUP($B136, gdp_tot_mes!$B:$XFD, MATCH(gdp_agr_share!W$1, gdp_tot_mes!$B$1:$XFD$1, 0), 0)</f>
        <v>6.7934170670943075E-4</v>
      </c>
      <c r="X136" s="29">
        <f>VLOOKUP($B136, agr_mes!$B:$XFD, MATCH(gdp_agr_share!X$1, agr_mes!$B$1:$XFD$1, 0), 0)/VLOOKUP($B136, gdp_tot_mes!$B:$XFD, MATCH(gdp_agr_share!X$1, gdp_tot_mes!$B$1:$XFD$1, 0), 0)</f>
        <v>8.5184666691944476E-4</v>
      </c>
      <c r="Y136" s="29">
        <f>VLOOKUP($B136, agr_mes!$B:$XFD, MATCH(gdp_agr_share!Y$1, agr_mes!$B$1:$XFD$1, 0), 0)/VLOOKUP($B136, gdp_tot_mes!$B:$XFD, MATCH(gdp_agr_share!Y$1, gdp_tot_mes!$B$1:$XFD$1, 0), 0)</f>
        <v>7.2746299721481421E-4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x14ac:dyDescent="0.25">
      <c r="A137" s="1" t="s">
        <v>319</v>
      </c>
      <c r="B137" s="1" t="s">
        <v>320</v>
      </c>
      <c r="C137" s="1" t="s">
        <v>321</v>
      </c>
      <c r="D137" s="29">
        <f>VLOOKUP($B137, agr_mes!$B:$XFD, MATCH(gdp_agr_share!D$1, agr_mes!$B$1:$XFD$1, 0), 0)/VLOOKUP($B137, gdp_tot_mes!$B:$XFD, MATCH(gdp_agr_share!D$1, gdp_tot_mes!$B$1:$XFD$1, 0), 0)</f>
        <v>0.68181195085118229</v>
      </c>
      <c r="E137" s="29">
        <f>VLOOKUP($B137, agr_mes!$B:$XFD, MATCH(gdp_agr_share!E$1, agr_mes!$B$1:$XFD$1, 0), 0)/VLOOKUP($B137, gdp_tot_mes!$B:$XFD, MATCH(gdp_agr_share!E$1, gdp_tot_mes!$B$1:$XFD$1, 0), 0)</f>
        <v>0.85034477551026721</v>
      </c>
      <c r="F137" s="29">
        <f>VLOOKUP($B137, agr_mes!$B:$XFD, MATCH(gdp_agr_share!F$1, agr_mes!$B$1:$XFD$1, 0), 0)/VLOOKUP($B137, gdp_tot_mes!$B:$XFD, MATCH(gdp_agr_share!F$1, gdp_tot_mes!$B$1:$XFD$1, 0), 0)</f>
        <v>0.91860023652969636</v>
      </c>
      <c r="G137" s="29">
        <f>VLOOKUP($B137, agr_mes!$B:$XFD, MATCH(gdp_agr_share!G$1, agr_mes!$B$1:$XFD$1, 0), 0)/VLOOKUP($B137, gdp_tot_mes!$B:$XFD, MATCH(gdp_agr_share!G$1, gdp_tot_mes!$B$1:$XFD$1, 0), 0)</f>
        <v>0.78851613151386601</v>
      </c>
      <c r="H137" s="29">
        <f>VLOOKUP($B137, agr_mes!$B:$XFD, MATCH(gdp_agr_share!H$1, agr_mes!$B$1:$XFD$1, 0), 0)/VLOOKUP($B137, gdp_tot_mes!$B:$XFD, MATCH(gdp_agr_share!H$1, gdp_tot_mes!$B$1:$XFD$1, 0), 0)</f>
        <v>0.4767517428635536</v>
      </c>
      <c r="I137" s="29">
        <f>VLOOKUP($B137, agr_mes!$B:$XFD, MATCH(gdp_agr_share!I$1, agr_mes!$B$1:$XFD$1, 0), 0)/VLOOKUP($B137, gdp_tot_mes!$B:$XFD, MATCH(gdp_agr_share!I$1, gdp_tot_mes!$B$1:$XFD$1, 0), 0)</f>
        <v>0.44135047617493683</v>
      </c>
      <c r="J137" s="29">
        <f>VLOOKUP($B137, agr_mes!$B:$XFD, MATCH(gdp_agr_share!J$1, agr_mes!$B$1:$XFD$1, 0), 0)/VLOOKUP($B137, gdp_tot_mes!$B:$XFD, MATCH(gdp_agr_share!J$1, gdp_tot_mes!$B$1:$XFD$1, 0), 0)</f>
        <v>0.39034820494945666</v>
      </c>
      <c r="K137" s="29">
        <f>VLOOKUP($B137, agr_mes!$B:$XFD, MATCH(gdp_agr_share!K$1, agr_mes!$B$1:$XFD$1, 0), 0)/VLOOKUP($B137, gdp_tot_mes!$B:$XFD, MATCH(gdp_agr_share!K$1, gdp_tot_mes!$B$1:$XFD$1, 0), 0)</f>
        <v>0.54738636573866262</v>
      </c>
      <c r="L137" s="30">
        <f t="shared" si="2"/>
        <v>0.44995262312091822</v>
      </c>
      <c r="M137" s="29">
        <f>VLOOKUP($B137, agr_mes!$B:$XFD, MATCH(gdp_agr_share!M$1, agr_mes!$B$1:$XFD$1, 0), 0)/VLOOKUP($B137, gdp_tot_mes!$B:$XFD, MATCH(gdp_agr_share!M$1, gdp_tot_mes!$B$1:$XFD$1, 0), 0)</f>
        <v>0.33303213197962495</v>
      </c>
      <c r="N137" s="29">
        <f>VLOOKUP($B137, agr_mes!$B:$XFD, MATCH(gdp_agr_share!N$1, agr_mes!$B$1:$XFD$1, 0), 0)/VLOOKUP($B137, gdp_tot_mes!$B:$XFD, MATCH(gdp_agr_share!N$1, gdp_tot_mes!$B$1:$XFD$1, 0), 0)</f>
        <v>0.2862089894827427</v>
      </c>
      <c r="O137" s="29">
        <f>VLOOKUP($B137, agr_mes!$B:$XFD, MATCH(gdp_agr_share!O$1, agr_mes!$B$1:$XFD$1, 0), 0)/VLOOKUP($B137, gdp_tot_mes!$B:$XFD, MATCH(gdp_agr_share!O$1, gdp_tot_mes!$B$1:$XFD$1, 0), 0)</f>
        <v>0.21859718844515041</v>
      </c>
      <c r="P137" s="29">
        <f>VLOOKUP($B137, agr_mes!$B:$XFD, MATCH(gdp_agr_share!P$1, agr_mes!$B$1:$XFD$1, 0), 0)/VLOOKUP($B137, gdp_tot_mes!$B:$XFD, MATCH(gdp_agr_share!P$1, gdp_tot_mes!$B$1:$XFD$1, 0), 0)</f>
        <v>0.22678247117390996</v>
      </c>
      <c r="Q137" s="29">
        <f>VLOOKUP($B137, agr_mes!$B:$XFD, MATCH(gdp_agr_share!Q$1, agr_mes!$B$1:$XFD$1, 0), 0)/VLOOKUP($B137, gdp_tot_mes!$B:$XFD, MATCH(gdp_agr_share!Q$1, gdp_tot_mes!$B$1:$XFD$1, 0), 0)</f>
        <v>0.11828571902344022</v>
      </c>
      <c r="R137" s="29">
        <f>VLOOKUP($B137, agr_mes!$B:$XFD, MATCH(gdp_agr_share!R$1, agr_mes!$B$1:$XFD$1, 0), 0)/VLOOKUP($B137, gdp_tot_mes!$B:$XFD, MATCH(gdp_agr_share!R$1, gdp_tot_mes!$B$1:$XFD$1, 0), 0)</f>
        <v>0.15900647037819252</v>
      </c>
      <c r="S137" s="29">
        <f>VLOOKUP($B137, agr_mes!$B:$XFD, MATCH(gdp_agr_share!S$1, agr_mes!$B$1:$XFD$1, 0), 0)/VLOOKUP($B137, gdp_tot_mes!$B:$XFD, MATCH(gdp_agr_share!S$1, gdp_tot_mes!$B$1:$XFD$1, 0), 0)</f>
        <v>0.12297412279512035</v>
      </c>
      <c r="T137" s="29">
        <f>VLOOKUP($B137, agr_mes!$B:$XFD, MATCH(gdp_agr_share!T$1, agr_mes!$B$1:$XFD$1, 0), 0)/VLOOKUP($B137, gdp_tot_mes!$B:$XFD, MATCH(gdp_agr_share!T$1, gdp_tot_mes!$B$1:$XFD$1, 0), 0)</f>
        <v>9.4998771141837052E-2</v>
      </c>
      <c r="U137" s="29">
        <f>VLOOKUP($B137, agr_mes!$B:$XFD, MATCH(gdp_agr_share!U$1, agr_mes!$B$1:$XFD$1, 0), 0)/VLOOKUP($B137, gdp_tot_mes!$B:$XFD, MATCH(gdp_agr_share!U$1, gdp_tot_mes!$B$1:$XFD$1, 0), 0)</f>
        <v>7.9350363708498642E-2</v>
      </c>
      <c r="V137" s="29">
        <f>VLOOKUP($B137, agr_mes!$B:$XFD, MATCH(gdp_agr_share!V$1, agr_mes!$B$1:$XFD$1, 0), 0)/VLOOKUP($B137, gdp_tot_mes!$B:$XFD, MATCH(gdp_agr_share!V$1, gdp_tot_mes!$B$1:$XFD$1, 0), 0)</f>
        <v>7.3785530067610697E-2</v>
      </c>
      <c r="W137" s="29">
        <f>VLOOKUP($B137, agr_mes!$B:$XFD, MATCH(gdp_agr_share!W$1, agr_mes!$B$1:$XFD$1, 0), 0)/VLOOKUP($B137, gdp_tot_mes!$B:$XFD, MATCH(gdp_agr_share!W$1, gdp_tot_mes!$B$1:$XFD$1, 0), 0)</f>
        <v>9.5906101332270247E-2</v>
      </c>
      <c r="X137" s="29">
        <f>VLOOKUP($B137, agr_mes!$B:$XFD, MATCH(gdp_agr_share!X$1, agr_mes!$B$1:$XFD$1, 0), 0)/VLOOKUP($B137, gdp_tot_mes!$B:$XFD, MATCH(gdp_agr_share!X$1, gdp_tot_mes!$B$1:$XFD$1, 0), 0)</f>
        <v>0.10865849424327445</v>
      </c>
      <c r="Y137" s="29">
        <f>VLOOKUP($B137, agr_mes!$B:$XFD, MATCH(gdp_agr_share!Y$1, agr_mes!$B$1:$XFD$1, 0), 0)/VLOOKUP($B137, gdp_tot_mes!$B:$XFD, MATCH(gdp_agr_share!Y$1, gdp_tot_mes!$B$1:$XFD$1, 0), 0)</f>
        <v>0.10507587961199596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x14ac:dyDescent="0.25">
      <c r="A138" s="1" t="s">
        <v>319</v>
      </c>
      <c r="B138" s="1" t="s">
        <v>322</v>
      </c>
      <c r="C138" s="1" t="s">
        <v>323</v>
      </c>
      <c r="D138" s="29">
        <f>VLOOKUP($B138, agr_mes!$B:$XFD, MATCH(gdp_agr_share!D$1, agr_mes!$B$1:$XFD$1, 0), 0)/VLOOKUP($B138, gdp_tot_mes!$B:$XFD, MATCH(gdp_agr_share!D$1, gdp_tot_mes!$B$1:$XFD$1, 0), 0)</f>
        <v>0.64103457700230415</v>
      </c>
      <c r="E138" s="29">
        <f>VLOOKUP($B138, agr_mes!$B:$XFD, MATCH(gdp_agr_share!E$1, agr_mes!$B$1:$XFD$1, 0), 0)/VLOOKUP($B138, gdp_tot_mes!$B:$XFD, MATCH(gdp_agr_share!E$1, gdp_tot_mes!$B$1:$XFD$1, 0), 0)</f>
        <v>0.85483616996432721</v>
      </c>
      <c r="F138" s="29">
        <f>VLOOKUP($B138, agr_mes!$B:$XFD, MATCH(gdp_agr_share!F$1, agr_mes!$B$1:$XFD$1, 0), 0)/VLOOKUP($B138, gdp_tot_mes!$B:$XFD, MATCH(gdp_agr_share!F$1, gdp_tot_mes!$B$1:$XFD$1, 0), 0)</f>
        <v>0.95514524342954132</v>
      </c>
      <c r="G138" s="29">
        <f>VLOOKUP($B138, agr_mes!$B:$XFD, MATCH(gdp_agr_share!G$1, agr_mes!$B$1:$XFD$1, 0), 0)/VLOOKUP($B138, gdp_tot_mes!$B:$XFD, MATCH(gdp_agr_share!G$1, gdp_tot_mes!$B$1:$XFD$1, 0), 0)</f>
        <v>0.89139404315216719</v>
      </c>
      <c r="H138" s="29">
        <f>VLOOKUP($B138, agr_mes!$B:$XFD, MATCH(gdp_agr_share!H$1, agr_mes!$B$1:$XFD$1, 0), 0)/VLOOKUP($B138, gdp_tot_mes!$B:$XFD, MATCH(gdp_agr_share!H$1, gdp_tot_mes!$B$1:$XFD$1, 0), 0)</f>
        <v>0.58359477644282054</v>
      </c>
      <c r="I138" s="29">
        <f>VLOOKUP($B138, agr_mes!$B:$XFD, MATCH(gdp_agr_share!I$1, agr_mes!$B$1:$XFD$1, 0), 0)/VLOOKUP($B138, gdp_tot_mes!$B:$XFD, MATCH(gdp_agr_share!I$1, gdp_tot_mes!$B$1:$XFD$1, 0), 0)</f>
        <v>0.55045425189864217</v>
      </c>
      <c r="J138" s="29">
        <f>VLOOKUP($B138, agr_mes!$B:$XFD, MATCH(gdp_agr_share!J$1, agr_mes!$B$1:$XFD$1, 0), 0)/VLOOKUP($B138, gdp_tot_mes!$B:$XFD, MATCH(gdp_agr_share!J$1, gdp_tot_mes!$B$1:$XFD$1, 0), 0)</f>
        <v>0.5159018047822076</v>
      </c>
      <c r="K138" s="29">
        <f>VLOOKUP($B138, agr_mes!$B:$XFD, MATCH(gdp_agr_share!K$1, agr_mes!$B$1:$XFD$1, 0), 0)/VLOOKUP($B138, gdp_tot_mes!$B:$XFD, MATCH(gdp_agr_share!K$1, gdp_tot_mes!$B$1:$XFD$1, 0), 0)</f>
        <v>0.61092077627399366</v>
      </c>
      <c r="L138" s="30">
        <f t="shared" si="2"/>
        <v>0.39897312175660654</v>
      </c>
      <c r="M138" s="29">
        <f>VLOOKUP($B138, agr_mes!$B:$XFD, MATCH(gdp_agr_share!M$1, agr_mes!$B$1:$XFD$1, 0), 0)/VLOOKUP($B138, gdp_tot_mes!$B:$XFD, MATCH(gdp_agr_share!M$1, gdp_tot_mes!$B$1:$XFD$1, 0), 0)</f>
        <v>0.14463593633574198</v>
      </c>
      <c r="N138" s="29">
        <f>VLOOKUP($B138, agr_mes!$B:$XFD, MATCH(gdp_agr_share!N$1, agr_mes!$B$1:$XFD$1, 0), 0)/VLOOKUP($B138, gdp_tot_mes!$B:$XFD, MATCH(gdp_agr_share!N$1, gdp_tot_mes!$B$1:$XFD$1, 0), 0)</f>
        <v>0.22022111667050975</v>
      </c>
      <c r="O138" s="29">
        <f>VLOOKUP($B138, agr_mes!$B:$XFD, MATCH(gdp_agr_share!O$1, agr_mes!$B$1:$XFD$1, 0), 0)/VLOOKUP($B138, gdp_tot_mes!$B:$XFD, MATCH(gdp_agr_share!O$1, gdp_tot_mes!$B$1:$XFD$1, 0), 0)</f>
        <v>0.15359814593505519</v>
      </c>
      <c r="P138" s="29">
        <f>VLOOKUP($B138, agr_mes!$B:$XFD, MATCH(gdp_agr_share!P$1, agr_mes!$B$1:$XFD$1, 0), 0)/VLOOKUP($B138, gdp_tot_mes!$B:$XFD, MATCH(gdp_agr_share!P$1, gdp_tot_mes!$B$1:$XFD$1, 0), 0)</f>
        <v>0.13640612024582616</v>
      </c>
      <c r="Q138" s="29">
        <f>VLOOKUP($B138, agr_mes!$B:$XFD, MATCH(gdp_agr_share!Q$1, agr_mes!$B$1:$XFD$1, 0), 0)/VLOOKUP($B138, gdp_tot_mes!$B:$XFD, MATCH(gdp_agr_share!Q$1, gdp_tot_mes!$B$1:$XFD$1, 0), 0)</f>
        <v>8.0680385281540756E-2</v>
      </c>
      <c r="R138" s="29">
        <f>VLOOKUP($B138, agr_mes!$B:$XFD, MATCH(gdp_agr_share!R$1, agr_mes!$B$1:$XFD$1, 0), 0)/VLOOKUP($B138, gdp_tot_mes!$B:$XFD, MATCH(gdp_agr_share!R$1, gdp_tot_mes!$B$1:$XFD$1, 0), 0)</f>
        <v>0.12534732589573455</v>
      </c>
      <c r="S138" s="29">
        <f>VLOOKUP($B138, agr_mes!$B:$XFD, MATCH(gdp_agr_share!S$1, agr_mes!$B$1:$XFD$1, 0), 0)/VLOOKUP($B138, gdp_tot_mes!$B:$XFD, MATCH(gdp_agr_share!S$1, gdp_tot_mes!$B$1:$XFD$1, 0), 0)</f>
        <v>0.11365355034754454</v>
      </c>
      <c r="T138" s="29">
        <f>VLOOKUP($B138, agr_mes!$B:$XFD, MATCH(gdp_agr_share!T$1, agr_mes!$B$1:$XFD$1, 0), 0)/VLOOKUP($B138, gdp_tot_mes!$B:$XFD, MATCH(gdp_agr_share!T$1, gdp_tot_mes!$B$1:$XFD$1, 0), 0)</f>
        <v>9.5880037644228713E-2</v>
      </c>
      <c r="U138" s="29">
        <f>VLOOKUP($B138, agr_mes!$B:$XFD, MATCH(gdp_agr_share!U$1, agr_mes!$B$1:$XFD$1, 0), 0)/VLOOKUP($B138, gdp_tot_mes!$B:$XFD, MATCH(gdp_agr_share!U$1, gdp_tot_mes!$B$1:$XFD$1, 0), 0)</f>
        <v>7.1975546808631774E-2</v>
      </c>
      <c r="V138" s="29">
        <f>VLOOKUP($B138, agr_mes!$B:$XFD, MATCH(gdp_agr_share!V$1, agr_mes!$B$1:$XFD$1, 0), 0)/VLOOKUP($B138, gdp_tot_mes!$B:$XFD, MATCH(gdp_agr_share!V$1, gdp_tot_mes!$B$1:$XFD$1, 0), 0)</f>
        <v>6.6448042233834603E-2</v>
      </c>
      <c r="W138" s="29">
        <f>VLOOKUP($B138, agr_mes!$B:$XFD, MATCH(gdp_agr_share!W$1, agr_mes!$B$1:$XFD$1, 0), 0)/VLOOKUP($B138, gdp_tot_mes!$B:$XFD, MATCH(gdp_agr_share!W$1, gdp_tot_mes!$B$1:$XFD$1, 0), 0)</f>
        <v>9.7069507720945025E-2</v>
      </c>
      <c r="X138" s="29">
        <f>VLOOKUP($B138, agr_mes!$B:$XFD, MATCH(gdp_agr_share!X$1, agr_mes!$B$1:$XFD$1, 0), 0)/VLOOKUP($B138, gdp_tot_mes!$B:$XFD, MATCH(gdp_agr_share!X$1, gdp_tot_mes!$B$1:$XFD$1, 0), 0)</f>
        <v>0.11232648241767562</v>
      </c>
      <c r="Y138" s="29">
        <f>VLOOKUP($B138, agr_mes!$B:$XFD, MATCH(gdp_agr_share!Y$1, agr_mes!$B$1:$XFD$1, 0), 0)/VLOOKUP($B138, gdp_tot_mes!$B:$XFD, MATCH(gdp_agr_share!Y$1, gdp_tot_mes!$B$1:$XFD$1, 0), 0)</f>
        <v>9.4978124898124835E-2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s="20" customFormat="1" x14ac:dyDescent="0.25">
      <c r="A139" s="14"/>
      <c r="B139" s="14"/>
      <c r="C139" s="14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36" s="15" customFormat="1" x14ac:dyDescent="0.25">
      <c r="A140" s="17"/>
      <c r="B140" s="17"/>
      <c r="C140" s="17"/>
    </row>
    <row r="141" spans="1:36" s="15" customFormat="1" x14ac:dyDescent="0.25">
      <c r="A141" s="17"/>
      <c r="B141" s="17"/>
      <c r="C141" s="17"/>
    </row>
    <row r="142" spans="1:36" s="15" customFormat="1" x14ac:dyDescent="0.25">
      <c r="A142" s="17"/>
      <c r="B142" s="17"/>
      <c r="C142" s="17"/>
    </row>
    <row r="143" spans="1:36" s="15" customFormat="1" x14ac:dyDescent="0.25">
      <c r="A143" s="17"/>
      <c r="B143" s="17"/>
      <c r="C143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8E82-A4F8-4294-BAD0-D61A2A7D90D3}">
  <dimension ref="A1:AJ143"/>
  <sheetViews>
    <sheetView tabSelected="1" workbookViewId="0">
      <selection activeCell="D2" sqref="D2"/>
    </sheetView>
  </sheetViews>
  <sheetFormatPr defaultRowHeight="15" x14ac:dyDescent="0.25"/>
  <cols>
    <col min="1" max="1" width="4" style="1" customWidth="1"/>
    <col min="2" max="2" width="10" style="1" customWidth="1"/>
    <col min="3" max="3" width="30" style="1" customWidth="1"/>
    <col min="14" max="14" width="10" bestFit="1" customWidth="1"/>
  </cols>
  <sheetData>
    <row r="1" spans="1:36" x14ac:dyDescent="0.25">
      <c r="A1" s="1" t="s">
        <v>0</v>
      </c>
      <c r="B1" s="14" t="s">
        <v>379</v>
      </c>
      <c r="C1" s="14" t="s">
        <v>378</v>
      </c>
      <c r="D1" s="6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1990</v>
      </c>
      <c r="M1" s="6">
        <v>1996</v>
      </c>
      <c r="N1" s="6">
        <v>1999</v>
      </c>
      <c r="O1" s="6">
        <v>2000</v>
      </c>
      <c r="P1" s="6">
        <v>2001</v>
      </c>
      <c r="Q1" s="6">
        <v>2002</v>
      </c>
      <c r="R1" s="6">
        <v>2003</v>
      </c>
      <c r="S1" s="6">
        <v>2004</v>
      </c>
      <c r="T1" s="6">
        <v>2005</v>
      </c>
      <c r="U1" s="6">
        <v>2006</v>
      </c>
      <c r="V1" s="6">
        <v>2007</v>
      </c>
      <c r="W1" s="6">
        <v>2008</v>
      </c>
      <c r="X1" s="6">
        <v>2009</v>
      </c>
      <c r="Y1" s="6">
        <v>2010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25">
      <c r="A2" s="1" t="s">
        <v>23</v>
      </c>
      <c r="B2" s="1" t="s">
        <v>24</v>
      </c>
      <c r="C2" s="1" t="s">
        <v>25</v>
      </c>
      <c r="D2" s="33">
        <f>VLOOKUP($B2, ind_mes!$B:$XFD, MATCH(gdp_ind_share!D$1, ind_mes!$B$1:$XFD$1, 0), 0)/VLOOKUP($B2, gdp_tot_mes!$B:$XFD, MATCH(gdp_ind_share!D$1, gdp_tot_mes!$B$1:$XFD$1, 0), 0)</f>
        <v>2.9487091753051557E-3</v>
      </c>
      <c r="E2" s="29">
        <f>VLOOKUP($B2, ind_mes!$B:$XFD, MATCH(gdp_ind_share!E$1, ind_mes!$B$1:$XFD$1, 0), 0)/VLOOKUP($B2, gdp_tot_mes!$B:$XFD, MATCH(gdp_ind_share!E$1, gdp_tot_mes!$B$1:$XFD$1, 0), 0)</f>
        <v>3.7664509616387337E-3</v>
      </c>
      <c r="F2" s="29">
        <f>VLOOKUP($B2, ind_mes!$B:$XFD, MATCH(gdp_ind_share!F$1, ind_mes!$B$1:$XFD$1, 0), 0)/VLOOKUP($B2, gdp_tot_mes!$B:$XFD, MATCH(gdp_ind_share!F$1, gdp_tot_mes!$B$1:$XFD$1, 0), 0)</f>
        <v>2.0353831985614721E-2</v>
      </c>
      <c r="G2" s="29">
        <f>VLOOKUP($B2, ind_mes!$B:$XFD, MATCH(gdp_ind_share!G$1, ind_mes!$B$1:$XFD$1, 0), 0)/VLOOKUP($B2, gdp_tot_mes!$B:$XFD, MATCH(gdp_ind_share!G$1, gdp_tot_mes!$B$1:$XFD$1, 0), 0)</f>
        <v>3.7136371200590594E-2</v>
      </c>
      <c r="H2" s="29">
        <f>VLOOKUP($B2, ind_mes!$B:$XFD, MATCH(gdp_ind_share!H$1, ind_mes!$B$1:$XFD$1, 0), 0)/VLOOKUP($B2, gdp_tot_mes!$B:$XFD, MATCH(gdp_ind_share!H$1, gdp_tot_mes!$B$1:$XFD$1, 0), 0)</f>
        <v>7.9782279741199613E-2</v>
      </c>
      <c r="I2" s="29">
        <f>VLOOKUP($B2, ind_mes!$B:$XFD, MATCH(gdp_ind_share!I$1, ind_mes!$B$1:$XFD$1, 0), 0)/VLOOKUP($B2, gdp_tot_mes!$B:$XFD, MATCH(gdp_ind_share!I$1, gdp_tot_mes!$B$1:$XFD$1, 0), 0)</f>
        <v>3.4930318495713215E-2</v>
      </c>
      <c r="J2" s="29">
        <f>VLOOKUP($B2, ind_mes!$B:$XFD, MATCH(gdp_ind_share!J$1, ind_mes!$B$1:$XFD$1, 0), 0)/VLOOKUP($B2, gdp_tot_mes!$B:$XFD, MATCH(gdp_ind_share!J$1, gdp_tot_mes!$B$1:$XFD$1, 0), 0)</f>
        <v>0.1343992680568499</v>
      </c>
      <c r="K2" s="29">
        <f>VLOOKUP($B2, ind_mes!$B:$XFD, MATCH(gdp_ind_share!K$1, ind_mes!$B$1:$XFD$1, 0), 0)/VLOOKUP($B2, gdp_tot_mes!$B:$XFD, MATCH(gdp_ind_share!K$1, gdp_tot_mes!$B$1:$XFD$1, 0), 0)</f>
        <v>0.21211517980642361</v>
      </c>
      <c r="L2" s="30">
        <f>K2+5*(M2-K2)/11</f>
        <v>0.13174708655638251</v>
      </c>
      <c r="M2" s="29">
        <f>VLOOKUP($B2, ind_mes!$B:$XFD, MATCH(gdp_ind_share!M$1, ind_mes!$B$1:$XFD$1, 0), 0)/VLOOKUP($B2, gdp_tot_mes!$B:$XFD, MATCH(gdp_ind_share!M$1, gdp_tot_mes!$B$1:$XFD$1, 0), 0)</f>
        <v>3.5305374656333204E-2</v>
      </c>
      <c r="N2" s="29">
        <f>VLOOKUP($B2, ind_mes!$B:$XFD, MATCH(gdp_ind_share!N$1, ind_mes!$B$1:$XFD$1, 0), 0)/VLOOKUP($B2, gdp_tot_mes!$B:$XFD, MATCH(gdp_ind_share!N$1, gdp_tot_mes!$B$1:$XFD$1, 0), 0)</f>
        <v>7.0423499095674899E-2</v>
      </c>
      <c r="O2" s="29">
        <f>VLOOKUP($B2, ind_mes!$B:$XFD, MATCH(gdp_ind_share!O$1, ind_mes!$B$1:$XFD$1, 0), 0)/VLOOKUP($B2, gdp_tot_mes!$B:$XFD, MATCH(gdp_ind_share!O$1, gdp_tot_mes!$B$1:$XFD$1, 0), 0)</f>
        <v>6.5119078047563672E-2</v>
      </c>
      <c r="P2" s="29">
        <f>VLOOKUP($B2, ind_mes!$B:$XFD, MATCH(gdp_ind_share!P$1, ind_mes!$B$1:$XFD$1, 0), 0)/VLOOKUP($B2, gdp_tot_mes!$B:$XFD, MATCH(gdp_ind_share!P$1, gdp_tot_mes!$B$1:$XFD$1, 0), 0)</f>
        <v>7.1216127867694143E-2</v>
      </c>
      <c r="Q2" s="29">
        <f>VLOOKUP($B2, ind_mes!$B:$XFD, MATCH(gdp_ind_share!Q$1, ind_mes!$B$1:$XFD$1, 0), 0)/VLOOKUP($B2, gdp_tot_mes!$B:$XFD, MATCH(gdp_ind_share!Q$1, gdp_tot_mes!$B$1:$XFD$1, 0), 0)</f>
        <v>6.4831436886324173E-2</v>
      </c>
      <c r="R2" s="29">
        <f>VLOOKUP($B2, ind_mes!$B:$XFD, MATCH(gdp_ind_share!R$1, ind_mes!$B$1:$XFD$1, 0), 0)/VLOOKUP($B2, gdp_tot_mes!$B:$XFD, MATCH(gdp_ind_share!R$1, gdp_tot_mes!$B$1:$XFD$1, 0), 0)</f>
        <v>4.7864552308513088E-2</v>
      </c>
      <c r="S2" s="29">
        <f>VLOOKUP($B2, ind_mes!$B:$XFD, MATCH(gdp_ind_share!S$1, ind_mes!$B$1:$XFD$1, 0), 0)/VLOOKUP($B2, gdp_tot_mes!$B:$XFD, MATCH(gdp_ind_share!S$1, gdp_tot_mes!$B$1:$XFD$1, 0), 0)</f>
        <v>5.6772327464884254E-2</v>
      </c>
      <c r="T2" s="29">
        <f>VLOOKUP($B2, ind_mes!$B:$XFD, MATCH(gdp_ind_share!T$1, ind_mes!$B$1:$XFD$1, 0), 0)/VLOOKUP($B2, gdp_tot_mes!$B:$XFD, MATCH(gdp_ind_share!T$1, gdp_tot_mes!$B$1:$XFD$1, 0), 0)</f>
        <v>3.7148377226793428E-2</v>
      </c>
      <c r="U2" s="29">
        <f>VLOOKUP($B2, ind_mes!$B:$XFD, MATCH(gdp_ind_share!U$1, ind_mes!$B$1:$XFD$1, 0), 0)/VLOOKUP($B2, gdp_tot_mes!$B:$XFD, MATCH(gdp_ind_share!U$1, gdp_tot_mes!$B$1:$XFD$1, 0), 0)</f>
        <v>3.718853008660182E-2</v>
      </c>
      <c r="V2" s="29">
        <f>VLOOKUP($B2, ind_mes!$B:$XFD, MATCH(gdp_ind_share!V$1, ind_mes!$B$1:$XFD$1, 0), 0)/VLOOKUP($B2, gdp_tot_mes!$B:$XFD, MATCH(gdp_ind_share!V$1, gdp_tot_mes!$B$1:$XFD$1, 0), 0)</f>
        <v>3.7197516048077126E-2</v>
      </c>
      <c r="W2" s="29">
        <f>VLOOKUP($B2, ind_mes!$B:$XFD, MATCH(gdp_ind_share!W$1, ind_mes!$B$1:$XFD$1, 0), 0)/VLOOKUP($B2, gdp_tot_mes!$B:$XFD, MATCH(gdp_ind_share!W$1, gdp_tot_mes!$B$1:$XFD$1, 0), 0)</f>
        <v>3.3751819283852937E-2</v>
      </c>
      <c r="X2" s="29">
        <f>VLOOKUP($B2, ind_mes!$B:$XFD, MATCH(gdp_ind_share!X$1, ind_mes!$B$1:$XFD$1, 0), 0)/VLOOKUP($B2, gdp_tot_mes!$B:$XFD, MATCH(gdp_ind_share!X$1, gdp_tot_mes!$B$1:$XFD$1, 0), 0)</f>
        <v>6.3692660102177126E-2</v>
      </c>
      <c r="Y2" s="29">
        <f>VLOOKUP($B2, ind_mes!$B:$XFD, MATCH(gdp_ind_share!Y$1, ind_mes!$B$1:$XFD$1, 0), 0)/VLOOKUP($B2, gdp_tot_mes!$B:$XFD, MATCH(gdp_ind_share!Y$1, gdp_tot_mes!$B$1:$XFD$1, 0), 0)</f>
        <v>5.5050237058207357E-2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x14ac:dyDescent="0.25">
      <c r="A3" s="1" t="s">
        <v>23</v>
      </c>
      <c r="B3" s="1" t="s">
        <v>26</v>
      </c>
      <c r="C3" s="1" t="s">
        <v>27</v>
      </c>
      <c r="D3" s="29">
        <f>VLOOKUP($B3, ind_mes!$B:$XFD, MATCH(gdp_ind_share!D$1, ind_mes!$B$1:$XFD$1, 0), 0)/VLOOKUP($B3, gdp_tot_mes!$B:$XFD, MATCH(gdp_ind_share!D$1, gdp_tot_mes!$B$1:$XFD$1, 0), 0)</f>
        <v>3.7344733414339075E-3</v>
      </c>
      <c r="E3" s="29">
        <f>VLOOKUP($B3, ind_mes!$B:$XFD, MATCH(gdp_ind_share!E$1, ind_mes!$B$1:$XFD$1, 0), 0)/VLOOKUP($B3, gdp_tot_mes!$B:$XFD, MATCH(gdp_ind_share!E$1, gdp_tot_mes!$B$1:$XFD$1, 0), 0)</f>
        <v>1.9233913467490128E-2</v>
      </c>
      <c r="F3" s="29">
        <f>VLOOKUP($B3, ind_mes!$B:$XFD, MATCH(gdp_ind_share!F$1, ind_mes!$B$1:$XFD$1, 0), 0)/VLOOKUP($B3, gdp_tot_mes!$B:$XFD, MATCH(gdp_ind_share!F$1, gdp_tot_mes!$B$1:$XFD$1, 0), 0)</f>
        <v>3.7999489306478722E-2</v>
      </c>
      <c r="G3" s="29">
        <f>VLOOKUP($B3, ind_mes!$B:$XFD, MATCH(gdp_ind_share!G$1, ind_mes!$B$1:$XFD$1, 0), 0)/VLOOKUP($B3, gdp_tot_mes!$B:$XFD, MATCH(gdp_ind_share!G$1, gdp_tot_mes!$B$1:$XFD$1, 0), 0)</f>
        <v>4.1665773653487573E-2</v>
      </c>
      <c r="H3" s="29">
        <f>VLOOKUP($B3, ind_mes!$B:$XFD, MATCH(gdp_ind_share!H$1, ind_mes!$B$1:$XFD$1, 0), 0)/VLOOKUP($B3, gdp_tot_mes!$B:$XFD, MATCH(gdp_ind_share!H$1, gdp_tot_mes!$B$1:$XFD$1, 0), 0)</f>
        <v>0.11051739958234195</v>
      </c>
      <c r="I3" s="29">
        <f>VLOOKUP($B3, ind_mes!$B:$XFD, MATCH(gdp_ind_share!I$1, ind_mes!$B$1:$XFD$1, 0), 0)/VLOOKUP($B3, gdp_tot_mes!$B:$XFD, MATCH(gdp_ind_share!I$1, gdp_tot_mes!$B$1:$XFD$1, 0), 0)</f>
        <v>0.10120163031786043</v>
      </c>
      <c r="J3" s="29">
        <f>VLOOKUP($B3, ind_mes!$B:$XFD, MATCH(gdp_ind_share!J$1, ind_mes!$B$1:$XFD$1, 0), 0)/VLOOKUP($B3, gdp_tot_mes!$B:$XFD, MATCH(gdp_ind_share!J$1, gdp_tot_mes!$B$1:$XFD$1, 0), 0)</f>
        <v>0.25259655522300639</v>
      </c>
      <c r="K3" s="29">
        <f>VLOOKUP($B3, ind_mes!$B:$XFD, MATCH(gdp_ind_share!K$1, ind_mes!$B$1:$XFD$1, 0), 0)/VLOOKUP($B3, gdp_tot_mes!$B:$XFD, MATCH(gdp_ind_share!K$1, gdp_tot_mes!$B$1:$XFD$1, 0), 0)</f>
        <v>0.22286089987071053</v>
      </c>
      <c r="L3" s="30">
        <f t="shared" ref="L3:L66" si="0">K3+5*(M3-K3)/11</f>
        <v>0.21078496245810696</v>
      </c>
      <c r="M3" s="29">
        <f>VLOOKUP($B3, ind_mes!$B:$XFD, MATCH(gdp_ind_share!M$1, ind_mes!$B$1:$XFD$1, 0), 0)/VLOOKUP($B3, gdp_tot_mes!$B:$XFD, MATCH(gdp_ind_share!M$1, gdp_tot_mes!$B$1:$XFD$1, 0), 0)</f>
        <v>0.19629383756298269</v>
      </c>
      <c r="N3" s="29">
        <f>VLOOKUP($B3, ind_mes!$B:$XFD, MATCH(gdp_ind_share!N$1, ind_mes!$B$1:$XFD$1, 0), 0)/VLOOKUP($B3, gdp_tot_mes!$B:$XFD, MATCH(gdp_ind_share!N$1, gdp_tot_mes!$B$1:$XFD$1, 0), 0)</f>
        <v>9.4332841579219603E-2</v>
      </c>
      <c r="O3" s="29">
        <f>VLOOKUP($B3, ind_mes!$B:$XFD, MATCH(gdp_ind_share!O$1, ind_mes!$B$1:$XFD$1, 0), 0)/VLOOKUP($B3, gdp_tot_mes!$B:$XFD, MATCH(gdp_ind_share!O$1, gdp_tot_mes!$B$1:$XFD$1, 0), 0)</f>
        <v>9.2545681169036012E-2</v>
      </c>
      <c r="P3" s="29">
        <f>VLOOKUP($B3, ind_mes!$B:$XFD, MATCH(gdp_ind_share!P$1, ind_mes!$B$1:$XFD$1, 0), 0)/VLOOKUP($B3, gdp_tot_mes!$B:$XFD, MATCH(gdp_ind_share!P$1, gdp_tot_mes!$B$1:$XFD$1, 0), 0)</f>
        <v>9.9906507085075771E-2</v>
      </c>
      <c r="Q3" s="29">
        <f>VLOOKUP($B3, ind_mes!$B:$XFD, MATCH(gdp_ind_share!Q$1, ind_mes!$B$1:$XFD$1, 0), 0)/VLOOKUP($B3, gdp_tot_mes!$B:$XFD, MATCH(gdp_ind_share!Q$1, gdp_tot_mes!$B$1:$XFD$1, 0), 0)</f>
        <v>0.13786776570901965</v>
      </c>
      <c r="R3" s="29">
        <f>VLOOKUP($B3, ind_mes!$B:$XFD, MATCH(gdp_ind_share!R$1, ind_mes!$B$1:$XFD$1, 0), 0)/VLOOKUP($B3, gdp_tot_mes!$B:$XFD, MATCH(gdp_ind_share!R$1, gdp_tot_mes!$B$1:$XFD$1, 0), 0)</f>
        <v>9.9165667859290665E-2</v>
      </c>
      <c r="S3" s="29">
        <f>VLOOKUP($B3, ind_mes!$B:$XFD, MATCH(gdp_ind_share!S$1, ind_mes!$B$1:$XFD$1, 0), 0)/VLOOKUP($B3, gdp_tot_mes!$B:$XFD, MATCH(gdp_ind_share!S$1, gdp_tot_mes!$B$1:$XFD$1, 0), 0)</f>
        <v>0.11840543522471091</v>
      </c>
      <c r="T3" s="29">
        <f>VLOOKUP($B3, ind_mes!$B:$XFD, MATCH(gdp_ind_share!T$1, ind_mes!$B$1:$XFD$1, 0), 0)/VLOOKUP($B3, gdp_tot_mes!$B:$XFD, MATCH(gdp_ind_share!T$1, gdp_tot_mes!$B$1:$XFD$1, 0), 0)</f>
        <v>0.10658639085010309</v>
      </c>
      <c r="U3" s="29">
        <f>VLOOKUP($B3, ind_mes!$B:$XFD, MATCH(gdp_ind_share!U$1, ind_mes!$B$1:$XFD$1, 0), 0)/VLOOKUP($B3, gdp_tot_mes!$B:$XFD, MATCH(gdp_ind_share!U$1, gdp_tot_mes!$B$1:$XFD$1, 0), 0)</f>
        <v>0.10562940375571757</v>
      </c>
      <c r="V3" s="29">
        <f>VLOOKUP($B3, ind_mes!$B:$XFD, MATCH(gdp_ind_share!V$1, ind_mes!$B$1:$XFD$1, 0), 0)/VLOOKUP($B3, gdp_tot_mes!$B:$XFD, MATCH(gdp_ind_share!V$1, gdp_tot_mes!$B$1:$XFD$1, 0), 0)</f>
        <v>0.12045418957895727</v>
      </c>
      <c r="W3" s="29">
        <f>VLOOKUP($B3, ind_mes!$B:$XFD, MATCH(gdp_ind_share!W$1, ind_mes!$B$1:$XFD$1, 0), 0)/VLOOKUP($B3, gdp_tot_mes!$B:$XFD, MATCH(gdp_ind_share!W$1, gdp_tot_mes!$B$1:$XFD$1, 0), 0)</f>
        <v>0.10100523336653021</v>
      </c>
      <c r="X3" s="29">
        <f>VLOOKUP($B3, ind_mes!$B:$XFD, MATCH(gdp_ind_share!X$1, ind_mes!$B$1:$XFD$1, 0), 0)/VLOOKUP($B3, gdp_tot_mes!$B:$XFD, MATCH(gdp_ind_share!X$1, gdp_tot_mes!$B$1:$XFD$1, 0), 0)</f>
        <v>0.15159793575401978</v>
      </c>
      <c r="Y3" s="29">
        <f>VLOOKUP($B3, ind_mes!$B:$XFD, MATCH(gdp_ind_share!Y$1, ind_mes!$B$1:$XFD$1, 0), 0)/VLOOKUP($B3, gdp_tot_mes!$B:$XFD, MATCH(gdp_ind_share!Y$1, gdp_tot_mes!$B$1:$XFD$1, 0), 0)</f>
        <v>0.15151226638895099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25">
      <c r="A4" s="1" t="s">
        <v>28</v>
      </c>
      <c r="B4" s="1" t="s">
        <v>29</v>
      </c>
      <c r="C4" s="1" t="s">
        <v>30</v>
      </c>
      <c r="D4" s="29">
        <f>VLOOKUP($B4, ind_mes!$B:$XFD, MATCH(gdp_ind_share!D$1, ind_mes!$B$1:$XFD$1, 0), 0)/VLOOKUP($B4, gdp_tot_mes!$B:$XFD, MATCH(gdp_ind_share!D$1, gdp_tot_mes!$B$1:$XFD$1, 0), 0)</f>
        <v>0.23475257094371968</v>
      </c>
      <c r="E4" s="29">
        <f>VLOOKUP($B4, ind_mes!$B:$XFD, MATCH(gdp_ind_share!E$1, ind_mes!$B$1:$XFD$1, 0), 0)/VLOOKUP($B4, gdp_tot_mes!$B:$XFD, MATCH(gdp_ind_share!E$1, gdp_tot_mes!$B$1:$XFD$1, 0), 0)</f>
        <v>0.14087355195960408</v>
      </c>
      <c r="F4" s="29">
        <f>VLOOKUP($B4, ind_mes!$B:$XFD, MATCH(gdp_ind_share!F$1, ind_mes!$B$1:$XFD$1, 0), 0)/VLOOKUP($B4, gdp_tot_mes!$B:$XFD, MATCH(gdp_ind_share!F$1, gdp_tot_mes!$B$1:$XFD$1, 0), 0)</f>
        <v>9.9017462834213379E-2</v>
      </c>
      <c r="G4" s="29">
        <f>VLOOKUP($B4, ind_mes!$B:$XFD, MATCH(gdp_ind_share!G$1, ind_mes!$B$1:$XFD$1, 0), 0)/VLOOKUP($B4, gdp_tot_mes!$B:$XFD, MATCH(gdp_ind_share!G$1, gdp_tot_mes!$B$1:$XFD$1, 0), 0)</f>
        <v>0.17387914232723894</v>
      </c>
      <c r="H4" s="29">
        <f>VLOOKUP($B4, ind_mes!$B:$XFD, MATCH(gdp_ind_share!H$1, ind_mes!$B$1:$XFD$1, 0), 0)/VLOOKUP($B4, gdp_tot_mes!$B:$XFD, MATCH(gdp_ind_share!H$1, gdp_tot_mes!$B$1:$XFD$1, 0), 0)</f>
        <v>0.21912634046346671</v>
      </c>
      <c r="I4" s="29">
        <f>VLOOKUP($B4, ind_mes!$B:$XFD, MATCH(gdp_ind_share!I$1, ind_mes!$B$1:$XFD$1, 0), 0)/VLOOKUP($B4, gdp_tot_mes!$B:$XFD, MATCH(gdp_ind_share!I$1, gdp_tot_mes!$B$1:$XFD$1, 0), 0)</f>
        <v>0.23810602834080319</v>
      </c>
      <c r="J4" s="29">
        <f>VLOOKUP($B4, ind_mes!$B:$XFD, MATCH(gdp_ind_share!J$1, ind_mes!$B$1:$XFD$1, 0), 0)/VLOOKUP($B4, gdp_tot_mes!$B:$XFD, MATCH(gdp_ind_share!J$1, gdp_tot_mes!$B$1:$XFD$1, 0), 0)</f>
        <v>0.25579362623328178</v>
      </c>
      <c r="K4" s="29">
        <f>VLOOKUP($B4, ind_mes!$B:$XFD, MATCH(gdp_ind_share!K$1, ind_mes!$B$1:$XFD$1, 0), 0)/VLOOKUP($B4, gdp_tot_mes!$B:$XFD, MATCH(gdp_ind_share!K$1, gdp_tot_mes!$B$1:$XFD$1, 0), 0)</f>
        <v>0.21804752164110008</v>
      </c>
      <c r="L4" s="30">
        <f t="shared" si="0"/>
        <v>0.13906846256457128</v>
      </c>
      <c r="M4" s="29">
        <f>VLOOKUP($B4, ind_mes!$B:$XFD, MATCH(gdp_ind_share!M$1, ind_mes!$B$1:$XFD$1, 0), 0)/VLOOKUP($B4, gdp_tot_mes!$B:$XFD, MATCH(gdp_ind_share!M$1, gdp_tot_mes!$B$1:$XFD$1, 0), 0)</f>
        <v>4.4293591672736693E-2</v>
      </c>
      <c r="N4" s="29">
        <f>VLOOKUP($B4, ind_mes!$B:$XFD, MATCH(gdp_ind_share!N$1, ind_mes!$B$1:$XFD$1, 0), 0)/VLOOKUP($B4, gdp_tot_mes!$B:$XFD, MATCH(gdp_ind_share!N$1, gdp_tot_mes!$B$1:$XFD$1, 0), 0)</f>
        <v>0.16616377004385674</v>
      </c>
      <c r="O4" s="29">
        <f>VLOOKUP($B4, ind_mes!$B:$XFD, MATCH(gdp_ind_share!O$1, ind_mes!$B$1:$XFD$1, 0), 0)/VLOOKUP($B4, gdp_tot_mes!$B:$XFD, MATCH(gdp_ind_share!O$1, gdp_tot_mes!$B$1:$XFD$1, 0), 0)</f>
        <v>0.14538925192580626</v>
      </c>
      <c r="P4" s="29">
        <f>VLOOKUP($B4, ind_mes!$B:$XFD, MATCH(gdp_ind_share!P$1, ind_mes!$B$1:$XFD$1, 0), 0)/VLOOKUP($B4, gdp_tot_mes!$B:$XFD, MATCH(gdp_ind_share!P$1, gdp_tot_mes!$B$1:$XFD$1, 0), 0)</f>
        <v>0.12675911626525505</v>
      </c>
      <c r="Q4" s="29">
        <f>VLOOKUP($B4, ind_mes!$B:$XFD, MATCH(gdp_ind_share!Q$1, ind_mes!$B$1:$XFD$1, 0), 0)/VLOOKUP($B4, gdp_tot_mes!$B:$XFD, MATCH(gdp_ind_share!Q$1, gdp_tot_mes!$B$1:$XFD$1, 0), 0)</f>
        <v>0.13245636361842653</v>
      </c>
      <c r="R4" s="29">
        <f>VLOOKUP($B4, ind_mes!$B:$XFD, MATCH(gdp_ind_share!R$1, ind_mes!$B$1:$XFD$1, 0), 0)/VLOOKUP($B4, gdp_tot_mes!$B:$XFD, MATCH(gdp_ind_share!R$1, gdp_tot_mes!$B$1:$XFD$1, 0), 0)</f>
        <v>0.16393316341810793</v>
      </c>
      <c r="S4" s="29">
        <f>VLOOKUP($B4, ind_mes!$B:$XFD, MATCH(gdp_ind_share!S$1, ind_mes!$B$1:$XFD$1, 0), 0)/VLOOKUP($B4, gdp_tot_mes!$B:$XFD, MATCH(gdp_ind_share!S$1, gdp_tot_mes!$B$1:$XFD$1, 0), 0)</f>
        <v>0.20712279154269328</v>
      </c>
      <c r="T4" s="29">
        <f>VLOOKUP($B4, ind_mes!$B:$XFD, MATCH(gdp_ind_share!T$1, ind_mes!$B$1:$XFD$1, 0), 0)/VLOOKUP($B4, gdp_tot_mes!$B:$XFD, MATCH(gdp_ind_share!T$1, gdp_tot_mes!$B$1:$XFD$1, 0), 0)</f>
        <v>0.16612994877523743</v>
      </c>
      <c r="U4" s="29">
        <f>VLOOKUP($B4, ind_mes!$B:$XFD, MATCH(gdp_ind_share!U$1, ind_mes!$B$1:$XFD$1, 0), 0)/VLOOKUP($B4, gdp_tot_mes!$B:$XFD, MATCH(gdp_ind_share!U$1, gdp_tot_mes!$B$1:$XFD$1, 0), 0)</f>
        <v>0.1667106863542907</v>
      </c>
      <c r="V4" s="29">
        <f>VLOOKUP($B4, ind_mes!$B:$XFD, MATCH(gdp_ind_share!V$1, ind_mes!$B$1:$XFD$1, 0), 0)/VLOOKUP($B4, gdp_tot_mes!$B:$XFD, MATCH(gdp_ind_share!V$1, gdp_tot_mes!$B$1:$XFD$1, 0), 0)</f>
        <v>0.15847783461037668</v>
      </c>
      <c r="W4" s="29">
        <f>VLOOKUP($B4, ind_mes!$B:$XFD, MATCH(gdp_ind_share!W$1, ind_mes!$B$1:$XFD$1, 0), 0)/VLOOKUP($B4, gdp_tot_mes!$B:$XFD, MATCH(gdp_ind_share!W$1, gdp_tot_mes!$B$1:$XFD$1, 0), 0)</f>
        <v>0.1371280763948656</v>
      </c>
      <c r="X4" s="29">
        <f>VLOOKUP($B4, ind_mes!$B:$XFD, MATCH(gdp_ind_share!X$1, ind_mes!$B$1:$XFD$1, 0), 0)/VLOOKUP($B4, gdp_tot_mes!$B:$XFD, MATCH(gdp_ind_share!X$1, gdp_tot_mes!$B$1:$XFD$1, 0), 0)</f>
        <v>0.11403292052201926</v>
      </c>
      <c r="Y4" s="29">
        <f>VLOOKUP($B4, ind_mes!$B:$XFD, MATCH(gdp_ind_share!Y$1, ind_mes!$B$1:$XFD$1, 0), 0)/VLOOKUP($B4, gdp_tot_mes!$B:$XFD, MATCH(gdp_ind_share!Y$1, gdp_tot_mes!$B$1:$XFD$1, 0), 0)</f>
        <v>9.7346004978944994E-2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25">
      <c r="A5" s="1" t="s">
        <v>28</v>
      </c>
      <c r="B5" s="1" t="s">
        <v>31</v>
      </c>
      <c r="C5" s="1" t="s">
        <v>32</v>
      </c>
      <c r="D5" s="29">
        <f>VLOOKUP($B5, ind_mes!$B:$XFD, MATCH(gdp_ind_share!D$1, ind_mes!$B$1:$XFD$1, 0), 0)/VLOOKUP($B5, gdp_tot_mes!$B:$XFD, MATCH(gdp_ind_share!D$1, gdp_tot_mes!$B$1:$XFD$1, 0), 0)</f>
        <v>5.6021727259825578E-2</v>
      </c>
      <c r="E5" s="29">
        <f>VLOOKUP($B5, ind_mes!$B:$XFD, MATCH(gdp_ind_share!E$1, ind_mes!$B$1:$XFD$1, 0), 0)/VLOOKUP($B5, gdp_tot_mes!$B:$XFD, MATCH(gdp_ind_share!E$1, gdp_tot_mes!$B$1:$XFD$1, 0), 0)</f>
        <v>5.1650435086180897E-2</v>
      </c>
      <c r="F5" s="29">
        <f>VLOOKUP($B5, ind_mes!$B:$XFD, MATCH(gdp_ind_share!F$1, ind_mes!$B$1:$XFD$1, 0), 0)/VLOOKUP($B5, gdp_tot_mes!$B:$XFD, MATCH(gdp_ind_share!F$1, gdp_tot_mes!$B$1:$XFD$1, 0), 0)</f>
        <v>2.774585303174219E-2</v>
      </c>
      <c r="G5" s="29">
        <f>VLOOKUP($B5, ind_mes!$B:$XFD, MATCH(gdp_ind_share!G$1, ind_mes!$B$1:$XFD$1, 0), 0)/VLOOKUP($B5, gdp_tot_mes!$B:$XFD, MATCH(gdp_ind_share!G$1, gdp_tot_mes!$B$1:$XFD$1, 0), 0)</f>
        <v>0.14089259241838742</v>
      </c>
      <c r="H5" s="29">
        <f>VLOOKUP($B5, ind_mes!$B:$XFD, MATCH(gdp_ind_share!H$1, ind_mes!$B$1:$XFD$1, 0), 0)/VLOOKUP($B5, gdp_tot_mes!$B:$XFD, MATCH(gdp_ind_share!H$1, gdp_tot_mes!$B$1:$XFD$1, 0), 0)</f>
        <v>8.1247027977941866E-2</v>
      </c>
      <c r="I5" s="29">
        <f>VLOOKUP($B5, ind_mes!$B:$XFD, MATCH(gdp_ind_share!I$1, ind_mes!$B$1:$XFD$1, 0), 0)/VLOOKUP($B5, gdp_tot_mes!$B:$XFD, MATCH(gdp_ind_share!I$1, gdp_tot_mes!$B$1:$XFD$1, 0), 0)</f>
        <v>0.1446780770653403</v>
      </c>
      <c r="J5" s="29">
        <f>VLOOKUP($B5, ind_mes!$B:$XFD, MATCH(gdp_ind_share!J$1, ind_mes!$B$1:$XFD$1, 0), 0)/VLOOKUP($B5, gdp_tot_mes!$B:$XFD, MATCH(gdp_ind_share!J$1, gdp_tot_mes!$B$1:$XFD$1, 0), 0)</f>
        <v>0.15240761274145342</v>
      </c>
      <c r="K5" s="29">
        <f>VLOOKUP($B5, ind_mes!$B:$XFD, MATCH(gdp_ind_share!K$1, ind_mes!$B$1:$XFD$1, 0), 0)/VLOOKUP($B5, gdp_tot_mes!$B:$XFD, MATCH(gdp_ind_share!K$1, gdp_tot_mes!$B$1:$XFD$1, 0), 0)</f>
        <v>0.160203780622625</v>
      </c>
      <c r="L5" s="30">
        <f t="shared" si="0"/>
        <v>0.11564386185516715</v>
      </c>
      <c r="M5" s="29">
        <f>VLOOKUP($B5, ind_mes!$B:$XFD, MATCH(gdp_ind_share!M$1, ind_mes!$B$1:$XFD$1, 0), 0)/VLOOKUP($B5, gdp_tot_mes!$B:$XFD, MATCH(gdp_ind_share!M$1, gdp_tot_mes!$B$1:$XFD$1, 0), 0)</f>
        <v>6.2171959334217708E-2</v>
      </c>
      <c r="N5" s="29">
        <f>VLOOKUP($B5, ind_mes!$B:$XFD, MATCH(gdp_ind_share!N$1, ind_mes!$B$1:$XFD$1, 0), 0)/VLOOKUP($B5, gdp_tot_mes!$B:$XFD, MATCH(gdp_ind_share!N$1, gdp_tot_mes!$B$1:$XFD$1, 0), 0)</f>
        <v>0.13243290963861154</v>
      </c>
      <c r="O5" s="29">
        <f>VLOOKUP($B5, ind_mes!$B:$XFD, MATCH(gdp_ind_share!O$1, ind_mes!$B$1:$XFD$1, 0), 0)/VLOOKUP($B5, gdp_tot_mes!$B:$XFD, MATCH(gdp_ind_share!O$1, gdp_tot_mes!$B$1:$XFD$1, 0), 0)</f>
        <v>0.12517823940746975</v>
      </c>
      <c r="P5" s="29">
        <f>VLOOKUP($B5, ind_mes!$B:$XFD, MATCH(gdp_ind_share!P$1, ind_mes!$B$1:$XFD$1, 0), 0)/VLOOKUP($B5, gdp_tot_mes!$B:$XFD, MATCH(gdp_ind_share!P$1, gdp_tot_mes!$B$1:$XFD$1, 0), 0)</f>
        <v>0.12719605739558112</v>
      </c>
      <c r="Q5" s="29">
        <f>VLOOKUP($B5, ind_mes!$B:$XFD, MATCH(gdp_ind_share!Q$1, ind_mes!$B$1:$XFD$1, 0), 0)/VLOOKUP($B5, gdp_tot_mes!$B:$XFD, MATCH(gdp_ind_share!Q$1, gdp_tot_mes!$B$1:$XFD$1, 0), 0)</f>
        <v>0.10165867892086239</v>
      </c>
      <c r="R5" s="29">
        <f>VLOOKUP($B5, ind_mes!$B:$XFD, MATCH(gdp_ind_share!R$1, ind_mes!$B$1:$XFD$1, 0), 0)/VLOOKUP($B5, gdp_tot_mes!$B:$XFD, MATCH(gdp_ind_share!R$1, gdp_tot_mes!$B$1:$XFD$1, 0), 0)</f>
        <v>9.395887675582773E-2</v>
      </c>
      <c r="S5" s="29">
        <f>VLOOKUP($B5, ind_mes!$B:$XFD, MATCH(gdp_ind_share!S$1, ind_mes!$B$1:$XFD$1, 0), 0)/VLOOKUP($B5, gdp_tot_mes!$B:$XFD, MATCH(gdp_ind_share!S$1, gdp_tot_mes!$B$1:$XFD$1, 0), 0)</f>
        <v>9.7427461285452169E-2</v>
      </c>
      <c r="T5" s="29">
        <f>VLOOKUP($B5, ind_mes!$B:$XFD, MATCH(gdp_ind_share!T$1, ind_mes!$B$1:$XFD$1, 0), 0)/VLOOKUP($B5, gdp_tot_mes!$B:$XFD, MATCH(gdp_ind_share!T$1, gdp_tot_mes!$B$1:$XFD$1, 0), 0)</f>
        <v>9.4986090882569124E-2</v>
      </c>
      <c r="U5" s="29">
        <f>VLOOKUP($B5, ind_mes!$B:$XFD, MATCH(gdp_ind_share!U$1, ind_mes!$B$1:$XFD$1, 0), 0)/VLOOKUP($B5, gdp_tot_mes!$B:$XFD, MATCH(gdp_ind_share!U$1, gdp_tot_mes!$B$1:$XFD$1, 0), 0)</f>
        <v>0.10697819339225509</v>
      </c>
      <c r="V5" s="29">
        <f>VLOOKUP($B5, ind_mes!$B:$XFD, MATCH(gdp_ind_share!V$1, ind_mes!$B$1:$XFD$1, 0), 0)/VLOOKUP($B5, gdp_tot_mes!$B:$XFD, MATCH(gdp_ind_share!V$1, gdp_tot_mes!$B$1:$XFD$1, 0), 0)</f>
        <v>0.10764582511962963</v>
      </c>
      <c r="W5" s="29">
        <f>VLOOKUP($B5, ind_mes!$B:$XFD, MATCH(gdp_ind_share!W$1, ind_mes!$B$1:$XFD$1, 0), 0)/VLOOKUP($B5, gdp_tot_mes!$B:$XFD, MATCH(gdp_ind_share!W$1, gdp_tot_mes!$B$1:$XFD$1, 0), 0)</f>
        <v>0.10294475110048479</v>
      </c>
      <c r="X5" s="29">
        <f>VLOOKUP($B5, ind_mes!$B:$XFD, MATCH(gdp_ind_share!X$1, ind_mes!$B$1:$XFD$1, 0), 0)/VLOOKUP($B5, gdp_tot_mes!$B:$XFD, MATCH(gdp_ind_share!X$1, gdp_tot_mes!$B$1:$XFD$1, 0), 0)</f>
        <v>9.415397583700913E-2</v>
      </c>
      <c r="Y5" s="29">
        <f>VLOOKUP($B5, ind_mes!$B:$XFD, MATCH(gdp_ind_share!Y$1, ind_mes!$B$1:$XFD$1, 0), 0)/VLOOKUP($B5, gdp_tot_mes!$B:$XFD, MATCH(gdp_ind_share!Y$1, gdp_tot_mes!$B$1:$XFD$1, 0), 0)</f>
        <v>0.10299899316975297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5">
      <c r="A6" s="1" t="s">
        <v>28</v>
      </c>
      <c r="B6" s="1" t="s">
        <v>33</v>
      </c>
      <c r="C6" s="1" t="s">
        <v>34</v>
      </c>
      <c r="D6" s="29">
        <f>VLOOKUP($B6, ind_mes!$B:$XFD, MATCH(gdp_ind_share!D$1, ind_mes!$B$1:$XFD$1, 0), 0)/VLOOKUP($B6, gdp_tot_mes!$B:$XFD, MATCH(gdp_ind_share!D$1, gdp_tot_mes!$B$1:$XFD$1, 0), 0)</f>
        <v>0.17835287998004257</v>
      </c>
      <c r="E6" s="29">
        <f>VLOOKUP($B6, ind_mes!$B:$XFD, MATCH(gdp_ind_share!E$1, ind_mes!$B$1:$XFD$1, 0), 0)/VLOOKUP($B6, gdp_tot_mes!$B:$XFD, MATCH(gdp_ind_share!E$1, gdp_tot_mes!$B$1:$XFD$1, 0), 0)</f>
        <v>0.24983845906689983</v>
      </c>
      <c r="F6" s="29">
        <f>VLOOKUP($B6, ind_mes!$B:$XFD, MATCH(gdp_ind_share!F$1, ind_mes!$B$1:$XFD$1, 0), 0)/VLOOKUP($B6, gdp_tot_mes!$B:$XFD, MATCH(gdp_ind_share!F$1, gdp_tot_mes!$B$1:$XFD$1, 0), 0)</f>
        <v>0.26908634704813289</v>
      </c>
      <c r="G6" s="29">
        <f>VLOOKUP($B6, ind_mes!$B:$XFD, MATCH(gdp_ind_share!G$1, ind_mes!$B$1:$XFD$1, 0), 0)/VLOOKUP($B6, gdp_tot_mes!$B:$XFD, MATCH(gdp_ind_share!G$1, gdp_tot_mes!$B$1:$XFD$1, 0), 0)</f>
        <v>0.28258298486653494</v>
      </c>
      <c r="H6" s="29">
        <f>VLOOKUP($B6, ind_mes!$B:$XFD, MATCH(gdp_ind_share!H$1, ind_mes!$B$1:$XFD$1, 0), 0)/VLOOKUP($B6, gdp_tot_mes!$B:$XFD, MATCH(gdp_ind_share!H$1, gdp_tot_mes!$B$1:$XFD$1, 0), 0)</f>
        <v>0.26016135826881798</v>
      </c>
      <c r="I6" s="29">
        <f>VLOOKUP($B6, ind_mes!$B:$XFD, MATCH(gdp_ind_share!I$1, ind_mes!$B$1:$XFD$1, 0), 0)/VLOOKUP($B6, gdp_tot_mes!$B:$XFD, MATCH(gdp_ind_share!I$1, gdp_tot_mes!$B$1:$XFD$1, 0), 0)</f>
        <v>0.29019999139013791</v>
      </c>
      <c r="J6" s="29">
        <f>VLOOKUP($B6, ind_mes!$B:$XFD, MATCH(gdp_ind_share!J$1, ind_mes!$B$1:$XFD$1, 0), 0)/VLOOKUP($B6, gdp_tot_mes!$B:$XFD, MATCH(gdp_ind_share!J$1, gdp_tot_mes!$B$1:$XFD$1, 0), 0)</f>
        <v>0.23799973509038122</v>
      </c>
      <c r="K6" s="29">
        <f>VLOOKUP($B6, ind_mes!$B:$XFD, MATCH(gdp_ind_share!K$1, ind_mes!$B$1:$XFD$1, 0), 0)/VLOOKUP($B6, gdp_tot_mes!$B:$XFD, MATCH(gdp_ind_share!K$1, gdp_tot_mes!$B$1:$XFD$1, 0), 0)</f>
        <v>0.30176931750861763</v>
      </c>
      <c r="L6" s="30">
        <f t="shared" si="0"/>
        <v>0.26493720122186121</v>
      </c>
      <c r="M6" s="29">
        <f>VLOOKUP($B6, ind_mes!$B:$XFD, MATCH(gdp_ind_share!M$1, ind_mes!$B$1:$XFD$1, 0), 0)/VLOOKUP($B6, gdp_tot_mes!$B:$XFD, MATCH(gdp_ind_share!M$1, gdp_tot_mes!$B$1:$XFD$1, 0), 0)</f>
        <v>0.22073866167775352</v>
      </c>
      <c r="N6" s="29">
        <f>VLOOKUP($B6, ind_mes!$B:$XFD, MATCH(gdp_ind_share!N$1, ind_mes!$B$1:$XFD$1, 0), 0)/VLOOKUP($B6, gdp_tot_mes!$B:$XFD, MATCH(gdp_ind_share!N$1, gdp_tot_mes!$B$1:$XFD$1, 0), 0)</f>
        <v>0.24340408778235298</v>
      </c>
      <c r="O6" s="29">
        <f>VLOOKUP($B6, ind_mes!$B:$XFD, MATCH(gdp_ind_share!O$1, ind_mes!$B$1:$XFD$1, 0), 0)/VLOOKUP($B6, gdp_tot_mes!$B:$XFD, MATCH(gdp_ind_share!O$1, gdp_tot_mes!$B$1:$XFD$1, 0), 0)</f>
        <v>0.21755762032185755</v>
      </c>
      <c r="P6" s="29">
        <f>VLOOKUP($B6, ind_mes!$B:$XFD, MATCH(gdp_ind_share!P$1, ind_mes!$B$1:$XFD$1, 0), 0)/VLOOKUP($B6, gdp_tot_mes!$B:$XFD, MATCH(gdp_ind_share!P$1, gdp_tot_mes!$B$1:$XFD$1, 0), 0)</f>
        <v>0.21469532744111511</v>
      </c>
      <c r="Q6" s="29">
        <f>VLOOKUP($B6, ind_mes!$B:$XFD, MATCH(gdp_ind_share!Q$1, ind_mes!$B$1:$XFD$1, 0), 0)/VLOOKUP($B6, gdp_tot_mes!$B:$XFD, MATCH(gdp_ind_share!Q$1, gdp_tot_mes!$B$1:$XFD$1, 0), 0)</f>
        <v>0.2509657788129071</v>
      </c>
      <c r="R6" s="29">
        <f>VLOOKUP($B6, ind_mes!$B:$XFD, MATCH(gdp_ind_share!R$1, ind_mes!$B$1:$XFD$1, 0), 0)/VLOOKUP($B6, gdp_tot_mes!$B:$XFD, MATCH(gdp_ind_share!R$1, gdp_tot_mes!$B$1:$XFD$1, 0), 0)</f>
        <v>0.25342803748232801</v>
      </c>
      <c r="S6" s="29">
        <f>VLOOKUP($B6, ind_mes!$B:$XFD, MATCH(gdp_ind_share!S$1, ind_mes!$B$1:$XFD$1, 0), 0)/VLOOKUP($B6, gdp_tot_mes!$B:$XFD, MATCH(gdp_ind_share!S$1, gdp_tot_mes!$B$1:$XFD$1, 0), 0)</f>
        <v>0.24697862666177386</v>
      </c>
      <c r="T6" s="29">
        <f>VLOOKUP($B6, ind_mes!$B:$XFD, MATCH(gdp_ind_share!T$1, ind_mes!$B$1:$XFD$1, 0), 0)/VLOOKUP($B6, gdp_tot_mes!$B:$XFD, MATCH(gdp_ind_share!T$1, gdp_tot_mes!$B$1:$XFD$1, 0), 0)</f>
        <v>0.24694962684282032</v>
      </c>
      <c r="U6" s="29">
        <f>VLOOKUP($B6, ind_mes!$B:$XFD, MATCH(gdp_ind_share!U$1, ind_mes!$B$1:$XFD$1, 0), 0)/VLOOKUP($B6, gdp_tot_mes!$B:$XFD, MATCH(gdp_ind_share!U$1, gdp_tot_mes!$B$1:$XFD$1, 0), 0)</f>
        <v>0.24381218115093906</v>
      </c>
      <c r="V6" s="29">
        <f>VLOOKUP($B6, ind_mes!$B:$XFD, MATCH(gdp_ind_share!V$1, ind_mes!$B$1:$XFD$1, 0), 0)/VLOOKUP($B6, gdp_tot_mes!$B:$XFD, MATCH(gdp_ind_share!V$1, gdp_tot_mes!$B$1:$XFD$1, 0), 0)</f>
        <v>0.25489842517381295</v>
      </c>
      <c r="W6" s="29">
        <f>VLOOKUP($B6, ind_mes!$B:$XFD, MATCH(gdp_ind_share!W$1, ind_mes!$B$1:$XFD$1, 0), 0)/VLOOKUP($B6, gdp_tot_mes!$B:$XFD, MATCH(gdp_ind_share!W$1, gdp_tot_mes!$B$1:$XFD$1, 0), 0)</f>
        <v>0.24615891592714781</v>
      </c>
      <c r="X6" s="29">
        <f>VLOOKUP($B6, ind_mes!$B:$XFD, MATCH(gdp_ind_share!X$1, ind_mes!$B$1:$XFD$1, 0), 0)/VLOOKUP($B6, gdp_tot_mes!$B:$XFD, MATCH(gdp_ind_share!X$1, gdp_tot_mes!$B$1:$XFD$1, 0), 0)</f>
        <v>0.21179472674945993</v>
      </c>
      <c r="Y6" s="29">
        <f>VLOOKUP($B6, ind_mes!$B:$XFD, MATCH(gdp_ind_share!Y$1, ind_mes!$B$1:$XFD$1, 0), 0)/VLOOKUP($B6, gdp_tot_mes!$B:$XFD, MATCH(gdp_ind_share!Y$1, gdp_tot_mes!$B$1:$XFD$1, 0), 0)</f>
        <v>0.21674012017838293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25">
      <c r="A7" s="1" t="s">
        <v>35</v>
      </c>
      <c r="B7" s="1" t="s">
        <v>36</v>
      </c>
      <c r="C7" s="1" t="s">
        <v>37</v>
      </c>
      <c r="D7" s="29">
        <f>VLOOKUP($B7, ind_mes!$B:$XFD, MATCH(gdp_ind_share!D$1, ind_mes!$B$1:$XFD$1, 0), 0)/VLOOKUP($B7, gdp_tot_mes!$B:$XFD, MATCH(gdp_ind_share!D$1, gdp_tot_mes!$B$1:$XFD$1, 0), 0)</f>
        <v>2.6552517273896778E-2</v>
      </c>
      <c r="E7" s="29">
        <f>VLOOKUP($B7, ind_mes!$B:$XFD, MATCH(gdp_ind_share!E$1, ind_mes!$B$1:$XFD$1, 0), 0)/VLOOKUP($B7, gdp_tot_mes!$B:$XFD, MATCH(gdp_ind_share!E$1, gdp_tot_mes!$B$1:$XFD$1, 0), 0)</f>
        <v>0</v>
      </c>
      <c r="F7" s="29">
        <f>VLOOKUP($B7, ind_mes!$B:$XFD, MATCH(gdp_ind_share!F$1, ind_mes!$B$1:$XFD$1, 0), 0)/VLOOKUP($B7, gdp_tot_mes!$B:$XFD, MATCH(gdp_ind_share!F$1, gdp_tot_mes!$B$1:$XFD$1, 0), 0)</f>
        <v>1.4006214973894017E-3</v>
      </c>
      <c r="G7" s="29">
        <f>VLOOKUP($B7, ind_mes!$B:$XFD, MATCH(gdp_ind_share!G$1, ind_mes!$B$1:$XFD$1, 0), 0)/VLOOKUP($B7, gdp_tot_mes!$B:$XFD, MATCH(gdp_ind_share!G$1, gdp_tot_mes!$B$1:$XFD$1, 0), 0)</f>
        <v>7.0116087581610323E-2</v>
      </c>
      <c r="H7" s="29">
        <f>VLOOKUP($B7, ind_mes!$B:$XFD, MATCH(gdp_ind_share!H$1, ind_mes!$B$1:$XFD$1, 0), 0)/VLOOKUP($B7, gdp_tot_mes!$B:$XFD, MATCH(gdp_ind_share!H$1, gdp_tot_mes!$B$1:$XFD$1, 0), 0)</f>
        <v>4.1526785920564892E-2</v>
      </c>
      <c r="I7" s="29">
        <f>VLOOKUP($B7, ind_mes!$B:$XFD, MATCH(gdp_ind_share!I$1, ind_mes!$B$1:$XFD$1, 0), 0)/VLOOKUP($B7, gdp_tot_mes!$B:$XFD, MATCH(gdp_ind_share!I$1, gdp_tot_mes!$B$1:$XFD$1, 0), 0)</f>
        <v>8.2548854707475014E-2</v>
      </c>
      <c r="J7" s="29">
        <f>VLOOKUP($B7, ind_mes!$B:$XFD, MATCH(gdp_ind_share!J$1, ind_mes!$B$1:$XFD$1, 0), 0)/VLOOKUP($B7, gdp_tot_mes!$B:$XFD, MATCH(gdp_ind_share!J$1, gdp_tot_mes!$B$1:$XFD$1, 0), 0)</f>
        <v>0.11730814652474976</v>
      </c>
      <c r="K7" s="29">
        <f>VLOOKUP($B7, ind_mes!$B:$XFD, MATCH(gdp_ind_share!K$1, ind_mes!$B$1:$XFD$1, 0), 0)/VLOOKUP($B7, gdp_tot_mes!$B:$XFD, MATCH(gdp_ind_share!K$1, gdp_tot_mes!$B$1:$XFD$1, 0), 0)</f>
        <v>9.5183478337101363E-2</v>
      </c>
      <c r="L7" s="30">
        <f t="shared" si="0"/>
        <v>6.7348285003482153E-2</v>
      </c>
      <c r="M7" s="29">
        <f>VLOOKUP($B7, ind_mes!$B:$XFD, MATCH(gdp_ind_share!M$1, ind_mes!$B$1:$XFD$1, 0), 0)/VLOOKUP($B7, gdp_tot_mes!$B:$XFD, MATCH(gdp_ind_share!M$1, gdp_tot_mes!$B$1:$XFD$1, 0), 0)</f>
        <v>3.3946053003139097E-2</v>
      </c>
      <c r="N7" s="29">
        <f>VLOOKUP($B7, ind_mes!$B:$XFD, MATCH(gdp_ind_share!N$1, ind_mes!$B$1:$XFD$1, 0), 0)/VLOOKUP($B7, gdp_tot_mes!$B:$XFD, MATCH(gdp_ind_share!N$1, gdp_tot_mes!$B$1:$XFD$1, 0), 0)</f>
        <v>9.0863124610660179E-2</v>
      </c>
      <c r="O7" s="29">
        <f>VLOOKUP($B7, ind_mes!$B:$XFD, MATCH(gdp_ind_share!O$1, ind_mes!$B$1:$XFD$1, 0), 0)/VLOOKUP($B7, gdp_tot_mes!$B:$XFD, MATCH(gdp_ind_share!O$1, gdp_tot_mes!$B$1:$XFD$1, 0), 0)</f>
        <v>8.4281273131381201E-2</v>
      </c>
      <c r="P7" s="29">
        <f>VLOOKUP($B7, ind_mes!$B:$XFD, MATCH(gdp_ind_share!P$1, ind_mes!$B$1:$XFD$1, 0), 0)/VLOOKUP($B7, gdp_tot_mes!$B:$XFD, MATCH(gdp_ind_share!P$1, gdp_tot_mes!$B$1:$XFD$1, 0), 0)</f>
        <v>8.7035220020361057E-2</v>
      </c>
      <c r="Q7" s="29">
        <f>VLOOKUP($B7, ind_mes!$B:$XFD, MATCH(gdp_ind_share!Q$1, ind_mes!$B$1:$XFD$1, 0), 0)/VLOOKUP($B7, gdp_tot_mes!$B:$XFD, MATCH(gdp_ind_share!Q$1, gdp_tot_mes!$B$1:$XFD$1, 0), 0)</f>
        <v>2.6984397603141957E-2</v>
      </c>
      <c r="R7" s="29">
        <f>VLOOKUP($B7, ind_mes!$B:$XFD, MATCH(gdp_ind_share!R$1, ind_mes!$B$1:$XFD$1, 0), 0)/VLOOKUP($B7, gdp_tot_mes!$B:$XFD, MATCH(gdp_ind_share!R$1, gdp_tot_mes!$B$1:$XFD$1, 0), 0)</f>
        <v>2.5560518743952279E-2</v>
      </c>
      <c r="S7" s="29">
        <f>VLOOKUP($B7, ind_mes!$B:$XFD, MATCH(gdp_ind_share!S$1, ind_mes!$B$1:$XFD$1, 0), 0)/VLOOKUP($B7, gdp_tot_mes!$B:$XFD, MATCH(gdp_ind_share!S$1, gdp_tot_mes!$B$1:$XFD$1, 0), 0)</f>
        <v>2.7662635307002099E-2</v>
      </c>
      <c r="T7" s="29">
        <f>VLOOKUP($B7, ind_mes!$B:$XFD, MATCH(gdp_ind_share!T$1, ind_mes!$B$1:$XFD$1, 0), 0)/VLOOKUP($B7, gdp_tot_mes!$B:$XFD, MATCH(gdp_ind_share!T$1, gdp_tot_mes!$B$1:$XFD$1, 0), 0)</f>
        <v>2.5138123507584702E-2</v>
      </c>
      <c r="U7" s="29">
        <f>VLOOKUP($B7, ind_mes!$B:$XFD, MATCH(gdp_ind_share!U$1, ind_mes!$B$1:$XFD$1, 0), 0)/VLOOKUP($B7, gdp_tot_mes!$B:$XFD, MATCH(gdp_ind_share!U$1, gdp_tot_mes!$B$1:$XFD$1, 0), 0)</f>
        <v>1.7521338640733641E-2</v>
      </c>
      <c r="V7" s="29">
        <f>VLOOKUP($B7, ind_mes!$B:$XFD, MATCH(gdp_ind_share!V$1, ind_mes!$B$1:$XFD$1, 0), 0)/VLOOKUP($B7, gdp_tot_mes!$B:$XFD, MATCH(gdp_ind_share!V$1, gdp_tot_mes!$B$1:$XFD$1, 0), 0)</f>
        <v>2.3409245538470843E-2</v>
      </c>
      <c r="W7" s="29">
        <f>VLOOKUP($B7, ind_mes!$B:$XFD, MATCH(gdp_ind_share!W$1, ind_mes!$B$1:$XFD$1, 0), 0)/VLOOKUP($B7, gdp_tot_mes!$B:$XFD, MATCH(gdp_ind_share!W$1, gdp_tot_mes!$B$1:$XFD$1, 0), 0)</f>
        <v>3.1964703165954053E-2</v>
      </c>
      <c r="X7" s="29">
        <f>VLOOKUP($B7, ind_mes!$B:$XFD, MATCH(gdp_ind_share!X$1, ind_mes!$B$1:$XFD$1, 0), 0)/VLOOKUP($B7, gdp_tot_mes!$B:$XFD, MATCH(gdp_ind_share!X$1, gdp_tot_mes!$B$1:$XFD$1, 0), 0)</f>
        <v>4.3018057919451583E-2</v>
      </c>
      <c r="Y7" s="29">
        <f>VLOOKUP($B7, ind_mes!$B:$XFD, MATCH(gdp_ind_share!Y$1, ind_mes!$B$1:$XFD$1, 0), 0)/VLOOKUP($B7, gdp_tot_mes!$B:$XFD, MATCH(gdp_ind_share!Y$1, gdp_tot_mes!$B$1:$XFD$1, 0), 0)</f>
        <v>5.2992888023943044E-2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5">
      <c r="A8" s="1" t="s">
        <v>35</v>
      </c>
      <c r="B8" s="1" t="s">
        <v>38</v>
      </c>
      <c r="C8" s="1" t="s">
        <v>39</v>
      </c>
      <c r="D8" s="29">
        <f>VLOOKUP($B8, ind_mes!$B:$XFD, MATCH(gdp_ind_share!D$1, ind_mes!$B$1:$XFD$1, 0), 0)/VLOOKUP($B8, gdp_tot_mes!$B:$XFD, MATCH(gdp_ind_share!D$1, gdp_tot_mes!$B$1:$XFD$1, 0), 0)</f>
        <v>2.3902183483299151E-2</v>
      </c>
      <c r="E8" s="29">
        <f>VLOOKUP($B8, ind_mes!$B:$XFD, MATCH(gdp_ind_share!E$1, ind_mes!$B$1:$XFD$1, 0), 0)/VLOOKUP($B8, gdp_tot_mes!$B:$XFD, MATCH(gdp_ind_share!E$1, gdp_tot_mes!$B$1:$XFD$1, 0), 0)</f>
        <v>0</v>
      </c>
      <c r="F8" s="29">
        <f>VLOOKUP($B8, ind_mes!$B:$XFD, MATCH(gdp_ind_share!F$1, ind_mes!$B$1:$XFD$1, 0), 0)/VLOOKUP($B8, gdp_tot_mes!$B:$XFD, MATCH(gdp_ind_share!F$1, gdp_tot_mes!$B$1:$XFD$1, 0), 0)</f>
        <v>2.8072845292933451E-2</v>
      </c>
      <c r="G8" s="29">
        <f>VLOOKUP($B8, ind_mes!$B:$XFD, MATCH(gdp_ind_share!G$1, ind_mes!$B$1:$XFD$1, 0), 0)/VLOOKUP($B8, gdp_tot_mes!$B:$XFD, MATCH(gdp_ind_share!G$1, gdp_tot_mes!$B$1:$XFD$1, 0), 0)</f>
        <v>2.5842241604212342E-2</v>
      </c>
      <c r="H8" s="29">
        <f>VLOOKUP($B8, ind_mes!$B:$XFD, MATCH(gdp_ind_share!H$1, ind_mes!$B$1:$XFD$1, 0), 0)/VLOOKUP($B8, gdp_tot_mes!$B:$XFD, MATCH(gdp_ind_share!H$1, gdp_tot_mes!$B$1:$XFD$1, 0), 0)</f>
        <v>4.2694084873408547E-2</v>
      </c>
      <c r="I8" s="29">
        <f>VLOOKUP($B8, ind_mes!$B:$XFD, MATCH(gdp_ind_share!I$1, ind_mes!$B$1:$XFD$1, 0), 0)/VLOOKUP($B8, gdp_tot_mes!$B:$XFD, MATCH(gdp_ind_share!I$1, gdp_tot_mes!$B$1:$XFD$1, 0), 0)</f>
        <v>4.498206475410655E-2</v>
      </c>
      <c r="J8" s="29">
        <f>VLOOKUP($B8, ind_mes!$B:$XFD, MATCH(gdp_ind_share!J$1, ind_mes!$B$1:$XFD$1, 0), 0)/VLOOKUP($B8, gdp_tot_mes!$B:$XFD, MATCH(gdp_ind_share!J$1, gdp_tot_mes!$B$1:$XFD$1, 0), 0)</f>
        <v>0.13835551950639344</v>
      </c>
      <c r="K8" s="29">
        <f>VLOOKUP($B8, ind_mes!$B:$XFD, MATCH(gdp_ind_share!K$1, ind_mes!$B$1:$XFD$1, 0), 0)/VLOOKUP($B8, gdp_tot_mes!$B:$XFD, MATCH(gdp_ind_share!K$1, gdp_tot_mes!$B$1:$XFD$1, 0), 0)</f>
        <v>0.10378360314952048</v>
      </c>
      <c r="L8" s="30">
        <f t="shared" si="0"/>
        <v>7.4744379612434436E-2</v>
      </c>
      <c r="M8" s="29">
        <f>VLOOKUP($B8, ind_mes!$B:$XFD, MATCH(gdp_ind_share!M$1, ind_mes!$B$1:$XFD$1, 0), 0)/VLOOKUP($B8, gdp_tot_mes!$B:$XFD, MATCH(gdp_ind_share!M$1, gdp_tot_mes!$B$1:$XFD$1, 0), 0)</f>
        <v>3.9897311367931169E-2</v>
      </c>
      <c r="N8" s="29">
        <f>VLOOKUP($B8, ind_mes!$B:$XFD, MATCH(gdp_ind_share!N$1, ind_mes!$B$1:$XFD$1, 0), 0)/VLOOKUP($B8, gdp_tot_mes!$B:$XFD, MATCH(gdp_ind_share!N$1, gdp_tot_mes!$B$1:$XFD$1, 0), 0)</f>
        <v>8.190544367185762E-2</v>
      </c>
      <c r="O8" s="29">
        <f>VLOOKUP($B8, ind_mes!$B:$XFD, MATCH(gdp_ind_share!O$1, ind_mes!$B$1:$XFD$1, 0), 0)/VLOOKUP($B8, gdp_tot_mes!$B:$XFD, MATCH(gdp_ind_share!O$1, gdp_tot_mes!$B$1:$XFD$1, 0), 0)</f>
        <v>7.7602775333132992E-2</v>
      </c>
      <c r="P8" s="29">
        <f>VLOOKUP($B8, ind_mes!$B:$XFD, MATCH(gdp_ind_share!P$1, ind_mes!$B$1:$XFD$1, 0), 0)/VLOOKUP($B8, gdp_tot_mes!$B:$XFD, MATCH(gdp_ind_share!P$1, gdp_tot_mes!$B$1:$XFD$1, 0), 0)</f>
        <v>7.7063370965017988E-2</v>
      </c>
      <c r="Q8" s="29">
        <f>VLOOKUP($B8, ind_mes!$B:$XFD, MATCH(gdp_ind_share!Q$1, ind_mes!$B$1:$XFD$1, 0), 0)/VLOOKUP($B8, gdp_tot_mes!$B:$XFD, MATCH(gdp_ind_share!Q$1, gdp_tot_mes!$B$1:$XFD$1, 0), 0)</f>
        <v>3.6841082968168425E-2</v>
      </c>
      <c r="R8" s="29">
        <f>VLOOKUP($B8, ind_mes!$B:$XFD, MATCH(gdp_ind_share!R$1, ind_mes!$B$1:$XFD$1, 0), 0)/VLOOKUP($B8, gdp_tot_mes!$B:$XFD, MATCH(gdp_ind_share!R$1, gdp_tot_mes!$B$1:$XFD$1, 0), 0)</f>
        <v>2.7047990056054495E-2</v>
      </c>
      <c r="S8" s="29">
        <f>VLOOKUP($B8, ind_mes!$B:$XFD, MATCH(gdp_ind_share!S$1, ind_mes!$B$1:$XFD$1, 0), 0)/VLOOKUP($B8, gdp_tot_mes!$B:$XFD, MATCH(gdp_ind_share!S$1, gdp_tot_mes!$B$1:$XFD$1, 0), 0)</f>
        <v>2.8893887650150347E-2</v>
      </c>
      <c r="T8" s="29">
        <f>VLOOKUP($B8, ind_mes!$B:$XFD, MATCH(gdp_ind_share!T$1, ind_mes!$B$1:$XFD$1, 0), 0)/VLOOKUP($B8, gdp_tot_mes!$B:$XFD, MATCH(gdp_ind_share!T$1, gdp_tot_mes!$B$1:$XFD$1, 0), 0)</f>
        <v>2.1729416203505051E-2</v>
      </c>
      <c r="U8" s="29">
        <f>VLOOKUP($B8, ind_mes!$B:$XFD, MATCH(gdp_ind_share!U$1, ind_mes!$B$1:$XFD$1, 0), 0)/VLOOKUP($B8, gdp_tot_mes!$B:$XFD, MATCH(gdp_ind_share!U$1, gdp_tot_mes!$B$1:$XFD$1, 0), 0)</f>
        <v>2.0952842970461232E-2</v>
      </c>
      <c r="V8" s="29">
        <f>VLOOKUP($B8, ind_mes!$B:$XFD, MATCH(gdp_ind_share!V$1, ind_mes!$B$1:$XFD$1, 0), 0)/VLOOKUP($B8, gdp_tot_mes!$B:$XFD, MATCH(gdp_ind_share!V$1, gdp_tot_mes!$B$1:$XFD$1, 0), 0)</f>
        <v>2.6462951550790963E-2</v>
      </c>
      <c r="W8" s="29">
        <f>VLOOKUP($B8, ind_mes!$B:$XFD, MATCH(gdp_ind_share!W$1, ind_mes!$B$1:$XFD$1, 0), 0)/VLOOKUP($B8, gdp_tot_mes!$B:$XFD, MATCH(gdp_ind_share!W$1, gdp_tot_mes!$B$1:$XFD$1, 0), 0)</f>
        <v>2.6618495757889566E-2</v>
      </c>
      <c r="X8" s="29">
        <f>VLOOKUP($B8, ind_mes!$B:$XFD, MATCH(gdp_ind_share!X$1, ind_mes!$B$1:$XFD$1, 0), 0)/VLOOKUP($B8, gdp_tot_mes!$B:$XFD, MATCH(gdp_ind_share!X$1, gdp_tot_mes!$B$1:$XFD$1, 0), 0)</f>
        <v>3.2545659265098364E-2</v>
      </c>
      <c r="Y8" s="29">
        <f>VLOOKUP($B8, ind_mes!$B:$XFD, MATCH(gdp_ind_share!Y$1, ind_mes!$B$1:$XFD$1, 0), 0)/VLOOKUP($B8, gdp_tot_mes!$B:$XFD, MATCH(gdp_ind_share!Y$1, gdp_tot_mes!$B$1:$XFD$1, 0), 0)</f>
        <v>3.7229307781986271E-2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25">
      <c r="A9" s="1" t="s">
        <v>35</v>
      </c>
      <c r="B9" s="1" t="s">
        <v>40</v>
      </c>
      <c r="C9" s="1" t="s">
        <v>41</v>
      </c>
      <c r="D9" s="29">
        <f>VLOOKUP($B9, ind_mes!$B:$XFD, MATCH(gdp_ind_share!D$1, ind_mes!$B$1:$XFD$1, 0), 0)/VLOOKUP($B9, gdp_tot_mes!$B:$XFD, MATCH(gdp_ind_share!D$1, gdp_tot_mes!$B$1:$XFD$1, 0), 0)</f>
        <v>5.0681682750239321E-2</v>
      </c>
      <c r="E9" s="29">
        <f>VLOOKUP($B9, ind_mes!$B:$XFD, MATCH(gdp_ind_share!E$1, ind_mes!$B$1:$XFD$1, 0), 0)/VLOOKUP($B9, gdp_tot_mes!$B:$XFD, MATCH(gdp_ind_share!E$1, gdp_tot_mes!$B$1:$XFD$1, 0), 0)</f>
        <v>0.28019611280261969</v>
      </c>
      <c r="F9" s="29">
        <f>VLOOKUP($B9, ind_mes!$B:$XFD, MATCH(gdp_ind_share!F$1, ind_mes!$B$1:$XFD$1, 0), 0)/VLOOKUP($B9, gdp_tot_mes!$B:$XFD, MATCH(gdp_ind_share!F$1, gdp_tot_mes!$B$1:$XFD$1, 0), 0)</f>
        <v>0.16543850680778505</v>
      </c>
      <c r="G9" s="29">
        <f>VLOOKUP($B9, ind_mes!$B:$XFD, MATCH(gdp_ind_share!G$1, ind_mes!$B$1:$XFD$1, 0), 0)/VLOOKUP($B9, gdp_tot_mes!$B:$XFD, MATCH(gdp_ind_share!G$1, gdp_tot_mes!$B$1:$XFD$1, 0), 0)</f>
        <v>0.40453851228173376</v>
      </c>
      <c r="H9" s="29">
        <f>VLOOKUP($B9, ind_mes!$B:$XFD, MATCH(gdp_ind_share!H$1, ind_mes!$B$1:$XFD$1, 0), 0)/VLOOKUP($B9, gdp_tot_mes!$B:$XFD, MATCH(gdp_ind_share!H$1, gdp_tot_mes!$B$1:$XFD$1, 0), 0)</f>
        <v>0.24818451761033547</v>
      </c>
      <c r="I9" s="29">
        <f>VLOOKUP($B9, ind_mes!$B:$XFD, MATCH(gdp_ind_share!I$1, ind_mes!$B$1:$XFD$1, 0), 0)/VLOOKUP($B9, gdp_tot_mes!$B:$XFD, MATCH(gdp_ind_share!I$1, gdp_tot_mes!$B$1:$XFD$1, 0), 0)</f>
        <v>0.4447001070731128</v>
      </c>
      <c r="J9" s="29">
        <f>VLOOKUP($B9, ind_mes!$B:$XFD, MATCH(gdp_ind_share!J$1, ind_mes!$B$1:$XFD$1, 0), 0)/VLOOKUP($B9, gdp_tot_mes!$B:$XFD, MATCH(gdp_ind_share!J$1, gdp_tot_mes!$B$1:$XFD$1, 0), 0)</f>
        <v>0.56678506986110488</v>
      </c>
      <c r="K9" s="29">
        <f>VLOOKUP($B9, ind_mes!$B:$XFD, MATCH(gdp_ind_share!K$1, ind_mes!$B$1:$XFD$1, 0), 0)/VLOOKUP($B9, gdp_tot_mes!$B:$XFD, MATCH(gdp_ind_share!K$1, gdp_tot_mes!$B$1:$XFD$1, 0), 0)</f>
        <v>0.60927719174528627</v>
      </c>
      <c r="L9" s="30">
        <f t="shared" si="0"/>
        <v>0.59436374288474636</v>
      </c>
      <c r="M9" s="29">
        <f>VLOOKUP($B9, ind_mes!$B:$XFD, MATCH(gdp_ind_share!M$1, ind_mes!$B$1:$XFD$1, 0), 0)/VLOOKUP($B9, gdp_tot_mes!$B:$XFD, MATCH(gdp_ind_share!M$1, gdp_tot_mes!$B$1:$XFD$1, 0), 0)</f>
        <v>0.57646760425209842</v>
      </c>
      <c r="N9" s="29">
        <f>VLOOKUP($B9, ind_mes!$B:$XFD, MATCH(gdp_ind_share!N$1, ind_mes!$B$1:$XFD$1, 0), 0)/VLOOKUP($B9, gdp_tot_mes!$B:$XFD, MATCH(gdp_ind_share!N$1, gdp_tot_mes!$B$1:$XFD$1, 0), 0)</f>
        <v>0.33683804715900295</v>
      </c>
      <c r="O9" s="29">
        <f>VLOOKUP($B9, ind_mes!$B:$XFD, MATCH(gdp_ind_share!O$1, ind_mes!$B$1:$XFD$1, 0), 0)/VLOOKUP($B9, gdp_tot_mes!$B:$XFD, MATCH(gdp_ind_share!O$1, gdp_tot_mes!$B$1:$XFD$1, 0), 0)</f>
        <v>0.35604423594562595</v>
      </c>
      <c r="P9" s="29">
        <f>VLOOKUP($B9, ind_mes!$B:$XFD, MATCH(gdp_ind_share!P$1, ind_mes!$B$1:$XFD$1, 0), 0)/VLOOKUP($B9, gdp_tot_mes!$B:$XFD, MATCH(gdp_ind_share!P$1, gdp_tot_mes!$B$1:$XFD$1, 0), 0)</f>
        <v>0.38379936936362036</v>
      </c>
      <c r="Q9" s="29">
        <f>VLOOKUP($B9, ind_mes!$B:$XFD, MATCH(gdp_ind_share!Q$1, ind_mes!$B$1:$XFD$1, 0), 0)/VLOOKUP($B9, gdp_tot_mes!$B:$XFD, MATCH(gdp_ind_share!Q$1, gdp_tot_mes!$B$1:$XFD$1, 0), 0)</f>
        <v>0.38237043047701014</v>
      </c>
      <c r="R9" s="29">
        <f>VLOOKUP($B9, ind_mes!$B:$XFD, MATCH(gdp_ind_share!R$1, ind_mes!$B$1:$XFD$1, 0), 0)/VLOOKUP($B9, gdp_tot_mes!$B:$XFD, MATCH(gdp_ind_share!R$1, gdp_tot_mes!$B$1:$XFD$1, 0), 0)</f>
        <v>0.40732847945806411</v>
      </c>
      <c r="S9" s="29">
        <f>VLOOKUP($B9, ind_mes!$B:$XFD, MATCH(gdp_ind_share!S$1, ind_mes!$B$1:$XFD$1, 0), 0)/VLOOKUP($B9, gdp_tot_mes!$B:$XFD, MATCH(gdp_ind_share!S$1, gdp_tot_mes!$B$1:$XFD$1, 0), 0)</f>
        <v>0.39366959953071456</v>
      </c>
      <c r="T9" s="29">
        <f>VLOOKUP($B9, ind_mes!$B:$XFD, MATCH(gdp_ind_share!T$1, ind_mes!$B$1:$XFD$1, 0), 0)/VLOOKUP($B9, gdp_tot_mes!$B:$XFD, MATCH(gdp_ind_share!T$1, gdp_tot_mes!$B$1:$XFD$1, 0), 0)</f>
        <v>0.38909526320919563</v>
      </c>
      <c r="U9" s="29">
        <f>VLOOKUP($B9, ind_mes!$B:$XFD, MATCH(gdp_ind_share!U$1, ind_mes!$B$1:$XFD$1, 0), 0)/VLOOKUP($B9, gdp_tot_mes!$B:$XFD, MATCH(gdp_ind_share!U$1, gdp_tot_mes!$B$1:$XFD$1, 0), 0)</f>
        <v>0.41088317130864416</v>
      </c>
      <c r="V9" s="29">
        <f>VLOOKUP($B9, ind_mes!$B:$XFD, MATCH(gdp_ind_share!V$1, ind_mes!$B$1:$XFD$1, 0), 0)/VLOOKUP($B9, gdp_tot_mes!$B:$XFD, MATCH(gdp_ind_share!V$1, gdp_tot_mes!$B$1:$XFD$1, 0), 0)</f>
        <v>0.38627681092531679</v>
      </c>
      <c r="W9" s="29">
        <f>VLOOKUP($B9, ind_mes!$B:$XFD, MATCH(gdp_ind_share!W$1, ind_mes!$B$1:$XFD$1, 0), 0)/VLOOKUP($B9, gdp_tot_mes!$B:$XFD, MATCH(gdp_ind_share!W$1, gdp_tot_mes!$B$1:$XFD$1, 0), 0)</f>
        <v>0.36802926332248409</v>
      </c>
      <c r="X9" s="29">
        <f>VLOOKUP($B9, ind_mes!$B:$XFD, MATCH(gdp_ind_share!X$1, ind_mes!$B$1:$XFD$1, 0), 0)/VLOOKUP($B9, gdp_tot_mes!$B:$XFD, MATCH(gdp_ind_share!X$1, gdp_tot_mes!$B$1:$XFD$1, 0), 0)</f>
        <v>0.35859199190919033</v>
      </c>
      <c r="Y9" s="29">
        <f>VLOOKUP($B9, ind_mes!$B:$XFD, MATCH(gdp_ind_share!Y$1, ind_mes!$B$1:$XFD$1, 0), 0)/VLOOKUP($B9, gdp_tot_mes!$B:$XFD, MATCH(gdp_ind_share!Y$1, gdp_tot_mes!$B$1:$XFD$1, 0), 0)</f>
        <v>0.38199564123893665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5">
      <c r="A10" s="1" t="s">
        <v>35</v>
      </c>
      <c r="B10" s="1" t="s">
        <v>42</v>
      </c>
      <c r="C10" s="1" t="s">
        <v>43</v>
      </c>
      <c r="D10" s="29">
        <f>VLOOKUP($B10, ind_mes!$B:$XFD, MATCH(gdp_ind_share!D$1, ind_mes!$B$1:$XFD$1, 0), 0)/VLOOKUP($B10, gdp_tot_mes!$B:$XFD, MATCH(gdp_ind_share!D$1, gdp_tot_mes!$B$1:$XFD$1, 0), 0)</f>
        <v>1.6442264106770382E-2</v>
      </c>
      <c r="E10" s="29">
        <f>VLOOKUP($B10, ind_mes!$B:$XFD, MATCH(gdp_ind_share!E$1, ind_mes!$B$1:$XFD$1, 0), 0)/VLOOKUP($B10, gdp_tot_mes!$B:$XFD, MATCH(gdp_ind_share!E$1, gdp_tot_mes!$B$1:$XFD$1, 0), 0)</f>
        <v>0</v>
      </c>
      <c r="F10" s="29">
        <f>VLOOKUP($B10, ind_mes!$B:$XFD, MATCH(gdp_ind_share!F$1, ind_mes!$B$1:$XFD$1, 0), 0)/VLOOKUP($B10, gdp_tot_mes!$B:$XFD, MATCH(gdp_ind_share!F$1, gdp_tot_mes!$B$1:$XFD$1, 0), 0)</f>
        <v>2.6163995885984052E-2</v>
      </c>
      <c r="G10" s="29">
        <f>VLOOKUP($B10, ind_mes!$B:$XFD, MATCH(gdp_ind_share!G$1, ind_mes!$B$1:$XFD$1, 0), 0)/VLOOKUP($B10, gdp_tot_mes!$B:$XFD, MATCH(gdp_ind_share!G$1, gdp_tot_mes!$B$1:$XFD$1, 0), 0)</f>
        <v>3.0263804439931024E-2</v>
      </c>
      <c r="H10" s="29">
        <f>VLOOKUP($B10, ind_mes!$B:$XFD, MATCH(gdp_ind_share!H$1, ind_mes!$B$1:$XFD$1, 0), 0)/VLOOKUP($B10, gdp_tot_mes!$B:$XFD, MATCH(gdp_ind_share!H$1, gdp_tot_mes!$B$1:$XFD$1, 0), 0)</f>
        <v>3.0417121746745747E-2</v>
      </c>
      <c r="I10" s="29">
        <f>VLOOKUP($B10, ind_mes!$B:$XFD, MATCH(gdp_ind_share!I$1, ind_mes!$B$1:$XFD$1, 0), 0)/VLOOKUP($B10, gdp_tot_mes!$B:$XFD, MATCH(gdp_ind_share!I$1, gdp_tot_mes!$B$1:$XFD$1, 0), 0)</f>
        <v>9.0037844603192488E-2</v>
      </c>
      <c r="J10" s="29">
        <f>VLOOKUP($B10, ind_mes!$B:$XFD, MATCH(gdp_ind_share!J$1, ind_mes!$B$1:$XFD$1, 0), 0)/VLOOKUP($B10, gdp_tot_mes!$B:$XFD, MATCH(gdp_ind_share!J$1, gdp_tot_mes!$B$1:$XFD$1, 0), 0)</f>
        <v>0.22124964013696374</v>
      </c>
      <c r="K10" s="29">
        <f>VLOOKUP($B10, ind_mes!$B:$XFD, MATCH(gdp_ind_share!K$1, ind_mes!$B$1:$XFD$1, 0), 0)/VLOOKUP($B10, gdp_tot_mes!$B:$XFD, MATCH(gdp_ind_share!K$1, gdp_tot_mes!$B$1:$XFD$1, 0), 0)</f>
        <v>9.9683829185860121E-2</v>
      </c>
      <c r="L10" s="30">
        <f t="shared" si="0"/>
        <v>7.8393355732671602E-2</v>
      </c>
      <c r="M10" s="29">
        <f>VLOOKUP($B10, ind_mes!$B:$XFD, MATCH(gdp_ind_share!M$1, ind_mes!$B$1:$XFD$1, 0), 0)/VLOOKUP($B10, gdp_tot_mes!$B:$XFD, MATCH(gdp_ind_share!M$1, gdp_tot_mes!$B$1:$XFD$1, 0), 0)</f>
        <v>5.2844787588845386E-2</v>
      </c>
      <c r="N10" s="29">
        <f>VLOOKUP($B10, ind_mes!$B:$XFD, MATCH(gdp_ind_share!N$1, ind_mes!$B$1:$XFD$1, 0), 0)/VLOOKUP($B10, gdp_tot_mes!$B:$XFD, MATCH(gdp_ind_share!N$1, gdp_tot_mes!$B$1:$XFD$1, 0), 0)</f>
        <v>8.6739874955618093E-2</v>
      </c>
      <c r="O10" s="29">
        <f>VLOOKUP($B10, ind_mes!$B:$XFD, MATCH(gdp_ind_share!O$1, ind_mes!$B$1:$XFD$1, 0), 0)/VLOOKUP($B10, gdp_tot_mes!$B:$XFD, MATCH(gdp_ind_share!O$1, gdp_tot_mes!$B$1:$XFD$1, 0), 0)</f>
        <v>8.2709169232480839E-2</v>
      </c>
      <c r="P10" s="29">
        <f>VLOOKUP($B10, ind_mes!$B:$XFD, MATCH(gdp_ind_share!P$1, ind_mes!$B$1:$XFD$1, 0), 0)/VLOOKUP($B10, gdp_tot_mes!$B:$XFD, MATCH(gdp_ind_share!P$1, gdp_tot_mes!$B$1:$XFD$1, 0), 0)</f>
        <v>8.2681497426429038E-2</v>
      </c>
      <c r="Q10" s="29">
        <f>VLOOKUP($B10, ind_mes!$B:$XFD, MATCH(gdp_ind_share!Q$1, ind_mes!$B$1:$XFD$1, 0), 0)/VLOOKUP($B10, gdp_tot_mes!$B:$XFD, MATCH(gdp_ind_share!Q$1, gdp_tot_mes!$B$1:$XFD$1, 0), 0)</f>
        <v>4.2112419554316827E-2</v>
      </c>
      <c r="R10" s="29">
        <f>VLOOKUP($B10, ind_mes!$B:$XFD, MATCH(gdp_ind_share!R$1, ind_mes!$B$1:$XFD$1, 0), 0)/VLOOKUP($B10, gdp_tot_mes!$B:$XFD, MATCH(gdp_ind_share!R$1, gdp_tot_mes!$B$1:$XFD$1, 0), 0)</f>
        <v>3.7749119331948321E-2</v>
      </c>
      <c r="S10" s="29">
        <f>VLOOKUP($B10, ind_mes!$B:$XFD, MATCH(gdp_ind_share!S$1, ind_mes!$B$1:$XFD$1, 0), 0)/VLOOKUP($B10, gdp_tot_mes!$B:$XFD, MATCH(gdp_ind_share!S$1, gdp_tot_mes!$B$1:$XFD$1, 0), 0)</f>
        <v>5.2114954521043498E-2</v>
      </c>
      <c r="T10" s="29">
        <f>VLOOKUP($B10, ind_mes!$B:$XFD, MATCH(gdp_ind_share!T$1, ind_mes!$B$1:$XFD$1, 0), 0)/VLOOKUP($B10, gdp_tot_mes!$B:$XFD, MATCH(gdp_ind_share!T$1, gdp_tot_mes!$B$1:$XFD$1, 0), 0)</f>
        <v>3.1927389012789027E-2</v>
      </c>
      <c r="U10" s="29">
        <f>VLOOKUP($B10, ind_mes!$B:$XFD, MATCH(gdp_ind_share!U$1, ind_mes!$B$1:$XFD$1, 0), 0)/VLOOKUP($B10, gdp_tot_mes!$B:$XFD, MATCH(gdp_ind_share!U$1, gdp_tot_mes!$B$1:$XFD$1, 0), 0)</f>
        <v>2.917799196577148E-2</v>
      </c>
      <c r="V10" s="29">
        <f>VLOOKUP($B10, ind_mes!$B:$XFD, MATCH(gdp_ind_share!V$1, ind_mes!$B$1:$XFD$1, 0), 0)/VLOOKUP($B10, gdp_tot_mes!$B:$XFD, MATCH(gdp_ind_share!V$1, gdp_tot_mes!$B$1:$XFD$1, 0), 0)</f>
        <v>4.0277547212683167E-2</v>
      </c>
      <c r="W10" s="29">
        <f>VLOOKUP($B10, ind_mes!$B:$XFD, MATCH(gdp_ind_share!W$1, ind_mes!$B$1:$XFD$1, 0), 0)/VLOOKUP($B10, gdp_tot_mes!$B:$XFD, MATCH(gdp_ind_share!W$1, gdp_tot_mes!$B$1:$XFD$1, 0), 0)</f>
        <v>3.1763439790645269E-2</v>
      </c>
      <c r="X10" s="29">
        <f>VLOOKUP($B10, ind_mes!$B:$XFD, MATCH(gdp_ind_share!X$1, ind_mes!$B$1:$XFD$1, 0), 0)/VLOOKUP($B10, gdp_tot_mes!$B:$XFD, MATCH(gdp_ind_share!X$1, gdp_tot_mes!$B$1:$XFD$1, 0), 0)</f>
        <v>3.1289680606236173E-2</v>
      </c>
      <c r="Y10" s="29">
        <f>VLOOKUP($B10, ind_mes!$B:$XFD, MATCH(gdp_ind_share!Y$1, ind_mes!$B$1:$XFD$1, 0), 0)/VLOOKUP($B10, gdp_tot_mes!$B:$XFD, MATCH(gdp_ind_share!Y$1, gdp_tot_mes!$B$1:$XFD$1, 0), 0)</f>
        <v>4.0186512159950588E-2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25">
      <c r="A11" s="1" t="s">
        <v>44</v>
      </c>
      <c r="B11" s="1" t="s">
        <v>45</v>
      </c>
      <c r="C11" s="1" t="s">
        <v>46</v>
      </c>
      <c r="D11" s="29">
        <f>VLOOKUP($B11, ind_mes!$B:$XFD, MATCH(gdp_ind_share!D$1, ind_mes!$B$1:$XFD$1, 0), 0)/VLOOKUP($B11, gdp_tot_mes!$B:$XFD, MATCH(gdp_ind_share!D$1, gdp_tot_mes!$B$1:$XFD$1, 0), 0)</f>
        <v>0.11215933914349528</v>
      </c>
      <c r="E11" s="29">
        <f>VLOOKUP($B11, ind_mes!$B:$XFD, MATCH(gdp_ind_share!E$1, ind_mes!$B$1:$XFD$1, 0), 0)/VLOOKUP($B11, gdp_tot_mes!$B:$XFD, MATCH(gdp_ind_share!E$1, gdp_tot_mes!$B$1:$XFD$1, 0), 0)</f>
        <v>0</v>
      </c>
      <c r="F11" s="29">
        <f>VLOOKUP($B11, ind_mes!$B:$XFD, MATCH(gdp_ind_share!F$1, ind_mes!$B$1:$XFD$1, 0), 0)/VLOOKUP($B11, gdp_tot_mes!$B:$XFD, MATCH(gdp_ind_share!F$1, gdp_tot_mes!$B$1:$XFD$1, 0), 0)</f>
        <v>0.22861548782734228</v>
      </c>
      <c r="G11" s="29">
        <f>VLOOKUP($B11, ind_mes!$B:$XFD, MATCH(gdp_ind_share!G$1, ind_mes!$B$1:$XFD$1, 0), 0)/VLOOKUP($B11, gdp_tot_mes!$B:$XFD, MATCH(gdp_ind_share!G$1, gdp_tot_mes!$B$1:$XFD$1, 0), 0)</f>
        <v>5.5387806904822874E-2</v>
      </c>
      <c r="H11" s="29">
        <f>VLOOKUP($B11, ind_mes!$B:$XFD, MATCH(gdp_ind_share!H$1, ind_mes!$B$1:$XFD$1, 0), 0)/VLOOKUP($B11, gdp_tot_mes!$B:$XFD, MATCH(gdp_ind_share!H$1, gdp_tot_mes!$B$1:$XFD$1, 0), 0)</f>
        <v>0.19034123340280698</v>
      </c>
      <c r="I11" s="29">
        <f>VLOOKUP($B11, ind_mes!$B:$XFD, MATCH(gdp_ind_share!I$1, ind_mes!$B$1:$XFD$1, 0), 0)/VLOOKUP($B11, gdp_tot_mes!$B:$XFD, MATCH(gdp_ind_share!I$1, gdp_tot_mes!$B$1:$XFD$1, 0), 0)</f>
        <v>6.8477857499679912E-2</v>
      </c>
      <c r="J11" s="29">
        <f>VLOOKUP($B11, ind_mes!$B:$XFD, MATCH(gdp_ind_share!J$1, ind_mes!$B$1:$XFD$1, 0), 0)/VLOOKUP($B11, gdp_tot_mes!$B:$XFD, MATCH(gdp_ind_share!J$1, gdp_tot_mes!$B$1:$XFD$1, 0), 0)</f>
        <v>9.8818442289991024E-2</v>
      </c>
      <c r="K11" s="29">
        <f>VLOOKUP($B11, ind_mes!$B:$XFD, MATCH(gdp_ind_share!K$1, ind_mes!$B$1:$XFD$1, 0), 0)/VLOOKUP($B11, gdp_tot_mes!$B:$XFD, MATCH(gdp_ind_share!K$1, gdp_tot_mes!$B$1:$XFD$1, 0), 0)</f>
        <v>0.30421277361877402</v>
      </c>
      <c r="L11" s="30">
        <f t="shared" si="0"/>
        <v>0.17915191598130584</v>
      </c>
      <c r="M11" s="29">
        <f>VLOOKUP($B11, ind_mes!$B:$XFD, MATCH(gdp_ind_share!M$1, ind_mes!$B$1:$XFD$1, 0), 0)/VLOOKUP($B11, gdp_tot_mes!$B:$XFD, MATCH(gdp_ind_share!M$1, gdp_tot_mes!$B$1:$XFD$1, 0), 0)</f>
        <v>2.9078886816344001E-2</v>
      </c>
      <c r="N11" s="29">
        <f>VLOOKUP($B11, ind_mes!$B:$XFD, MATCH(gdp_ind_share!N$1, ind_mes!$B$1:$XFD$1, 0), 0)/VLOOKUP($B11, gdp_tot_mes!$B:$XFD, MATCH(gdp_ind_share!N$1, gdp_tot_mes!$B$1:$XFD$1, 0), 0)</f>
        <v>6.8734420623942416E-2</v>
      </c>
      <c r="O11" s="29">
        <f>VLOOKUP($B11, ind_mes!$B:$XFD, MATCH(gdp_ind_share!O$1, ind_mes!$B$1:$XFD$1, 0), 0)/VLOOKUP($B11, gdp_tot_mes!$B:$XFD, MATCH(gdp_ind_share!O$1, gdp_tot_mes!$B$1:$XFD$1, 0), 0)</f>
        <v>6.5024014363044891E-2</v>
      </c>
      <c r="P11" s="29">
        <f>VLOOKUP($B11, ind_mes!$B:$XFD, MATCH(gdp_ind_share!P$1, ind_mes!$B$1:$XFD$1, 0), 0)/VLOOKUP($B11, gdp_tot_mes!$B:$XFD, MATCH(gdp_ind_share!P$1, gdp_tot_mes!$B$1:$XFD$1, 0), 0)</f>
        <v>9.1655501201264117E-2</v>
      </c>
      <c r="Q11" s="29">
        <f>VLOOKUP($B11, ind_mes!$B:$XFD, MATCH(gdp_ind_share!Q$1, ind_mes!$B$1:$XFD$1, 0), 0)/VLOOKUP($B11, gdp_tot_mes!$B:$XFD, MATCH(gdp_ind_share!Q$1, gdp_tot_mes!$B$1:$XFD$1, 0), 0)</f>
        <v>3.7436780130956221E-2</v>
      </c>
      <c r="R11" s="29">
        <f>VLOOKUP($B11, ind_mes!$B:$XFD, MATCH(gdp_ind_share!R$1, ind_mes!$B$1:$XFD$1, 0), 0)/VLOOKUP($B11, gdp_tot_mes!$B:$XFD, MATCH(gdp_ind_share!R$1, gdp_tot_mes!$B$1:$XFD$1, 0), 0)</f>
        <v>5.0967094934236623E-2</v>
      </c>
      <c r="S11" s="29">
        <f>VLOOKUP($B11, ind_mes!$B:$XFD, MATCH(gdp_ind_share!S$1, ind_mes!$B$1:$XFD$1, 0), 0)/VLOOKUP($B11, gdp_tot_mes!$B:$XFD, MATCH(gdp_ind_share!S$1, gdp_tot_mes!$B$1:$XFD$1, 0), 0)</f>
        <v>5.166841815282288E-2</v>
      </c>
      <c r="T11" s="29">
        <f>VLOOKUP($B11, ind_mes!$B:$XFD, MATCH(gdp_ind_share!T$1, ind_mes!$B$1:$XFD$1, 0), 0)/VLOOKUP($B11, gdp_tot_mes!$B:$XFD, MATCH(gdp_ind_share!T$1, gdp_tot_mes!$B$1:$XFD$1, 0), 0)</f>
        <v>4.1697623927823134E-2</v>
      </c>
      <c r="U11" s="29">
        <f>VLOOKUP($B11, ind_mes!$B:$XFD, MATCH(gdp_ind_share!U$1, ind_mes!$B$1:$XFD$1, 0), 0)/VLOOKUP($B11, gdp_tot_mes!$B:$XFD, MATCH(gdp_ind_share!U$1, gdp_tot_mes!$B$1:$XFD$1, 0), 0)</f>
        <v>3.499424609376435E-2</v>
      </c>
      <c r="V11" s="29">
        <f>VLOOKUP($B11, ind_mes!$B:$XFD, MATCH(gdp_ind_share!V$1, ind_mes!$B$1:$XFD$1, 0), 0)/VLOOKUP($B11, gdp_tot_mes!$B:$XFD, MATCH(gdp_ind_share!V$1, gdp_tot_mes!$B$1:$XFD$1, 0), 0)</f>
        <v>3.7403072446324015E-2</v>
      </c>
      <c r="W11" s="29">
        <f>VLOOKUP($B11, ind_mes!$B:$XFD, MATCH(gdp_ind_share!W$1, ind_mes!$B$1:$XFD$1, 0), 0)/VLOOKUP($B11, gdp_tot_mes!$B:$XFD, MATCH(gdp_ind_share!W$1, gdp_tot_mes!$B$1:$XFD$1, 0), 0)</f>
        <v>5.8308467607247845E-2</v>
      </c>
      <c r="X11" s="29">
        <f>VLOOKUP($B11, ind_mes!$B:$XFD, MATCH(gdp_ind_share!X$1, ind_mes!$B$1:$XFD$1, 0), 0)/VLOOKUP($B11, gdp_tot_mes!$B:$XFD, MATCH(gdp_ind_share!X$1, gdp_tot_mes!$B$1:$XFD$1, 0), 0)</f>
        <v>2.7484816840582574E-2</v>
      </c>
      <c r="Y11" s="29">
        <f>VLOOKUP($B11, ind_mes!$B:$XFD, MATCH(gdp_ind_share!Y$1, ind_mes!$B$1:$XFD$1, 0), 0)/VLOOKUP($B11, gdp_tot_mes!$B:$XFD, MATCH(gdp_ind_share!Y$1, gdp_tot_mes!$B$1:$XFD$1, 0), 0)</f>
        <v>2.6946118535270219E-2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25">
      <c r="A12" s="1" t="s">
        <v>44</v>
      </c>
      <c r="B12" s="1" t="s">
        <v>47</v>
      </c>
      <c r="C12" s="1" t="s">
        <v>48</v>
      </c>
      <c r="D12" s="29">
        <f>VLOOKUP($B12, ind_mes!$B:$XFD, MATCH(gdp_ind_share!D$1, ind_mes!$B$1:$XFD$1, 0), 0)/VLOOKUP($B12, gdp_tot_mes!$B:$XFD, MATCH(gdp_ind_share!D$1, gdp_tot_mes!$B$1:$XFD$1, 0), 0)</f>
        <v>3.5767872966226591E-2</v>
      </c>
      <c r="E12" s="29">
        <f>VLOOKUP($B12, ind_mes!$B:$XFD, MATCH(gdp_ind_share!E$1, ind_mes!$B$1:$XFD$1, 0), 0)/VLOOKUP($B12, gdp_tot_mes!$B:$XFD, MATCH(gdp_ind_share!E$1, gdp_tot_mes!$B$1:$XFD$1, 0), 0)</f>
        <v>0</v>
      </c>
      <c r="F12" s="29">
        <f>VLOOKUP($B12, ind_mes!$B:$XFD, MATCH(gdp_ind_share!F$1, ind_mes!$B$1:$XFD$1, 0), 0)/VLOOKUP($B12, gdp_tot_mes!$B:$XFD, MATCH(gdp_ind_share!F$1, gdp_tot_mes!$B$1:$XFD$1, 0), 0)</f>
        <v>2.9282458274640422E-2</v>
      </c>
      <c r="G12" s="29">
        <f>VLOOKUP($B12, ind_mes!$B:$XFD, MATCH(gdp_ind_share!G$1, ind_mes!$B$1:$XFD$1, 0), 0)/VLOOKUP($B12, gdp_tot_mes!$B:$XFD, MATCH(gdp_ind_share!G$1, gdp_tot_mes!$B$1:$XFD$1, 0), 0)</f>
        <v>0.56855052106053616</v>
      </c>
      <c r="H12" s="29">
        <f>VLOOKUP($B12, ind_mes!$B:$XFD, MATCH(gdp_ind_share!H$1, ind_mes!$B$1:$XFD$1, 0), 0)/VLOOKUP($B12, gdp_tot_mes!$B:$XFD, MATCH(gdp_ind_share!H$1, gdp_tot_mes!$B$1:$XFD$1, 0), 0)</f>
        <v>0.64980171634045436</v>
      </c>
      <c r="I12" s="29">
        <f>VLOOKUP($B12, ind_mes!$B:$XFD, MATCH(gdp_ind_share!I$1, ind_mes!$B$1:$XFD$1, 0), 0)/VLOOKUP($B12, gdp_tot_mes!$B:$XFD, MATCH(gdp_ind_share!I$1, gdp_tot_mes!$B$1:$XFD$1, 0), 0)</f>
        <v>0.33366098150242723</v>
      </c>
      <c r="J12" s="29">
        <f>VLOOKUP($B12, ind_mes!$B:$XFD, MATCH(gdp_ind_share!J$1, ind_mes!$B$1:$XFD$1, 0), 0)/VLOOKUP($B12, gdp_tot_mes!$B:$XFD, MATCH(gdp_ind_share!J$1, gdp_tot_mes!$B$1:$XFD$1, 0), 0)</f>
        <v>0.41306341701164534</v>
      </c>
      <c r="K12" s="29">
        <f>VLOOKUP($B12, ind_mes!$B:$XFD, MATCH(gdp_ind_share!K$1, ind_mes!$B$1:$XFD$1, 0), 0)/VLOOKUP($B12, gdp_tot_mes!$B:$XFD, MATCH(gdp_ind_share!K$1, gdp_tot_mes!$B$1:$XFD$1, 0), 0)</f>
        <v>0.47864914932526442</v>
      </c>
      <c r="L12" s="30">
        <f t="shared" si="0"/>
        <v>0.31661507664866756</v>
      </c>
      <c r="M12" s="29">
        <f>VLOOKUP($B12, ind_mes!$B:$XFD, MATCH(gdp_ind_share!M$1, ind_mes!$B$1:$XFD$1, 0), 0)/VLOOKUP($B12, gdp_tot_mes!$B:$XFD, MATCH(gdp_ind_share!M$1, gdp_tot_mes!$B$1:$XFD$1, 0), 0)</f>
        <v>0.12217418943675135</v>
      </c>
      <c r="N12" s="29">
        <f>VLOOKUP($B12, ind_mes!$B:$XFD, MATCH(gdp_ind_share!N$1, ind_mes!$B$1:$XFD$1, 0), 0)/VLOOKUP($B12, gdp_tot_mes!$B:$XFD, MATCH(gdp_ind_share!N$1, gdp_tot_mes!$B$1:$XFD$1, 0), 0)</f>
        <v>0.13017581141802656</v>
      </c>
      <c r="O12" s="29">
        <f>VLOOKUP($B12, ind_mes!$B:$XFD, MATCH(gdp_ind_share!O$1, ind_mes!$B$1:$XFD$1, 0), 0)/VLOOKUP($B12, gdp_tot_mes!$B:$XFD, MATCH(gdp_ind_share!O$1, gdp_tot_mes!$B$1:$XFD$1, 0), 0)</f>
        <v>0.12792176918436038</v>
      </c>
      <c r="P12" s="29">
        <f>VLOOKUP($B12, ind_mes!$B:$XFD, MATCH(gdp_ind_share!P$1, ind_mes!$B$1:$XFD$1, 0), 0)/VLOOKUP($B12, gdp_tot_mes!$B:$XFD, MATCH(gdp_ind_share!P$1, gdp_tot_mes!$B$1:$XFD$1, 0), 0)</f>
        <v>0.1250208933374394</v>
      </c>
      <c r="Q12" s="29">
        <f>VLOOKUP($B12, ind_mes!$B:$XFD, MATCH(gdp_ind_share!Q$1, ind_mes!$B$1:$XFD$1, 0), 0)/VLOOKUP($B12, gdp_tot_mes!$B:$XFD, MATCH(gdp_ind_share!Q$1, gdp_tot_mes!$B$1:$XFD$1, 0), 0)</f>
        <v>0.10183195945183682</v>
      </c>
      <c r="R12" s="29">
        <f>VLOOKUP($B12, ind_mes!$B:$XFD, MATCH(gdp_ind_share!R$1, ind_mes!$B$1:$XFD$1, 0), 0)/VLOOKUP($B12, gdp_tot_mes!$B:$XFD, MATCH(gdp_ind_share!R$1, gdp_tot_mes!$B$1:$XFD$1, 0), 0)</f>
        <v>0.11689479118770275</v>
      </c>
      <c r="S12" s="29">
        <f>VLOOKUP($B12, ind_mes!$B:$XFD, MATCH(gdp_ind_share!S$1, ind_mes!$B$1:$XFD$1, 0), 0)/VLOOKUP($B12, gdp_tot_mes!$B:$XFD, MATCH(gdp_ind_share!S$1, gdp_tot_mes!$B$1:$XFD$1, 0), 0)</f>
        <v>9.6423112199302496E-2</v>
      </c>
      <c r="T12" s="29">
        <f>VLOOKUP($B12, ind_mes!$B:$XFD, MATCH(gdp_ind_share!T$1, ind_mes!$B$1:$XFD$1, 0), 0)/VLOOKUP($B12, gdp_tot_mes!$B:$XFD, MATCH(gdp_ind_share!T$1, gdp_tot_mes!$B$1:$XFD$1, 0), 0)</f>
        <v>9.0170229308798852E-2</v>
      </c>
      <c r="U12" s="29">
        <f>VLOOKUP($B12, ind_mes!$B:$XFD, MATCH(gdp_ind_share!U$1, ind_mes!$B$1:$XFD$1, 0), 0)/VLOOKUP($B12, gdp_tot_mes!$B:$XFD, MATCH(gdp_ind_share!U$1, gdp_tot_mes!$B$1:$XFD$1, 0), 0)</f>
        <v>7.9478329553281324E-2</v>
      </c>
      <c r="V12" s="29">
        <f>VLOOKUP($B12, ind_mes!$B:$XFD, MATCH(gdp_ind_share!V$1, ind_mes!$B$1:$XFD$1, 0), 0)/VLOOKUP($B12, gdp_tot_mes!$B:$XFD, MATCH(gdp_ind_share!V$1, gdp_tot_mes!$B$1:$XFD$1, 0), 0)</f>
        <v>8.5640249737279919E-2</v>
      </c>
      <c r="W12" s="29">
        <f>VLOOKUP($B12, ind_mes!$B:$XFD, MATCH(gdp_ind_share!W$1, ind_mes!$B$1:$XFD$1, 0), 0)/VLOOKUP($B12, gdp_tot_mes!$B:$XFD, MATCH(gdp_ind_share!W$1, gdp_tot_mes!$B$1:$XFD$1, 0), 0)</f>
        <v>0.10230226735287901</v>
      </c>
      <c r="X12" s="29">
        <f>VLOOKUP($B12, ind_mes!$B:$XFD, MATCH(gdp_ind_share!X$1, ind_mes!$B$1:$XFD$1, 0), 0)/VLOOKUP($B12, gdp_tot_mes!$B:$XFD, MATCH(gdp_ind_share!X$1, gdp_tot_mes!$B$1:$XFD$1, 0), 0)</f>
        <v>7.0817859995674054E-2</v>
      </c>
      <c r="Y12" s="29">
        <f>VLOOKUP($B12, ind_mes!$B:$XFD, MATCH(gdp_ind_share!Y$1, ind_mes!$B$1:$XFD$1, 0), 0)/VLOOKUP($B12, gdp_tot_mes!$B:$XFD, MATCH(gdp_ind_share!Y$1, gdp_tot_mes!$B$1:$XFD$1, 0), 0)</f>
        <v>7.396102044518095E-2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25">
      <c r="A13" s="1" t="s">
        <v>49</v>
      </c>
      <c r="B13" s="1" t="s">
        <v>50</v>
      </c>
      <c r="C13" s="1" t="s">
        <v>51</v>
      </c>
      <c r="D13" s="29">
        <f>VLOOKUP($B13, ind_mes!$B:$XFD, MATCH(gdp_ind_share!D$1, ind_mes!$B$1:$XFD$1, 0), 0)/VLOOKUP($B13, gdp_tot_mes!$B:$XFD, MATCH(gdp_ind_share!D$1, gdp_tot_mes!$B$1:$XFD$1, 0), 0)</f>
        <v>0.24068219065400134</v>
      </c>
      <c r="E13" s="29">
        <f>VLOOKUP($B13, ind_mes!$B:$XFD, MATCH(gdp_ind_share!E$1, ind_mes!$B$1:$XFD$1, 0), 0)/VLOOKUP($B13, gdp_tot_mes!$B:$XFD, MATCH(gdp_ind_share!E$1, gdp_tot_mes!$B$1:$XFD$1, 0), 0)</f>
        <v>1.5401892746148036E-2</v>
      </c>
      <c r="F13" s="29">
        <f>VLOOKUP($B13, ind_mes!$B:$XFD, MATCH(gdp_ind_share!F$1, ind_mes!$B$1:$XFD$1, 0), 0)/VLOOKUP($B13, gdp_tot_mes!$B:$XFD, MATCH(gdp_ind_share!F$1, gdp_tot_mes!$B$1:$XFD$1, 0), 0)</f>
        <v>3.0280040757338471E-2</v>
      </c>
      <c r="G13" s="29">
        <f>VLOOKUP($B13, ind_mes!$B:$XFD, MATCH(gdp_ind_share!G$1, ind_mes!$B$1:$XFD$1, 0), 0)/VLOOKUP($B13, gdp_tot_mes!$B:$XFD, MATCH(gdp_ind_share!G$1, gdp_tot_mes!$B$1:$XFD$1, 0), 0)</f>
        <v>6.8094417391208348E-2</v>
      </c>
      <c r="H13" s="29">
        <f>VLOOKUP($B13, ind_mes!$B:$XFD, MATCH(gdp_ind_share!H$1, ind_mes!$B$1:$XFD$1, 0), 0)/VLOOKUP($B13, gdp_tot_mes!$B:$XFD, MATCH(gdp_ind_share!H$1, gdp_tot_mes!$B$1:$XFD$1, 0), 0)</f>
        <v>9.6367603134941554E-2</v>
      </c>
      <c r="I13" s="29">
        <f>VLOOKUP($B13, ind_mes!$B:$XFD, MATCH(gdp_ind_share!I$1, ind_mes!$B$1:$XFD$1, 0), 0)/VLOOKUP($B13, gdp_tot_mes!$B:$XFD, MATCH(gdp_ind_share!I$1, gdp_tot_mes!$B$1:$XFD$1, 0), 0)</f>
        <v>9.8850932519700688E-2</v>
      </c>
      <c r="J13" s="29">
        <f>VLOOKUP($B13, ind_mes!$B:$XFD, MATCH(gdp_ind_share!J$1, ind_mes!$B$1:$XFD$1, 0), 0)/VLOOKUP($B13, gdp_tot_mes!$B:$XFD, MATCH(gdp_ind_share!J$1, gdp_tot_mes!$B$1:$XFD$1, 0), 0)</f>
        <v>0.13779006570025074</v>
      </c>
      <c r="K13" s="29">
        <f>VLOOKUP($B13, ind_mes!$B:$XFD, MATCH(gdp_ind_share!K$1, ind_mes!$B$1:$XFD$1, 0), 0)/VLOOKUP($B13, gdp_tot_mes!$B:$XFD, MATCH(gdp_ind_share!K$1, gdp_tot_mes!$B$1:$XFD$1, 0), 0)</f>
        <v>0.15779017516642968</v>
      </c>
      <c r="L13" s="30">
        <f t="shared" si="0"/>
        <v>0.17847352618395382</v>
      </c>
      <c r="M13" s="29">
        <f>VLOOKUP($B13, ind_mes!$B:$XFD, MATCH(gdp_ind_share!M$1, ind_mes!$B$1:$XFD$1, 0), 0)/VLOOKUP($B13, gdp_tot_mes!$B:$XFD, MATCH(gdp_ind_share!M$1, gdp_tot_mes!$B$1:$XFD$1, 0), 0)</f>
        <v>0.20329354740498276</v>
      </c>
      <c r="N13" s="29">
        <f>VLOOKUP($B13, ind_mes!$B:$XFD, MATCH(gdp_ind_share!N$1, ind_mes!$B$1:$XFD$1, 0), 0)/VLOOKUP($B13, gdp_tot_mes!$B:$XFD, MATCH(gdp_ind_share!N$1, gdp_tot_mes!$B$1:$XFD$1, 0), 0)</f>
        <v>0.14347721848209594</v>
      </c>
      <c r="O13" s="29">
        <f>VLOOKUP($B13, ind_mes!$B:$XFD, MATCH(gdp_ind_share!O$1, ind_mes!$B$1:$XFD$1, 0), 0)/VLOOKUP($B13, gdp_tot_mes!$B:$XFD, MATCH(gdp_ind_share!O$1, gdp_tot_mes!$B$1:$XFD$1, 0), 0)</f>
        <v>0.13021591582958336</v>
      </c>
      <c r="P13" s="29">
        <f>VLOOKUP($B13, ind_mes!$B:$XFD, MATCH(gdp_ind_share!P$1, ind_mes!$B$1:$XFD$1, 0), 0)/VLOOKUP($B13, gdp_tot_mes!$B:$XFD, MATCH(gdp_ind_share!P$1, gdp_tot_mes!$B$1:$XFD$1, 0), 0)</f>
        <v>0.12084139532849951</v>
      </c>
      <c r="Q13" s="29">
        <f>VLOOKUP($B13, ind_mes!$B:$XFD, MATCH(gdp_ind_share!Q$1, ind_mes!$B$1:$XFD$1, 0), 0)/VLOOKUP($B13, gdp_tot_mes!$B:$XFD, MATCH(gdp_ind_share!Q$1, gdp_tot_mes!$B$1:$XFD$1, 0), 0)</f>
        <v>0.12676517319341488</v>
      </c>
      <c r="R13" s="29">
        <f>VLOOKUP($B13, ind_mes!$B:$XFD, MATCH(gdp_ind_share!R$1, ind_mes!$B$1:$XFD$1, 0), 0)/VLOOKUP($B13, gdp_tot_mes!$B:$XFD, MATCH(gdp_ind_share!R$1, gdp_tot_mes!$B$1:$XFD$1, 0), 0)</f>
        <v>0.1088009988445388</v>
      </c>
      <c r="S13" s="29">
        <f>VLOOKUP($B13, ind_mes!$B:$XFD, MATCH(gdp_ind_share!S$1, ind_mes!$B$1:$XFD$1, 0), 0)/VLOOKUP($B13, gdp_tot_mes!$B:$XFD, MATCH(gdp_ind_share!S$1, gdp_tot_mes!$B$1:$XFD$1, 0), 0)</f>
        <v>0.11821110841686464</v>
      </c>
      <c r="T13" s="29">
        <f>VLOOKUP($B13, ind_mes!$B:$XFD, MATCH(gdp_ind_share!T$1, ind_mes!$B$1:$XFD$1, 0), 0)/VLOOKUP($B13, gdp_tot_mes!$B:$XFD, MATCH(gdp_ind_share!T$1, gdp_tot_mes!$B$1:$XFD$1, 0), 0)</f>
        <v>0.10272972981622695</v>
      </c>
      <c r="U13" s="29">
        <f>VLOOKUP($B13, ind_mes!$B:$XFD, MATCH(gdp_ind_share!U$1, ind_mes!$B$1:$XFD$1, 0), 0)/VLOOKUP($B13, gdp_tot_mes!$B:$XFD, MATCH(gdp_ind_share!U$1, gdp_tot_mes!$B$1:$XFD$1, 0), 0)</f>
        <v>0.12146701224945917</v>
      </c>
      <c r="V13" s="29">
        <f>VLOOKUP($B13, ind_mes!$B:$XFD, MATCH(gdp_ind_share!V$1, ind_mes!$B$1:$XFD$1, 0), 0)/VLOOKUP($B13, gdp_tot_mes!$B:$XFD, MATCH(gdp_ind_share!V$1, gdp_tot_mes!$B$1:$XFD$1, 0), 0)</f>
        <v>9.5823239702185106E-2</v>
      </c>
      <c r="W13" s="29">
        <f>VLOOKUP($B13, ind_mes!$B:$XFD, MATCH(gdp_ind_share!W$1, ind_mes!$B$1:$XFD$1, 0), 0)/VLOOKUP($B13, gdp_tot_mes!$B:$XFD, MATCH(gdp_ind_share!W$1, gdp_tot_mes!$B$1:$XFD$1, 0), 0)</f>
        <v>0.10738440735311826</v>
      </c>
      <c r="X13" s="29">
        <f>VLOOKUP($B13, ind_mes!$B:$XFD, MATCH(gdp_ind_share!X$1, ind_mes!$B$1:$XFD$1, 0), 0)/VLOOKUP($B13, gdp_tot_mes!$B:$XFD, MATCH(gdp_ind_share!X$1, gdp_tot_mes!$B$1:$XFD$1, 0), 0)</f>
        <v>9.3764404333039897E-2</v>
      </c>
      <c r="Y13" s="29">
        <f>VLOOKUP($B13, ind_mes!$B:$XFD, MATCH(gdp_ind_share!Y$1, ind_mes!$B$1:$XFD$1, 0), 0)/VLOOKUP($B13, gdp_tot_mes!$B:$XFD, MATCH(gdp_ind_share!Y$1, gdp_tot_mes!$B$1:$XFD$1, 0), 0)</f>
        <v>0.12158273638998167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5">
      <c r="A14" s="1" t="s">
        <v>49</v>
      </c>
      <c r="B14" s="1" t="s">
        <v>52</v>
      </c>
      <c r="C14" s="1" t="s">
        <v>53</v>
      </c>
      <c r="D14" s="29">
        <f>VLOOKUP($B14, ind_mes!$B:$XFD, MATCH(gdp_ind_share!D$1, ind_mes!$B$1:$XFD$1, 0), 0)/VLOOKUP($B14, gdp_tot_mes!$B:$XFD, MATCH(gdp_ind_share!D$1, gdp_tot_mes!$B$1:$XFD$1, 0), 0)</f>
        <v>0.13616163149818514</v>
      </c>
      <c r="E14" s="29">
        <f>VLOOKUP($B14, ind_mes!$B:$XFD, MATCH(gdp_ind_share!E$1, ind_mes!$B$1:$XFD$1, 0), 0)/VLOOKUP($B14, gdp_tot_mes!$B:$XFD, MATCH(gdp_ind_share!E$1, gdp_tot_mes!$B$1:$XFD$1, 0), 0)</f>
        <v>1.2171827277444586E-2</v>
      </c>
      <c r="F14" s="29">
        <f>VLOOKUP($B14, ind_mes!$B:$XFD, MATCH(gdp_ind_share!F$1, ind_mes!$B$1:$XFD$1, 0), 0)/VLOOKUP($B14, gdp_tot_mes!$B:$XFD, MATCH(gdp_ind_share!F$1, gdp_tot_mes!$B$1:$XFD$1, 0), 0)</f>
        <v>2.7679004690987167E-2</v>
      </c>
      <c r="G14" s="29">
        <f>VLOOKUP($B14, ind_mes!$B:$XFD, MATCH(gdp_ind_share!G$1, ind_mes!$B$1:$XFD$1, 0), 0)/VLOOKUP($B14, gdp_tot_mes!$B:$XFD, MATCH(gdp_ind_share!G$1, gdp_tot_mes!$B$1:$XFD$1, 0), 0)</f>
        <v>6.0254842665247103E-2</v>
      </c>
      <c r="H14" s="29">
        <f>VLOOKUP($B14, ind_mes!$B:$XFD, MATCH(gdp_ind_share!H$1, ind_mes!$B$1:$XFD$1, 0), 0)/VLOOKUP($B14, gdp_tot_mes!$B:$XFD, MATCH(gdp_ind_share!H$1, gdp_tot_mes!$B$1:$XFD$1, 0), 0)</f>
        <v>0.16709347496690496</v>
      </c>
      <c r="I14" s="29">
        <f>VLOOKUP($B14, ind_mes!$B:$XFD, MATCH(gdp_ind_share!I$1, ind_mes!$B$1:$XFD$1, 0), 0)/VLOOKUP($B14, gdp_tot_mes!$B:$XFD, MATCH(gdp_ind_share!I$1, gdp_tot_mes!$B$1:$XFD$1, 0), 0)</f>
        <v>0.17947054049994587</v>
      </c>
      <c r="J14" s="29">
        <f>VLOOKUP($B14, ind_mes!$B:$XFD, MATCH(gdp_ind_share!J$1, ind_mes!$B$1:$XFD$1, 0), 0)/VLOOKUP($B14, gdp_tot_mes!$B:$XFD, MATCH(gdp_ind_share!J$1, gdp_tot_mes!$B$1:$XFD$1, 0), 0)</f>
        <v>0.21654400133745735</v>
      </c>
      <c r="K14" s="29">
        <f>VLOOKUP($B14, ind_mes!$B:$XFD, MATCH(gdp_ind_share!K$1, ind_mes!$B$1:$XFD$1, 0), 0)/VLOOKUP($B14, gdp_tot_mes!$B:$XFD, MATCH(gdp_ind_share!K$1, gdp_tot_mes!$B$1:$XFD$1, 0), 0)</f>
        <v>0.2858156948338203</v>
      </c>
      <c r="L14" s="30">
        <f t="shared" si="0"/>
        <v>0.20218123505493069</v>
      </c>
      <c r="M14" s="29">
        <f>VLOOKUP($B14, ind_mes!$B:$XFD, MATCH(gdp_ind_share!M$1, ind_mes!$B$1:$XFD$1, 0), 0)/VLOOKUP($B14, gdp_tot_mes!$B:$XFD, MATCH(gdp_ind_share!M$1, gdp_tot_mes!$B$1:$XFD$1, 0), 0)</f>
        <v>0.10181988332026315</v>
      </c>
      <c r="N14" s="29">
        <f>VLOOKUP($B14, ind_mes!$B:$XFD, MATCH(gdp_ind_share!N$1, ind_mes!$B$1:$XFD$1, 0), 0)/VLOOKUP($B14, gdp_tot_mes!$B:$XFD, MATCH(gdp_ind_share!N$1, gdp_tot_mes!$B$1:$XFD$1, 0), 0)</f>
        <v>0.40728809401634497</v>
      </c>
      <c r="O14" s="29">
        <f>VLOOKUP($B14, ind_mes!$B:$XFD, MATCH(gdp_ind_share!O$1, ind_mes!$B$1:$XFD$1, 0), 0)/VLOOKUP($B14, gdp_tot_mes!$B:$XFD, MATCH(gdp_ind_share!O$1, gdp_tot_mes!$B$1:$XFD$1, 0), 0)</f>
        <v>0.41435932886760196</v>
      </c>
      <c r="P14" s="29">
        <f>VLOOKUP($B14, ind_mes!$B:$XFD, MATCH(gdp_ind_share!P$1, ind_mes!$B$1:$XFD$1, 0), 0)/VLOOKUP($B14, gdp_tot_mes!$B:$XFD, MATCH(gdp_ind_share!P$1, gdp_tot_mes!$B$1:$XFD$1, 0), 0)</f>
        <v>0.28952857301547291</v>
      </c>
      <c r="Q14" s="29">
        <f>VLOOKUP($B14, ind_mes!$B:$XFD, MATCH(gdp_ind_share!Q$1, ind_mes!$B$1:$XFD$1, 0), 0)/VLOOKUP($B14, gdp_tot_mes!$B:$XFD, MATCH(gdp_ind_share!Q$1, gdp_tot_mes!$B$1:$XFD$1, 0), 0)</f>
        <v>0.37360298521746177</v>
      </c>
      <c r="R14" s="29">
        <f>VLOOKUP($B14, ind_mes!$B:$XFD, MATCH(gdp_ind_share!R$1, ind_mes!$B$1:$XFD$1, 0), 0)/VLOOKUP($B14, gdp_tot_mes!$B:$XFD, MATCH(gdp_ind_share!R$1, gdp_tot_mes!$B$1:$XFD$1, 0), 0)</f>
        <v>0.37461958704873688</v>
      </c>
      <c r="S14" s="29">
        <f>VLOOKUP($B14, ind_mes!$B:$XFD, MATCH(gdp_ind_share!S$1, ind_mes!$B$1:$XFD$1, 0), 0)/VLOOKUP($B14, gdp_tot_mes!$B:$XFD, MATCH(gdp_ind_share!S$1, gdp_tot_mes!$B$1:$XFD$1, 0), 0)</f>
        <v>0.34185822736888688</v>
      </c>
      <c r="T14" s="29">
        <f>VLOOKUP($B14, ind_mes!$B:$XFD, MATCH(gdp_ind_share!T$1, ind_mes!$B$1:$XFD$1, 0), 0)/VLOOKUP($B14, gdp_tot_mes!$B:$XFD, MATCH(gdp_ind_share!T$1, gdp_tot_mes!$B$1:$XFD$1, 0), 0)</f>
        <v>0.2836007754633123</v>
      </c>
      <c r="U14" s="29">
        <f>VLOOKUP($B14, ind_mes!$B:$XFD, MATCH(gdp_ind_share!U$1, ind_mes!$B$1:$XFD$1, 0), 0)/VLOOKUP($B14, gdp_tot_mes!$B:$XFD, MATCH(gdp_ind_share!U$1, gdp_tot_mes!$B$1:$XFD$1, 0), 0)</f>
        <v>0.29487607841112046</v>
      </c>
      <c r="V14" s="29">
        <f>VLOOKUP($B14, ind_mes!$B:$XFD, MATCH(gdp_ind_share!V$1, ind_mes!$B$1:$XFD$1, 0), 0)/VLOOKUP($B14, gdp_tot_mes!$B:$XFD, MATCH(gdp_ind_share!V$1, gdp_tot_mes!$B$1:$XFD$1, 0), 0)</f>
        <v>0.32827621037175542</v>
      </c>
      <c r="W14" s="29">
        <f>VLOOKUP($B14, ind_mes!$B:$XFD, MATCH(gdp_ind_share!W$1, ind_mes!$B$1:$XFD$1, 0), 0)/VLOOKUP($B14, gdp_tot_mes!$B:$XFD, MATCH(gdp_ind_share!W$1, gdp_tot_mes!$B$1:$XFD$1, 0), 0)</f>
        <v>0.39981295276867374</v>
      </c>
      <c r="X14" s="29">
        <f>VLOOKUP($B14, ind_mes!$B:$XFD, MATCH(gdp_ind_share!X$1, ind_mes!$B$1:$XFD$1, 0), 0)/VLOOKUP($B14, gdp_tot_mes!$B:$XFD, MATCH(gdp_ind_share!X$1, gdp_tot_mes!$B$1:$XFD$1, 0), 0)</f>
        <v>0.22495021046852112</v>
      </c>
      <c r="Y14" s="29">
        <f>VLOOKUP($B14, ind_mes!$B:$XFD, MATCH(gdp_ind_share!Y$1, ind_mes!$B$1:$XFD$1, 0), 0)/VLOOKUP($B14, gdp_tot_mes!$B:$XFD, MATCH(gdp_ind_share!Y$1, gdp_tot_mes!$B$1:$XFD$1, 0), 0)</f>
        <v>0.28991584732833403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25">
      <c r="A15" s="1" t="s">
        <v>49</v>
      </c>
      <c r="B15" s="1" t="s">
        <v>54</v>
      </c>
      <c r="C15" s="1" t="s">
        <v>55</v>
      </c>
      <c r="D15" s="29">
        <f>VLOOKUP($B15, ind_mes!$B:$XFD, MATCH(gdp_ind_share!D$1, ind_mes!$B$1:$XFD$1, 0), 0)/VLOOKUP($B15, gdp_tot_mes!$B:$XFD, MATCH(gdp_ind_share!D$1, gdp_tot_mes!$B$1:$XFD$1, 0), 0)</f>
        <v>5.3628315923567954E-2</v>
      </c>
      <c r="E15" s="29">
        <f>VLOOKUP($B15, ind_mes!$B:$XFD, MATCH(gdp_ind_share!E$1, ind_mes!$B$1:$XFD$1, 0), 0)/VLOOKUP($B15, gdp_tot_mes!$B:$XFD, MATCH(gdp_ind_share!E$1, gdp_tot_mes!$B$1:$XFD$1, 0), 0)</f>
        <v>7.6639769874095279E-2</v>
      </c>
      <c r="F15" s="29">
        <f>VLOOKUP($B15, ind_mes!$B:$XFD, MATCH(gdp_ind_share!F$1, ind_mes!$B$1:$XFD$1, 0), 0)/VLOOKUP($B15, gdp_tot_mes!$B:$XFD, MATCH(gdp_ind_share!F$1, gdp_tot_mes!$B$1:$XFD$1, 0), 0)</f>
        <v>4.6100425347583428E-2</v>
      </c>
      <c r="G15" s="29">
        <f>VLOOKUP($B15, ind_mes!$B:$XFD, MATCH(gdp_ind_share!G$1, ind_mes!$B$1:$XFD$1, 0), 0)/VLOOKUP($B15, gdp_tot_mes!$B:$XFD, MATCH(gdp_ind_share!G$1, gdp_tot_mes!$B$1:$XFD$1, 0), 0)</f>
        <v>0.12650901514168428</v>
      </c>
      <c r="H15" s="29">
        <f>VLOOKUP($B15, ind_mes!$B:$XFD, MATCH(gdp_ind_share!H$1, ind_mes!$B$1:$XFD$1, 0), 0)/VLOOKUP($B15, gdp_tot_mes!$B:$XFD, MATCH(gdp_ind_share!H$1, gdp_tot_mes!$B$1:$XFD$1, 0), 0)</f>
        <v>0.14061617287286846</v>
      </c>
      <c r="I15" s="29">
        <f>VLOOKUP($B15, ind_mes!$B:$XFD, MATCH(gdp_ind_share!I$1, ind_mes!$B$1:$XFD$1, 0), 0)/VLOOKUP($B15, gdp_tot_mes!$B:$XFD, MATCH(gdp_ind_share!I$1, gdp_tot_mes!$B$1:$XFD$1, 0), 0)</f>
        <v>0.22528066064658581</v>
      </c>
      <c r="J15" s="29">
        <f>VLOOKUP($B15, ind_mes!$B:$XFD, MATCH(gdp_ind_share!J$1, ind_mes!$B$1:$XFD$1, 0), 0)/VLOOKUP($B15, gdp_tot_mes!$B:$XFD, MATCH(gdp_ind_share!J$1, gdp_tot_mes!$B$1:$XFD$1, 0), 0)</f>
        <v>0.24642766347820497</v>
      </c>
      <c r="K15" s="29">
        <f>VLOOKUP($B15, ind_mes!$B:$XFD, MATCH(gdp_ind_share!K$1, ind_mes!$B$1:$XFD$1, 0), 0)/VLOOKUP($B15, gdp_tot_mes!$B:$XFD, MATCH(gdp_ind_share!K$1, gdp_tot_mes!$B$1:$XFD$1, 0), 0)</f>
        <v>0.33455857055413557</v>
      </c>
      <c r="L15" s="30">
        <f t="shared" si="0"/>
        <v>0.27546064835578088</v>
      </c>
      <c r="M15" s="29">
        <f>VLOOKUP($B15, ind_mes!$B:$XFD, MATCH(gdp_ind_share!M$1, ind_mes!$B$1:$XFD$1, 0), 0)/VLOOKUP($B15, gdp_tot_mes!$B:$XFD, MATCH(gdp_ind_share!M$1, gdp_tot_mes!$B$1:$XFD$1, 0), 0)</f>
        <v>0.20454314171775526</v>
      </c>
      <c r="N15" s="29">
        <f>VLOOKUP($B15, ind_mes!$B:$XFD, MATCH(gdp_ind_share!N$1, ind_mes!$B$1:$XFD$1, 0), 0)/VLOOKUP($B15, gdp_tot_mes!$B:$XFD, MATCH(gdp_ind_share!N$1, gdp_tot_mes!$B$1:$XFD$1, 0), 0)</f>
        <v>0.14679396320152843</v>
      </c>
      <c r="O15" s="29">
        <f>VLOOKUP($B15, ind_mes!$B:$XFD, MATCH(gdp_ind_share!O$1, ind_mes!$B$1:$XFD$1, 0), 0)/VLOOKUP($B15, gdp_tot_mes!$B:$XFD, MATCH(gdp_ind_share!O$1, gdp_tot_mes!$B$1:$XFD$1, 0), 0)</f>
        <v>0.1444092744232634</v>
      </c>
      <c r="P15" s="29">
        <f>VLOOKUP($B15, ind_mes!$B:$XFD, MATCH(gdp_ind_share!P$1, ind_mes!$B$1:$XFD$1, 0), 0)/VLOOKUP($B15, gdp_tot_mes!$B:$XFD, MATCH(gdp_ind_share!P$1, gdp_tot_mes!$B$1:$XFD$1, 0), 0)</f>
        <v>0.14405494160804155</v>
      </c>
      <c r="Q15" s="29">
        <f>VLOOKUP($B15, ind_mes!$B:$XFD, MATCH(gdp_ind_share!Q$1, ind_mes!$B$1:$XFD$1, 0), 0)/VLOOKUP($B15, gdp_tot_mes!$B:$XFD, MATCH(gdp_ind_share!Q$1, gdp_tot_mes!$B$1:$XFD$1, 0), 0)</f>
        <v>0.13478220644147521</v>
      </c>
      <c r="R15" s="29">
        <f>VLOOKUP($B15, ind_mes!$B:$XFD, MATCH(gdp_ind_share!R$1, ind_mes!$B$1:$XFD$1, 0), 0)/VLOOKUP($B15, gdp_tot_mes!$B:$XFD, MATCH(gdp_ind_share!R$1, gdp_tot_mes!$B$1:$XFD$1, 0), 0)</f>
        <v>0.125637174275984</v>
      </c>
      <c r="S15" s="29">
        <f>VLOOKUP($B15, ind_mes!$B:$XFD, MATCH(gdp_ind_share!S$1, ind_mes!$B$1:$XFD$1, 0), 0)/VLOOKUP($B15, gdp_tot_mes!$B:$XFD, MATCH(gdp_ind_share!S$1, gdp_tot_mes!$B$1:$XFD$1, 0), 0)</f>
        <v>0.15819028100365576</v>
      </c>
      <c r="T15" s="29">
        <f>VLOOKUP($B15, ind_mes!$B:$XFD, MATCH(gdp_ind_share!T$1, ind_mes!$B$1:$XFD$1, 0), 0)/VLOOKUP($B15, gdp_tot_mes!$B:$XFD, MATCH(gdp_ind_share!T$1, gdp_tot_mes!$B$1:$XFD$1, 0), 0)</f>
        <v>0.14682962449466452</v>
      </c>
      <c r="U15" s="29">
        <f>VLOOKUP($B15, ind_mes!$B:$XFD, MATCH(gdp_ind_share!U$1, ind_mes!$B$1:$XFD$1, 0), 0)/VLOOKUP($B15, gdp_tot_mes!$B:$XFD, MATCH(gdp_ind_share!U$1, gdp_tot_mes!$B$1:$XFD$1, 0), 0)</f>
        <v>0.1590498691401418</v>
      </c>
      <c r="V15" s="29">
        <f>VLOOKUP($B15, ind_mes!$B:$XFD, MATCH(gdp_ind_share!V$1, ind_mes!$B$1:$XFD$1, 0), 0)/VLOOKUP($B15, gdp_tot_mes!$B:$XFD, MATCH(gdp_ind_share!V$1, gdp_tot_mes!$B$1:$XFD$1, 0), 0)</f>
        <v>0.12242731228057262</v>
      </c>
      <c r="W15" s="29">
        <f>VLOOKUP($B15, ind_mes!$B:$XFD, MATCH(gdp_ind_share!W$1, ind_mes!$B$1:$XFD$1, 0), 0)/VLOOKUP($B15, gdp_tot_mes!$B:$XFD, MATCH(gdp_ind_share!W$1, gdp_tot_mes!$B$1:$XFD$1, 0), 0)</f>
        <v>0.15003922199334319</v>
      </c>
      <c r="X15" s="29">
        <f>VLOOKUP($B15, ind_mes!$B:$XFD, MATCH(gdp_ind_share!X$1, ind_mes!$B$1:$XFD$1, 0), 0)/VLOOKUP($B15, gdp_tot_mes!$B:$XFD, MATCH(gdp_ind_share!X$1, gdp_tot_mes!$B$1:$XFD$1, 0), 0)</f>
        <v>0.17243368555791452</v>
      </c>
      <c r="Y15" s="29">
        <f>VLOOKUP($B15, ind_mes!$B:$XFD, MATCH(gdp_ind_share!Y$1, ind_mes!$B$1:$XFD$1, 0), 0)/VLOOKUP($B15, gdp_tot_mes!$B:$XFD, MATCH(gdp_ind_share!Y$1, gdp_tot_mes!$B$1:$XFD$1, 0), 0)</f>
        <v>0.19511882827950786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25">
      <c r="A16" s="1" t="s">
        <v>49</v>
      </c>
      <c r="B16" s="1" t="s">
        <v>56</v>
      </c>
      <c r="C16" s="1" t="s">
        <v>57</v>
      </c>
      <c r="D16" s="29">
        <f>VLOOKUP($B16, ind_mes!$B:$XFD, MATCH(gdp_ind_share!D$1, ind_mes!$B$1:$XFD$1, 0), 0)/VLOOKUP($B16, gdp_tot_mes!$B:$XFD, MATCH(gdp_ind_share!D$1, gdp_tot_mes!$B$1:$XFD$1, 0), 0)</f>
        <v>6.3309067110336834E-2</v>
      </c>
      <c r="E16" s="29">
        <f>VLOOKUP($B16, ind_mes!$B:$XFD, MATCH(gdp_ind_share!E$1, ind_mes!$B$1:$XFD$1, 0), 0)/VLOOKUP($B16, gdp_tot_mes!$B:$XFD, MATCH(gdp_ind_share!E$1, gdp_tot_mes!$B$1:$XFD$1, 0), 0)</f>
        <v>8.9179641203925894E-2</v>
      </c>
      <c r="F16" s="29">
        <f>VLOOKUP($B16, ind_mes!$B:$XFD, MATCH(gdp_ind_share!F$1, ind_mes!$B$1:$XFD$1, 0), 0)/VLOOKUP($B16, gdp_tot_mes!$B:$XFD, MATCH(gdp_ind_share!F$1, gdp_tot_mes!$B$1:$XFD$1, 0), 0)</f>
        <v>7.3613724730489188E-2</v>
      </c>
      <c r="G16" s="29">
        <f>VLOOKUP($B16, ind_mes!$B:$XFD, MATCH(gdp_ind_share!G$1, ind_mes!$B$1:$XFD$1, 0), 0)/VLOOKUP($B16, gdp_tot_mes!$B:$XFD, MATCH(gdp_ind_share!G$1, gdp_tot_mes!$B$1:$XFD$1, 0), 0)</f>
        <v>0.21751440382142201</v>
      </c>
      <c r="H16" s="29">
        <f>VLOOKUP($B16, ind_mes!$B:$XFD, MATCH(gdp_ind_share!H$1, ind_mes!$B$1:$XFD$1, 0), 0)/VLOOKUP($B16, gdp_tot_mes!$B:$XFD, MATCH(gdp_ind_share!H$1, gdp_tot_mes!$B$1:$XFD$1, 0), 0)</f>
        <v>0.11582598558658928</v>
      </c>
      <c r="I16" s="29">
        <f>VLOOKUP($B16, ind_mes!$B:$XFD, MATCH(gdp_ind_share!I$1, ind_mes!$B$1:$XFD$1, 0), 0)/VLOOKUP($B16, gdp_tot_mes!$B:$XFD, MATCH(gdp_ind_share!I$1, gdp_tot_mes!$B$1:$XFD$1, 0), 0)</f>
        <v>0.14502096911577061</v>
      </c>
      <c r="J16" s="29">
        <f>VLOOKUP($B16, ind_mes!$B:$XFD, MATCH(gdp_ind_share!J$1, ind_mes!$B$1:$XFD$1, 0), 0)/VLOOKUP($B16, gdp_tot_mes!$B:$XFD, MATCH(gdp_ind_share!J$1, gdp_tot_mes!$B$1:$XFD$1, 0), 0)</f>
        <v>0.19198443388765274</v>
      </c>
      <c r="K16" s="29">
        <f>VLOOKUP($B16, ind_mes!$B:$XFD, MATCH(gdp_ind_share!K$1, ind_mes!$B$1:$XFD$1, 0), 0)/VLOOKUP($B16, gdp_tot_mes!$B:$XFD, MATCH(gdp_ind_share!K$1, gdp_tot_mes!$B$1:$XFD$1, 0), 0)</f>
        <v>0.19024237713606357</v>
      </c>
      <c r="L16" s="30">
        <f t="shared" si="0"/>
        <v>0.1806969736218991</v>
      </c>
      <c r="M16" s="29">
        <f>VLOOKUP($B16, ind_mes!$B:$XFD, MATCH(gdp_ind_share!M$1, ind_mes!$B$1:$XFD$1, 0), 0)/VLOOKUP($B16, gdp_tot_mes!$B:$XFD, MATCH(gdp_ind_share!M$1, gdp_tot_mes!$B$1:$XFD$1, 0), 0)</f>
        <v>0.16924248940490172</v>
      </c>
      <c r="N16" s="29">
        <f>VLOOKUP($B16, ind_mes!$B:$XFD, MATCH(gdp_ind_share!N$1, ind_mes!$B$1:$XFD$1, 0), 0)/VLOOKUP($B16, gdp_tot_mes!$B:$XFD, MATCH(gdp_ind_share!N$1, gdp_tot_mes!$B$1:$XFD$1, 0), 0)</f>
        <v>0.17199075278594744</v>
      </c>
      <c r="O16" s="29">
        <f>VLOOKUP($B16, ind_mes!$B:$XFD, MATCH(gdp_ind_share!O$1, ind_mes!$B$1:$XFD$1, 0), 0)/VLOOKUP($B16, gdp_tot_mes!$B:$XFD, MATCH(gdp_ind_share!O$1, gdp_tot_mes!$B$1:$XFD$1, 0), 0)</f>
        <v>0.16413400496193997</v>
      </c>
      <c r="P16" s="29">
        <f>VLOOKUP($B16, ind_mes!$B:$XFD, MATCH(gdp_ind_share!P$1, ind_mes!$B$1:$XFD$1, 0), 0)/VLOOKUP($B16, gdp_tot_mes!$B:$XFD, MATCH(gdp_ind_share!P$1, gdp_tot_mes!$B$1:$XFD$1, 0), 0)</f>
        <v>0.19260319548637506</v>
      </c>
      <c r="Q16" s="29">
        <f>VLOOKUP($B16, ind_mes!$B:$XFD, MATCH(gdp_ind_share!Q$1, ind_mes!$B$1:$XFD$1, 0), 0)/VLOOKUP($B16, gdp_tot_mes!$B:$XFD, MATCH(gdp_ind_share!Q$1, gdp_tot_mes!$B$1:$XFD$1, 0), 0)</f>
        <v>0.18656472391042073</v>
      </c>
      <c r="R16" s="29">
        <f>VLOOKUP($B16, ind_mes!$B:$XFD, MATCH(gdp_ind_share!R$1, ind_mes!$B$1:$XFD$1, 0), 0)/VLOOKUP($B16, gdp_tot_mes!$B:$XFD, MATCH(gdp_ind_share!R$1, gdp_tot_mes!$B$1:$XFD$1, 0), 0)</f>
        <v>0.1922964667257325</v>
      </c>
      <c r="S16" s="29">
        <f>VLOOKUP($B16, ind_mes!$B:$XFD, MATCH(gdp_ind_share!S$1, ind_mes!$B$1:$XFD$1, 0), 0)/VLOOKUP($B16, gdp_tot_mes!$B:$XFD, MATCH(gdp_ind_share!S$1, gdp_tot_mes!$B$1:$XFD$1, 0), 0)</f>
        <v>0.22933589150740144</v>
      </c>
      <c r="T16" s="29">
        <f>VLOOKUP($B16, ind_mes!$B:$XFD, MATCH(gdp_ind_share!T$1, ind_mes!$B$1:$XFD$1, 0), 0)/VLOOKUP($B16, gdp_tot_mes!$B:$XFD, MATCH(gdp_ind_share!T$1, gdp_tot_mes!$B$1:$XFD$1, 0), 0)</f>
        <v>0.23609399458553046</v>
      </c>
      <c r="U16" s="29">
        <f>VLOOKUP($B16, ind_mes!$B:$XFD, MATCH(gdp_ind_share!U$1, ind_mes!$B$1:$XFD$1, 0), 0)/VLOOKUP($B16, gdp_tot_mes!$B:$XFD, MATCH(gdp_ind_share!U$1, gdp_tot_mes!$B$1:$XFD$1, 0), 0)</f>
        <v>0.24885895128775884</v>
      </c>
      <c r="V16" s="29">
        <f>VLOOKUP($B16, ind_mes!$B:$XFD, MATCH(gdp_ind_share!V$1, ind_mes!$B$1:$XFD$1, 0), 0)/VLOOKUP($B16, gdp_tot_mes!$B:$XFD, MATCH(gdp_ind_share!V$1, gdp_tot_mes!$B$1:$XFD$1, 0), 0)</f>
        <v>0.21628912754022869</v>
      </c>
      <c r="W16" s="29">
        <f>VLOOKUP($B16, ind_mes!$B:$XFD, MATCH(gdp_ind_share!W$1, ind_mes!$B$1:$XFD$1, 0), 0)/VLOOKUP($B16, gdp_tot_mes!$B:$XFD, MATCH(gdp_ind_share!W$1, gdp_tot_mes!$B$1:$XFD$1, 0), 0)</f>
        <v>0.24068376403698208</v>
      </c>
      <c r="X16" s="29">
        <f>VLOOKUP($B16, ind_mes!$B:$XFD, MATCH(gdp_ind_share!X$1, ind_mes!$B$1:$XFD$1, 0), 0)/VLOOKUP($B16, gdp_tot_mes!$B:$XFD, MATCH(gdp_ind_share!X$1, gdp_tot_mes!$B$1:$XFD$1, 0), 0)</f>
        <v>0.16348194102457983</v>
      </c>
      <c r="Y16" s="29">
        <f>VLOOKUP($B16, ind_mes!$B:$XFD, MATCH(gdp_ind_share!Y$1, ind_mes!$B$1:$XFD$1, 0), 0)/VLOOKUP($B16, gdp_tot_mes!$B:$XFD, MATCH(gdp_ind_share!Y$1, gdp_tot_mes!$B$1:$XFD$1, 0), 0)</f>
        <v>0.20842768996679262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25">
      <c r="A17" s="1" t="s">
        <v>49</v>
      </c>
      <c r="B17" s="1" t="s">
        <v>58</v>
      </c>
      <c r="C17" s="1" t="s">
        <v>59</v>
      </c>
      <c r="D17" s="29">
        <f>VLOOKUP($B17, ind_mes!$B:$XFD, MATCH(gdp_ind_share!D$1, ind_mes!$B$1:$XFD$1, 0), 0)/VLOOKUP($B17, gdp_tot_mes!$B:$XFD, MATCH(gdp_ind_share!D$1, gdp_tot_mes!$B$1:$XFD$1, 0), 0)</f>
        <v>0.11742612114338043</v>
      </c>
      <c r="E17" s="29">
        <f>VLOOKUP($B17, ind_mes!$B:$XFD, MATCH(gdp_ind_share!E$1, ind_mes!$B$1:$XFD$1, 0), 0)/VLOOKUP($B17, gdp_tot_mes!$B:$XFD, MATCH(gdp_ind_share!E$1, gdp_tot_mes!$B$1:$XFD$1, 0), 0)</f>
        <v>0.18660773195137104</v>
      </c>
      <c r="F17" s="29">
        <f>VLOOKUP($B17, ind_mes!$B:$XFD, MATCH(gdp_ind_share!F$1, ind_mes!$B$1:$XFD$1, 0), 0)/VLOOKUP($B17, gdp_tot_mes!$B:$XFD, MATCH(gdp_ind_share!F$1, gdp_tot_mes!$B$1:$XFD$1, 0), 0)</f>
        <v>0.2076903651661535</v>
      </c>
      <c r="G17" s="29">
        <f>VLOOKUP($B17, ind_mes!$B:$XFD, MATCH(gdp_ind_share!G$1, ind_mes!$B$1:$XFD$1, 0), 0)/VLOOKUP($B17, gdp_tot_mes!$B:$XFD, MATCH(gdp_ind_share!G$1, gdp_tot_mes!$B$1:$XFD$1, 0), 0)</f>
        <v>0.34179162334208002</v>
      </c>
      <c r="H17" s="29">
        <f>VLOOKUP($B17, ind_mes!$B:$XFD, MATCH(gdp_ind_share!H$1, ind_mes!$B$1:$XFD$1, 0), 0)/VLOOKUP($B17, gdp_tot_mes!$B:$XFD, MATCH(gdp_ind_share!H$1, gdp_tot_mes!$B$1:$XFD$1, 0), 0)</f>
        <v>0.38204807757217157</v>
      </c>
      <c r="I17" s="29">
        <f>VLOOKUP($B17, ind_mes!$B:$XFD, MATCH(gdp_ind_share!I$1, ind_mes!$B$1:$XFD$1, 0), 0)/VLOOKUP($B17, gdp_tot_mes!$B:$XFD, MATCH(gdp_ind_share!I$1, gdp_tot_mes!$B$1:$XFD$1, 0), 0)</f>
        <v>0.42614573258479799</v>
      </c>
      <c r="J17" s="29">
        <f>VLOOKUP($B17, ind_mes!$B:$XFD, MATCH(gdp_ind_share!J$1, ind_mes!$B$1:$XFD$1, 0), 0)/VLOOKUP($B17, gdp_tot_mes!$B:$XFD, MATCH(gdp_ind_share!J$1, gdp_tot_mes!$B$1:$XFD$1, 0), 0)</f>
        <v>0.48979581328697541</v>
      </c>
      <c r="K17" s="29">
        <f>VLOOKUP($B17, ind_mes!$B:$XFD, MATCH(gdp_ind_share!K$1, ind_mes!$B$1:$XFD$1, 0), 0)/VLOOKUP($B17, gdp_tot_mes!$B:$XFD, MATCH(gdp_ind_share!K$1, gdp_tot_mes!$B$1:$XFD$1, 0), 0)</f>
        <v>0.55499557738874883</v>
      </c>
      <c r="L17" s="30">
        <f t="shared" si="0"/>
        <v>0.48144932806511848</v>
      </c>
      <c r="M17" s="29">
        <f>VLOOKUP($B17, ind_mes!$B:$XFD, MATCH(gdp_ind_share!M$1, ind_mes!$B$1:$XFD$1, 0), 0)/VLOOKUP($B17, gdp_tot_mes!$B:$XFD, MATCH(gdp_ind_share!M$1, gdp_tot_mes!$B$1:$XFD$1, 0), 0)</f>
        <v>0.39319382887676207</v>
      </c>
      <c r="N17" s="29">
        <f>VLOOKUP($B17, ind_mes!$B:$XFD, MATCH(gdp_ind_share!N$1, ind_mes!$B$1:$XFD$1, 0), 0)/VLOOKUP($B17, gdp_tot_mes!$B:$XFD, MATCH(gdp_ind_share!N$1, gdp_tot_mes!$B$1:$XFD$1, 0), 0)</f>
        <v>0.28492040258181145</v>
      </c>
      <c r="O17" s="29">
        <f>VLOOKUP($B17, ind_mes!$B:$XFD, MATCH(gdp_ind_share!O$1, ind_mes!$B$1:$XFD$1, 0), 0)/VLOOKUP($B17, gdp_tot_mes!$B:$XFD, MATCH(gdp_ind_share!O$1, gdp_tot_mes!$B$1:$XFD$1, 0), 0)</f>
        <v>0.30777335240373099</v>
      </c>
      <c r="P17" s="29">
        <f>VLOOKUP($B17, ind_mes!$B:$XFD, MATCH(gdp_ind_share!P$1, ind_mes!$B$1:$XFD$1, 0), 0)/VLOOKUP($B17, gdp_tot_mes!$B:$XFD, MATCH(gdp_ind_share!P$1, gdp_tot_mes!$B$1:$XFD$1, 0), 0)</f>
        <v>0.29108012382697479</v>
      </c>
      <c r="Q17" s="29">
        <f>VLOOKUP($B17, ind_mes!$B:$XFD, MATCH(gdp_ind_share!Q$1, ind_mes!$B$1:$XFD$1, 0), 0)/VLOOKUP($B17, gdp_tot_mes!$B:$XFD, MATCH(gdp_ind_share!Q$1, gdp_tot_mes!$B$1:$XFD$1, 0), 0)</f>
        <v>0.21569714958493869</v>
      </c>
      <c r="R17" s="29">
        <f>VLOOKUP($B17, ind_mes!$B:$XFD, MATCH(gdp_ind_share!R$1, ind_mes!$B$1:$XFD$1, 0), 0)/VLOOKUP($B17, gdp_tot_mes!$B:$XFD, MATCH(gdp_ind_share!R$1, gdp_tot_mes!$B$1:$XFD$1, 0), 0)</f>
        <v>0.2423709586290983</v>
      </c>
      <c r="S17" s="29">
        <f>VLOOKUP($B17, ind_mes!$B:$XFD, MATCH(gdp_ind_share!S$1, ind_mes!$B$1:$XFD$1, 0), 0)/VLOOKUP($B17, gdp_tot_mes!$B:$XFD, MATCH(gdp_ind_share!S$1, gdp_tot_mes!$B$1:$XFD$1, 0), 0)</f>
        <v>0.24635445501240208</v>
      </c>
      <c r="T17" s="29">
        <f>VLOOKUP($B17, ind_mes!$B:$XFD, MATCH(gdp_ind_share!T$1, ind_mes!$B$1:$XFD$1, 0), 0)/VLOOKUP($B17, gdp_tot_mes!$B:$XFD, MATCH(gdp_ind_share!T$1, gdp_tot_mes!$B$1:$XFD$1, 0), 0)</f>
        <v>0.26417951708292442</v>
      </c>
      <c r="U17" s="29">
        <f>VLOOKUP($B17, ind_mes!$B:$XFD, MATCH(gdp_ind_share!U$1, ind_mes!$B$1:$XFD$1, 0), 0)/VLOOKUP($B17, gdp_tot_mes!$B:$XFD, MATCH(gdp_ind_share!U$1, gdp_tot_mes!$B$1:$XFD$1, 0), 0)</f>
        <v>0.24952725607306861</v>
      </c>
      <c r="V17" s="29">
        <f>VLOOKUP($B17, ind_mes!$B:$XFD, MATCH(gdp_ind_share!V$1, ind_mes!$B$1:$XFD$1, 0), 0)/VLOOKUP($B17, gdp_tot_mes!$B:$XFD, MATCH(gdp_ind_share!V$1, gdp_tot_mes!$B$1:$XFD$1, 0), 0)</f>
        <v>0.23341506793020814</v>
      </c>
      <c r="W17" s="29">
        <f>VLOOKUP($B17, ind_mes!$B:$XFD, MATCH(gdp_ind_share!W$1, ind_mes!$B$1:$XFD$1, 0), 0)/VLOOKUP($B17, gdp_tot_mes!$B:$XFD, MATCH(gdp_ind_share!W$1, gdp_tot_mes!$B$1:$XFD$1, 0), 0)</f>
        <v>0.22378655211245171</v>
      </c>
      <c r="X17" s="29">
        <f>VLOOKUP($B17, ind_mes!$B:$XFD, MATCH(gdp_ind_share!X$1, ind_mes!$B$1:$XFD$1, 0), 0)/VLOOKUP($B17, gdp_tot_mes!$B:$XFD, MATCH(gdp_ind_share!X$1, gdp_tot_mes!$B$1:$XFD$1, 0), 0)</f>
        <v>0.27528704599046078</v>
      </c>
      <c r="Y17" s="29">
        <f>VLOOKUP($B17, ind_mes!$B:$XFD, MATCH(gdp_ind_share!Y$1, ind_mes!$B$1:$XFD$1, 0), 0)/VLOOKUP($B17, gdp_tot_mes!$B:$XFD, MATCH(gdp_ind_share!Y$1, gdp_tot_mes!$B$1:$XFD$1, 0), 0)</f>
        <v>0.26856062051748131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5">
      <c r="A18" s="1" t="s">
        <v>49</v>
      </c>
      <c r="B18" s="1" t="s">
        <v>60</v>
      </c>
      <c r="C18" s="1" t="s">
        <v>61</v>
      </c>
      <c r="D18" s="29">
        <f>VLOOKUP($B18, ind_mes!$B:$XFD, MATCH(gdp_ind_share!D$1, ind_mes!$B$1:$XFD$1, 0), 0)/VLOOKUP($B18, gdp_tot_mes!$B:$XFD, MATCH(gdp_ind_share!D$1, gdp_tot_mes!$B$1:$XFD$1, 0), 0)</f>
        <v>6.0881037775977184E-2</v>
      </c>
      <c r="E18" s="29">
        <f>VLOOKUP($B18, ind_mes!$B:$XFD, MATCH(gdp_ind_share!E$1, ind_mes!$B$1:$XFD$1, 0), 0)/VLOOKUP($B18, gdp_tot_mes!$B:$XFD, MATCH(gdp_ind_share!E$1, gdp_tot_mes!$B$1:$XFD$1, 0), 0)</f>
        <v>1.9323607883134392E-2</v>
      </c>
      <c r="F18" s="29">
        <f>VLOOKUP($B18, ind_mes!$B:$XFD, MATCH(gdp_ind_share!F$1, ind_mes!$B$1:$XFD$1, 0), 0)/VLOOKUP($B18, gdp_tot_mes!$B:$XFD, MATCH(gdp_ind_share!F$1, gdp_tot_mes!$B$1:$XFD$1, 0), 0)</f>
        <v>3.0972088929613905E-2</v>
      </c>
      <c r="G18" s="29">
        <f>VLOOKUP($B18, ind_mes!$B:$XFD, MATCH(gdp_ind_share!G$1, ind_mes!$B$1:$XFD$1, 0), 0)/VLOOKUP($B18, gdp_tot_mes!$B:$XFD, MATCH(gdp_ind_share!G$1, gdp_tot_mes!$B$1:$XFD$1, 0), 0)</f>
        <v>0.12661416825981289</v>
      </c>
      <c r="H18" s="29">
        <f>VLOOKUP($B18, ind_mes!$B:$XFD, MATCH(gdp_ind_share!H$1, ind_mes!$B$1:$XFD$1, 0), 0)/VLOOKUP($B18, gdp_tot_mes!$B:$XFD, MATCH(gdp_ind_share!H$1, gdp_tot_mes!$B$1:$XFD$1, 0), 0)</f>
        <v>0.13550209537455318</v>
      </c>
      <c r="I18" s="29">
        <f>VLOOKUP($B18, ind_mes!$B:$XFD, MATCH(gdp_ind_share!I$1, ind_mes!$B$1:$XFD$1, 0), 0)/VLOOKUP($B18, gdp_tot_mes!$B:$XFD, MATCH(gdp_ind_share!I$1, gdp_tot_mes!$B$1:$XFD$1, 0), 0)</f>
        <v>0.18438203581708915</v>
      </c>
      <c r="J18" s="29">
        <f>VLOOKUP($B18, ind_mes!$B:$XFD, MATCH(gdp_ind_share!J$1, ind_mes!$B$1:$XFD$1, 0), 0)/VLOOKUP($B18, gdp_tot_mes!$B:$XFD, MATCH(gdp_ind_share!J$1, gdp_tot_mes!$B$1:$XFD$1, 0), 0)</f>
        <v>0.19517319494765592</v>
      </c>
      <c r="K18" s="29">
        <f>VLOOKUP($B18, ind_mes!$B:$XFD, MATCH(gdp_ind_share!K$1, ind_mes!$B$1:$XFD$1, 0), 0)/VLOOKUP($B18, gdp_tot_mes!$B:$XFD, MATCH(gdp_ind_share!K$1, gdp_tot_mes!$B$1:$XFD$1, 0), 0)</f>
        <v>0.150680640218113</v>
      </c>
      <c r="L18" s="30">
        <f t="shared" si="0"/>
        <v>0.11995749154305486</v>
      </c>
      <c r="M18" s="29">
        <f>VLOOKUP($B18, ind_mes!$B:$XFD, MATCH(gdp_ind_share!M$1, ind_mes!$B$1:$XFD$1, 0), 0)/VLOOKUP($B18, gdp_tot_mes!$B:$XFD, MATCH(gdp_ind_share!M$1, gdp_tot_mes!$B$1:$XFD$1, 0), 0)</f>
        <v>8.3089713132985091E-2</v>
      </c>
      <c r="N18" s="29">
        <f>VLOOKUP($B18, ind_mes!$B:$XFD, MATCH(gdp_ind_share!N$1, ind_mes!$B$1:$XFD$1, 0), 0)/VLOOKUP($B18, gdp_tot_mes!$B:$XFD, MATCH(gdp_ind_share!N$1, gdp_tot_mes!$B$1:$XFD$1, 0), 0)</f>
        <v>0.12116044156186719</v>
      </c>
      <c r="O18" s="29">
        <f>VLOOKUP($B18, ind_mes!$B:$XFD, MATCH(gdp_ind_share!O$1, ind_mes!$B$1:$XFD$1, 0), 0)/VLOOKUP($B18, gdp_tot_mes!$B:$XFD, MATCH(gdp_ind_share!O$1, gdp_tot_mes!$B$1:$XFD$1, 0), 0)</f>
        <v>0.12023272512946355</v>
      </c>
      <c r="P18" s="29">
        <f>VLOOKUP($B18, ind_mes!$B:$XFD, MATCH(gdp_ind_share!P$1, ind_mes!$B$1:$XFD$1, 0), 0)/VLOOKUP($B18, gdp_tot_mes!$B:$XFD, MATCH(gdp_ind_share!P$1, gdp_tot_mes!$B$1:$XFD$1, 0), 0)</f>
        <v>0.11748808485205929</v>
      </c>
      <c r="Q18" s="29">
        <f>VLOOKUP($B18, ind_mes!$B:$XFD, MATCH(gdp_ind_share!Q$1, ind_mes!$B$1:$XFD$1, 0), 0)/VLOOKUP($B18, gdp_tot_mes!$B:$XFD, MATCH(gdp_ind_share!Q$1, gdp_tot_mes!$B$1:$XFD$1, 0), 0)</f>
        <v>9.3867789301187332E-2</v>
      </c>
      <c r="R18" s="29">
        <f>VLOOKUP($B18, ind_mes!$B:$XFD, MATCH(gdp_ind_share!R$1, ind_mes!$B$1:$XFD$1, 0), 0)/VLOOKUP($B18, gdp_tot_mes!$B:$XFD, MATCH(gdp_ind_share!R$1, gdp_tot_mes!$B$1:$XFD$1, 0), 0)</f>
        <v>8.3726922348534974E-2</v>
      </c>
      <c r="S18" s="29">
        <f>VLOOKUP($B18, ind_mes!$B:$XFD, MATCH(gdp_ind_share!S$1, ind_mes!$B$1:$XFD$1, 0), 0)/VLOOKUP($B18, gdp_tot_mes!$B:$XFD, MATCH(gdp_ind_share!S$1, gdp_tot_mes!$B$1:$XFD$1, 0), 0)</f>
        <v>0.10478392565231105</v>
      </c>
      <c r="T18" s="29">
        <f>VLOOKUP($B18, ind_mes!$B:$XFD, MATCH(gdp_ind_share!T$1, ind_mes!$B$1:$XFD$1, 0), 0)/VLOOKUP($B18, gdp_tot_mes!$B:$XFD, MATCH(gdp_ind_share!T$1, gdp_tot_mes!$B$1:$XFD$1, 0), 0)</f>
        <v>9.6424940396479489E-2</v>
      </c>
      <c r="U18" s="29">
        <f>VLOOKUP($B18, ind_mes!$B:$XFD, MATCH(gdp_ind_share!U$1, ind_mes!$B$1:$XFD$1, 0), 0)/VLOOKUP($B18, gdp_tot_mes!$B:$XFD, MATCH(gdp_ind_share!U$1, gdp_tot_mes!$B$1:$XFD$1, 0), 0)</f>
        <v>0.10178637730995974</v>
      </c>
      <c r="V18" s="29">
        <f>VLOOKUP($B18, ind_mes!$B:$XFD, MATCH(gdp_ind_share!V$1, ind_mes!$B$1:$XFD$1, 0), 0)/VLOOKUP($B18, gdp_tot_mes!$B:$XFD, MATCH(gdp_ind_share!V$1, gdp_tot_mes!$B$1:$XFD$1, 0), 0)</f>
        <v>8.0734665157346189E-2</v>
      </c>
      <c r="W18" s="29">
        <f>VLOOKUP($B18, ind_mes!$B:$XFD, MATCH(gdp_ind_share!W$1, ind_mes!$B$1:$XFD$1, 0), 0)/VLOOKUP($B18, gdp_tot_mes!$B:$XFD, MATCH(gdp_ind_share!W$1, gdp_tot_mes!$B$1:$XFD$1, 0), 0)</f>
        <v>9.344251662251811E-2</v>
      </c>
      <c r="X18" s="29">
        <f>VLOOKUP($B18, ind_mes!$B:$XFD, MATCH(gdp_ind_share!X$1, ind_mes!$B$1:$XFD$1, 0), 0)/VLOOKUP($B18, gdp_tot_mes!$B:$XFD, MATCH(gdp_ind_share!X$1, gdp_tot_mes!$B$1:$XFD$1, 0), 0)</f>
        <v>9.7474536660614258E-2</v>
      </c>
      <c r="Y18" s="29">
        <f>VLOOKUP($B18, ind_mes!$B:$XFD, MATCH(gdp_ind_share!Y$1, ind_mes!$B$1:$XFD$1, 0), 0)/VLOOKUP($B18, gdp_tot_mes!$B:$XFD, MATCH(gdp_ind_share!Y$1, gdp_tot_mes!$B$1:$XFD$1, 0), 0)</f>
        <v>0.13563236517915486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25">
      <c r="A19" s="1" t="s">
        <v>49</v>
      </c>
      <c r="B19" s="1" t="s">
        <v>62</v>
      </c>
      <c r="C19" s="1" t="s">
        <v>63</v>
      </c>
      <c r="D19" s="29">
        <f>VLOOKUP($B19, ind_mes!$B:$XFD, MATCH(gdp_ind_share!D$1, ind_mes!$B$1:$XFD$1, 0), 0)/VLOOKUP($B19, gdp_tot_mes!$B:$XFD, MATCH(gdp_ind_share!D$1, gdp_tot_mes!$B$1:$XFD$1, 0), 0)</f>
        <v>3.7408330974414136E-2</v>
      </c>
      <c r="E19" s="29">
        <f>VLOOKUP($B19, ind_mes!$B:$XFD, MATCH(gdp_ind_share!E$1, ind_mes!$B$1:$XFD$1, 0), 0)/VLOOKUP($B19, gdp_tot_mes!$B:$XFD, MATCH(gdp_ind_share!E$1, gdp_tot_mes!$B$1:$XFD$1, 0), 0)</f>
        <v>5.685856039102103E-2</v>
      </c>
      <c r="F19" s="29">
        <f>VLOOKUP($B19, ind_mes!$B:$XFD, MATCH(gdp_ind_share!F$1, ind_mes!$B$1:$XFD$1, 0), 0)/VLOOKUP($B19, gdp_tot_mes!$B:$XFD, MATCH(gdp_ind_share!F$1, gdp_tot_mes!$B$1:$XFD$1, 0), 0)</f>
        <v>7.7163250824286364E-2</v>
      </c>
      <c r="G19" s="29">
        <f>VLOOKUP($B19, ind_mes!$B:$XFD, MATCH(gdp_ind_share!G$1, ind_mes!$B$1:$XFD$1, 0), 0)/VLOOKUP($B19, gdp_tot_mes!$B:$XFD, MATCH(gdp_ind_share!G$1, gdp_tot_mes!$B$1:$XFD$1, 0), 0)</f>
        <v>0.15625645795648271</v>
      </c>
      <c r="H19" s="29">
        <f>VLOOKUP($B19, ind_mes!$B:$XFD, MATCH(gdp_ind_share!H$1, ind_mes!$B$1:$XFD$1, 0), 0)/VLOOKUP($B19, gdp_tot_mes!$B:$XFD, MATCH(gdp_ind_share!H$1, gdp_tot_mes!$B$1:$XFD$1, 0), 0)</f>
        <v>0.11702158572235048</v>
      </c>
      <c r="I19" s="29">
        <f>VLOOKUP($B19, ind_mes!$B:$XFD, MATCH(gdp_ind_share!I$1, ind_mes!$B$1:$XFD$1, 0), 0)/VLOOKUP($B19, gdp_tot_mes!$B:$XFD, MATCH(gdp_ind_share!I$1, gdp_tot_mes!$B$1:$XFD$1, 0), 0)</f>
        <v>0.12410141442398838</v>
      </c>
      <c r="J19" s="29">
        <f>VLOOKUP($B19, ind_mes!$B:$XFD, MATCH(gdp_ind_share!J$1, ind_mes!$B$1:$XFD$1, 0), 0)/VLOOKUP($B19, gdp_tot_mes!$B:$XFD, MATCH(gdp_ind_share!J$1, gdp_tot_mes!$B$1:$XFD$1, 0), 0)</f>
        <v>0.17708791591124723</v>
      </c>
      <c r="K19" s="29">
        <f>VLOOKUP($B19, ind_mes!$B:$XFD, MATCH(gdp_ind_share!K$1, ind_mes!$B$1:$XFD$1, 0), 0)/VLOOKUP($B19, gdp_tot_mes!$B:$XFD, MATCH(gdp_ind_share!K$1, gdp_tot_mes!$B$1:$XFD$1, 0), 0)</f>
        <v>0.19527154159548807</v>
      </c>
      <c r="L19" s="30">
        <f t="shared" si="0"/>
        <v>0.19559180930627243</v>
      </c>
      <c r="M19" s="29">
        <f>VLOOKUP($B19, ind_mes!$B:$XFD, MATCH(gdp_ind_share!M$1, ind_mes!$B$1:$XFD$1, 0), 0)/VLOOKUP($B19, gdp_tot_mes!$B:$XFD, MATCH(gdp_ind_share!M$1, gdp_tot_mes!$B$1:$XFD$1, 0), 0)</f>
        <v>0.19597613055921367</v>
      </c>
      <c r="N19" s="29">
        <f>VLOOKUP($B19, ind_mes!$B:$XFD, MATCH(gdp_ind_share!N$1, ind_mes!$B$1:$XFD$1, 0), 0)/VLOOKUP($B19, gdp_tot_mes!$B:$XFD, MATCH(gdp_ind_share!N$1, gdp_tot_mes!$B$1:$XFD$1, 0), 0)</f>
        <v>0.18081409068845958</v>
      </c>
      <c r="O19" s="29">
        <f>VLOOKUP($B19, ind_mes!$B:$XFD, MATCH(gdp_ind_share!O$1, ind_mes!$B$1:$XFD$1, 0), 0)/VLOOKUP($B19, gdp_tot_mes!$B:$XFD, MATCH(gdp_ind_share!O$1, gdp_tot_mes!$B$1:$XFD$1, 0), 0)</f>
        <v>0.17621629623874788</v>
      </c>
      <c r="P19" s="29">
        <f>VLOOKUP($B19, ind_mes!$B:$XFD, MATCH(gdp_ind_share!P$1, ind_mes!$B$1:$XFD$1, 0), 0)/VLOOKUP($B19, gdp_tot_mes!$B:$XFD, MATCH(gdp_ind_share!P$1, gdp_tot_mes!$B$1:$XFD$1, 0), 0)</f>
        <v>0.16454352044108039</v>
      </c>
      <c r="Q19" s="29">
        <f>VLOOKUP($B19, ind_mes!$B:$XFD, MATCH(gdp_ind_share!Q$1, ind_mes!$B$1:$XFD$1, 0), 0)/VLOOKUP($B19, gdp_tot_mes!$B:$XFD, MATCH(gdp_ind_share!Q$1, gdp_tot_mes!$B$1:$XFD$1, 0), 0)</f>
        <v>0.17965886685491839</v>
      </c>
      <c r="R19" s="29">
        <f>VLOOKUP($B19, ind_mes!$B:$XFD, MATCH(gdp_ind_share!R$1, ind_mes!$B$1:$XFD$1, 0), 0)/VLOOKUP($B19, gdp_tot_mes!$B:$XFD, MATCH(gdp_ind_share!R$1, gdp_tot_mes!$B$1:$XFD$1, 0), 0)</f>
        <v>0.17873343149395751</v>
      </c>
      <c r="S19" s="29">
        <f>VLOOKUP($B19, ind_mes!$B:$XFD, MATCH(gdp_ind_share!S$1, ind_mes!$B$1:$XFD$1, 0), 0)/VLOOKUP($B19, gdp_tot_mes!$B:$XFD, MATCH(gdp_ind_share!S$1, gdp_tot_mes!$B$1:$XFD$1, 0), 0)</f>
        <v>0.21313513762089681</v>
      </c>
      <c r="T19" s="29">
        <f>VLOOKUP($B19, ind_mes!$B:$XFD, MATCH(gdp_ind_share!T$1, ind_mes!$B$1:$XFD$1, 0), 0)/VLOOKUP($B19, gdp_tot_mes!$B:$XFD, MATCH(gdp_ind_share!T$1, gdp_tot_mes!$B$1:$XFD$1, 0), 0)</f>
        <v>0.19439796956748334</v>
      </c>
      <c r="U19" s="29">
        <f>VLOOKUP($B19, ind_mes!$B:$XFD, MATCH(gdp_ind_share!U$1, ind_mes!$B$1:$XFD$1, 0), 0)/VLOOKUP($B19, gdp_tot_mes!$B:$XFD, MATCH(gdp_ind_share!U$1, gdp_tot_mes!$B$1:$XFD$1, 0), 0)</f>
        <v>0.20894308587693952</v>
      </c>
      <c r="V19" s="29">
        <f>VLOOKUP($B19, ind_mes!$B:$XFD, MATCH(gdp_ind_share!V$1, ind_mes!$B$1:$XFD$1, 0), 0)/VLOOKUP($B19, gdp_tot_mes!$B:$XFD, MATCH(gdp_ind_share!V$1, gdp_tot_mes!$B$1:$XFD$1, 0), 0)</f>
        <v>0.23623532450411949</v>
      </c>
      <c r="W19" s="29">
        <f>VLOOKUP($B19, ind_mes!$B:$XFD, MATCH(gdp_ind_share!W$1, ind_mes!$B$1:$XFD$1, 0), 0)/VLOOKUP($B19, gdp_tot_mes!$B:$XFD, MATCH(gdp_ind_share!W$1, gdp_tot_mes!$B$1:$XFD$1, 0), 0)</f>
        <v>0.27936745613980202</v>
      </c>
      <c r="X19" s="29">
        <f>VLOOKUP($B19, ind_mes!$B:$XFD, MATCH(gdp_ind_share!X$1, ind_mes!$B$1:$XFD$1, 0), 0)/VLOOKUP($B19, gdp_tot_mes!$B:$XFD, MATCH(gdp_ind_share!X$1, gdp_tot_mes!$B$1:$XFD$1, 0), 0)</f>
        <v>0.21757735563734024</v>
      </c>
      <c r="Y19" s="29">
        <f>VLOOKUP($B19, ind_mes!$B:$XFD, MATCH(gdp_ind_share!Y$1, ind_mes!$B$1:$XFD$1, 0), 0)/VLOOKUP($B19, gdp_tot_mes!$B:$XFD, MATCH(gdp_ind_share!Y$1, gdp_tot_mes!$B$1:$XFD$1, 0), 0)</f>
        <v>0.27620415257471537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25">
      <c r="A20" s="1" t="s">
        <v>64</v>
      </c>
      <c r="B20" s="1" t="s">
        <v>65</v>
      </c>
      <c r="C20" s="1" t="s">
        <v>66</v>
      </c>
      <c r="D20" s="29">
        <f>VLOOKUP($B20, ind_mes!$B:$XFD, MATCH(gdp_ind_share!D$1, ind_mes!$B$1:$XFD$1, 0), 0)/VLOOKUP($B20, gdp_tot_mes!$B:$XFD, MATCH(gdp_ind_share!D$1, gdp_tot_mes!$B$1:$XFD$1, 0), 0)</f>
        <v>8.4987555462300787E-2</v>
      </c>
      <c r="E20" s="29">
        <f>VLOOKUP($B20, ind_mes!$B:$XFD, MATCH(gdp_ind_share!E$1, ind_mes!$B$1:$XFD$1, 0), 0)/VLOOKUP($B20, gdp_tot_mes!$B:$XFD, MATCH(gdp_ind_share!E$1, gdp_tot_mes!$B$1:$XFD$1, 0), 0)</f>
        <v>4.2511689785601457E-2</v>
      </c>
      <c r="F20" s="29">
        <f>VLOOKUP($B20, ind_mes!$B:$XFD, MATCH(gdp_ind_share!F$1, ind_mes!$B$1:$XFD$1, 0), 0)/VLOOKUP($B20, gdp_tot_mes!$B:$XFD, MATCH(gdp_ind_share!F$1, gdp_tot_mes!$B$1:$XFD$1, 0), 0)</f>
        <v>5.5138597392940088E-2</v>
      </c>
      <c r="G20" s="29">
        <f>VLOOKUP($B20, ind_mes!$B:$XFD, MATCH(gdp_ind_share!G$1, ind_mes!$B$1:$XFD$1, 0), 0)/VLOOKUP($B20, gdp_tot_mes!$B:$XFD, MATCH(gdp_ind_share!G$1, gdp_tot_mes!$B$1:$XFD$1, 0), 0)</f>
        <v>0.12251098440700477</v>
      </c>
      <c r="H20" s="29">
        <f>VLOOKUP($B20, ind_mes!$B:$XFD, MATCH(gdp_ind_share!H$1, ind_mes!$B$1:$XFD$1, 0), 0)/VLOOKUP($B20, gdp_tot_mes!$B:$XFD, MATCH(gdp_ind_share!H$1, gdp_tot_mes!$B$1:$XFD$1, 0), 0)</f>
        <v>0.15236876463560425</v>
      </c>
      <c r="I20" s="29">
        <f>VLOOKUP($B20, ind_mes!$B:$XFD, MATCH(gdp_ind_share!I$1, ind_mes!$B$1:$XFD$1, 0), 0)/VLOOKUP($B20, gdp_tot_mes!$B:$XFD, MATCH(gdp_ind_share!I$1, gdp_tot_mes!$B$1:$XFD$1, 0), 0)</f>
        <v>0.17660017429810565</v>
      </c>
      <c r="J20" s="29">
        <f>VLOOKUP($B20, ind_mes!$B:$XFD, MATCH(gdp_ind_share!J$1, ind_mes!$B$1:$XFD$1, 0), 0)/VLOOKUP($B20, gdp_tot_mes!$B:$XFD, MATCH(gdp_ind_share!J$1, gdp_tot_mes!$B$1:$XFD$1, 0), 0)</f>
        <v>0.24869618693153872</v>
      </c>
      <c r="K20" s="29">
        <f>VLOOKUP($B20, ind_mes!$B:$XFD, MATCH(gdp_ind_share!K$1, ind_mes!$B$1:$XFD$1, 0), 0)/VLOOKUP($B20, gdp_tot_mes!$B:$XFD, MATCH(gdp_ind_share!K$1, gdp_tot_mes!$B$1:$XFD$1, 0), 0)</f>
        <v>0.18638631615275691</v>
      </c>
      <c r="L20" s="30">
        <f t="shared" si="0"/>
        <v>0.20990451231426496</v>
      </c>
      <c r="M20" s="29">
        <f>VLOOKUP($B20, ind_mes!$B:$XFD, MATCH(gdp_ind_share!M$1, ind_mes!$B$1:$XFD$1, 0), 0)/VLOOKUP($B20, gdp_tot_mes!$B:$XFD, MATCH(gdp_ind_share!M$1, gdp_tot_mes!$B$1:$XFD$1, 0), 0)</f>
        <v>0.23812634770807464</v>
      </c>
      <c r="N20" s="29">
        <f>VLOOKUP($B20, ind_mes!$B:$XFD, MATCH(gdp_ind_share!N$1, ind_mes!$B$1:$XFD$1, 0), 0)/VLOOKUP($B20, gdp_tot_mes!$B:$XFD, MATCH(gdp_ind_share!N$1, gdp_tot_mes!$B$1:$XFD$1, 0), 0)</f>
        <v>0.20005274490506031</v>
      </c>
      <c r="O20" s="29">
        <f>VLOOKUP($B20, ind_mes!$B:$XFD, MATCH(gdp_ind_share!O$1, ind_mes!$B$1:$XFD$1, 0), 0)/VLOOKUP($B20, gdp_tot_mes!$B:$XFD, MATCH(gdp_ind_share!O$1, gdp_tot_mes!$B$1:$XFD$1, 0), 0)</f>
        <v>0.1983340284626213</v>
      </c>
      <c r="P20" s="29">
        <f>VLOOKUP($B20, ind_mes!$B:$XFD, MATCH(gdp_ind_share!P$1, ind_mes!$B$1:$XFD$1, 0), 0)/VLOOKUP($B20, gdp_tot_mes!$B:$XFD, MATCH(gdp_ind_share!P$1, gdp_tot_mes!$B$1:$XFD$1, 0), 0)</f>
        <v>0.19181734504256936</v>
      </c>
      <c r="Q20" s="29">
        <f>VLOOKUP($B20, ind_mes!$B:$XFD, MATCH(gdp_ind_share!Q$1, ind_mes!$B$1:$XFD$1, 0), 0)/VLOOKUP($B20, gdp_tot_mes!$B:$XFD, MATCH(gdp_ind_share!Q$1, gdp_tot_mes!$B$1:$XFD$1, 0), 0)</f>
        <v>0.19276874614540399</v>
      </c>
      <c r="R20" s="29">
        <f>VLOOKUP($B20, ind_mes!$B:$XFD, MATCH(gdp_ind_share!R$1, ind_mes!$B$1:$XFD$1, 0), 0)/VLOOKUP($B20, gdp_tot_mes!$B:$XFD, MATCH(gdp_ind_share!R$1, gdp_tot_mes!$B$1:$XFD$1, 0), 0)</f>
        <v>0.17124553993893696</v>
      </c>
      <c r="S20" s="29">
        <f>VLOOKUP($B20, ind_mes!$B:$XFD, MATCH(gdp_ind_share!S$1, ind_mes!$B$1:$XFD$1, 0), 0)/VLOOKUP($B20, gdp_tot_mes!$B:$XFD, MATCH(gdp_ind_share!S$1, gdp_tot_mes!$B$1:$XFD$1, 0), 0)</f>
        <v>0.1956576939359003</v>
      </c>
      <c r="T20" s="29">
        <f>VLOOKUP($B20, ind_mes!$B:$XFD, MATCH(gdp_ind_share!T$1, ind_mes!$B$1:$XFD$1, 0), 0)/VLOOKUP($B20, gdp_tot_mes!$B:$XFD, MATCH(gdp_ind_share!T$1, gdp_tot_mes!$B$1:$XFD$1, 0), 0)</f>
        <v>0.19001248653325215</v>
      </c>
      <c r="U20" s="29">
        <f>VLOOKUP($B20, ind_mes!$B:$XFD, MATCH(gdp_ind_share!U$1, ind_mes!$B$1:$XFD$1, 0), 0)/VLOOKUP($B20, gdp_tot_mes!$B:$XFD, MATCH(gdp_ind_share!U$1, gdp_tot_mes!$B$1:$XFD$1, 0), 0)</f>
        <v>0.17371281151915693</v>
      </c>
      <c r="V20" s="29">
        <f>VLOOKUP($B20, ind_mes!$B:$XFD, MATCH(gdp_ind_share!V$1, ind_mes!$B$1:$XFD$1, 0), 0)/VLOOKUP($B20, gdp_tot_mes!$B:$XFD, MATCH(gdp_ind_share!V$1, gdp_tot_mes!$B$1:$XFD$1, 0), 0)</f>
        <v>0.16631257546857997</v>
      </c>
      <c r="W20" s="29">
        <f>VLOOKUP($B20, ind_mes!$B:$XFD, MATCH(gdp_ind_share!W$1, ind_mes!$B$1:$XFD$1, 0), 0)/VLOOKUP($B20, gdp_tot_mes!$B:$XFD, MATCH(gdp_ind_share!W$1, gdp_tot_mes!$B$1:$XFD$1, 0), 0)</f>
        <v>0.16092958627576379</v>
      </c>
      <c r="X20" s="29">
        <f>VLOOKUP($B20, ind_mes!$B:$XFD, MATCH(gdp_ind_share!X$1, ind_mes!$B$1:$XFD$1, 0), 0)/VLOOKUP($B20, gdp_tot_mes!$B:$XFD, MATCH(gdp_ind_share!X$1, gdp_tot_mes!$B$1:$XFD$1, 0), 0)</f>
        <v>0.16016158609327863</v>
      </c>
      <c r="Y20" s="29">
        <f>VLOOKUP($B20, ind_mes!$B:$XFD, MATCH(gdp_ind_share!Y$1, ind_mes!$B$1:$XFD$1, 0), 0)/VLOOKUP($B20, gdp_tot_mes!$B:$XFD, MATCH(gdp_ind_share!Y$1, gdp_tot_mes!$B$1:$XFD$1, 0), 0)</f>
        <v>0.17245239278371363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25">
      <c r="A21" s="1" t="s">
        <v>64</v>
      </c>
      <c r="B21" s="1" t="s">
        <v>67</v>
      </c>
      <c r="C21" s="1" t="s">
        <v>68</v>
      </c>
      <c r="D21" s="29">
        <f>VLOOKUP($B21, ind_mes!$B:$XFD, MATCH(gdp_ind_share!D$1, ind_mes!$B$1:$XFD$1, 0), 0)/VLOOKUP($B21, gdp_tot_mes!$B:$XFD, MATCH(gdp_ind_share!D$1, gdp_tot_mes!$B$1:$XFD$1, 0), 0)</f>
        <v>3.2783720977995007E-2</v>
      </c>
      <c r="E21" s="29">
        <f>VLOOKUP($B21, ind_mes!$B:$XFD, MATCH(gdp_ind_share!E$1, ind_mes!$B$1:$XFD$1, 0), 0)/VLOOKUP($B21, gdp_tot_mes!$B:$XFD, MATCH(gdp_ind_share!E$1, gdp_tot_mes!$B$1:$XFD$1, 0), 0)</f>
        <v>5.0883675080056257E-2</v>
      </c>
      <c r="F21" s="29">
        <f>VLOOKUP($B21, ind_mes!$B:$XFD, MATCH(gdp_ind_share!F$1, ind_mes!$B$1:$XFD$1, 0), 0)/VLOOKUP($B21, gdp_tot_mes!$B:$XFD, MATCH(gdp_ind_share!F$1, gdp_tot_mes!$B$1:$XFD$1, 0), 0)</f>
        <v>7.9171116311662959E-2</v>
      </c>
      <c r="G21" s="29">
        <f>VLOOKUP($B21, ind_mes!$B:$XFD, MATCH(gdp_ind_share!G$1, ind_mes!$B$1:$XFD$1, 0), 0)/VLOOKUP($B21, gdp_tot_mes!$B:$XFD, MATCH(gdp_ind_share!G$1, gdp_tot_mes!$B$1:$XFD$1, 0), 0)</f>
        <v>7.3747296544540278E-2</v>
      </c>
      <c r="H21" s="29">
        <f>VLOOKUP($B21, ind_mes!$B:$XFD, MATCH(gdp_ind_share!H$1, ind_mes!$B$1:$XFD$1, 0), 0)/VLOOKUP($B21, gdp_tot_mes!$B:$XFD, MATCH(gdp_ind_share!H$1, gdp_tot_mes!$B$1:$XFD$1, 0), 0)</f>
        <v>0.13496293398298032</v>
      </c>
      <c r="I21" s="29">
        <f>VLOOKUP($B21, ind_mes!$B:$XFD, MATCH(gdp_ind_share!I$1, ind_mes!$B$1:$XFD$1, 0), 0)/VLOOKUP($B21, gdp_tot_mes!$B:$XFD, MATCH(gdp_ind_share!I$1, gdp_tot_mes!$B$1:$XFD$1, 0), 0)</f>
        <v>0.18414403023478215</v>
      </c>
      <c r="J21" s="29">
        <f>VLOOKUP($B21, ind_mes!$B:$XFD, MATCH(gdp_ind_share!J$1, ind_mes!$B$1:$XFD$1, 0), 0)/VLOOKUP($B21, gdp_tot_mes!$B:$XFD, MATCH(gdp_ind_share!J$1, gdp_tot_mes!$B$1:$XFD$1, 0), 0)</f>
        <v>0.21003351780591709</v>
      </c>
      <c r="K21" s="29">
        <f>VLOOKUP($B21, ind_mes!$B:$XFD, MATCH(gdp_ind_share!K$1, ind_mes!$B$1:$XFD$1, 0), 0)/VLOOKUP($B21, gdp_tot_mes!$B:$XFD, MATCH(gdp_ind_share!K$1, gdp_tot_mes!$B$1:$XFD$1, 0), 0)</f>
        <v>0.17348382034537793</v>
      </c>
      <c r="L21" s="30">
        <f t="shared" si="0"/>
        <v>0.17333541604968222</v>
      </c>
      <c r="M21" s="29">
        <f>VLOOKUP($B21, ind_mes!$B:$XFD, MATCH(gdp_ind_share!M$1, ind_mes!$B$1:$XFD$1, 0), 0)/VLOOKUP($B21, gdp_tot_mes!$B:$XFD, MATCH(gdp_ind_share!M$1, gdp_tot_mes!$B$1:$XFD$1, 0), 0)</f>
        <v>0.17315733089484736</v>
      </c>
      <c r="N21" s="29">
        <f>VLOOKUP($B21, ind_mes!$B:$XFD, MATCH(gdp_ind_share!N$1, ind_mes!$B$1:$XFD$1, 0), 0)/VLOOKUP($B21, gdp_tot_mes!$B:$XFD, MATCH(gdp_ind_share!N$1, gdp_tot_mes!$B$1:$XFD$1, 0), 0)</f>
        <v>0.21544590861387258</v>
      </c>
      <c r="O21" s="29">
        <f>VLOOKUP($B21, ind_mes!$B:$XFD, MATCH(gdp_ind_share!O$1, ind_mes!$B$1:$XFD$1, 0), 0)/VLOOKUP($B21, gdp_tot_mes!$B:$XFD, MATCH(gdp_ind_share!O$1, gdp_tot_mes!$B$1:$XFD$1, 0), 0)</f>
        <v>0.23980355193311984</v>
      </c>
      <c r="P21" s="29">
        <f>VLOOKUP($B21, ind_mes!$B:$XFD, MATCH(gdp_ind_share!P$1, ind_mes!$B$1:$XFD$1, 0), 0)/VLOOKUP($B21, gdp_tot_mes!$B:$XFD, MATCH(gdp_ind_share!P$1, gdp_tot_mes!$B$1:$XFD$1, 0), 0)</f>
        <v>0.22657891728836901</v>
      </c>
      <c r="Q21" s="29">
        <f>VLOOKUP($B21, ind_mes!$B:$XFD, MATCH(gdp_ind_share!Q$1, ind_mes!$B$1:$XFD$1, 0), 0)/VLOOKUP($B21, gdp_tot_mes!$B:$XFD, MATCH(gdp_ind_share!Q$1, gdp_tot_mes!$B$1:$XFD$1, 0), 0)</f>
        <v>0.23577244307083728</v>
      </c>
      <c r="R21" s="29">
        <f>VLOOKUP($B21, ind_mes!$B:$XFD, MATCH(gdp_ind_share!R$1, ind_mes!$B$1:$XFD$1, 0), 0)/VLOOKUP($B21, gdp_tot_mes!$B:$XFD, MATCH(gdp_ind_share!R$1, gdp_tot_mes!$B$1:$XFD$1, 0), 0)</f>
        <v>0.21661790989690335</v>
      </c>
      <c r="S21" s="29">
        <f>VLOOKUP($B21, ind_mes!$B:$XFD, MATCH(gdp_ind_share!S$1, ind_mes!$B$1:$XFD$1, 0), 0)/VLOOKUP($B21, gdp_tot_mes!$B:$XFD, MATCH(gdp_ind_share!S$1, gdp_tot_mes!$B$1:$XFD$1, 0), 0)</f>
        <v>0.24404818165072706</v>
      </c>
      <c r="T21" s="29">
        <f>VLOOKUP($B21, ind_mes!$B:$XFD, MATCH(gdp_ind_share!T$1, ind_mes!$B$1:$XFD$1, 0), 0)/VLOOKUP($B21, gdp_tot_mes!$B:$XFD, MATCH(gdp_ind_share!T$1, gdp_tot_mes!$B$1:$XFD$1, 0), 0)</f>
        <v>0.24481206642474471</v>
      </c>
      <c r="U21" s="29">
        <f>VLOOKUP($B21, ind_mes!$B:$XFD, MATCH(gdp_ind_share!U$1, ind_mes!$B$1:$XFD$1, 0), 0)/VLOOKUP($B21, gdp_tot_mes!$B:$XFD, MATCH(gdp_ind_share!U$1, gdp_tot_mes!$B$1:$XFD$1, 0), 0)</f>
        <v>0.20200595114363629</v>
      </c>
      <c r="V21" s="29">
        <f>VLOOKUP($B21, ind_mes!$B:$XFD, MATCH(gdp_ind_share!V$1, ind_mes!$B$1:$XFD$1, 0), 0)/VLOOKUP($B21, gdp_tot_mes!$B:$XFD, MATCH(gdp_ind_share!V$1, gdp_tot_mes!$B$1:$XFD$1, 0), 0)</f>
        <v>0.17675935410088622</v>
      </c>
      <c r="W21" s="29">
        <f>VLOOKUP($B21, ind_mes!$B:$XFD, MATCH(gdp_ind_share!W$1, ind_mes!$B$1:$XFD$1, 0), 0)/VLOOKUP($B21, gdp_tot_mes!$B:$XFD, MATCH(gdp_ind_share!W$1, gdp_tot_mes!$B$1:$XFD$1, 0), 0)</f>
        <v>0.18029165527625154</v>
      </c>
      <c r="X21" s="29">
        <f>VLOOKUP($B21, ind_mes!$B:$XFD, MATCH(gdp_ind_share!X$1, ind_mes!$B$1:$XFD$1, 0), 0)/VLOOKUP($B21, gdp_tot_mes!$B:$XFD, MATCH(gdp_ind_share!X$1, gdp_tot_mes!$B$1:$XFD$1, 0), 0)</f>
        <v>0.16221499837160974</v>
      </c>
      <c r="Y21" s="29">
        <f>VLOOKUP($B21, ind_mes!$B:$XFD, MATCH(gdp_ind_share!Y$1, ind_mes!$B$1:$XFD$1, 0), 0)/VLOOKUP($B21, gdp_tot_mes!$B:$XFD, MATCH(gdp_ind_share!Y$1, gdp_tot_mes!$B$1:$XFD$1, 0), 0)</f>
        <v>0.17484690136076028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5">
      <c r="A22" s="1" t="s">
        <v>64</v>
      </c>
      <c r="B22" s="1" t="s">
        <v>69</v>
      </c>
      <c r="C22" s="1" t="s">
        <v>70</v>
      </c>
      <c r="D22" s="29">
        <f>VLOOKUP($B22, ind_mes!$B:$XFD, MATCH(gdp_ind_share!D$1, ind_mes!$B$1:$XFD$1, 0), 0)/VLOOKUP($B22, gdp_tot_mes!$B:$XFD, MATCH(gdp_ind_share!D$1, gdp_tot_mes!$B$1:$XFD$1, 0), 0)</f>
        <v>8.2992432695196128E-2</v>
      </c>
      <c r="E22" s="29">
        <f>VLOOKUP($B22, ind_mes!$B:$XFD, MATCH(gdp_ind_share!E$1, ind_mes!$B$1:$XFD$1, 0), 0)/VLOOKUP($B22, gdp_tot_mes!$B:$XFD, MATCH(gdp_ind_share!E$1, gdp_tot_mes!$B$1:$XFD$1, 0), 0)</f>
        <v>0.13918718499863883</v>
      </c>
      <c r="F22" s="29">
        <f>VLOOKUP($B22, ind_mes!$B:$XFD, MATCH(gdp_ind_share!F$1, ind_mes!$B$1:$XFD$1, 0), 0)/VLOOKUP($B22, gdp_tot_mes!$B:$XFD, MATCH(gdp_ind_share!F$1, gdp_tot_mes!$B$1:$XFD$1, 0), 0)</f>
        <v>0.16042918397696479</v>
      </c>
      <c r="G22" s="29">
        <f>VLOOKUP($B22, ind_mes!$B:$XFD, MATCH(gdp_ind_share!G$1, ind_mes!$B$1:$XFD$1, 0), 0)/VLOOKUP($B22, gdp_tot_mes!$B:$XFD, MATCH(gdp_ind_share!G$1, gdp_tot_mes!$B$1:$XFD$1, 0), 0)</f>
        <v>0.17113629712167133</v>
      </c>
      <c r="H22" s="29">
        <f>VLOOKUP($B22, ind_mes!$B:$XFD, MATCH(gdp_ind_share!H$1, ind_mes!$B$1:$XFD$1, 0), 0)/VLOOKUP($B22, gdp_tot_mes!$B:$XFD, MATCH(gdp_ind_share!H$1, gdp_tot_mes!$B$1:$XFD$1, 0), 0)</f>
        <v>0.27014527711229341</v>
      </c>
      <c r="I22" s="29">
        <f>VLOOKUP($B22, ind_mes!$B:$XFD, MATCH(gdp_ind_share!I$1, ind_mes!$B$1:$XFD$1, 0), 0)/VLOOKUP($B22, gdp_tot_mes!$B:$XFD, MATCH(gdp_ind_share!I$1, gdp_tot_mes!$B$1:$XFD$1, 0), 0)</f>
        <v>0.32319567255137777</v>
      </c>
      <c r="J22" s="29">
        <f>VLOOKUP($B22, ind_mes!$B:$XFD, MATCH(gdp_ind_share!J$1, ind_mes!$B$1:$XFD$1, 0), 0)/VLOOKUP($B22, gdp_tot_mes!$B:$XFD, MATCH(gdp_ind_share!J$1, gdp_tot_mes!$B$1:$XFD$1, 0), 0)</f>
        <v>0.3266508369166497</v>
      </c>
      <c r="K22" s="29">
        <f>VLOOKUP($B22, ind_mes!$B:$XFD, MATCH(gdp_ind_share!K$1, ind_mes!$B$1:$XFD$1, 0), 0)/VLOOKUP($B22, gdp_tot_mes!$B:$XFD, MATCH(gdp_ind_share!K$1, gdp_tot_mes!$B$1:$XFD$1, 0), 0)</f>
        <v>0.33790410126819886</v>
      </c>
      <c r="L22" s="30">
        <f t="shared" si="0"/>
        <v>0.30851114295739118</v>
      </c>
      <c r="M22" s="29">
        <f>VLOOKUP($B22, ind_mes!$B:$XFD, MATCH(gdp_ind_share!M$1, ind_mes!$B$1:$XFD$1, 0), 0)/VLOOKUP($B22, gdp_tot_mes!$B:$XFD, MATCH(gdp_ind_share!M$1, gdp_tot_mes!$B$1:$XFD$1, 0), 0)</f>
        <v>0.27323959298442196</v>
      </c>
      <c r="N22" s="29">
        <f>VLOOKUP($B22, ind_mes!$B:$XFD, MATCH(gdp_ind_share!N$1, ind_mes!$B$1:$XFD$1, 0), 0)/VLOOKUP($B22, gdp_tot_mes!$B:$XFD, MATCH(gdp_ind_share!N$1, gdp_tot_mes!$B$1:$XFD$1, 0), 0)</f>
        <v>0.23843642256350009</v>
      </c>
      <c r="O22" s="29">
        <f>VLOOKUP($B22, ind_mes!$B:$XFD, MATCH(gdp_ind_share!O$1, ind_mes!$B$1:$XFD$1, 0), 0)/VLOOKUP($B22, gdp_tot_mes!$B:$XFD, MATCH(gdp_ind_share!O$1, gdp_tot_mes!$B$1:$XFD$1, 0), 0)</f>
        <v>0.23232762685264358</v>
      </c>
      <c r="P22" s="29">
        <f>VLOOKUP($B22, ind_mes!$B:$XFD, MATCH(gdp_ind_share!P$1, ind_mes!$B$1:$XFD$1, 0), 0)/VLOOKUP($B22, gdp_tot_mes!$B:$XFD, MATCH(gdp_ind_share!P$1, gdp_tot_mes!$B$1:$XFD$1, 0), 0)</f>
        <v>0.21366829486684744</v>
      </c>
      <c r="Q22" s="29">
        <f>VLOOKUP($B22, ind_mes!$B:$XFD, MATCH(gdp_ind_share!Q$1, ind_mes!$B$1:$XFD$1, 0), 0)/VLOOKUP($B22, gdp_tot_mes!$B:$XFD, MATCH(gdp_ind_share!Q$1, gdp_tot_mes!$B$1:$XFD$1, 0), 0)</f>
        <v>0.20954768947949276</v>
      </c>
      <c r="R22" s="29">
        <f>VLOOKUP($B22, ind_mes!$B:$XFD, MATCH(gdp_ind_share!R$1, ind_mes!$B$1:$XFD$1, 0), 0)/VLOOKUP($B22, gdp_tot_mes!$B:$XFD, MATCH(gdp_ind_share!R$1, gdp_tot_mes!$B$1:$XFD$1, 0), 0)</f>
        <v>0.20633904513529996</v>
      </c>
      <c r="S22" s="29">
        <f>VLOOKUP($B22, ind_mes!$B:$XFD, MATCH(gdp_ind_share!S$1, ind_mes!$B$1:$XFD$1, 0), 0)/VLOOKUP($B22, gdp_tot_mes!$B:$XFD, MATCH(gdp_ind_share!S$1, gdp_tot_mes!$B$1:$XFD$1, 0), 0)</f>
        <v>0.2222463308383725</v>
      </c>
      <c r="T22" s="29">
        <f>VLOOKUP($B22, ind_mes!$B:$XFD, MATCH(gdp_ind_share!T$1, ind_mes!$B$1:$XFD$1, 0), 0)/VLOOKUP($B22, gdp_tot_mes!$B:$XFD, MATCH(gdp_ind_share!T$1, gdp_tot_mes!$B$1:$XFD$1, 0), 0)</f>
        <v>0.20478917419280401</v>
      </c>
      <c r="U22" s="29">
        <f>VLOOKUP($B22, ind_mes!$B:$XFD, MATCH(gdp_ind_share!U$1, ind_mes!$B$1:$XFD$1, 0), 0)/VLOOKUP($B22, gdp_tot_mes!$B:$XFD, MATCH(gdp_ind_share!U$1, gdp_tot_mes!$B$1:$XFD$1, 0), 0)</f>
        <v>0.21760118185490551</v>
      </c>
      <c r="V22" s="29">
        <f>VLOOKUP($B22, ind_mes!$B:$XFD, MATCH(gdp_ind_share!V$1, ind_mes!$B$1:$XFD$1, 0), 0)/VLOOKUP($B22, gdp_tot_mes!$B:$XFD, MATCH(gdp_ind_share!V$1, gdp_tot_mes!$B$1:$XFD$1, 0), 0)</f>
        <v>0.21401046077295721</v>
      </c>
      <c r="W22" s="29">
        <f>VLOOKUP($B22, ind_mes!$B:$XFD, MATCH(gdp_ind_share!W$1, ind_mes!$B$1:$XFD$1, 0), 0)/VLOOKUP($B22, gdp_tot_mes!$B:$XFD, MATCH(gdp_ind_share!W$1, gdp_tot_mes!$B$1:$XFD$1, 0), 0)</f>
        <v>0.21793940413631779</v>
      </c>
      <c r="X22" s="29">
        <f>VLOOKUP($B22, ind_mes!$B:$XFD, MATCH(gdp_ind_share!X$1, ind_mes!$B$1:$XFD$1, 0), 0)/VLOOKUP($B22, gdp_tot_mes!$B:$XFD, MATCH(gdp_ind_share!X$1, gdp_tot_mes!$B$1:$XFD$1, 0), 0)</f>
        <v>0.23432316396997271</v>
      </c>
      <c r="Y22" s="29">
        <f>VLOOKUP($B22, ind_mes!$B:$XFD, MATCH(gdp_ind_share!Y$1, ind_mes!$B$1:$XFD$1, 0), 0)/VLOOKUP($B22, gdp_tot_mes!$B:$XFD, MATCH(gdp_ind_share!Y$1, gdp_tot_mes!$B$1:$XFD$1, 0), 0)</f>
        <v>0.22364361567637614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25">
      <c r="A23" s="1" t="s">
        <v>64</v>
      </c>
      <c r="B23" s="1" t="s">
        <v>71</v>
      </c>
      <c r="C23" s="1" t="s">
        <v>72</v>
      </c>
      <c r="D23" s="29">
        <f>VLOOKUP($B23, ind_mes!$B:$XFD, MATCH(gdp_ind_share!D$1, ind_mes!$B$1:$XFD$1, 0), 0)/VLOOKUP($B23, gdp_tot_mes!$B:$XFD, MATCH(gdp_ind_share!D$1, gdp_tot_mes!$B$1:$XFD$1, 0), 0)</f>
        <v>3.3361145474005906E-2</v>
      </c>
      <c r="E23" s="29">
        <f>VLOOKUP($B23, ind_mes!$B:$XFD, MATCH(gdp_ind_share!E$1, ind_mes!$B$1:$XFD$1, 0), 0)/VLOOKUP($B23, gdp_tot_mes!$B:$XFD, MATCH(gdp_ind_share!E$1, gdp_tot_mes!$B$1:$XFD$1, 0), 0)</f>
        <v>4.0791866156143386E-2</v>
      </c>
      <c r="F23" s="29">
        <f>VLOOKUP($B23, ind_mes!$B:$XFD, MATCH(gdp_ind_share!F$1, ind_mes!$B$1:$XFD$1, 0), 0)/VLOOKUP($B23, gdp_tot_mes!$B:$XFD, MATCH(gdp_ind_share!F$1, gdp_tot_mes!$B$1:$XFD$1, 0), 0)</f>
        <v>3.866949851821766E-2</v>
      </c>
      <c r="G23" s="29">
        <f>VLOOKUP($B23, ind_mes!$B:$XFD, MATCH(gdp_ind_share!G$1, ind_mes!$B$1:$XFD$1, 0), 0)/VLOOKUP($B23, gdp_tot_mes!$B:$XFD, MATCH(gdp_ind_share!G$1, gdp_tot_mes!$B$1:$XFD$1, 0), 0)</f>
        <v>6.4232572303197316E-2</v>
      </c>
      <c r="H23" s="29">
        <f>VLOOKUP($B23, ind_mes!$B:$XFD, MATCH(gdp_ind_share!H$1, ind_mes!$B$1:$XFD$1, 0), 0)/VLOOKUP($B23, gdp_tot_mes!$B:$XFD, MATCH(gdp_ind_share!H$1, gdp_tot_mes!$B$1:$XFD$1, 0), 0)</f>
        <v>0.11865290862305521</v>
      </c>
      <c r="I23" s="29">
        <f>VLOOKUP($B23, ind_mes!$B:$XFD, MATCH(gdp_ind_share!I$1, ind_mes!$B$1:$XFD$1, 0), 0)/VLOOKUP($B23, gdp_tot_mes!$B:$XFD, MATCH(gdp_ind_share!I$1, gdp_tot_mes!$B$1:$XFD$1, 0), 0)</f>
        <v>0.11508364025069939</v>
      </c>
      <c r="J23" s="29">
        <f>VLOOKUP($B23, ind_mes!$B:$XFD, MATCH(gdp_ind_share!J$1, ind_mes!$B$1:$XFD$1, 0), 0)/VLOOKUP($B23, gdp_tot_mes!$B:$XFD, MATCH(gdp_ind_share!J$1, gdp_tot_mes!$B$1:$XFD$1, 0), 0)</f>
        <v>0.14279027721814352</v>
      </c>
      <c r="K23" s="29">
        <f>VLOOKUP($B23, ind_mes!$B:$XFD, MATCH(gdp_ind_share!K$1, ind_mes!$B$1:$XFD$1, 0), 0)/VLOOKUP($B23, gdp_tot_mes!$B:$XFD, MATCH(gdp_ind_share!K$1, gdp_tot_mes!$B$1:$XFD$1, 0), 0)</f>
        <v>0.10006491336163641</v>
      </c>
      <c r="L23" s="30">
        <f t="shared" si="0"/>
        <v>7.5176051007034936E-2</v>
      </c>
      <c r="M23" s="29">
        <f>VLOOKUP($B23, ind_mes!$B:$XFD, MATCH(gdp_ind_share!M$1, ind_mes!$B$1:$XFD$1, 0), 0)/VLOOKUP($B23, gdp_tot_mes!$B:$XFD, MATCH(gdp_ind_share!M$1, gdp_tot_mes!$B$1:$XFD$1, 0), 0)</f>
        <v>4.5309416181513164E-2</v>
      </c>
      <c r="N23" s="29">
        <f>VLOOKUP($B23, ind_mes!$B:$XFD, MATCH(gdp_ind_share!N$1, ind_mes!$B$1:$XFD$1, 0), 0)/VLOOKUP($B23, gdp_tot_mes!$B:$XFD, MATCH(gdp_ind_share!N$1, gdp_tot_mes!$B$1:$XFD$1, 0), 0)</f>
        <v>0.10824101014865059</v>
      </c>
      <c r="O23" s="29">
        <f>VLOOKUP($B23, ind_mes!$B:$XFD, MATCH(gdp_ind_share!O$1, ind_mes!$B$1:$XFD$1, 0), 0)/VLOOKUP($B23, gdp_tot_mes!$B:$XFD, MATCH(gdp_ind_share!O$1, gdp_tot_mes!$B$1:$XFD$1, 0), 0)</f>
        <v>9.8345397893370615E-2</v>
      </c>
      <c r="P23" s="29">
        <f>VLOOKUP($B23, ind_mes!$B:$XFD, MATCH(gdp_ind_share!P$1, ind_mes!$B$1:$XFD$1, 0), 0)/VLOOKUP($B23, gdp_tot_mes!$B:$XFD, MATCH(gdp_ind_share!P$1, gdp_tot_mes!$B$1:$XFD$1, 0), 0)</f>
        <v>9.1857116897396493E-2</v>
      </c>
      <c r="Q23" s="29">
        <f>VLOOKUP($B23, ind_mes!$B:$XFD, MATCH(gdp_ind_share!Q$1, ind_mes!$B$1:$XFD$1, 0), 0)/VLOOKUP($B23, gdp_tot_mes!$B:$XFD, MATCH(gdp_ind_share!Q$1, gdp_tot_mes!$B$1:$XFD$1, 0), 0)</f>
        <v>7.2892671011447766E-2</v>
      </c>
      <c r="R23" s="29">
        <f>VLOOKUP($B23, ind_mes!$B:$XFD, MATCH(gdp_ind_share!R$1, ind_mes!$B$1:$XFD$1, 0), 0)/VLOOKUP($B23, gdp_tot_mes!$B:$XFD, MATCH(gdp_ind_share!R$1, gdp_tot_mes!$B$1:$XFD$1, 0), 0)</f>
        <v>7.5522778521598513E-2</v>
      </c>
      <c r="S23" s="29">
        <f>VLOOKUP($B23, ind_mes!$B:$XFD, MATCH(gdp_ind_share!S$1, ind_mes!$B$1:$XFD$1, 0), 0)/VLOOKUP($B23, gdp_tot_mes!$B:$XFD, MATCH(gdp_ind_share!S$1, gdp_tot_mes!$B$1:$XFD$1, 0), 0)</f>
        <v>8.0834748719344027E-2</v>
      </c>
      <c r="T23" s="29">
        <f>VLOOKUP($B23, ind_mes!$B:$XFD, MATCH(gdp_ind_share!T$1, ind_mes!$B$1:$XFD$1, 0), 0)/VLOOKUP($B23, gdp_tot_mes!$B:$XFD, MATCH(gdp_ind_share!T$1, gdp_tot_mes!$B$1:$XFD$1, 0), 0)</f>
        <v>7.7748775253195582E-2</v>
      </c>
      <c r="U23" s="29">
        <f>VLOOKUP($B23, ind_mes!$B:$XFD, MATCH(gdp_ind_share!U$1, ind_mes!$B$1:$XFD$1, 0), 0)/VLOOKUP($B23, gdp_tot_mes!$B:$XFD, MATCH(gdp_ind_share!U$1, gdp_tot_mes!$B$1:$XFD$1, 0), 0)</f>
        <v>8.4527875357933102E-2</v>
      </c>
      <c r="V23" s="29">
        <f>VLOOKUP($B23, ind_mes!$B:$XFD, MATCH(gdp_ind_share!V$1, ind_mes!$B$1:$XFD$1, 0), 0)/VLOOKUP($B23, gdp_tot_mes!$B:$XFD, MATCH(gdp_ind_share!V$1, gdp_tot_mes!$B$1:$XFD$1, 0), 0)</f>
        <v>8.2567177628811272E-2</v>
      </c>
      <c r="W23" s="29">
        <f>VLOOKUP($B23, ind_mes!$B:$XFD, MATCH(gdp_ind_share!W$1, ind_mes!$B$1:$XFD$1, 0), 0)/VLOOKUP($B23, gdp_tot_mes!$B:$XFD, MATCH(gdp_ind_share!W$1, gdp_tot_mes!$B$1:$XFD$1, 0), 0)</f>
        <v>8.1125684283904764E-2</v>
      </c>
      <c r="X23" s="29">
        <f>VLOOKUP($B23, ind_mes!$B:$XFD, MATCH(gdp_ind_share!X$1, ind_mes!$B$1:$XFD$1, 0), 0)/VLOOKUP($B23, gdp_tot_mes!$B:$XFD, MATCH(gdp_ind_share!X$1, gdp_tot_mes!$B$1:$XFD$1, 0), 0)</f>
        <v>9.1492604471536648E-2</v>
      </c>
      <c r="Y23" s="29">
        <f>VLOOKUP($B23, ind_mes!$B:$XFD, MATCH(gdp_ind_share!Y$1, ind_mes!$B$1:$XFD$1, 0), 0)/VLOOKUP($B23, gdp_tot_mes!$B:$XFD, MATCH(gdp_ind_share!Y$1, gdp_tot_mes!$B$1:$XFD$1, 0), 0)</f>
        <v>9.7197159380541992E-2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25">
      <c r="A24" s="1" t="s">
        <v>64</v>
      </c>
      <c r="B24" s="1" t="s">
        <v>73</v>
      </c>
      <c r="C24" s="1" t="s">
        <v>74</v>
      </c>
      <c r="D24" s="29">
        <f>VLOOKUP($B24, ind_mes!$B:$XFD, MATCH(gdp_ind_share!D$1, ind_mes!$B$1:$XFD$1, 0), 0)/VLOOKUP($B24, gdp_tot_mes!$B:$XFD, MATCH(gdp_ind_share!D$1, gdp_tot_mes!$B$1:$XFD$1, 0), 0)</f>
        <v>5.7423826868806066E-2</v>
      </c>
      <c r="E24" s="29">
        <f>VLOOKUP($B24, ind_mes!$B:$XFD, MATCH(gdp_ind_share!E$1, ind_mes!$B$1:$XFD$1, 0), 0)/VLOOKUP($B24, gdp_tot_mes!$B:$XFD, MATCH(gdp_ind_share!E$1, gdp_tot_mes!$B$1:$XFD$1, 0), 0)</f>
        <v>9.5833558147136677E-2</v>
      </c>
      <c r="F24" s="29">
        <f>VLOOKUP($B24, ind_mes!$B:$XFD, MATCH(gdp_ind_share!F$1, ind_mes!$B$1:$XFD$1, 0), 0)/VLOOKUP($B24, gdp_tot_mes!$B:$XFD, MATCH(gdp_ind_share!F$1, gdp_tot_mes!$B$1:$XFD$1, 0), 0)</f>
        <v>5.4141441932503323E-2</v>
      </c>
      <c r="G24" s="29">
        <f>VLOOKUP($B24, ind_mes!$B:$XFD, MATCH(gdp_ind_share!G$1, ind_mes!$B$1:$XFD$1, 0), 0)/VLOOKUP($B24, gdp_tot_mes!$B:$XFD, MATCH(gdp_ind_share!G$1, gdp_tot_mes!$B$1:$XFD$1, 0), 0)</f>
        <v>0.11155251515752257</v>
      </c>
      <c r="H24" s="29">
        <f>VLOOKUP($B24, ind_mes!$B:$XFD, MATCH(gdp_ind_share!H$1, ind_mes!$B$1:$XFD$1, 0), 0)/VLOOKUP($B24, gdp_tot_mes!$B:$XFD, MATCH(gdp_ind_share!H$1, gdp_tot_mes!$B$1:$XFD$1, 0), 0)</f>
        <v>0.19954874847257104</v>
      </c>
      <c r="I24" s="29">
        <f>VLOOKUP($B24, ind_mes!$B:$XFD, MATCH(gdp_ind_share!I$1, ind_mes!$B$1:$XFD$1, 0), 0)/VLOOKUP($B24, gdp_tot_mes!$B:$XFD, MATCH(gdp_ind_share!I$1, gdp_tot_mes!$B$1:$XFD$1, 0), 0)</f>
        <v>0.20728404782830021</v>
      </c>
      <c r="J24" s="29">
        <f>VLOOKUP($B24, ind_mes!$B:$XFD, MATCH(gdp_ind_share!J$1, ind_mes!$B$1:$XFD$1, 0), 0)/VLOOKUP($B24, gdp_tot_mes!$B:$XFD, MATCH(gdp_ind_share!J$1, gdp_tot_mes!$B$1:$XFD$1, 0), 0)</f>
        <v>0.22699965466993074</v>
      </c>
      <c r="K24" s="29">
        <f>VLOOKUP($B24, ind_mes!$B:$XFD, MATCH(gdp_ind_share!K$1, ind_mes!$B$1:$XFD$1, 0), 0)/VLOOKUP($B24, gdp_tot_mes!$B:$XFD, MATCH(gdp_ind_share!K$1, gdp_tot_mes!$B$1:$XFD$1, 0), 0)</f>
        <v>0.20243240083979738</v>
      </c>
      <c r="L24" s="30">
        <f t="shared" si="0"/>
        <v>0.18478603872284155</v>
      </c>
      <c r="M24" s="29">
        <f>VLOOKUP($B24, ind_mes!$B:$XFD, MATCH(gdp_ind_share!M$1, ind_mes!$B$1:$XFD$1, 0), 0)/VLOOKUP($B24, gdp_tot_mes!$B:$XFD, MATCH(gdp_ind_share!M$1, gdp_tot_mes!$B$1:$XFD$1, 0), 0)</f>
        <v>0.16361040418249453</v>
      </c>
      <c r="N24" s="29">
        <f>VLOOKUP($B24, ind_mes!$B:$XFD, MATCH(gdp_ind_share!N$1, ind_mes!$B$1:$XFD$1, 0), 0)/VLOOKUP($B24, gdp_tot_mes!$B:$XFD, MATCH(gdp_ind_share!N$1, gdp_tot_mes!$B$1:$XFD$1, 0), 0)</f>
        <v>0.21018962173866249</v>
      </c>
      <c r="O24" s="29">
        <f>VLOOKUP($B24, ind_mes!$B:$XFD, MATCH(gdp_ind_share!O$1, ind_mes!$B$1:$XFD$1, 0), 0)/VLOOKUP($B24, gdp_tot_mes!$B:$XFD, MATCH(gdp_ind_share!O$1, gdp_tot_mes!$B$1:$XFD$1, 0), 0)</f>
        <v>0.20115395723605636</v>
      </c>
      <c r="P24" s="29">
        <f>VLOOKUP($B24, ind_mes!$B:$XFD, MATCH(gdp_ind_share!P$1, ind_mes!$B$1:$XFD$1, 0), 0)/VLOOKUP($B24, gdp_tot_mes!$B:$XFD, MATCH(gdp_ind_share!P$1, gdp_tot_mes!$B$1:$XFD$1, 0), 0)</f>
        <v>0.19071220546075576</v>
      </c>
      <c r="Q24" s="29">
        <f>VLOOKUP($B24, ind_mes!$B:$XFD, MATCH(gdp_ind_share!Q$1, ind_mes!$B$1:$XFD$1, 0), 0)/VLOOKUP($B24, gdp_tot_mes!$B:$XFD, MATCH(gdp_ind_share!Q$1, gdp_tot_mes!$B$1:$XFD$1, 0), 0)</f>
        <v>0.20992581125551771</v>
      </c>
      <c r="R24" s="29">
        <f>VLOOKUP($B24, ind_mes!$B:$XFD, MATCH(gdp_ind_share!R$1, ind_mes!$B$1:$XFD$1, 0), 0)/VLOOKUP($B24, gdp_tot_mes!$B:$XFD, MATCH(gdp_ind_share!R$1, gdp_tot_mes!$B$1:$XFD$1, 0), 0)</f>
        <v>0.18172006970353916</v>
      </c>
      <c r="S24" s="29">
        <f>VLOOKUP($B24, ind_mes!$B:$XFD, MATCH(gdp_ind_share!S$1, ind_mes!$B$1:$XFD$1, 0), 0)/VLOOKUP($B24, gdp_tot_mes!$B:$XFD, MATCH(gdp_ind_share!S$1, gdp_tot_mes!$B$1:$XFD$1, 0), 0)</f>
        <v>0.17975456650455229</v>
      </c>
      <c r="T24" s="29">
        <f>VLOOKUP($B24, ind_mes!$B:$XFD, MATCH(gdp_ind_share!T$1, ind_mes!$B$1:$XFD$1, 0), 0)/VLOOKUP($B24, gdp_tot_mes!$B:$XFD, MATCH(gdp_ind_share!T$1, gdp_tot_mes!$B$1:$XFD$1, 0), 0)</f>
        <v>0.16068980566052649</v>
      </c>
      <c r="U24" s="29">
        <f>VLOOKUP($B24, ind_mes!$B:$XFD, MATCH(gdp_ind_share!U$1, ind_mes!$B$1:$XFD$1, 0), 0)/VLOOKUP($B24, gdp_tot_mes!$B:$XFD, MATCH(gdp_ind_share!U$1, gdp_tot_mes!$B$1:$XFD$1, 0), 0)</f>
        <v>0.14944897944983082</v>
      </c>
      <c r="V24" s="29">
        <f>VLOOKUP($B24, ind_mes!$B:$XFD, MATCH(gdp_ind_share!V$1, ind_mes!$B$1:$XFD$1, 0), 0)/VLOOKUP($B24, gdp_tot_mes!$B:$XFD, MATCH(gdp_ind_share!V$1, gdp_tot_mes!$B$1:$XFD$1, 0), 0)</f>
        <v>0.16587958110903442</v>
      </c>
      <c r="W24" s="29">
        <f>VLOOKUP($B24, ind_mes!$B:$XFD, MATCH(gdp_ind_share!W$1, ind_mes!$B$1:$XFD$1, 0), 0)/VLOOKUP($B24, gdp_tot_mes!$B:$XFD, MATCH(gdp_ind_share!W$1, gdp_tot_mes!$B$1:$XFD$1, 0), 0)</f>
        <v>0.14725865741701333</v>
      </c>
      <c r="X24" s="29">
        <f>VLOOKUP($B24, ind_mes!$B:$XFD, MATCH(gdp_ind_share!X$1, ind_mes!$B$1:$XFD$1, 0), 0)/VLOOKUP($B24, gdp_tot_mes!$B:$XFD, MATCH(gdp_ind_share!X$1, gdp_tot_mes!$B$1:$XFD$1, 0), 0)</f>
        <v>0.14842229770742354</v>
      </c>
      <c r="Y24" s="29">
        <f>VLOOKUP($B24, ind_mes!$B:$XFD, MATCH(gdp_ind_share!Y$1, ind_mes!$B$1:$XFD$1, 0), 0)/VLOOKUP($B24, gdp_tot_mes!$B:$XFD, MATCH(gdp_ind_share!Y$1, gdp_tot_mes!$B$1:$XFD$1, 0), 0)</f>
        <v>0.13150537566375081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25">
      <c r="A25" s="1" t="s">
        <v>64</v>
      </c>
      <c r="B25" s="1" t="s">
        <v>75</v>
      </c>
      <c r="C25" s="1" t="s">
        <v>76</v>
      </c>
      <c r="D25" s="29">
        <f>VLOOKUP($B25, ind_mes!$B:$XFD, MATCH(gdp_ind_share!D$1, ind_mes!$B$1:$XFD$1, 0), 0)/VLOOKUP($B25, gdp_tot_mes!$B:$XFD, MATCH(gdp_ind_share!D$1, gdp_tot_mes!$B$1:$XFD$1, 0), 0)</f>
        <v>0.15767118058583324</v>
      </c>
      <c r="E25" s="29">
        <f>VLOOKUP($B25, ind_mes!$B:$XFD, MATCH(gdp_ind_share!E$1, ind_mes!$B$1:$XFD$1, 0), 0)/VLOOKUP($B25, gdp_tot_mes!$B:$XFD, MATCH(gdp_ind_share!E$1, gdp_tot_mes!$B$1:$XFD$1, 0), 0)</f>
        <v>0.12838251868632714</v>
      </c>
      <c r="F25" s="29">
        <f>VLOOKUP($B25, ind_mes!$B:$XFD, MATCH(gdp_ind_share!F$1, ind_mes!$B$1:$XFD$1, 0), 0)/VLOOKUP($B25, gdp_tot_mes!$B:$XFD, MATCH(gdp_ind_share!F$1, gdp_tot_mes!$B$1:$XFD$1, 0), 0)</f>
        <v>9.1667515387163695E-2</v>
      </c>
      <c r="G25" s="29">
        <f>VLOOKUP($B25, ind_mes!$B:$XFD, MATCH(gdp_ind_share!G$1, ind_mes!$B$1:$XFD$1, 0), 0)/VLOOKUP($B25, gdp_tot_mes!$B:$XFD, MATCH(gdp_ind_share!G$1, gdp_tot_mes!$B$1:$XFD$1, 0), 0)</f>
        <v>0.15983204196608064</v>
      </c>
      <c r="H25" s="29">
        <f>VLOOKUP($B25, ind_mes!$B:$XFD, MATCH(gdp_ind_share!H$1, ind_mes!$B$1:$XFD$1, 0), 0)/VLOOKUP($B25, gdp_tot_mes!$B:$XFD, MATCH(gdp_ind_share!H$1, gdp_tot_mes!$B$1:$XFD$1, 0), 0)</f>
        <v>0.2785630567770821</v>
      </c>
      <c r="I25" s="29">
        <f>VLOOKUP($B25, ind_mes!$B:$XFD, MATCH(gdp_ind_share!I$1, ind_mes!$B$1:$XFD$1, 0), 0)/VLOOKUP($B25, gdp_tot_mes!$B:$XFD, MATCH(gdp_ind_share!I$1, gdp_tot_mes!$B$1:$XFD$1, 0), 0)</f>
        <v>0.30580270708251578</v>
      </c>
      <c r="J25" s="29">
        <f>VLOOKUP($B25, ind_mes!$B:$XFD, MATCH(gdp_ind_share!J$1, ind_mes!$B$1:$XFD$1, 0), 0)/VLOOKUP($B25, gdp_tot_mes!$B:$XFD, MATCH(gdp_ind_share!J$1, gdp_tot_mes!$B$1:$XFD$1, 0), 0)</f>
        <v>0.32309871332830936</v>
      </c>
      <c r="K25" s="29">
        <f>VLOOKUP($B25, ind_mes!$B:$XFD, MATCH(gdp_ind_share!K$1, ind_mes!$B$1:$XFD$1, 0), 0)/VLOOKUP($B25, gdp_tot_mes!$B:$XFD, MATCH(gdp_ind_share!K$1, gdp_tot_mes!$B$1:$XFD$1, 0), 0)</f>
        <v>0.1584190773202056</v>
      </c>
      <c r="L25" s="30">
        <f t="shared" si="0"/>
        <v>0.11282970601064435</v>
      </c>
      <c r="M25" s="29">
        <f>VLOOKUP($B25, ind_mes!$B:$XFD, MATCH(gdp_ind_share!M$1, ind_mes!$B$1:$XFD$1, 0), 0)/VLOOKUP($B25, gdp_tot_mes!$B:$XFD, MATCH(gdp_ind_share!M$1, gdp_tot_mes!$B$1:$XFD$1, 0), 0)</f>
        <v>5.8122460439170825E-2</v>
      </c>
      <c r="N25" s="29">
        <f>VLOOKUP($B25, ind_mes!$B:$XFD, MATCH(gdp_ind_share!N$1, ind_mes!$B$1:$XFD$1, 0), 0)/VLOOKUP($B25, gdp_tot_mes!$B:$XFD, MATCH(gdp_ind_share!N$1, gdp_tot_mes!$B$1:$XFD$1, 0), 0)</f>
        <v>0.13473156713448828</v>
      </c>
      <c r="O25" s="29">
        <f>VLOOKUP($B25, ind_mes!$B:$XFD, MATCH(gdp_ind_share!O$1, ind_mes!$B$1:$XFD$1, 0), 0)/VLOOKUP($B25, gdp_tot_mes!$B:$XFD, MATCH(gdp_ind_share!O$1, gdp_tot_mes!$B$1:$XFD$1, 0), 0)</f>
        <v>0.1195464061324485</v>
      </c>
      <c r="P25" s="29">
        <f>VLOOKUP($B25, ind_mes!$B:$XFD, MATCH(gdp_ind_share!P$1, ind_mes!$B$1:$XFD$1, 0), 0)/VLOOKUP($B25, gdp_tot_mes!$B:$XFD, MATCH(gdp_ind_share!P$1, gdp_tot_mes!$B$1:$XFD$1, 0), 0)</f>
        <v>0.10760079693982798</v>
      </c>
      <c r="Q25" s="29">
        <f>VLOOKUP($B25, ind_mes!$B:$XFD, MATCH(gdp_ind_share!Q$1, ind_mes!$B$1:$XFD$1, 0), 0)/VLOOKUP($B25, gdp_tot_mes!$B:$XFD, MATCH(gdp_ind_share!Q$1, gdp_tot_mes!$B$1:$XFD$1, 0), 0)</f>
        <v>9.92100163470023E-2</v>
      </c>
      <c r="R25" s="29">
        <f>VLOOKUP($B25, ind_mes!$B:$XFD, MATCH(gdp_ind_share!R$1, ind_mes!$B$1:$XFD$1, 0), 0)/VLOOKUP($B25, gdp_tot_mes!$B:$XFD, MATCH(gdp_ind_share!R$1, gdp_tot_mes!$B$1:$XFD$1, 0), 0)</f>
        <v>8.546173004144432E-2</v>
      </c>
      <c r="S25" s="29">
        <f>VLOOKUP($B25, ind_mes!$B:$XFD, MATCH(gdp_ind_share!S$1, ind_mes!$B$1:$XFD$1, 0), 0)/VLOOKUP($B25, gdp_tot_mes!$B:$XFD, MATCH(gdp_ind_share!S$1, gdp_tot_mes!$B$1:$XFD$1, 0), 0)</f>
        <v>8.6133243906520329E-2</v>
      </c>
      <c r="T25" s="29">
        <f>VLOOKUP($B25, ind_mes!$B:$XFD, MATCH(gdp_ind_share!T$1, ind_mes!$B$1:$XFD$1, 0), 0)/VLOOKUP($B25, gdp_tot_mes!$B:$XFD, MATCH(gdp_ind_share!T$1, gdp_tot_mes!$B$1:$XFD$1, 0), 0)</f>
        <v>8.0053256426767819E-2</v>
      </c>
      <c r="U25" s="29">
        <f>VLOOKUP($B25, ind_mes!$B:$XFD, MATCH(gdp_ind_share!U$1, ind_mes!$B$1:$XFD$1, 0), 0)/VLOOKUP($B25, gdp_tot_mes!$B:$XFD, MATCH(gdp_ind_share!U$1, gdp_tot_mes!$B$1:$XFD$1, 0), 0)</f>
        <v>8.4402327334479985E-2</v>
      </c>
      <c r="V25" s="29">
        <f>VLOOKUP($B25, ind_mes!$B:$XFD, MATCH(gdp_ind_share!V$1, ind_mes!$B$1:$XFD$1, 0), 0)/VLOOKUP($B25, gdp_tot_mes!$B:$XFD, MATCH(gdp_ind_share!V$1, gdp_tot_mes!$B$1:$XFD$1, 0), 0)</f>
        <v>8.7021775842733448E-2</v>
      </c>
      <c r="W25" s="29">
        <f>VLOOKUP($B25, ind_mes!$B:$XFD, MATCH(gdp_ind_share!W$1, ind_mes!$B$1:$XFD$1, 0), 0)/VLOOKUP($B25, gdp_tot_mes!$B:$XFD, MATCH(gdp_ind_share!W$1, gdp_tot_mes!$B$1:$XFD$1, 0), 0)</f>
        <v>8.4544707205135253E-2</v>
      </c>
      <c r="X25" s="29">
        <f>VLOOKUP($B25, ind_mes!$B:$XFD, MATCH(gdp_ind_share!X$1, ind_mes!$B$1:$XFD$1, 0), 0)/VLOOKUP($B25, gdp_tot_mes!$B:$XFD, MATCH(gdp_ind_share!X$1, gdp_tot_mes!$B$1:$XFD$1, 0), 0)</f>
        <v>9.0379461015991411E-2</v>
      </c>
      <c r="Y25" s="29">
        <f>VLOOKUP($B25, ind_mes!$B:$XFD, MATCH(gdp_ind_share!Y$1, ind_mes!$B$1:$XFD$1, 0), 0)/VLOOKUP($B25, gdp_tot_mes!$B:$XFD, MATCH(gdp_ind_share!Y$1, gdp_tot_mes!$B$1:$XFD$1, 0), 0)</f>
        <v>9.4423020104129021E-2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25">
      <c r="A26" s="1" t="s">
        <v>64</v>
      </c>
      <c r="B26" s="1" t="s">
        <v>77</v>
      </c>
      <c r="C26" s="1" t="s">
        <v>78</v>
      </c>
      <c r="D26" s="29">
        <f>VLOOKUP($B26, ind_mes!$B:$XFD, MATCH(gdp_ind_share!D$1, ind_mes!$B$1:$XFD$1, 0), 0)/VLOOKUP($B26, gdp_tot_mes!$B:$XFD, MATCH(gdp_ind_share!D$1, gdp_tot_mes!$B$1:$XFD$1, 0), 0)</f>
        <v>7.6638839903611575E-2</v>
      </c>
      <c r="E26" s="29">
        <f>VLOOKUP($B26, ind_mes!$B:$XFD, MATCH(gdp_ind_share!E$1, ind_mes!$B$1:$XFD$1, 0), 0)/VLOOKUP($B26, gdp_tot_mes!$B:$XFD, MATCH(gdp_ind_share!E$1, gdp_tot_mes!$B$1:$XFD$1, 0), 0)</f>
        <v>9.4403579507648258E-2</v>
      </c>
      <c r="F26" s="29">
        <f>VLOOKUP($B26, ind_mes!$B:$XFD, MATCH(gdp_ind_share!F$1, ind_mes!$B$1:$XFD$1, 0), 0)/VLOOKUP($B26, gdp_tot_mes!$B:$XFD, MATCH(gdp_ind_share!F$1, gdp_tot_mes!$B$1:$XFD$1, 0), 0)</f>
        <v>7.9118086120317468E-2</v>
      </c>
      <c r="G26" s="29">
        <f>VLOOKUP($B26, ind_mes!$B:$XFD, MATCH(gdp_ind_share!G$1, ind_mes!$B$1:$XFD$1, 0), 0)/VLOOKUP($B26, gdp_tot_mes!$B:$XFD, MATCH(gdp_ind_share!G$1, gdp_tot_mes!$B$1:$XFD$1, 0), 0)</f>
        <v>0.14524714665614527</v>
      </c>
      <c r="H26" s="29">
        <f>VLOOKUP($B26, ind_mes!$B:$XFD, MATCH(gdp_ind_share!H$1, ind_mes!$B$1:$XFD$1, 0), 0)/VLOOKUP($B26, gdp_tot_mes!$B:$XFD, MATCH(gdp_ind_share!H$1, gdp_tot_mes!$B$1:$XFD$1, 0), 0)</f>
        <v>0.19742725076424433</v>
      </c>
      <c r="I26" s="29">
        <f>VLOOKUP($B26, ind_mes!$B:$XFD, MATCH(gdp_ind_share!I$1, ind_mes!$B$1:$XFD$1, 0), 0)/VLOOKUP($B26, gdp_tot_mes!$B:$XFD, MATCH(gdp_ind_share!I$1, gdp_tot_mes!$B$1:$XFD$1, 0), 0)</f>
        <v>0.23600064680455934</v>
      </c>
      <c r="J26" s="29">
        <f>VLOOKUP($B26, ind_mes!$B:$XFD, MATCH(gdp_ind_share!J$1, ind_mes!$B$1:$XFD$1, 0), 0)/VLOOKUP($B26, gdp_tot_mes!$B:$XFD, MATCH(gdp_ind_share!J$1, gdp_tot_mes!$B$1:$XFD$1, 0), 0)</f>
        <v>0.28693741204169337</v>
      </c>
      <c r="K26" s="29">
        <f>VLOOKUP($B26, ind_mes!$B:$XFD, MATCH(gdp_ind_share!K$1, ind_mes!$B$1:$XFD$1, 0), 0)/VLOOKUP($B26, gdp_tot_mes!$B:$XFD, MATCH(gdp_ind_share!K$1, gdp_tot_mes!$B$1:$XFD$1, 0), 0)</f>
        <v>0.1986635275716436</v>
      </c>
      <c r="L26" s="30">
        <f t="shared" si="0"/>
        <v>0.15724678540613787</v>
      </c>
      <c r="M26" s="29">
        <f>VLOOKUP($B26, ind_mes!$B:$XFD, MATCH(gdp_ind_share!M$1, ind_mes!$B$1:$XFD$1, 0), 0)/VLOOKUP($B26, gdp_tot_mes!$B:$XFD, MATCH(gdp_ind_share!M$1, gdp_tot_mes!$B$1:$XFD$1, 0), 0)</f>
        <v>0.107546694807531</v>
      </c>
      <c r="N26" s="29">
        <f>VLOOKUP($B26, ind_mes!$B:$XFD, MATCH(gdp_ind_share!N$1, ind_mes!$B$1:$XFD$1, 0), 0)/VLOOKUP($B26, gdp_tot_mes!$B:$XFD, MATCH(gdp_ind_share!N$1, gdp_tot_mes!$B$1:$XFD$1, 0), 0)</f>
        <v>0.16449219362664672</v>
      </c>
      <c r="O26" s="29">
        <f>VLOOKUP($B26, ind_mes!$B:$XFD, MATCH(gdp_ind_share!O$1, ind_mes!$B$1:$XFD$1, 0), 0)/VLOOKUP($B26, gdp_tot_mes!$B:$XFD, MATCH(gdp_ind_share!O$1, gdp_tot_mes!$B$1:$XFD$1, 0), 0)</f>
        <v>0.15847411879933626</v>
      </c>
      <c r="P26" s="29">
        <f>VLOOKUP($B26, ind_mes!$B:$XFD, MATCH(gdp_ind_share!P$1, ind_mes!$B$1:$XFD$1, 0), 0)/VLOOKUP($B26, gdp_tot_mes!$B:$XFD, MATCH(gdp_ind_share!P$1, gdp_tot_mes!$B$1:$XFD$1, 0), 0)</f>
        <v>0.14863015662711929</v>
      </c>
      <c r="Q26" s="29">
        <f>VLOOKUP($B26, ind_mes!$B:$XFD, MATCH(gdp_ind_share!Q$1, ind_mes!$B$1:$XFD$1, 0), 0)/VLOOKUP($B26, gdp_tot_mes!$B:$XFD, MATCH(gdp_ind_share!Q$1, gdp_tot_mes!$B$1:$XFD$1, 0), 0)</f>
        <v>0.15265834699994033</v>
      </c>
      <c r="R26" s="29">
        <f>VLOOKUP($B26, ind_mes!$B:$XFD, MATCH(gdp_ind_share!R$1, ind_mes!$B$1:$XFD$1, 0), 0)/VLOOKUP($B26, gdp_tot_mes!$B:$XFD, MATCH(gdp_ind_share!R$1, gdp_tot_mes!$B$1:$XFD$1, 0), 0)</f>
        <v>0.12988178307218912</v>
      </c>
      <c r="S26" s="29">
        <f>VLOOKUP($B26, ind_mes!$B:$XFD, MATCH(gdp_ind_share!S$1, ind_mes!$B$1:$XFD$1, 0), 0)/VLOOKUP($B26, gdp_tot_mes!$B:$XFD, MATCH(gdp_ind_share!S$1, gdp_tot_mes!$B$1:$XFD$1, 0), 0)</f>
        <v>0.13081972609589551</v>
      </c>
      <c r="T26" s="29">
        <f>VLOOKUP($B26, ind_mes!$B:$XFD, MATCH(gdp_ind_share!T$1, ind_mes!$B$1:$XFD$1, 0), 0)/VLOOKUP($B26, gdp_tot_mes!$B:$XFD, MATCH(gdp_ind_share!T$1, gdp_tot_mes!$B$1:$XFD$1, 0), 0)</f>
        <v>0.12189384351481919</v>
      </c>
      <c r="U26" s="29">
        <f>VLOOKUP($B26, ind_mes!$B:$XFD, MATCH(gdp_ind_share!U$1, ind_mes!$B$1:$XFD$1, 0), 0)/VLOOKUP($B26, gdp_tot_mes!$B:$XFD, MATCH(gdp_ind_share!U$1, gdp_tot_mes!$B$1:$XFD$1, 0), 0)</f>
        <v>0.14668131775114598</v>
      </c>
      <c r="V26" s="29">
        <f>VLOOKUP($B26, ind_mes!$B:$XFD, MATCH(gdp_ind_share!V$1, ind_mes!$B$1:$XFD$1, 0), 0)/VLOOKUP($B26, gdp_tot_mes!$B:$XFD, MATCH(gdp_ind_share!V$1, gdp_tot_mes!$B$1:$XFD$1, 0), 0)</f>
        <v>0.13938978490236958</v>
      </c>
      <c r="W26" s="29">
        <f>VLOOKUP($B26, ind_mes!$B:$XFD, MATCH(gdp_ind_share!W$1, ind_mes!$B$1:$XFD$1, 0), 0)/VLOOKUP($B26, gdp_tot_mes!$B:$XFD, MATCH(gdp_ind_share!W$1, gdp_tot_mes!$B$1:$XFD$1, 0), 0)</f>
        <v>0.12493488105620114</v>
      </c>
      <c r="X26" s="29">
        <f>VLOOKUP($B26, ind_mes!$B:$XFD, MATCH(gdp_ind_share!X$1, ind_mes!$B$1:$XFD$1, 0), 0)/VLOOKUP($B26, gdp_tot_mes!$B:$XFD, MATCH(gdp_ind_share!X$1, gdp_tot_mes!$B$1:$XFD$1, 0), 0)</f>
        <v>0.13031072014137038</v>
      </c>
      <c r="Y26" s="29">
        <f>VLOOKUP($B26, ind_mes!$B:$XFD, MATCH(gdp_ind_share!Y$1, ind_mes!$B$1:$XFD$1, 0), 0)/VLOOKUP($B26, gdp_tot_mes!$B:$XFD, MATCH(gdp_ind_share!Y$1, gdp_tot_mes!$B$1:$XFD$1, 0), 0)</f>
        <v>0.14492738252221021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s="26" customFormat="1" x14ac:dyDescent="0.25">
      <c r="A27" s="24" t="s">
        <v>79</v>
      </c>
      <c r="B27" s="24" t="s">
        <v>80</v>
      </c>
      <c r="C27" s="24" t="s">
        <v>81</v>
      </c>
      <c r="D27" s="29" t="e">
        <f>VLOOKUP($B27, ind_mes!$B:$XFD, MATCH(gdp_ind_share!D$1, ind_mes!$B$1:$XFD$1, 0), 0)/VLOOKUP($B27, gdp_tot_mes!$B:$XFD, MATCH(gdp_ind_share!D$1, gdp_tot_mes!$B$1:$XFD$1, 0), 0)</f>
        <v>#DIV/0!</v>
      </c>
      <c r="E27" s="29" t="e">
        <f>VLOOKUP($B27, ind_mes!$B:$XFD, MATCH(gdp_ind_share!E$1, ind_mes!$B$1:$XFD$1, 0), 0)/VLOOKUP($B27, gdp_tot_mes!$B:$XFD, MATCH(gdp_ind_share!E$1, gdp_tot_mes!$B$1:$XFD$1, 0), 0)</f>
        <v>#DIV/0!</v>
      </c>
      <c r="F27" s="29" t="e">
        <f>VLOOKUP($B27, ind_mes!$B:$XFD, MATCH(gdp_ind_share!F$1, ind_mes!$B$1:$XFD$1, 0), 0)/VLOOKUP($B27, gdp_tot_mes!$B:$XFD, MATCH(gdp_ind_share!F$1, gdp_tot_mes!$B$1:$XFD$1, 0), 0)</f>
        <v>#DIV/0!</v>
      </c>
      <c r="G27" s="29" t="e">
        <f>VLOOKUP($B27, ind_mes!$B:$XFD, MATCH(gdp_ind_share!G$1, ind_mes!$B$1:$XFD$1, 0), 0)/VLOOKUP($B27, gdp_tot_mes!$B:$XFD, MATCH(gdp_ind_share!G$1, gdp_tot_mes!$B$1:$XFD$1, 0), 0)</f>
        <v>#DIV/0!</v>
      </c>
      <c r="H27" s="29">
        <f>VLOOKUP($B27, ind_mes!$B:$XFD, MATCH(gdp_ind_share!H$1, ind_mes!$B$1:$XFD$1, 0), 0)/VLOOKUP($B27, gdp_tot_mes!$B:$XFD, MATCH(gdp_ind_share!H$1, gdp_tot_mes!$B$1:$XFD$1, 0), 0)</f>
        <v>0.10066683650283884</v>
      </c>
      <c r="I27" s="29">
        <f>VLOOKUP($B27, ind_mes!$B:$XFD, MATCH(gdp_ind_share!I$1, ind_mes!$B$1:$XFD$1, 0), 0)/VLOOKUP($B27, gdp_tot_mes!$B:$XFD, MATCH(gdp_ind_share!I$1, gdp_tot_mes!$B$1:$XFD$1, 0), 0)</f>
        <v>0.25848614201988684</v>
      </c>
      <c r="J27" s="29">
        <f>VLOOKUP($B27, ind_mes!$B:$XFD, MATCH(gdp_ind_share!J$1, ind_mes!$B$1:$XFD$1, 0), 0)/VLOOKUP($B27, gdp_tot_mes!$B:$XFD, MATCH(gdp_ind_share!J$1, gdp_tot_mes!$B$1:$XFD$1, 0), 0)</f>
        <v>9.3079147869835718E-2</v>
      </c>
      <c r="K27" s="29">
        <f>VLOOKUP($B27, ind_mes!$B:$XFD, MATCH(gdp_ind_share!K$1, ind_mes!$B$1:$XFD$1, 0), 0)/VLOOKUP($B27, gdp_tot_mes!$B:$XFD, MATCH(gdp_ind_share!K$1, gdp_tot_mes!$B$1:$XFD$1, 0), 0)</f>
        <v>6.0271706348933383E-2</v>
      </c>
      <c r="L27" s="30">
        <f t="shared" si="0"/>
        <v>7.909737038753703E-2</v>
      </c>
      <c r="M27" s="29">
        <f>VLOOKUP($B27, ind_mes!$B:$XFD, MATCH(gdp_ind_share!M$1, ind_mes!$B$1:$XFD$1, 0), 0)/VLOOKUP($B27, gdp_tot_mes!$B:$XFD, MATCH(gdp_ind_share!M$1, gdp_tot_mes!$B$1:$XFD$1, 0), 0)</f>
        <v>0.10168816723386143</v>
      </c>
      <c r="N27" s="29">
        <f>VLOOKUP($B27, ind_mes!$B:$XFD, MATCH(gdp_ind_share!N$1, ind_mes!$B$1:$XFD$1, 0), 0)/VLOOKUP($B27, gdp_tot_mes!$B:$XFD, MATCH(gdp_ind_share!N$1, gdp_tot_mes!$B$1:$XFD$1, 0), 0)</f>
        <v>4.8865561066619941E-2</v>
      </c>
      <c r="O27" s="29">
        <f>VLOOKUP($B27, ind_mes!$B:$XFD, MATCH(gdp_ind_share!O$1, ind_mes!$B$1:$XFD$1, 0), 0)/VLOOKUP($B27, gdp_tot_mes!$B:$XFD, MATCH(gdp_ind_share!O$1, gdp_tot_mes!$B$1:$XFD$1, 0), 0)</f>
        <v>5.5177398774768939E-2</v>
      </c>
      <c r="P27" s="29">
        <f>VLOOKUP($B27, ind_mes!$B:$XFD, MATCH(gdp_ind_share!P$1, ind_mes!$B$1:$XFD$1, 0), 0)/VLOOKUP($B27, gdp_tot_mes!$B:$XFD, MATCH(gdp_ind_share!P$1, gdp_tot_mes!$B$1:$XFD$1, 0), 0)</f>
        <v>5.2551531917250767E-2</v>
      </c>
      <c r="Q27" s="29">
        <f>VLOOKUP($B27, ind_mes!$B:$XFD, MATCH(gdp_ind_share!Q$1, ind_mes!$B$1:$XFD$1, 0), 0)/VLOOKUP($B27, gdp_tot_mes!$B:$XFD, MATCH(gdp_ind_share!Q$1, gdp_tot_mes!$B$1:$XFD$1, 0), 0)</f>
        <v>7.2855244627358651E-2</v>
      </c>
      <c r="R27" s="29">
        <f>VLOOKUP($B27, ind_mes!$B:$XFD, MATCH(gdp_ind_share!R$1, ind_mes!$B$1:$XFD$1, 0), 0)/VLOOKUP($B27, gdp_tot_mes!$B:$XFD, MATCH(gdp_ind_share!R$1, gdp_tot_mes!$B$1:$XFD$1, 0), 0)</f>
        <v>5.7468642583155038E-2</v>
      </c>
      <c r="S27" s="29">
        <f>VLOOKUP($B27, ind_mes!$B:$XFD, MATCH(gdp_ind_share!S$1, ind_mes!$B$1:$XFD$1, 0), 0)/VLOOKUP($B27, gdp_tot_mes!$B:$XFD, MATCH(gdp_ind_share!S$1, gdp_tot_mes!$B$1:$XFD$1, 0), 0)</f>
        <v>6.4800646562972061E-2</v>
      </c>
      <c r="T27" s="29">
        <f>VLOOKUP($B27, ind_mes!$B:$XFD, MATCH(gdp_ind_share!T$1, ind_mes!$B$1:$XFD$1, 0), 0)/VLOOKUP($B27, gdp_tot_mes!$B:$XFD, MATCH(gdp_ind_share!T$1, gdp_tot_mes!$B$1:$XFD$1, 0), 0)</f>
        <v>6.7113049944868386E-2</v>
      </c>
      <c r="U27" s="29">
        <f>VLOOKUP($B27, ind_mes!$B:$XFD, MATCH(gdp_ind_share!U$1, ind_mes!$B$1:$XFD$1, 0), 0)/VLOOKUP($B27, gdp_tot_mes!$B:$XFD, MATCH(gdp_ind_share!U$1, gdp_tot_mes!$B$1:$XFD$1, 0), 0)</f>
        <v>5.3526653235693451E-2</v>
      </c>
      <c r="V27" s="29">
        <f>VLOOKUP($B27, ind_mes!$B:$XFD, MATCH(gdp_ind_share!V$1, ind_mes!$B$1:$XFD$1, 0), 0)/VLOOKUP($B27, gdp_tot_mes!$B:$XFD, MATCH(gdp_ind_share!V$1, gdp_tot_mes!$B$1:$XFD$1, 0), 0)</f>
        <v>5.2400845592893937E-2</v>
      </c>
      <c r="W27" s="29">
        <f>VLOOKUP($B27, ind_mes!$B:$XFD, MATCH(gdp_ind_share!W$1, ind_mes!$B$1:$XFD$1, 0), 0)/VLOOKUP($B27, gdp_tot_mes!$B:$XFD, MATCH(gdp_ind_share!W$1, gdp_tot_mes!$B$1:$XFD$1, 0), 0)</f>
        <v>4.8704494771411436E-2</v>
      </c>
      <c r="X27" s="29">
        <f>VLOOKUP($B27, ind_mes!$B:$XFD, MATCH(gdp_ind_share!X$1, ind_mes!$B$1:$XFD$1, 0), 0)/VLOOKUP($B27, gdp_tot_mes!$B:$XFD, MATCH(gdp_ind_share!X$1, gdp_tot_mes!$B$1:$XFD$1, 0), 0)</f>
        <v>5.8256976028157971E-2</v>
      </c>
      <c r="Y27" s="29">
        <f>VLOOKUP($B27, ind_mes!$B:$XFD, MATCH(gdp_ind_share!Y$1, ind_mes!$B$1:$XFD$1, 0), 0)/VLOOKUP($B27, gdp_tot_mes!$B:$XFD, MATCH(gdp_ind_share!Y$1, gdp_tot_mes!$B$1:$XFD$1, 0), 0)</f>
        <v>6.1265922542018902E-2</v>
      </c>
      <c r="Z27" s="25"/>
      <c r="AA27" s="27"/>
      <c r="AB27" s="27"/>
      <c r="AC27" s="25"/>
      <c r="AD27" s="25"/>
      <c r="AE27" s="25"/>
      <c r="AF27" s="25"/>
      <c r="AG27" s="25"/>
      <c r="AH27" s="25"/>
      <c r="AI27" s="25"/>
      <c r="AJ27" s="25"/>
    </row>
    <row r="28" spans="1:36" x14ac:dyDescent="0.25">
      <c r="A28" s="1" t="s">
        <v>82</v>
      </c>
      <c r="B28" s="1" t="s">
        <v>83</v>
      </c>
      <c r="C28" s="1" t="s">
        <v>84</v>
      </c>
      <c r="D28" s="29">
        <f>VLOOKUP($B28, ind_mes!$B:$XFD, MATCH(gdp_ind_share!D$1, ind_mes!$B$1:$XFD$1, 0), 0)/VLOOKUP($B28, gdp_tot_mes!$B:$XFD, MATCH(gdp_ind_share!D$1, gdp_tot_mes!$B$1:$XFD$1, 0), 0)</f>
        <v>3.2049408889856544E-2</v>
      </c>
      <c r="E28" s="29">
        <f>VLOOKUP($B28, ind_mes!$B:$XFD, MATCH(gdp_ind_share!E$1, ind_mes!$B$1:$XFD$1, 0), 0)/VLOOKUP($B28, gdp_tot_mes!$B:$XFD, MATCH(gdp_ind_share!E$1, gdp_tot_mes!$B$1:$XFD$1, 0), 0)</f>
        <v>5.5026202805022476E-2</v>
      </c>
      <c r="F28" s="29">
        <f>VLOOKUP($B28, ind_mes!$B:$XFD, MATCH(gdp_ind_share!F$1, ind_mes!$B$1:$XFD$1, 0), 0)/VLOOKUP($B28, gdp_tot_mes!$B:$XFD, MATCH(gdp_ind_share!F$1, gdp_tot_mes!$B$1:$XFD$1, 0), 0)</f>
        <v>7.409554074504561E-2</v>
      </c>
      <c r="G28" s="29">
        <f>VLOOKUP($B28, ind_mes!$B:$XFD, MATCH(gdp_ind_share!G$1, ind_mes!$B$1:$XFD$1, 0), 0)/VLOOKUP($B28, gdp_tot_mes!$B:$XFD, MATCH(gdp_ind_share!G$1, gdp_tot_mes!$B$1:$XFD$1, 0), 0)</f>
        <v>8.6245470524918447E-2</v>
      </c>
      <c r="H28" s="29">
        <f>VLOOKUP($B28, ind_mes!$B:$XFD, MATCH(gdp_ind_share!H$1, ind_mes!$B$1:$XFD$1, 0), 0)/VLOOKUP($B28, gdp_tot_mes!$B:$XFD, MATCH(gdp_ind_share!H$1, gdp_tot_mes!$B$1:$XFD$1, 0), 0)</f>
        <v>0.17505942629681825</v>
      </c>
      <c r="I28" s="29">
        <f>VLOOKUP($B28, ind_mes!$B:$XFD, MATCH(gdp_ind_share!I$1, ind_mes!$B$1:$XFD$1, 0), 0)/VLOOKUP($B28, gdp_tot_mes!$B:$XFD, MATCH(gdp_ind_share!I$1, gdp_tot_mes!$B$1:$XFD$1, 0), 0)</f>
        <v>0.21198880552219623</v>
      </c>
      <c r="J28" s="29">
        <f>VLOOKUP($B28, ind_mes!$B:$XFD, MATCH(gdp_ind_share!J$1, ind_mes!$B$1:$XFD$1, 0), 0)/VLOOKUP($B28, gdp_tot_mes!$B:$XFD, MATCH(gdp_ind_share!J$1, gdp_tot_mes!$B$1:$XFD$1, 0), 0)</f>
        <v>0.22756907286249126</v>
      </c>
      <c r="K28" s="29">
        <f>VLOOKUP($B28, ind_mes!$B:$XFD, MATCH(gdp_ind_share!K$1, ind_mes!$B$1:$XFD$1, 0), 0)/VLOOKUP($B28, gdp_tot_mes!$B:$XFD, MATCH(gdp_ind_share!K$1, gdp_tot_mes!$B$1:$XFD$1, 0), 0)</f>
        <v>0.1875236527344577</v>
      </c>
      <c r="L28" s="30">
        <f t="shared" si="0"/>
        <v>0.16344873909378627</v>
      </c>
      <c r="M28" s="29">
        <f>VLOOKUP($B28, ind_mes!$B:$XFD, MATCH(gdp_ind_share!M$1, ind_mes!$B$1:$XFD$1, 0), 0)/VLOOKUP($B28, gdp_tot_mes!$B:$XFD, MATCH(gdp_ind_share!M$1, gdp_tot_mes!$B$1:$XFD$1, 0), 0)</f>
        <v>0.1345588427249805</v>
      </c>
      <c r="N28" s="29">
        <f>VLOOKUP($B28, ind_mes!$B:$XFD, MATCH(gdp_ind_share!N$1, ind_mes!$B$1:$XFD$1, 0), 0)/VLOOKUP($B28, gdp_tot_mes!$B:$XFD, MATCH(gdp_ind_share!N$1, gdp_tot_mes!$B$1:$XFD$1, 0), 0)</f>
        <v>0.17242978651323571</v>
      </c>
      <c r="O28" s="29">
        <f>VLOOKUP($B28, ind_mes!$B:$XFD, MATCH(gdp_ind_share!O$1, ind_mes!$B$1:$XFD$1, 0), 0)/VLOOKUP($B28, gdp_tot_mes!$B:$XFD, MATCH(gdp_ind_share!O$1, gdp_tot_mes!$B$1:$XFD$1, 0), 0)</f>
        <v>0.14850759821253182</v>
      </c>
      <c r="P28" s="29">
        <f>VLOOKUP($B28, ind_mes!$B:$XFD, MATCH(gdp_ind_share!P$1, ind_mes!$B$1:$XFD$1, 0), 0)/VLOOKUP($B28, gdp_tot_mes!$B:$XFD, MATCH(gdp_ind_share!P$1, gdp_tot_mes!$B$1:$XFD$1, 0), 0)</f>
        <v>0.15873646328933691</v>
      </c>
      <c r="Q28" s="29">
        <f>VLOOKUP($B28, ind_mes!$B:$XFD, MATCH(gdp_ind_share!Q$1, ind_mes!$B$1:$XFD$1, 0), 0)/VLOOKUP($B28, gdp_tot_mes!$B:$XFD, MATCH(gdp_ind_share!Q$1, gdp_tot_mes!$B$1:$XFD$1, 0), 0)</f>
        <v>0.17943037948414975</v>
      </c>
      <c r="R28" s="29">
        <f>VLOOKUP($B28, ind_mes!$B:$XFD, MATCH(gdp_ind_share!R$1, ind_mes!$B$1:$XFD$1, 0), 0)/VLOOKUP($B28, gdp_tot_mes!$B:$XFD, MATCH(gdp_ind_share!R$1, gdp_tot_mes!$B$1:$XFD$1, 0), 0)</f>
        <v>0.16240211517541245</v>
      </c>
      <c r="S28" s="29">
        <f>VLOOKUP($B28, ind_mes!$B:$XFD, MATCH(gdp_ind_share!S$1, ind_mes!$B$1:$XFD$1, 0), 0)/VLOOKUP($B28, gdp_tot_mes!$B:$XFD, MATCH(gdp_ind_share!S$1, gdp_tot_mes!$B$1:$XFD$1, 0), 0)</f>
        <v>0.16122703524380358</v>
      </c>
      <c r="T28" s="29">
        <f>VLOOKUP($B28, ind_mes!$B:$XFD, MATCH(gdp_ind_share!T$1, ind_mes!$B$1:$XFD$1, 0), 0)/VLOOKUP($B28, gdp_tot_mes!$B:$XFD, MATCH(gdp_ind_share!T$1, gdp_tot_mes!$B$1:$XFD$1, 0), 0)</f>
        <v>0.18911003806496515</v>
      </c>
      <c r="U28" s="29">
        <f>VLOOKUP($B28, ind_mes!$B:$XFD, MATCH(gdp_ind_share!U$1, ind_mes!$B$1:$XFD$1, 0), 0)/VLOOKUP($B28, gdp_tot_mes!$B:$XFD, MATCH(gdp_ind_share!U$1, gdp_tot_mes!$B$1:$XFD$1, 0), 0)</f>
        <v>0.20514495820106704</v>
      </c>
      <c r="V28" s="29">
        <f>VLOOKUP($B28, ind_mes!$B:$XFD, MATCH(gdp_ind_share!V$1, ind_mes!$B$1:$XFD$1, 0), 0)/VLOOKUP($B28, gdp_tot_mes!$B:$XFD, MATCH(gdp_ind_share!V$1, gdp_tot_mes!$B$1:$XFD$1, 0), 0)</f>
        <v>0.16065934575598678</v>
      </c>
      <c r="W28" s="29">
        <f>VLOOKUP($B28, ind_mes!$B:$XFD, MATCH(gdp_ind_share!W$1, ind_mes!$B$1:$XFD$1, 0), 0)/VLOOKUP($B28, gdp_tot_mes!$B:$XFD, MATCH(gdp_ind_share!W$1, gdp_tot_mes!$B$1:$XFD$1, 0), 0)</f>
        <v>0.14268178143461785</v>
      </c>
      <c r="X28" s="29">
        <f>VLOOKUP($B28, ind_mes!$B:$XFD, MATCH(gdp_ind_share!X$1, ind_mes!$B$1:$XFD$1, 0), 0)/VLOOKUP($B28, gdp_tot_mes!$B:$XFD, MATCH(gdp_ind_share!X$1, gdp_tot_mes!$B$1:$XFD$1, 0), 0)</f>
        <v>0.15584639811738418</v>
      </c>
      <c r="Y28" s="29">
        <f>VLOOKUP($B28, ind_mes!$B:$XFD, MATCH(gdp_ind_share!Y$1, ind_mes!$B$1:$XFD$1, 0), 0)/VLOOKUP($B28, gdp_tot_mes!$B:$XFD, MATCH(gdp_ind_share!Y$1, gdp_tot_mes!$B$1:$XFD$1, 0), 0)</f>
        <v>0.19741827837271225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25">
      <c r="A29" s="1" t="s">
        <v>82</v>
      </c>
      <c r="B29" s="1" t="s">
        <v>85</v>
      </c>
      <c r="C29" s="1" t="s">
        <v>86</v>
      </c>
      <c r="D29" s="29">
        <f>VLOOKUP($B29, ind_mes!$B:$XFD, MATCH(gdp_ind_share!D$1, ind_mes!$B$1:$XFD$1, 0), 0)/VLOOKUP($B29, gdp_tot_mes!$B:$XFD, MATCH(gdp_ind_share!D$1, gdp_tot_mes!$B$1:$XFD$1, 0), 0)</f>
        <v>4.5286623121228005E-2</v>
      </c>
      <c r="E29" s="29">
        <f>VLOOKUP($B29, ind_mes!$B:$XFD, MATCH(gdp_ind_share!E$1, ind_mes!$B$1:$XFD$1, 0), 0)/VLOOKUP($B29, gdp_tot_mes!$B:$XFD, MATCH(gdp_ind_share!E$1, gdp_tot_mes!$B$1:$XFD$1, 0), 0)</f>
        <v>4.3660464588736653E-2</v>
      </c>
      <c r="F29" s="29">
        <f>VLOOKUP($B29, ind_mes!$B:$XFD, MATCH(gdp_ind_share!F$1, ind_mes!$B$1:$XFD$1, 0), 0)/VLOOKUP($B29, gdp_tot_mes!$B:$XFD, MATCH(gdp_ind_share!F$1, gdp_tot_mes!$B$1:$XFD$1, 0), 0)</f>
        <v>9.9342512648697798E-2</v>
      </c>
      <c r="G29" s="29">
        <f>VLOOKUP($B29, ind_mes!$B:$XFD, MATCH(gdp_ind_share!G$1, ind_mes!$B$1:$XFD$1, 0), 0)/VLOOKUP($B29, gdp_tot_mes!$B:$XFD, MATCH(gdp_ind_share!G$1, gdp_tot_mes!$B$1:$XFD$1, 0), 0)</f>
        <v>8.4877176194148571E-2</v>
      </c>
      <c r="H29" s="29">
        <f>VLOOKUP($B29, ind_mes!$B:$XFD, MATCH(gdp_ind_share!H$1, ind_mes!$B$1:$XFD$1, 0), 0)/VLOOKUP($B29, gdp_tot_mes!$B:$XFD, MATCH(gdp_ind_share!H$1, gdp_tot_mes!$B$1:$XFD$1, 0), 0)</f>
        <v>0.21873710894666543</v>
      </c>
      <c r="I29" s="29">
        <f>VLOOKUP($B29, ind_mes!$B:$XFD, MATCH(gdp_ind_share!I$1, ind_mes!$B$1:$XFD$1, 0), 0)/VLOOKUP($B29, gdp_tot_mes!$B:$XFD, MATCH(gdp_ind_share!I$1, gdp_tot_mes!$B$1:$XFD$1, 0), 0)</f>
        <v>0.2336215167223176</v>
      </c>
      <c r="J29" s="29">
        <f>VLOOKUP($B29, ind_mes!$B:$XFD, MATCH(gdp_ind_share!J$1, ind_mes!$B$1:$XFD$1, 0), 0)/VLOOKUP($B29, gdp_tot_mes!$B:$XFD, MATCH(gdp_ind_share!J$1, gdp_tot_mes!$B$1:$XFD$1, 0), 0)</f>
        <v>0.46049676223132296</v>
      </c>
      <c r="K29" s="29">
        <f>VLOOKUP($B29, ind_mes!$B:$XFD, MATCH(gdp_ind_share!K$1, ind_mes!$B$1:$XFD$1, 0), 0)/VLOOKUP($B29, gdp_tot_mes!$B:$XFD, MATCH(gdp_ind_share!K$1, gdp_tot_mes!$B$1:$XFD$1, 0), 0)</f>
        <v>0.3307351759266029</v>
      </c>
      <c r="L29" s="30">
        <f t="shared" si="0"/>
        <v>0.33286318366105727</v>
      </c>
      <c r="M29" s="29">
        <f>VLOOKUP($B29, ind_mes!$B:$XFD, MATCH(gdp_ind_share!M$1, ind_mes!$B$1:$XFD$1, 0), 0)/VLOOKUP($B29, gdp_tot_mes!$B:$XFD, MATCH(gdp_ind_share!M$1, gdp_tot_mes!$B$1:$XFD$1, 0), 0)</f>
        <v>0.33541679294240251</v>
      </c>
      <c r="N29" s="29">
        <f>VLOOKUP($B29, ind_mes!$B:$XFD, MATCH(gdp_ind_share!N$1, ind_mes!$B$1:$XFD$1, 0), 0)/VLOOKUP($B29, gdp_tot_mes!$B:$XFD, MATCH(gdp_ind_share!N$1, gdp_tot_mes!$B$1:$XFD$1, 0), 0)</f>
        <v>0.28816347522139085</v>
      </c>
      <c r="O29" s="29">
        <f>VLOOKUP($B29, ind_mes!$B:$XFD, MATCH(gdp_ind_share!O$1, ind_mes!$B$1:$XFD$1, 0), 0)/VLOOKUP($B29, gdp_tot_mes!$B:$XFD, MATCH(gdp_ind_share!O$1, gdp_tot_mes!$B$1:$XFD$1, 0), 0)</f>
        <v>0.26046422327051383</v>
      </c>
      <c r="P29" s="29">
        <f>VLOOKUP($B29, ind_mes!$B:$XFD, MATCH(gdp_ind_share!P$1, ind_mes!$B$1:$XFD$1, 0), 0)/VLOOKUP($B29, gdp_tot_mes!$B:$XFD, MATCH(gdp_ind_share!P$1, gdp_tot_mes!$B$1:$XFD$1, 0), 0)</f>
        <v>0.29466268072584195</v>
      </c>
      <c r="Q29" s="29">
        <f>VLOOKUP($B29, ind_mes!$B:$XFD, MATCH(gdp_ind_share!Q$1, ind_mes!$B$1:$XFD$1, 0), 0)/VLOOKUP($B29, gdp_tot_mes!$B:$XFD, MATCH(gdp_ind_share!Q$1, gdp_tot_mes!$B$1:$XFD$1, 0), 0)</f>
        <v>0.39280036969821558</v>
      </c>
      <c r="R29" s="29">
        <f>VLOOKUP($B29, ind_mes!$B:$XFD, MATCH(gdp_ind_share!R$1, ind_mes!$B$1:$XFD$1, 0), 0)/VLOOKUP($B29, gdp_tot_mes!$B:$XFD, MATCH(gdp_ind_share!R$1, gdp_tot_mes!$B$1:$XFD$1, 0), 0)</f>
        <v>0.42940626421074601</v>
      </c>
      <c r="S29" s="29">
        <f>VLOOKUP($B29, ind_mes!$B:$XFD, MATCH(gdp_ind_share!S$1, ind_mes!$B$1:$XFD$1, 0), 0)/VLOOKUP($B29, gdp_tot_mes!$B:$XFD, MATCH(gdp_ind_share!S$1, gdp_tot_mes!$B$1:$XFD$1, 0), 0)</f>
        <v>0.35052968133965373</v>
      </c>
      <c r="T29" s="29">
        <f>VLOOKUP($B29, ind_mes!$B:$XFD, MATCH(gdp_ind_share!T$1, ind_mes!$B$1:$XFD$1, 0), 0)/VLOOKUP($B29, gdp_tot_mes!$B:$XFD, MATCH(gdp_ind_share!T$1, gdp_tot_mes!$B$1:$XFD$1, 0), 0)</f>
        <v>0.39623959208090387</v>
      </c>
      <c r="U29" s="29">
        <f>VLOOKUP($B29, ind_mes!$B:$XFD, MATCH(gdp_ind_share!U$1, ind_mes!$B$1:$XFD$1, 0), 0)/VLOOKUP($B29, gdp_tot_mes!$B:$XFD, MATCH(gdp_ind_share!U$1, gdp_tot_mes!$B$1:$XFD$1, 0), 0)</f>
        <v>0.50041603656151057</v>
      </c>
      <c r="V29" s="29">
        <f>VLOOKUP($B29, ind_mes!$B:$XFD, MATCH(gdp_ind_share!V$1, ind_mes!$B$1:$XFD$1, 0), 0)/VLOOKUP($B29, gdp_tot_mes!$B:$XFD, MATCH(gdp_ind_share!V$1, gdp_tot_mes!$B$1:$XFD$1, 0), 0)</f>
        <v>0.53821113837948797</v>
      </c>
      <c r="W29" s="29">
        <f>VLOOKUP($B29, ind_mes!$B:$XFD, MATCH(gdp_ind_share!W$1, ind_mes!$B$1:$XFD$1, 0), 0)/VLOOKUP($B29, gdp_tot_mes!$B:$XFD, MATCH(gdp_ind_share!W$1, gdp_tot_mes!$B$1:$XFD$1, 0), 0)</f>
        <v>0.60993483764264789</v>
      </c>
      <c r="X29" s="29">
        <f>VLOOKUP($B29, ind_mes!$B:$XFD, MATCH(gdp_ind_share!X$1, ind_mes!$B$1:$XFD$1, 0), 0)/VLOOKUP($B29, gdp_tot_mes!$B:$XFD, MATCH(gdp_ind_share!X$1, gdp_tot_mes!$B$1:$XFD$1, 0), 0)</f>
        <v>0.51068131634368941</v>
      </c>
      <c r="Y29" s="29">
        <f>VLOOKUP($B29, ind_mes!$B:$XFD, MATCH(gdp_ind_share!Y$1, ind_mes!$B$1:$XFD$1, 0), 0)/VLOOKUP($B29, gdp_tot_mes!$B:$XFD, MATCH(gdp_ind_share!Y$1, gdp_tot_mes!$B$1:$XFD$1, 0), 0)</f>
        <v>0.47392955983920515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5">
      <c r="A30" s="1" t="s">
        <v>82</v>
      </c>
      <c r="B30" s="1" t="s">
        <v>87</v>
      </c>
      <c r="C30" s="1" t="s">
        <v>88</v>
      </c>
      <c r="D30" s="29">
        <f>VLOOKUP($B30, ind_mes!$B:$XFD, MATCH(gdp_ind_share!D$1, ind_mes!$B$1:$XFD$1, 0), 0)/VLOOKUP($B30, gdp_tot_mes!$B:$XFD, MATCH(gdp_ind_share!D$1, gdp_tot_mes!$B$1:$XFD$1, 0), 0)</f>
        <v>5.740663819376033E-2</v>
      </c>
      <c r="E30" s="29">
        <f>VLOOKUP($B30, ind_mes!$B:$XFD, MATCH(gdp_ind_share!E$1, ind_mes!$B$1:$XFD$1, 0), 0)/VLOOKUP($B30, gdp_tot_mes!$B:$XFD, MATCH(gdp_ind_share!E$1, gdp_tot_mes!$B$1:$XFD$1, 0), 0)</f>
        <v>6.1768840365626097E-2</v>
      </c>
      <c r="F30" s="29">
        <f>VLOOKUP($B30, ind_mes!$B:$XFD, MATCH(gdp_ind_share!F$1, ind_mes!$B$1:$XFD$1, 0), 0)/VLOOKUP($B30, gdp_tot_mes!$B:$XFD, MATCH(gdp_ind_share!F$1, gdp_tot_mes!$B$1:$XFD$1, 0), 0)</f>
        <v>8.1001901881395319E-2</v>
      </c>
      <c r="G30" s="29">
        <f>VLOOKUP($B30, ind_mes!$B:$XFD, MATCH(gdp_ind_share!G$1, ind_mes!$B$1:$XFD$1, 0), 0)/VLOOKUP($B30, gdp_tot_mes!$B:$XFD, MATCH(gdp_ind_share!G$1, gdp_tot_mes!$B$1:$XFD$1, 0), 0)</f>
        <v>9.4704815667140341E-2</v>
      </c>
      <c r="H30" s="29">
        <f>VLOOKUP($B30, ind_mes!$B:$XFD, MATCH(gdp_ind_share!H$1, ind_mes!$B$1:$XFD$1, 0), 0)/VLOOKUP($B30, gdp_tot_mes!$B:$XFD, MATCH(gdp_ind_share!H$1, gdp_tot_mes!$B$1:$XFD$1, 0), 0)</f>
        <v>0.18070089823031074</v>
      </c>
      <c r="I30" s="29">
        <f>VLOOKUP($B30, ind_mes!$B:$XFD, MATCH(gdp_ind_share!I$1, ind_mes!$B$1:$XFD$1, 0), 0)/VLOOKUP($B30, gdp_tot_mes!$B:$XFD, MATCH(gdp_ind_share!I$1, gdp_tot_mes!$B$1:$XFD$1, 0), 0)</f>
        <v>0.27953111738837855</v>
      </c>
      <c r="J30" s="29">
        <f>VLOOKUP($B30, ind_mes!$B:$XFD, MATCH(gdp_ind_share!J$1, ind_mes!$B$1:$XFD$1, 0), 0)/VLOOKUP($B30, gdp_tot_mes!$B:$XFD, MATCH(gdp_ind_share!J$1, gdp_tot_mes!$B$1:$XFD$1, 0), 0)</f>
        <v>0.37558752406276458</v>
      </c>
      <c r="K30" s="29">
        <f>VLOOKUP($B30, ind_mes!$B:$XFD, MATCH(gdp_ind_share!K$1, ind_mes!$B$1:$XFD$1, 0), 0)/VLOOKUP($B30, gdp_tot_mes!$B:$XFD, MATCH(gdp_ind_share!K$1, gdp_tot_mes!$B$1:$XFD$1, 0), 0)</f>
        <v>0.41948551824222219</v>
      </c>
      <c r="L30" s="30">
        <f t="shared" si="0"/>
        <v>0.36471858880916336</v>
      </c>
      <c r="M30" s="29">
        <f>VLOOKUP($B30, ind_mes!$B:$XFD, MATCH(gdp_ind_share!M$1, ind_mes!$B$1:$XFD$1, 0), 0)/VLOOKUP($B30, gdp_tot_mes!$B:$XFD, MATCH(gdp_ind_share!M$1, gdp_tot_mes!$B$1:$XFD$1, 0), 0)</f>
        <v>0.29899827348949282</v>
      </c>
      <c r="N30" s="29">
        <f>VLOOKUP($B30, ind_mes!$B:$XFD, MATCH(gdp_ind_share!N$1, ind_mes!$B$1:$XFD$1, 0), 0)/VLOOKUP($B30, gdp_tot_mes!$B:$XFD, MATCH(gdp_ind_share!N$1, gdp_tot_mes!$B$1:$XFD$1, 0), 0)</f>
        <v>0.23688084310168295</v>
      </c>
      <c r="O30" s="29">
        <f>VLOOKUP($B30, ind_mes!$B:$XFD, MATCH(gdp_ind_share!O$1, ind_mes!$B$1:$XFD$1, 0), 0)/VLOOKUP($B30, gdp_tot_mes!$B:$XFD, MATCH(gdp_ind_share!O$1, gdp_tot_mes!$B$1:$XFD$1, 0), 0)</f>
        <v>0.24570748932897829</v>
      </c>
      <c r="P30" s="29">
        <f>VLOOKUP($B30, ind_mes!$B:$XFD, MATCH(gdp_ind_share!P$1, ind_mes!$B$1:$XFD$1, 0), 0)/VLOOKUP($B30, gdp_tot_mes!$B:$XFD, MATCH(gdp_ind_share!P$1, gdp_tot_mes!$B$1:$XFD$1, 0), 0)</f>
        <v>0.24023795685406626</v>
      </c>
      <c r="Q30" s="29">
        <f>VLOOKUP($B30, ind_mes!$B:$XFD, MATCH(gdp_ind_share!Q$1, ind_mes!$B$1:$XFD$1, 0), 0)/VLOOKUP($B30, gdp_tot_mes!$B:$XFD, MATCH(gdp_ind_share!Q$1, gdp_tot_mes!$B$1:$XFD$1, 0), 0)</f>
        <v>0.30997546791401803</v>
      </c>
      <c r="R30" s="29">
        <f>VLOOKUP($B30, ind_mes!$B:$XFD, MATCH(gdp_ind_share!R$1, ind_mes!$B$1:$XFD$1, 0), 0)/VLOOKUP($B30, gdp_tot_mes!$B:$XFD, MATCH(gdp_ind_share!R$1, gdp_tot_mes!$B$1:$XFD$1, 0), 0)</f>
        <v>0.28990218014302876</v>
      </c>
      <c r="S30" s="29">
        <f>VLOOKUP($B30, ind_mes!$B:$XFD, MATCH(gdp_ind_share!S$1, ind_mes!$B$1:$XFD$1, 0), 0)/VLOOKUP($B30, gdp_tot_mes!$B:$XFD, MATCH(gdp_ind_share!S$1, gdp_tot_mes!$B$1:$XFD$1, 0), 0)</f>
        <v>0.29053506209350421</v>
      </c>
      <c r="T30" s="29">
        <f>VLOOKUP($B30, ind_mes!$B:$XFD, MATCH(gdp_ind_share!T$1, ind_mes!$B$1:$XFD$1, 0), 0)/VLOOKUP($B30, gdp_tot_mes!$B:$XFD, MATCH(gdp_ind_share!T$1, gdp_tot_mes!$B$1:$XFD$1, 0), 0)</f>
        <v>0.28510666634537046</v>
      </c>
      <c r="U30" s="29">
        <f>VLOOKUP($B30, ind_mes!$B:$XFD, MATCH(gdp_ind_share!U$1, ind_mes!$B$1:$XFD$1, 0), 0)/VLOOKUP($B30, gdp_tot_mes!$B:$XFD, MATCH(gdp_ind_share!U$1, gdp_tot_mes!$B$1:$XFD$1, 0), 0)</f>
        <v>0.29936574159508633</v>
      </c>
      <c r="V30" s="29">
        <f>VLOOKUP($B30, ind_mes!$B:$XFD, MATCH(gdp_ind_share!V$1, ind_mes!$B$1:$XFD$1, 0), 0)/VLOOKUP($B30, gdp_tot_mes!$B:$XFD, MATCH(gdp_ind_share!V$1, gdp_tot_mes!$B$1:$XFD$1, 0), 0)</f>
        <v>0.26533732581891384</v>
      </c>
      <c r="W30" s="29">
        <f>VLOOKUP($B30, ind_mes!$B:$XFD, MATCH(gdp_ind_share!W$1, ind_mes!$B$1:$XFD$1, 0), 0)/VLOOKUP($B30, gdp_tot_mes!$B:$XFD, MATCH(gdp_ind_share!W$1, gdp_tot_mes!$B$1:$XFD$1, 0), 0)</f>
        <v>0.25697470496277497</v>
      </c>
      <c r="X30" s="29">
        <f>VLOOKUP($B30, ind_mes!$B:$XFD, MATCH(gdp_ind_share!X$1, ind_mes!$B$1:$XFD$1, 0), 0)/VLOOKUP($B30, gdp_tot_mes!$B:$XFD, MATCH(gdp_ind_share!X$1, gdp_tot_mes!$B$1:$XFD$1, 0), 0)</f>
        <v>0.21761423494846394</v>
      </c>
      <c r="Y30" s="29">
        <f>VLOOKUP($B30, ind_mes!$B:$XFD, MATCH(gdp_ind_share!Y$1, ind_mes!$B$1:$XFD$1, 0), 0)/VLOOKUP($B30, gdp_tot_mes!$B:$XFD, MATCH(gdp_ind_share!Y$1, gdp_tot_mes!$B$1:$XFD$1, 0), 0)</f>
        <v>0.27457117073420334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25">
      <c r="A31" s="1" t="s">
        <v>82</v>
      </c>
      <c r="B31" s="1" t="s">
        <v>89</v>
      </c>
      <c r="C31" s="1" t="s">
        <v>90</v>
      </c>
      <c r="D31" s="29">
        <f>VLOOKUP($B31, ind_mes!$B:$XFD, MATCH(gdp_ind_share!D$1, ind_mes!$B$1:$XFD$1, 0), 0)/VLOOKUP($B31, gdp_tot_mes!$B:$XFD, MATCH(gdp_ind_share!D$1, gdp_tot_mes!$B$1:$XFD$1, 0), 0)</f>
        <v>4.1797347188685205E-2</v>
      </c>
      <c r="E31" s="29">
        <f>VLOOKUP($B31, ind_mes!$B:$XFD, MATCH(gdp_ind_share!E$1, ind_mes!$B$1:$XFD$1, 0), 0)/VLOOKUP($B31, gdp_tot_mes!$B:$XFD, MATCH(gdp_ind_share!E$1, gdp_tot_mes!$B$1:$XFD$1, 0), 0)</f>
        <v>7.1846549968899109E-2</v>
      </c>
      <c r="F31" s="29">
        <f>VLOOKUP($B31, ind_mes!$B:$XFD, MATCH(gdp_ind_share!F$1, ind_mes!$B$1:$XFD$1, 0), 0)/VLOOKUP($B31, gdp_tot_mes!$B:$XFD, MATCH(gdp_ind_share!F$1, gdp_tot_mes!$B$1:$XFD$1, 0), 0)</f>
        <v>0.11863789602479079</v>
      </c>
      <c r="G31" s="29">
        <f>VLOOKUP($B31, ind_mes!$B:$XFD, MATCH(gdp_ind_share!G$1, ind_mes!$B$1:$XFD$1, 0), 0)/VLOOKUP($B31, gdp_tot_mes!$B:$XFD, MATCH(gdp_ind_share!G$1, gdp_tot_mes!$B$1:$XFD$1, 0), 0)</f>
        <v>0.13407933329181976</v>
      </c>
      <c r="H31" s="29">
        <f>VLOOKUP($B31, ind_mes!$B:$XFD, MATCH(gdp_ind_share!H$1, ind_mes!$B$1:$XFD$1, 0), 0)/VLOOKUP($B31, gdp_tot_mes!$B:$XFD, MATCH(gdp_ind_share!H$1, gdp_tot_mes!$B$1:$XFD$1, 0), 0)</f>
        <v>0.26944463352103942</v>
      </c>
      <c r="I31" s="29">
        <f>VLOOKUP($B31, ind_mes!$B:$XFD, MATCH(gdp_ind_share!I$1, ind_mes!$B$1:$XFD$1, 0), 0)/VLOOKUP($B31, gdp_tot_mes!$B:$XFD, MATCH(gdp_ind_share!I$1, gdp_tot_mes!$B$1:$XFD$1, 0), 0)</f>
        <v>0.28201930720398166</v>
      </c>
      <c r="J31" s="29">
        <f>VLOOKUP($B31, ind_mes!$B:$XFD, MATCH(gdp_ind_share!J$1, ind_mes!$B$1:$XFD$1, 0), 0)/VLOOKUP($B31, gdp_tot_mes!$B:$XFD, MATCH(gdp_ind_share!J$1, gdp_tot_mes!$B$1:$XFD$1, 0), 0)</f>
        <v>0.28553000959446789</v>
      </c>
      <c r="K31" s="29">
        <f>VLOOKUP($B31, ind_mes!$B:$XFD, MATCH(gdp_ind_share!K$1, ind_mes!$B$1:$XFD$1, 0), 0)/VLOOKUP($B31, gdp_tot_mes!$B:$XFD, MATCH(gdp_ind_share!K$1, gdp_tot_mes!$B$1:$XFD$1, 0), 0)</f>
        <v>0.23753749174078176</v>
      </c>
      <c r="L31" s="30">
        <f t="shared" si="0"/>
        <v>0.214164781823518</v>
      </c>
      <c r="M31" s="29">
        <f>VLOOKUP($B31, ind_mes!$B:$XFD, MATCH(gdp_ind_share!M$1, ind_mes!$B$1:$XFD$1, 0), 0)/VLOOKUP($B31, gdp_tot_mes!$B:$XFD, MATCH(gdp_ind_share!M$1, gdp_tot_mes!$B$1:$XFD$1, 0), 0)</f>
        <v>0.18611752992280148</v>
      </c>
      <c r="N31" s="29">
        <f>VLOOKUP($B31, ind_mes!$B:$XFD, MATCH(gdp_ind_share!N$1, ind_mes!$B$1:$XFD$1, 0), 0)/VLOOKUP($B31, gdp_tot_mes!$B:$XFD, MATCH(gdp_ind_share!N$1, gdp_tot_mes!$B$1:$XFD$1, 0), 0)</f>
        <v>0.18471127840078722</v>
      </c>
      <c r="O31" s="29">
        <f>VLOOKUP($B31, ind_mes!$B:$XFD, MATCH(gdp_ind_share!O$1, ind_mes!$B$1:$XFD$1, 0), 0)/VLOOKUP($B31, gdp_tot_mes!$B:$XFD, MATCH(gdp_ind_share!O$1, gdp_tot_mes!$B$1:$XFD$1, 0), 0)</f>
        <v>0.18075917273603531</v>
      </c>
      <c r="P31" s="29">
        <f>VLOOKUP($B31, ind_mes!$B:$XFD, MATCH(gdp_ind_share!P$1, ind_mes!$B$1:$XFD$1, 0), 0)/VLOOKUP($B31, gdp_tot_mes!$B:$XFD, MATCH(gdp_ind_share!P$1, gdp_tot_mes!$B$1:$XFD$1, 0), 0)</f>
        <v>0.19426655785935132</v>
      </c>
      <c r="Q31" s="29">
        <f>VLOOKUP($B31, ind_mes!$B:$XFD, MATCH(gdp_ind_share!Q$1, ind_mes!$B$1:$XFD$1, 0), 0)/VLOOKUP($B31, gdp_tot_mes!$B:$XFD, MATCH(gdp_ind_share!Q$1, gdp_tot_mes!$B$1:$XFD$1, 0), 0)</f>
        <v>0.23061098554400361</v>
      </c>
      <c r="R31" s="29">
        <f>VLOOKUP($B31, ind_mes!$B:$XFD, MATCH(gdp_ind_share!R$1, ind_mes!$B$1:$XFD$1, 0), 0)/VLOOKUP($B31, gdp_tot_mes!$B:$XFD, MATCH(gdp_ind_share!R$1, gdp_tot_mes!$B$1:$XFD$1, 0), 0)</f>
        <v>0.26962356970354073</v>
      </c>
      <c r="S31" s="29">
        <f>VLOOKUP($B31, ind_mes!$B:$XFD, MATCH(gdp_ind_share!S$1, ind_mes!$B$1:$XFD$1, 0), 0)/VLOOKUP($B31, gdp_tot_mes!$B:$XFD, MATCH(gdp_ind_share!S$1, gdp_tot_mes!$B$1:$XFD$1, 0), 0)</f>
        <v>0.263765507039743</v>
      </c>
      <c r="T31" s="29">
        <f>VLOOKUP($B31, ind_mes!$B:$XFD, MATCH(gdp_ind_share!T$1, ind_mes!$B$1:$XFD$1, 0), 0)/VLOOKUP($B31, gdp_tot_mes!$B:$XFD, MATCH(gdp_ind_share!T$1, gdp_tot_mes!$B$1:$XFD$1, 0), 0)</f>
        <v>0.33381686889323242</v>
      </c>
      <c r="U31" s="29">
        <f>VLOOKUP($B31, ind_mes!$B:$XFD, MATCH(gdp_ind_share!U$1, ind_mes!$B$1:$XFD$1, 0), 0)/VLOOKUP($B31, gdp_tot_mes!$B:$XFD, MATCH(gdp_ind_share!U$1, gdp_tot_mes!$B$1:$XFD$1, 0), 0)</f>
        <v>0.2969101706347505</v>
      </c>
      <c r="V31" s="29">
        <f>VLOOKUP($B31, ind_mes!$B:$XFD, MATCH(gdp_ind_share!V$1, ind_mes!$B$1:$XFD$1, 0), 0)/VLOOKUP($B31, gdp_tot_mes!$B:$XFD, MATCH(gdp_ind_share!V$1, gdp_tot_mes!$B$1:$XFD$1, 0), 0)</f>
        <v>0.43447397781237729</v>
      </c>
      <c r="W31" s="29">
        <f>VLOOKUP($B31, ind_mes!$B:$XFD, MATCH(gdp_ind_share!W$1, ind_mes!$B$1:$XFD$1, 0), 0)/VLOOKUP($B31, gdp_tot_mes!$B:$XFD, MATCH(gdp_ind_share!W$1, gdp_tot_mes!$B$1:$XFD$1, 0), 0)</f>
        <v>0.49118697759187169</v>
      </c>
      <c r="X31" s="29">
        <f>VLOOKUP($B31, ind_mes!$B:$XFD, MATCH(gdp_ind_share!X$1, ind_mes!$B$1:$XFD$1, 0), 0)/VLOOKUP($B31, gdp_tot_mes!$B:$XFD, MATCH(gdp_ind_share!X$1, gdp_tot_mes!$B$1:$XFD$1, 0), 0)</f>
        <v>0.43535475956958103</v>
      </c>
      <c r="Y31" s="29">
        <f>VLOOKUP($B31, ind_mes!$B:$XFD, MATCH(gdp_ind_share!Y$1, ind_mes!$B$1:$XFD$1, 0), 0)/VLOOKUP($B31, gdp_tot_mes!$B:$XFD, MATCH(gdp_ind_share!Y$1, gdp_tot_mes!$B$1:$XFD$1, 0), 0)</f>
        <v>0.61440915485791536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25">
      <c r="A32" s="1" t="s">
        <v>91</v>
      </c>
      <c r="B32" s="1" t="s">
        <v>92</v>
      </c>
      <c r="C32" s="1" t="s">
        <v>93</v>
      </c>
      <c r="D32" s="29">
        <f>VLOOKUP($B32, ind_mes!$B:$XFD, MATCH(gdp_ind_share!D$1, ind_mes!$B$1:$XFD$1, 0), 0)/VLOOKUP($B32, gdp_tot_mes!$B:$XFD, MATCH(gdp_ind_share!D$1, gdp_tot_mes!$B$1:$XFD$1, 0), 0)</f>
        <v>3.1822551163044541E-2</v>
      </c>
      <c r="E32" s="29">
        <f>VLOOKUP($B32, ind_mes!$B:$XFD, MATCH(gdp_ind_share!E$1, ind_mes!$B$1:$XFD$1, 0), 0)/VLOOKUP($B32, gdp_tot_mes!$B:$XFD, MATCH(gdp_ind_share!E$1, gdp_tot_mes!$B$1:$XFD$1, 0), 0)</f>
        <v>4.501885865828343E-2</v>
      </c>
      <c r="F32" s="29">
        <f>VLOOKUP($B32, ind_mes!$B:$XFD, MATCH(gdp_ind_share!F$1, ind_mes!$B$1:$XFD$1, 0), 0)/VLOOKUP($B32, gdp_tot_mes!$B:$XFD, MATCH(gdp_ind_share!F$1, gdp_tot_mes!$B$1:$XFD$1, 0), 0)</f>
        <v>1.2415346556221014E-2</v>
      </c>
      <c r="G32" s="29">
        <f>VLOOKUP($B32, ind_mes!$B:$XFD, MATCH(gdp_ind_share!G$1, ind_mes!$B$1:$XFD$1, 0), 0)/VLOOKUP($B32, gdp_tot_mes!$B:$XFD, MATCH(gdp_ind_share!G$1, gdp_tot_mes!$B$1:$XFD$1, 0), 0)</f>
        <v>4.2919626786961991E-2</v>
      </c>
      <c r="H32" s="29">
        <f>VLOOKUP($B32, ind_mes!$B:$XFD, MATCH(gdp_ind_share!H$1, ind_mes!$B$1:$XFD$1, 0), 0)/VLOOKUP($B32, gdp_tot_mes!$B:$XFD, MATCH(gdp_ind_share!H$1, gdp_tot_mes!$B$1:$XFD$1, 0), 0)</f>
        <v>6.8624976202500562E-2</v>
      </c>
      <c r="I32" s="29">
        <f>VLOOKUP($B32, ind_mes!$B:$XFD, MATCH(gdp_ind_share!I$1, ind_mes!$B$1:$XFD$1, 0), 0)/VLOOKUP($B32, gdp_tot_mes!$B:$XFD, MATCH(gdp_ind_share!I$1, gdp_tot_mes!$B$1:$XFD$1, 0), 0)</f>
        <v>1.8069446273200361E-2</v>
      </c>
      <c r="J32" s="29">
        <f>VLOOKUP($B32, ind_mes!$B:$XFD, MATCH(gdp_ind_share!J$1, ind_mes!$B$1:$XFD$1, 0), 0)/VLOOKUP($B32, gdp_tot_mes!$B:$XFD, MATCH(gdp_ind_share!J$1, gdp_tot_mes!$B$1:$XFD$1, 0), 0)</f>
        <v>8.4828198559757706E-2</v>
      </c>
      <c r="K32" s="29">
        <f>VLOOKUP($B32, ind_mes!$B:$XFD, MATCH(gdp_ind_share!K$1, ind_mes!$B$1:$XFD$1, 0), 0)/VLOOKUP($B32, gdp_tot_mes!$B:$XFD, MATCH(gdp_ind_share!K$1, gdp_tot_mes!$B$1:$XFD$1, 0), 0)</f>
        <v>5.6533798838414903E-2</v>
      </c>
      <c r="L32" s="30">
        <f t="shared" si="0"/>
        <v>8.6835925555091037E-2</v>
      </c>
      <c r="M32" s="29">
        <f>VLOOKUP($B32, ind_mes!$B:$XFD, MATCH(gdp_ind_share!M$1, ind_mes!$B$1:$XFD$1, 0), 0)/VLOOKUP($B32, gdp_tot_mes!$B:$XFD, MATCH(gdp_ind_share!M$1, gdp_tot_mes!$B$1:$XFD$1, 0), 0)</f>
        <v>0.12319847761510239</v>
      </c>
      <c r="N32" s="29">
        <f>VLOOKUP($B32, ind_mes!$B:$XFD, MATCH(gdp_ind_share!N$1, ind_mes!$B$1:$XFD$1, 0), 0)/VLOOKUP($B32, gdp_tot_mes!$B:$XFD, MATCH(gdp_ind_share!N$1, gdp_tot_mes!$B$1:$XFD$1, 0), 0)</f>
        <v>0.16347550480309941</v>
      </c>
      <c r="O32" s="29">
        <f>VLOOKUP($B32, ind_mes!$B:$XFD, MATCH(gdp_ind_share!O$1, ind_mes!$B$1:$XFD$1, 0), 0)/VLOOKUP($B32, gdp_tot_mes!$B:$XFD, MATCH(gdp_ind_share!O$1, gdp_tot_mes!$B$1:$XFD$1, 0), 0)</f>
        <v>0.1916578094428284</v>
      </c>
      <c r="P32" s="29">
        <f>VLOOKUP($B32, ind_mes!$B:$XFD, MATCH(gdp_ind_share!P$1, ind_mes!$B$1:$XFD$1, 0), 0)/VLOOKUP($B32, gdp_tot_mes!$B:$XFD, MATCH(gdp_ind_share!P$1, gdp_tot_mes!$B$1:$XFD$1, 0), 0)</f>
        <v>0.18781578816244282</v>
      </c>
      <c r="Q32" s="29">
        <f>VLOOKUP($B32, ind_mes!$B:$XFD, MATCH(gdp_ind_share!Q$1, ind_mes!$B$1:$XFD$1, 0), 0)/VLOOKUP($B32, gdp_tot_mes!$B:$XFD, MATCH(gdp_ind_share!Q$1, gdp_tot_mes!$B$1:$XFD$1, 0), 0)</f>
        <v>0.13642725013730034</v>
      </c>
      <c r="R32" s="29">
        <f>VLOOKUP($B32, ind_mes!$B:$XFD, MATCH(gdp_ind_share!R$1, ind_mes!$B$1:$XFD$1, 0), 0)/VLOOKUP($B32, gdp_tot_mes!$B:$XFD, MATCH(gdp_ind_share!R$1, gdp_tot_mes!$B$1:$XFD$1, 0), 0)</f>
        <v>0.12735093860993163</v>
      </c>
      <c r="S32" s="29">
        <f>VLOOKUP($B32, ind_mes!$B:$XFD, MATCH(gdp_ind_share!S$1, ind_mes!$B$1:$XFD$1, 0), 0)/VLOOKUP($B32, gdp_tot_mes!$B:$XFD, MATCH(gdp_ind_share!S$1, gdp_tot_mes!$B$1:$XFD$1, 0), 0)</f>
        <v>0.17765596048588425</v>
      </c>
      <c r="T32" s="29">
        <f>VLOOKUP($B32, ind_mes!$B:$XFD, MATCH(gdp_ind_share!T$1, ind_mes!$B$1:$XFD$1, 0), 0)/VLOOKUP($B32, gdp_tot_mes!$B:$XFD, MATCH(gdp_ind_share!T$1, gdp_tot_mes!$B$1:$XFD$1, 0), 0)</f>
        <v>0.17211194610060365</v>
      </c>
      <c r="U32" s="29">
        <f>VLOOKUP($B32, ind_mes!$B:$XFD, MATCH(gdp_ind_share!U$1, ind_mes!$B$1:$XFD$1, 0), 0)/VLOOKUP($B32, gdp_tot_mes!$B:$XFD, MATCH(gdp_ind_share!U$1, gdp_tot_mes!$B$1:$XFD$1, 0), 0)</f>
        <v>0.16045299682511618</v>
      </c>
      <c r="V32" s="29">
        <f>VLOOKUP($B32, ind_mes!$B:$XFD, MATCH(gdp_ind_share!V$1, ind_mes!$B$1:$XFD$1, 0), 0)/VLOOKUP($B32, gdp_tot_mes!$B:$XFD, MATCH(gdp_ind_share!V$1, gdp_tot_mes!$B$1:$XFD$1, 0), 0)</f>
        <v>0.17147702604973356</v>
      </c>
      <c r="W32" s="29">
        <f>VLOOKUP($B32, ind_mes!$B:$XFD, MATCH(gdp_ind_share!W$1, ind_mes!$B$1:$XFD$1, 0), 0)/VLOOKUP($B32, gdp_tot_mes!$B:$XFD, MATCH(gdp_ind_share!W$1, gdp_tot_mes!$B$1:$XFD$1, 0), 0)</f>
        <v>0.1297925140174328</v>
      </c>
      <c r="X32" s="29">
        <f>VLOOKUP($B32, ind_mes!$B:$XFD, MATCH(gdp_ind_share!X$1, ind_mes!$B$1:$XFD$1, 0), 0)/VLOOKUP($B32, gdp_tot_mes!$B:$XFD, MATCH(gdp_ind_share!X$1, gdp_tot_mes!$B$1:$XFD$1, 0), 0)</f>
        <v>0.15370203048188616</v>
      </c>
      <c r="Y32" s="29">
        <f>VLOOKUP($B32, ind_mes!$B:$XFD, MATCH(gdp_ind_share!Y$1, ind_mes!$B$1:$XFD$1, 0), 0)/VLOOKUP($B32, gdp_tot_mes!$B:$XFD, MATCH(gdp_ind_share!Y$1, gdp_tot_mes!$B$1:$XFD$1, 0), 0)</f>
        <v>0.14416975995389855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25">
      <c r="A33" s="1" t="s">
        <v>91</v>
      </c>
      <c r="B33" s="1" t="s">
        <v>94</v>
      </c>
      <c r="C33" s="1" t="s">
        <v>95</v>
      </c>
      <c r="D33" s="29">
        <f>VLOOKUP($B33, ind_mes!$B:$XFD, MATCH(gdp_ind_share!D$1, ind_mes!$B$1:$XFD$1, 0), 0)/VLOOKUP($B33, gdp_tot_mes!$B:$XFD, MATCH(gdp_ind_share!D$1, gdp_tot_mes!$B$1:$XFD$1, 0), 0)</f>
        <v>2.5563382739344626E-2</v>
      </c>
      <c r="E33" s="29">
        <f>VLOOKUP($B33, ind_mes!$B:$XFD, MATCH(gdp_ind_share!E$1, ind_mes!$B$1:$XFD$1, 0), 0)/VLOOKUP($B33, gdp_tot_mes!$B:$XFD, MATCH(gdp_ind_share!E$1, gdp_tot_mes!$B$1:$XFD$1, 0), 0)</f>
        <v>0</v>
      </c>
      <c r="F33" s="29">
        <f>VLOOKUP($B33, ind_mes!$B:$XFD, MATCH(gdp_ind_share!F$1, ind_mes!$B$1:$XFD$1, 0), 0)/VLOOKUP($B33, gdp_tot_mes!$B:$XFD, MATCH(gdp_ind_share!F$1, gdp_tot_mes!$B$1:$XFD$1, 0), 0)</f>
        <v>4.4368394139061287E-3</v>
      </c>
      <c r="G33" s="29">
        <f>VLOOKUP($B33, ind_mes!$B:$XFD, MATCH(gdp_ind_share!G$1, ind_mes!$B$1:$XFD$1, 0), 0)/VLOOKUP($B33, gdp_tot_mes!$B:$XFD, MATCH(gdp_ind_share!G$1, gdp_tot_mes!$B$1:$XFD$1, 0), 0)</f>
        <v>1.5253765995511748E-2</v>
      </c>
      <c r="H33" s="29">
        <f>VLOOKUP($B33, ind_mes!$B:$XFD, MATCH(gdp_ind_share!H$1, ind_mes!$B$1:$XFD$1, 0), 0)/VLOOKUP($B33, gdp_tot_mes!$B:$XFD, MATCH(gdp_ind_share!H$1, gdp_tot_mes!$B$1:$XFD$1, 0), 0)</f>
        <v>0.27532324027691885</v>
      </c>
      <c r="I33" s="29">
        <f>VLOOKUP($B33, ind_mes!$B:$XFD, MATCH(gdp_ind_share!I$1, ind_mes!$B$1:$XFD$1, 0), 0)/VLOOKUP($B33, gdp_tot_mes!$B:$XFD, MATCH(gdp_ind_share!I$1, gdp_tot_mes!$B$1:$XFD$1, 0), 0)</f>
        <v>0.10286047006805672</v>
      </c>
      <c r="J33" s="29">
        <f>VLOOKUP($B33, ind_mes!$B:$XFD, MATCH(gdp_ind_share!J$1, ind_mes!$B$1:$XFD$1, 0), 0)/VLOOKUP($B33, gdp_tot_mes!$B:$XFD, MATCH(gdp_ind_share!J$1, gdp_tot_mes!$B$1:$XFD$1, 0), 0)</f>
        <v>0.4178418491408773</v>
      </c>
      <c r="K33" s="29">
        <f>VLOOKUP($B33, ind_mes!$B:$XFD, MATCH(gdp_ind_share!K$1, ind_mes!$B$1:$XFD$1, 0), 0)/VLOOKUP($B33, gdp_tot_mes!$B:$XFD, MATCH(gdp_ind_share!K$1, gdp_tot_mes!$B$1:$XFD$1, 0), 0)</f>
        <v>0.47387717792130141</v>
      </c>
      <c r="L33" s="30">
        <f t="shared" si="0"/>
        <v>0.43886792400242119</v>
      </c>
      <c r="M33" s="29">
        <f>VLOOKUP($B33, ind_mes!$B:$XFD, MATCH(gdp_ind_share!M$1, ind_mes!$B$1:$XFD$1, 0), 0)/VLOOKUP($B33, gdp_tot_mes!$B:$XFD, MATCH(gdp_ind_share!M$1, gdp_tot_mes!$B$1:$XFD$1, 0), 0)</f>
        <v>0.39685681929976491</v>
      </c>
      <c r="N33" s="29">
        <f>VLOOKUP($B33, ind_mes!$B:$XFD, MATCH(gdp_ind_share!N$1, ind_mes!$B$1:$XFD$1, 0), 0)/VLOOKUP($B33, gdp_tot_mes!$B:$XFD, MATCH(gdp_ind_share!N$1, gdp_tot_mes!$B$1:$XFD$1, 0), 0)</f>
        <v>0.33566132425666756</v>
      </c>
      <c r="O33" s="29">
        <f>VLOOKUP($B33, ind_mes!$B:$XFD, MATCH(gdp_ind_share!O$1, ind_mes!$B$1:$XFD$1, 0), 0)/VLOOKUP($B33, gdp_tot_mes!$B:$XFD, MATCH(gdp_ind_share!O$1, gdp_tot_mes!$B$1:$XFD$1, 0), 0)</f>
        <v>0.363503965498778</v>
      </c>
      <c r="P33" s="29">
        <f>VLOOKUP($B33, ind_mes!$B:$XFD, MATCH(gdp_ind_share!P$1, ind_mes!$B$1:$XFD$1, 0), 0)/VLOOKUP($B33, gdp_tot_mes!$B:$XFD, MATCH(gdp_ind_share!P$1, gdp_tot_mes!$B$1:$XFD$1, 0), 0)</f>
        <v>0.41326019847108558</v>
      </c>
      <c r="Q33" s="29">
        <f>VLOOKUP($B33, ind_mes!$B:$XFD, MATCH(gdp_ind_share!Q$1, ind_mes!$B$1:$XFD$1, 0), 0)/VLOOKUP($B33, gdp_tot_mes!$B:$XFD, MATCH(gdp_ind_share!Q$1, gdp_tot_mes!$B$1:$XFD$1, 0), 0)</f>
        <v>0.46058082579723897</v>
      </c>
      <c r="R33" s="29">
        <f>VLOOKUP($B33, ind_mes!$B:$XFD, MATCH(gdp_ind_share!R$1, ind_mes!$B$1:$XFD$1, 0), 0)/VLOOKUP($B33, gdp_tot_mes!$B:$XFD, MATCH(gdp_ind_share!R$1, gdp_tot_mes!$B$1:$XFD$1, 0), 0)</f>
        <v>0.48464430322196811</v>
      </c>
      <c r="S33" s="29">
        <f>VLOOKUP($B33, ind_mes!$B:$XFD, MATCH(gdp_ind_share!S$1, ind_mes!$B$1:$XFD$1, 0), 0)/VLOOKUP($B33, gdp_tot_mes!$B:$XFD, MATCH(gdp_ind_share!S$1, gdp_tot_mes!$B$1:$XFD$1, 0), 0)</f>
        <v>0.48781522241388015</v>
      </c>
      <c r="T33" s="29">
        <f>VLOOKUP($B33, ind_mes!$B:$XFD, MATCH(gdp_ind_share!T$1, ind_mes!$B$1:$XFD$1, 0), 0)/VLOOKUP($B33, gdp_tot_mes!$B:$XFD, MATCH(gdp_ind_share!T$1, gdp_tot_mes!$B$1:$XFD$1, 0), 0)</f>
        <v>0.46442077195101433</v>
      </c>
      <c r="U33" s="29">
        <f>VLOOKUP($B33, ind_mes!$B:$XFD, MATCH(gdp_ind_share!U$1, ind_mes!$B$1:$XFD$1, 0), 0)/VLOOKUP($B33, gdp_tot_mes!$B:$XFD, MATCH(gdp_ind_share!U$1, gdp_tot_mes!$B$1:$XFD$1, 0), 0)</f>
        <v>0.45838226702903473</v>
      </c>
      <c r="V33" s="29">
        <f>VLOOKUP($B33, ind_mes!$B:$XFD, MATCH(gdp_ind_share!V$1, ind_mes!$B$1:$XFD$1, 0), 0)/VLOOKUP($B33, gdp_tot_mes!$B:$XFD, MATCH(gdp_ind_share!V$1, gdp_tot_mes!$B$1:$XFD$1, 0), 0)</f>
        <v>0.57555158471296308</v>
      </c>
      <c r="W33" s="29">
        <f>VLOOKUP($B33, ind_mes!$B:$XFD, MATCH(gdp_ind_share!W$1, ind_mes!$B$1:$XFD$1, 0), 0)/VLOOKUP($B33, gdp_tot_mes!$B:$XFD, MATCH(gdp_ind_share!W$1, gdp_tot_mes!$B$1:$XFD$1, 0), 0)</f>
        <v>0.46927380757752063</v>
      </c>
      <c r="X33" s="29">
        <f>VLOOKUP($B33, ind_mes!$B:$XFD, MATCH(gdp_ind_share!X$1, ind_mes!$B$1:$XFD$1, 0), 0)/VLOOKUP($B33, gdp_tot_mes!$B:$XFD, MATCH(gdp_ind_share!X$1, gdp_tot_mes!$B$1:$XFD$1, 0), 0)</f>
        <v>0.45474759080957755</v>
      </c>
      <c r="Y33" s="29">
        <f>VLOOKUP($B33, ind_mes!$B:$XFD, MATCH(gdp_ind_share!Y$1, ind_mes!$B$1:$XFD$1, 0), 0)/VLOOKUP($B33, gdp_tot_mes!$B:$XFD, MATCH(gdp_ind_share!Y$1, gdp_tot_mes!$B$1:$XFD$1, 0), 0)</f>
        <v>0.42690136927906774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25">
      <c r="A34" s="1" t="s">
        <v>91</v>
      </c>
      <c r="B34" s="1" t="s">
        <v>96</v>
      </c>
      <c r="C34" s="1" t="s">
        <v>97</v>
      </c>
      <c r="D34" s="29">
        <f>VLOOKUP($B34, ind_mes!$B:$XFD, MATCH(gdp_ind_share!D$1, ind_mes!$B$1:$XFD$1, 0), 0)/VLOOKUP($B34, gdp_tot_mes!$B:$XFD, MATCH(gdp_ind_share!D$1, gdp_tot_mes!$B$1:$XFD$1, 0), 0)</f>
        <v>8.0907690952562658E-3</v>
      </c>
      <c r="E34" s="29">
        <f>VLOOKUP($B34, ind_mes!$B:$XFD, MATCH(gdp_ind_share!E$1, ind_mes!$B$1:$XFD$1, 0), 0)/VLOOKUP($B34, gdp_tot_mes!$B:$XFD, MATCH(gdp_ind_share!E$1, gdp_tot_mes!$B$1:$XFD$1, 0), 0)</f>
        <v>6.55772307485189E-2</v>
      </c>
      <c r="F34" s="29">
        <f>VLOOKUP($B34, ind_mes!$B:$XFD, MATCH(gdp_ind_share!F$1, ind_mes!$B$1:$XFD$1, 0), 0)/VLOOKUP($B34, gdp_tot_mes!$B:$XFD, MATCH(gdp_ind_share!F$1, gdp_tot_mes!$B$1:$XFD$1, 0), 0)</f>
        <v>0.10755088023702826</v>
      </c>
      <c r="G34" s="29">
        <f>VLOOKUP($B34, ind_mes!$B:$XFD, MATCH(gdp_ind_share!G$1, ind_mes!$B$1:$XFD$1, 0), 0)/VLOOKUP($B34, gdp_tot_mes!$B:$XFD, MATCH(gdp_ind_share!G$1, gdp_tot_mes!$B$1:$XFD$1, 0), 0)</f>
        <v>0.13592221432920537</v>
      </c>
      <c r="H34" s="29">
        <f>VLOOKUP($B34, ind_mes!$B:$XFD, MATCH(gdp_ind_share!H$1, ind_mes!$B$1:$XFD$1, 0), 0)/VLOOKUP($B34, gdp_tot_mes!$B:$XFD, MATCH(gdp_ind_share!H$1, gdp_tot_mes!$B$1:$XFD$1, 0), 0)</f>
        <v>0.20135331140157536</v>
      </c>
      <c r="I34" s="29">
        <f>VLOOKUP($B34, ind_mes!$B:$XFD, MATCH(gdp_ind_share!I$1, ind_mes!$B$1:$XFD$1, 0), 0)/VLOOKUP($B34, gdp_tot_mes!$B:$XFD, MATCH(gdp_ind_share!I$1, gdp_tot_mes!$B$1:$XFD$1, 0), 0)</f>
        <v>6.7789536819769139E-2</v>
      </c>
      <c r="J34" s="29">
        <f>VLOOKUP($B34, ind_mes!$B:$XFD, MATCH(gdp_ind_share!J$1, ind_mes!$B$1:$XFD$1, 0), 0)/VLOOKUP($B34, gdp_tot_mes!$B:$XFD, MATCH(gdp_ind_share!J$1, gdp_tot_mes!$B$1:$XFD$1, 0), 0)</f>
        <v>0.2658078141491258</v>
      </c>
      <c r="K34" s="29">
        <f>VLOOKUP($B34, ind_mes!$B:$XFD, MATCH(gdp_ind_share!K$1, ind_mes!$B$1:$XFD$1, 0), 0)/VLOOKUP($B34, gdp_tot_mes!$B:$XFD, MATCH(gdp_ind_share!K$1, gdp_tot_mes!$B$1:$XFD$1, 0), 0)</f>
        <v>0.24398651392601178</v>
      </c>
      <c r="L34" s="30">
        <f t="shared" si="0"/>
        <v>0.25196892368006824</v>
      </c>
      <c r="M34" s="29">
        <f>VLOOKUP($B34, ind_mes!$B:$XFD, MATCH(gdp_ind_share!M$1, ind_mes!$B$1:$XFD$1, 0), 0)/VLOOKUP($B34, gdp_tot_mes!$B:$XFD, MATCH(gdp_ind_share!M$1, gdp_tot_mes!$B$1:$XFD$1, 0), 0)</f>
        <v>0.26154781538493599</v>
      </c>
      <c r="N34" s="29">
        <f>VLOOKUP($B34, ind_mes!$B:$XFD, MATCH(gdp_ind_share!N$1, ind_mes!$B$1:$XFD$1, 0), 0)/VLOOKUP($B34, gdp_tot_mes!$B:$XFD, MATCH(gdp_ind_share!N$1, gdp_tot_mes!$B$1:$XFD$1, 0), 0)</f>
        <v>0.17111278017134604</v>
      </c>
      <c r="O34" s="29">
        <f>VLOOKUP($B34, ind_mes!$B:$XFD, MATCH(gdp_ind_share!O$1, ind_mes!$B$1:$XFD$1, 0), 0)/VLOOKUP($B34, gdp_tot_mes!$B:$XFD, MATCH(gdp_ind_share!O$1, gdp_tot_mes!$B$1:$XFD$1, 0), 0)</f>
        <v>0.1926277057412322</v>
      </c>
      <c r="P34" s="29">
        <f>VLOOKUP($B34, ind_mes!$B:$XFD, MATCH(gdp_ind_share!P$1, ind_mes!$B$1:$XFD$1, 0), 0)/VLOOKUP($B34, gdp_tot_mes!$B:$XFD, MATCH(gdp_ind_share!P$1, gdp_tot_mes!$B$1:$XFD$1, 0), 0)</f>
        <v>0.18446607339421345</v>
      </c>
      <c r="Q34" s="29">
        <f>VLOOKUP($B34, ind_mes!$B:$XFD, MATCH(gdp_ind_share!Q$1, ind_mes!$B$1:$XFD$1, 0), 0)/VLOOKUP($B34, gdp_tot_mes!$B:$XFD, MATCH(gdp_ind_share!Q$1, gdp_tot_mes!$B$1:$XFD$1, 0), 0)</f>
        <v>0.22058141037113216</v>
      </c>
      <c r="R34" s="29">
        <f>VLOOKUP($B34, ind_mes!$B:$XFD, MATCH(gdp_ind_share!R$1, ind_mes!$B$1:$XFD$1, 0), 0)/VLOOKUP($B34, gdp_tot_mes!$B:$XFD, MATCH(gdp_ind_share!R$1, gdp_tot_mes!$B$1:$XFD$1, 0), 0)</f>
        <v>0.21640034315464163</v>
      </c>
      <c r="S34" s="29">
        <f>VLOOKUP($B34, ind_mes!$B:$XFD, MATCH(gdp_ind_share!S$1, ind_mes!$B$1:$XFD$1, 0), 0)/VLOOKUP($B34, gdp_tot_mes!$B:$XFD, MATCH(gdp_ind_share!S$1, gdp_tot_mes!$B$1:$XFD$1, 0), 0)</f>
        <v>0.23194367895974638</v>
      </c>
      <c r="T34" s="29">
        <f>VLOOKUP($B34, ind_mes!$B:$XFD, MATCH(gdp_ind_share!T$1, ind_mes!$B$1:$XFD$1, 0), 0)/VLOOKUP($B34, gdp_tot_mes!$B:$XFD, MATCH(gdp_ind_share!T$1, gdp_tot_mes!$B$1:$XFD$1, 0), 0)</f>
        <v>0.23619408060974725</v>
      </c>
      <c r="U34" s="29">
        <f>VLOOKUP($B34, ind_mes!$B:$XFD, MATCH(gdp_ind_share!U$1, ind_mes!$B$1:$XFD$1, 0), 0)/VLOOKUP($B34, gdp_tot_mes!$B:$XFD, MATCH(gdp_ind_share!U$1, gdp_tot_mes!$B$1:$XFD$1, 0), 0)</f>
        <v>0.23698022380651135</v>
      </c>
      <c r="V34" s="29">
        <f>VLOOKUP($B34, ind_mes!$B:$XFD, MATCH(gdp_ind_share!V$1, ind_mes!$B$1:$XFD$1, 0), 0)/VLOOKUP($B34, gdp_tot_mes!$B:$XFD, MATCH(gdp_ind_share!V$1, gdp_tot_mes!$B$1:$XFD$1, 0), 0)</f>
        <v>0.23994064465579593</v>
      </c>
      <c r="W34" s="29">
        <f>VLOOKUP($B34, ind_mes!$B:$XFD, MATCH(gdp_ind_share!W$1, ind_mes!$B$1:$XFD$1, 0), 0)/VLOOKUP($B34, gdp_tot_mes!$B:$XFD, MATCH(gdp_ind_share!W$1, gdp_tot_mes!$B$1:$XFD$1, 0), 0)</f>
        <v>0.23619260521850624</v>
      </c>
      <c r="X34" s="29">
        <f>VLOOKUP($B34, ind_mes!$B:$XFD, MATCH(gdp_ind_share!X$1, ind_mes!$B$1:$XFD$1, 0), 0)/VLOOKUP($B34, gdp_tot_mes!$B:$XFD, MATCH(gdp_ind_share!X$1, gdp_tot_mes!$B$1:$XFD$1, 0), 0)</f>
        <v>0.25095327947913482</v>
      </c>
      <c r="Y34" s="29">
        <f>VLOOKUP($B34, ind_mes!$B:$XFD, MATCH(gdp_ind_share!Y$1, ind_mes!$B$1:$XFD$1, 0), 0)/VLOOKUP($B34, gdp_tot_mes!$B:$XFD, MATCH(gdp_ind_share!Y$1, gdp_tot_mes!$B$1:$XFD$1, 0), 0)</f>
        <v>0.26225793202908532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25">
      <c r="A35" s="1" t="s">
        <v>91</v>
      </c>
      <c r="B35" s="1" t="s">
        <v>98</v>
      </c>
      <c r="C35" s="1" t="s">
        <v>99</v>
      </c>
      <c r="D35" s="29">
        <f>VLOOKUP($B35, ind_mes!$B:$XFD, MATCH(gdp_ind_share!D$1, ind_mes!$B$1:$XFD$1, 0), 0)/VLOOKUP($B35, gdp_tot_mes!$B:$XFD, MATCH(gdp_ind_share!D$1, gdp_tot_mes!$B$1:$XFD$1, 0), 0)</f>
        <v>2.4033005655470355E-2</v>
      </c>
      <c r="E35" s="29">
        <f>VLOOKUP($B35, ind_mes!$B:$XFD, MATCH(gdp_ind_share!E$1, ind_mes!$B$1:$XFD$1, 0), 0)/VLOOKUP($B35, gdp_tot_mes!$B:$XFD, MATCH(gdp_ind_share!E$1, gdp_tot_mes!$B$1:$XFD$1, 0), 0)</f>
        <v>1.0379118047126731E-2</v>
      </c>
      <c r="F35" s="29">
        <f>VLOOKUP($B35, ind_mes!$B:$XFD, MATCH(gdp_ind_share!F$1, ind_mes!$B$1:$XFD$1, 0), 0)/VLOOKUP($B35, gdp_tot_mes!$B:$XFD, MATCH(gdp_ind_share!F$1, gdp_tot_mes!$B$1:$XFD$1, 0), 0)</f>
        <v>2.8629704654814039E-2</v>
      </c>
      <c r="G35" s="29">
        <f>VLOOKUP($B35, ind_mes!$B:$XFD, MATCH(gdp_ind_share!G$1, ind_mes!$B$1:$XFD$1, 0), 0)/VLOOKUP($B35, gdp_tot_mes!$B:$XFD, MATCH(gdp_ind_share!G$1, gdp_tot_mes!$B$1:$XFD$1, 0), 0)</f>
        <v>4.1739780053739038E-2</v>
      </c>
      <c r="H35" s="29">
        <f>VLOOKUP($B35, ind_mes!$B:$XFD, MATCH(gdp_ind_share!H$1, ind_mes!$B$1:$XFD$1, 0), 0)/VLOOKUP($B35, gdp_tot_mes!$B:$XFD, MATCH(gdp_ind_share!H$1, gdp_tot_mes!$B$1:$XFD$1, 0), 0)</f>
        <v>0.10737793738255315</v>
      </c>
      <c r="I35" s="29">
        <f>VLOOKUP($B35, ind_mes!$B:$XFD, MATCH(gdp_ind_share!I$1, ind_mes!$B$1:$XFD$1, 0), 0)/VLOOKUP($B35, gdp_tot_mes!$B:$XFD, MATCH(gdp_ind_share!I$1, gdp_tot_mes!$B$1:$XFD$1, 0), 0)</f>
        <v>6.8895007920279916E-2</v>
      </c>
      <c r="J35" s="29">
        <f>VLOOKUP($B35, ind_mes!$B:$XFD, MATCH(gdp_ind_share!J$1, ind_mes!$B$1:$XFD$1, 0), 0)/VLOOKUP($B35, gdp_tot_mes!$B:$XFD, MATCH(gdp_ind_share!J$1, gdp_tot_mes!$B$1:$XFD$1, 0), 0)</f>
        <v>0.24746505532831811</v>
      </c>
      <c r="K35" s="29">
        <f>VLOOKUP($B35, ind_mes!$B:$XFD, MATCH(gdp_ind_share!K$1, ind_mes!$B$1:$XFD$1, 0), 0)/VLOOKUP($B35, gdp_tot_mes!$B:$XFD, MATCH(gdp_ind_share!K$1, gdp_tot_mes!$B$1:$XFD$1, 0), 0)</f>
        <v>0.19190427794981979</v>
      </c>
      <c r="L35" s="30">
        <f t="shared" si="0"/>
        <v>0.13127675506948921</v>
      </c>
      <c r="M35" s="29">
        <f>VLOOKUP($B35, ind_mes!$B:$XFD, MATCH(gdp_ind_share!M$1, ind_mes!$B$1:$XFD$1, 0), 0)/VLOOKUP($B35, gdp_tot_mes!$B:$XFD, MATCH(gdp_ind_share!M$1, gdp_tot_mes!$B$1:$XFD$1, 0), 0)</f>
        <v>5.8523727613092533E-2</v>
      </c>
      <c r="N35" s="29">
        <f>VLOOKUP($B35, ind_mes!$B:$XFD, MATCH(gdp_ind_share!N$1, ind_mes!$B$1:$XFD$1, 0), 0)/VLOOKUP($B35, gdp_tot_mes!$B:$XFD, MATCH(gdp_ind_share!N$1, gdp_tot_mes!$B$1:$XFD$1, 0), 0)</f>
        <v>0.13100076431673685</v>
      </c>
      <c r="O35" s="29">
        <f>VLOOKUP($B35, ind_mes!$B:$XFD, MATCH(gdp_ind_share!O$1, ind_mes!$B$1:$XFD$1, 0), 0)/VLOOKUP($B35, gdp_tot_mes!$B:$XFD, MATCH(gdp_ind_share!O$1, gdp_tot_mes!$B$1:$XFD$1, 0), 0)</f>
        <v>0.14688854521650585</v>
      </c>
      <c r="P35" s="29">
        <f>VLOOKUP($B35, ind_mes!$B:$XFD, MATCH(gdp_ind_share!P$1, ind_mes!$B$1:$XFD$1, 0), 0)/VLOOKUP($B35, gdp_tot_mes!$B:$XFD, MATCH(gdp_ind_share!P$1, gdp_tot_mes!$B$1:$XFD$1, 0), 0)</f>
        <v>0.15225916634340436</v>
      </c>
      <c r="Q35" s="29">
        <f>VLOOKUP($B35, ind_mes!$B:$XFD, MATCH(gdp_ind_share!Q$1, ind_mes!$B$1:$XFD$1, 0), 0)/VLOOKUP($B35, gdp_tot_mes!$B:$XFD, MATCH(gdp_ind_share!Q$1, gdp_tot_mes!$B$1:$XFD$1, 0), 0)</f>
        <v>0.12296338167108493</v>
      </c>
      <c r="R35" s="29">
        <f>VLOOKUP($B35, ind_mes!$B:$XFD, MATCH(gdp_ind_share!R$1, ind_mes!$B$1:$XFD$1, 0), 0)/VLOOKUP($B35, gdp_tot_mes!$B:$XFD, MATCH(gdp_ind_share!R$1, gdp_tot_mes!$B$1:$XFD$1, 0), 0)</f>
        <v>0.12964485054052066</v>
      </c>
      <c r="S35" s="29">
        <f>VLOOKUP($B35, ind_mes!$B:$XFD, MATCH(gdp_ind_share!S$1, ind_mes!$B$1:$XFD$1, 0), 0)/VLOOKUP($B35, gdp_tot_mes!$B:$XFD, MATCH(gdp_ind_share!S$1, gdp_tot_mes!$B$1:$XFD$1, 0), 0)</f>
        <v>0.15036955232168031</v>
      </c>
      <c r="T35" s="29">
        <f>VLOOKUP($B35, ind_mes!$B:$XFD, MATCH(gdp_ind_share!T$1, ind_mes!$B$1:$XFD$1, 0), 0)/VLOOKUP($B35, gdp_tot_mes!$B:$XFD, MATCH(gdp_ind_share!T$1, gdp_tot_mes!$B$1:$XFD$1, 0), 0)</f>
        <v>0.15111199891258947</v>
      </c>
      <c r="U35" s="29">
        <f>VLOOKUP($B35, ind_mes!$B:$XFD, MATCH(gdp_ind_share!U$1, ind_mes!$B$1:$XFD$1, 0), 0)/VLOOKUP($B35, gdp_tot_mes!$B:$XFD, MATCH(gdp_ind_share!U$1, gdp_tot_mes!$B$1:$XFD$1, 0), 0)</f>
        <v>0.14619391882489213</v>
      </c>
      <c r="V35" s="29">
        <f>VLOOKUP($B35, ind_mes!$B:$XFD, MATCH(gdp_ind_share!V$1, ind_mes!$B$1:$XFD$1, 0), 0)/VLOOKUP($B35, gdp_tot_mes!$B:$XFD, MATCH(gdp_ind_share!V$1, gdp_tot_mes!$B$1:$XFD$1, 0), 0)</f>
        <v>0.1820708948033436</v>
      </c>
      <c r="W35" s="29">
        <f>VLOOKUP($B35, ind_mes!$B:$XFD, MATCH(gdp_ind_share!W$1, ind_mes!$B$1:$XFD$1, 0), 0)/VLOOKUP($B35, gdp_tot_mes!$B:$XFD, MATCH(gdp_ind_share!W$1, gdp_tot_mes!$B$1:$XFD$1, 0), 0)</f>
        <v>0.1740778531885481</v>
      </c>
      <c r="X35" s="29">
        <f>VLOOKUP($B35, ind_mes!$B:$XFD, MATCH(gdp_ind_share!X$1, ind_mes!$B$1:$XFD$1, 0), 0)/VLOOKUP($B35, gdp_tot_mes!$B:$XFD, MATCH(gdp_ind_share!X$1, gdp_tot_mes!$B$1:$XFD$1, 0), 0)</f>
        <v>0.18753569077050636</v>
      </c>
      <c r="Y35" s="29">
        <f>VLOOKUP($B35, ind_mes!$B:$XFD, MATCH(gdp_ind_share!Y$1, ind_mes!$B$1:$XFD$1, 0), 0)/VLOOKUP($B35, gdp_tot_mes!$B:$XFD, MATCH(gdp_ind_share!Y$1, gdp_tot_mes!$B$1:$XFD$1, 0), 0)</f>
        <v>0.16711794743038333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25">
      <c r="A36" s="1" t="s">
        <v>91</v>
      </c>
      <c r="B36" s="1" t="s">
        <v>100</v>
      </c>
      <c r="C36" s="1" t="s">
        <v>101</v>
      </c>
      <c r="D36" s="29">
        <f>VLOOKUP($B36, ind_mes!$B:$XFD, MATCH(gdp_ind_share!D$1, ind_mes!$B$1:$XFD$1, 0), 0)/VLOOKUP($B36, gdp_tot_mes!$B:$XFD, MATCH(gdp_ind_share!D$1, gdp_tot_mes!$B$1:$XFD$1, 0), 0)</f>
        <v>2.281822033280578E-2</v>
      </c>
      <c r="E36" s="29">
        <f>VLOOKUP($B36, ind_mes!$B:$XFD, MATCH(gdp_ind_share!E$1, ind_mes!$B$1:$XFD$1, 0), 0)/VLOOKUP($B36, gdp_tot_mes!$B:$XFD, MATCH(gdp_ind_share!E$1, gdp_tot_mes!$B$1:$XFD$1, 0), 0)</f>
        <v>0.11123753511532541</v>
      </c>
      <c r="F36" s="29">
        <f>VLOOKUP($B36, ind_mes!$B:$XFD, MATCH(gdp_ind_share!F$1, ind_mes!$B$1:$XFD$1, 0), 0)/VLOOKUP($B36, gdp_tot_mes!$B:$XFD, MATCH(gdp_ind_share!F$1, gdp_tot_mes!$B$1:$XFD$1, 0), 0)</f>
        <v>0.14825708608739685</v>
      </c>
      <c r="G36" s="29">
        <f>VLOOKUP($B36, ind_mes!$B:$XFD, MATCH(gdp_ind_share!G$1, ind_mes!$B$1:$XFD$1, 0), 0)/VLOOKUP($B36, gdp_tot_mes!$B:$XFD, MATCH(gdp_ind_share!G$1, gdp_tot_mes!$B$1:$XFD$1, 0), 0)</f>
        <v>0.11728991341594525</v>
      </c>
      <c r="H36" s="29">
        <f>VLOOKUP($B36, ind_mes!$B:$XFD, MATCH(gdp_ind_share!H$1, ind_mes!$B$1:$XFD$1, 0), 0)/VLOOKUP($B36, gdp_tot_mes!$B:$XFD, MATCH(gdp_ind_share!H$1, gdp_tot_mes!$B$1:$XFD$1, 0), 0)</f>
        <v>0.10527677044389408</v>
      </c>
      <c r="I36" s="29">
        <f>VLOOKUP($B36, ind_mes!$B:$XFD, MATCH(gdp_ind_share!I$1, ind_mes!$B$1:$XFD$1, 0), 0)/VLOOKUP($B36, gdp_tot_mes!$B:$XFD, MATCH(gdp_ind_share!I$1, gdp_tot_mes!$B$1:$XFD$1, 0), 0)</f>
        <v>3.5484597956124755E-2</v>
      </c>
      <c r="J36" s="29">
        <f>VLOOKUP($B36, ind_mes!$B:$XFD, MATCH(gdp_ind_share!J$1, ind_mes!$B$1:$XFD$1, 0), 0)/VLOOKUP($B36, gdp_tot_mes!$B:$XFD, MATCH(gdp_ind_share!J$1, gdp_tot_mes!$B$1:$XFD$1, 0), 0)</f>
        <v>0.20046856626378298</v>
      </c>
      <c r="K36" s="29">
        <f>VLOOKUP($B36, ind_mes!$B:$XFD, MATCH(gdp_ind_share!K$1, ind_mes!$B$1:$XFD$1, 0), 0)/VLOOKUP($B36, gdp_tot_mes!$B:$XFD, MATCH(gdp_ind_share!K$1, gdp_tot_mes!$B$1:$XFD$1, 0), 0)</f>
        <v>0.23948000071595812</v>
      </c>
      <c r="L36" s="30">
        <f t="shared" si="0"/>
        <v>0.23055004361522075</v>
      </c>
      <c r="M36" s="29">
        <f>VLOOKUP($B36, ind_mes!$B:$XFD, MATCH(gdp_ind_share!M$1, ind_mes!$B$1:$XFD$1, 0), 0)/VLOOKUP($B36, gdp_tot_mes!$B:$XFD, MATCH(gdp_ind_share!M$1, gdp_tot_mes!$B$1:$XFD$1, 0), 0)</f>
        <v>0.21983409509433588</v>
      </c>
      <c r="N36" s="29">
        <f>VLOOKUP($B36, ind_mes!$B:$XFD, MATCH(gdp_ind_share!N$1, ind_mes!$B$1:$XFD$1, 0), 0)/VLOOKUP($B36, gdp_tot_mes!$B:$XFD, MATCH(gdp_ind_share!N$1, gdp_tot_mes!$B$1:$XFD$1, 0), 0)</f>
        <v>0.2332373219006568</v>
      </c>
      <c r="O36" s="29">
        <f>VLOOKUP($B36, ind_mes!$B:$XFD, MATCH(gdp_ind_share!O$1, ind_mes!$B$1:$XFD$1, 0), 0)/VLOOKUP($B36, gdp_tot_mes!$B:$XFD, MATCH(gdp_ind_share!O$1, gdp_tot_mes!$B$1:$XFD$1, 0), 0)</f>
        <v>0.24372463703152866</v>
      </c>
      <c r="P36" s="29">
        <f>VLOOKUP($B36, ind_mes!$B:$XFD, MATCH(gdp_ind_share!P$1, ind_mes!$B$1:$XFD$1, 0), 0)/VLOOKUP($B36, gdp_tot_mes!$B:$XFD, MATCH(gdp_ind_share!P$1, gdp_tot_mes!$B$1:$XFD$1, 0), 0)</f>
        <v>0.24963796434071286</v>
      </c>
      <c r="Q36" s="29">
        <f>VLOOKUP($B36, ind_mes!$B:$XFD, MATCH(gdp_ind_share!Q$1, ind_mes!$B$1:$XFD$1, 0), 0)/VLOOKUP($B36, gdp_tot_mes!$B:$XFD, MATCH(gdp_ind_share!Q$1, gdp_tot_mes!$B$1:$XFD$1, 0), 0)</f>
        <v>0.26257749967135119</v>
      </c>
      <c r="R36" s="29">
        <f>VLOOKUP($B36, ind_mes!$B:$XFD, MATCH(gdp_ind_share!R$1, ind_mes!$B$1:$XFD$1, 0), 0)/VLOOKUP($B36, gdp_tot_mes!$B:$XFD, MATCH(gdp_ind_share!R$1, gdp_tot_mes!$B$1:$XFD$1, 0), 0)</f>
        <v>0.26952340818181586</v>
      </c>
      <c r="S36" s="29">
        <f>VLOOKUP($B36, ind_mes!$B:$XFD, MATCH(gdp_ind_share!S$1, ind_mes!$B$1:$XFD$1, 0), 0)/VLOOKUP($B36, gdp_tot_mes!$B:$XFD, MATCH(gdp_ind_share!S$1, gdp_tot_mes!$B$1:$XFD$1, 0), 0)</f>
        <v>0.28487441311838024</v>
      </c>
      <c r="T36" s="29">
        <f>VLOOKUP($B36, ind_mes!$B:$XFD, MATCH(gdp_ind_share!T$1, ind_mes!$B$1:$XFD$1, 0), 0)/VLOOKUP($B36, gdp_tot_mes!$B:$XFD, MATCH(gdp_ind_share!T$1, gdp_tot_mes!$B$1:$XFD$1, 0), 0)</f>
        <v>0.30993132621403774</v>
      </c>
      <c r="U36" s="29">
        <f>VLOOKUP($B36, ind_mes!$B:$XFD, MATCH(gdp_ind_share!U$1, ind_mes!$B$1:$XFD$1, 0), 0)/VLOOKUP($B36, gdp_tot_mes!$B:$XFD, MATCH(gdp_ind_share!U$1, gdp_tot_mes!$B$1:$XFD$1, 0), 0)</f>
        <v>0.32675981348393024</v>
      </c>
      <c r="V36" s="29">
        <f>VLOOKUP($B36, ind_mes!$B:$XFD, MATCH(gdp_ind_share!V$1, ind_mes!$B$1:$XFD$1, 0), 0)/VLOOKUP($B36, gdp_tot_mes!$B:$XFD, MATCH(gdp_ind_share!V$1, gdp_tot_mes!$B$1:$XFD$1, 0), 0)</f>
        <v>0.32800152199326388</v>
      </c>
      <c r="W36" s="29">
        <f>VLOOKUP($B36, ind_mes!$B:$XFD, MATCH(gdp_ind_share!W$1, ind_mes!$B$1:$XFD$1, 0), 0)/VLOOKUP($B36, gdp_tot_mes!$B:$XFD, MATCH(gdp_ind_share!W$1, gdp_tot_mes!$B$1:$XFD$1, 0), 0)</f>
        <v>0.33024495725112935</v>
      </c>
      <c r="X36" s="29">
        <f>VLOOKUP($B36, ind_mes!$B:$XFD, MATCH(gdp_ind_share!X$1, ind_mes!$B$1:$XFD$1, 0), 0)/VLOOKUP($B36, gdp_tot_mes!$B:$XFD, MATCH(gdp_ind_share!X$1, gdp_tot_mes!$B$1:$XFD$1, 0), 0)</f>
        <v>0.30056504432237968</v>
      </c>
      <c r="Y36" s="29">
        <f>VLOOKUP($B36, ind_mes!$B:$XFD, MATCH(gdp_ind_share!Y$1, ind_mes!$B$1:$XFD$1, 0), 0)/VLOOKUP($B36, gdp_tot_mes!$B:$XFD, MATCH(gdp_ind_share!Y$1, gdp_tot_mes!$B$1:$XFD$1, 0), 0)</f>
        <v>0.30664120928602312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25">
      <c r="A37" s="1" t="s">
        <v>102</v>
      </c>
      <c r="B37" s="1" t="s">
        <v>103</v>
      </c>
      <c r="C37" s="1" t="s">
        <v>104</v>
      </c>
      <c r="D37" s="29">
        <f>VLOOKUP($B37, ind_mes!$B:$XFD, MATCH(gdp_ind_share!D$1, ind_mes!$B$1:$XFD$1, 0), 0)/VLOOKUP($B37, gdp_tot_mes!$B:$XFD, MATCH(gdp_ind_share!D$1, gdp_tot_mes!$B$1:$XFD$1, 0), 0)</f>
        <v>6.3056501743064458E-2</v>
      </c>
      <c r="E37" s="29">
        <f>VLOOKUP($B37, ind_mes!$B:$XFD, MATCH(gdp_ind_share!E$1, ind_mes!$B$1:$XFD$1, 0), 0)/VLOOKUP($B37, gdp_tot_mes!$B:$XFD, MATCH(gdp_ind_share!E$1, gdp_tot_mes!$B$1:$XFD$1, 0), 0)</f>
        <v>0.21349264519178449</v>
      </c>
      <c r="F37" s="29">
        <f>VLOOKUP($B37, ind_mes!$B:$XFD, MATCH(gdp_ind_share!F$1, ind_mes!$B$1:$XFD$1, 0), 0)/VLOOKUP($B37, gdp_tot_mes!$B:$XFD, MATCH(gdp_ind_share!F$1, gdp_tot_mes!$B$1:$XFD$1, 0), 0)</f>
        <v>0.20055951099955385</v>
      </c>
      <c r="G37" s="29">
        <f>VLOOKUP($B37, ind_mes!$B:$XFD, MATCH(gdp_ind_share!G$1, ind_mes!$B$1:$XFD$1, 0), 0)/VLOOKUP($B37, gdp_tot_mes!$B:$XFD, MATCH(gdp_ind_share!G$1, gdp_tot_mes!$B$1:$XFD$1, 0), 0)</f>
        <v>0.20399390854351146</v>
      </c>
      <c r="H37" s="29">
        <f>VLOOKUP($B37, ind_mes!$B:$XFD, MATCH(gdp_ind_share!H$1, ind_mes!$B$1:$XFD$1, 0), 0)/VLOOKUP($B37, gdp_tot_mes!$B:$XFD, MATCH(gdp_ind_share!H$1, gdp_tot_mes!$B$1:$XFD$1, 0), 0)</f>
        <v>0.19273085635315648</v>
      </c>
      <c r="I37" s="29">
        <f>VLOOKUP($B37, ind_mes!$B:$XFD, MATCH(gdp_ind_share!I$1, ind_mes!$B$1:$XFD$1, 0), 0)/VLOOKUP($B37, gdp_tot_mes!$B:$XFD, MATCH(gdp_ind_share!I$1, gdp_tot_mes!$B$1:$XFD$1, 0), 0)</f>
        <v>0.13082877423491795</v>
      </c>
      <c r="J37" s="29">
        <f>VLOOKUP($B37, ind_mes!$B:$XFD, MATCH(gdp_ind_share!J$1, ind_mes!$B$1:$XFD$1, 0), 0)/VLOOKUP($B37, gdp_tot_mes!$B:$XFD, MATCH(gdp_ind_share!J$1, gdp_tot_mes!$B$1:$XFD$1, 0), 0)</f>
        <v>0.1900485945519117</v>
      </c>
      <c r="K37" s="29">
        <f>VLOOKUP($B37, ind_mes!$B:$XFD, MATCH(gdp_ind_share!K$1, ind_mes!$B$1:$XFD$1, 0), 0)/VLOOKUP($B37, gdp_tot_mes!$B:$XFD, MATCH(gdp_ind_share!K$1, gdp_tot_mes!$B$1:$XFD$1, 0), 0)</f>
        <v>0.34349642659368984</v>
      </c>
      <c r="L37" s="30">
        <f t="shared" si="0"/>
        <v>0.28885038835603122</v>
      </c>
      <c r="M37" s="29">
        <f>VLOOKUP($B37, ind_mes!$B:$XFD, MATCH(gdp_ind_share!M$1, ind_mes!$B$1:$XFD$1, 0), 0)/VLOOKUP($B37, gdp_tot_mes!$B:$XFD, MATCH(gdp_ind_share!M$1, gdp_tot_mes!$B$1:$XFD$1, 0), 0)</f>
        <v>0.2232751424708409</v>
      </c>
      <c r="N37" s="29">
        <f>VLOOKUP($B37, ind_mes!$B:$XFD, MATCH(gdp_ind_share!N$1, ind_mes!$B$1:$XFD$1, 0), 0)/VLOOKUP($B37, gdp_tot_mes!$B:$XFD, MATCH(gdp_ind_share!N$1, gdp_tot_mes!$B$1:$XFD$1, 0), 0)</f>
        <v>0.17852188690520951</v>
      </c>
      <c r="O37" s="29">
        <f>VLOOKUP($B37, ind_mes!$B:$XFD, MATCH(gdp_ind_share!O$1, ind_mes!$B$1:$XFD$1, 0), 0)/VLOOKUP($B37, gdp_tot_mes!$B:$XFD, MATCH(gdp_ind_share!O$1, gdp_tot_mes!$B$1:$XFD$1, 0), 0)</f>
        <v>0.17726539247192941</v>
      </c>
      <c r="P37" s="29">
        <f>VLOOKUP($B37, ind_mes!$B:$XFD, MATCH(gdp_ind_share!P$1, ind_mes!$B$1:$XFD$1, 0), 0)/VLOOKUP($B37, gdp_tot_mes!$B:$XFD, MATCH(gdp_ind_share!P$1, gdp_tot_mes!$B$1:$XFD$1, 0), 0)</f>
        <v>0.16734485942847566</v>
      </c>
      <c r="Q37" s="29">
        <f>VLOOKUP($B37, ind_mes!$B:$XFD, MATCH(gdp_ind_share!Q$1, ind_mes!$B$1:$XFD$1, 0), 0)/VLOOKUP($B37, gdp_tot_mes!$B:$XFD, MATCH(gdp_ind_share!Q$1, gdp_tot_mes!$B$1:$XFD$1, 0), 0)</f>
        <v>0.21044169333769774</v>
      </c>
      <c r="R37" s="29">
        <f>VLOOKUP($B37, ind_mes!$B:$XFD, MATCH(gdp_ind_share!R$1, ind_mes!$B$1:$XFD$1, 0), 0)/VLOOKUP($B37, gdp_tot_mes!$B:$XFD, MATCH(gdp_ind_share!R$1, gdp_tot_mes!$B$1:$XFD$1, 0), 0)</f>
        <v>0.22277272975312193</v>
      </c>
      <c r="S37" s="29">
        <f>VLOOKUP($B37, ind_mes!$B:$XFD, MATCH(gdp_ind_share!S$1, ind_mes!$B$1:$XFD$1, 0), 0)/VLOOKUP($B37, gdp_tot_mes!$B:$XFD, MATCH(gdp_ind_share!S$1, gdp_tot_mes!$B$1:$XFD$1, 0), 0)</f>
        <v>0.18218024727134627</v>
      </c>
      <c r="T37" s="29">
        <f>VLOOKUP($B37, ind_mes!$B:$XFD, MATCH(gdp_ind_share!T$1, ind_mes!$B$1:$XFD$1, 0), 0)/VLOOKUP($B37, gdp_tot_mes!$B:$XFD, MATCH(gdp_ind_share!T$1, gdp_tot_mes!$B$1:$XFD$1, 0), 0)</f>
        <v>0.17064938108091424</v>
      </c>
      <c r="U37" s="29">
        <f>VLOOKUP($B37, ind_mes!$B:$XFD, MATCH(gdp_ind_share!U$1, ind_mes!$B$1:$XFD$1, 0), 0)/VLOOKUP($B37, gdp_tot_mes!$B:$XFD, MATCH(gdp_ind_share!U$1, gdp_tot_mes!$B$1:$XFD$1, 0), 0)</f>
        <v>0.27421652699603533</v>
      </c>
      <c r="V37" s="29">
        <f>VLOOKUP($B37, ind_mes!$B:$XFD, MATCH(gdp_ind_share!V$1, ind_mes!$B$1:$XFD$1, 0), 0)/VLOOKUP($B37, gdp_tot_mes!$B:$XFD, MATCH(gdp_ind_share!V$1, gdp_tot_mes!$B$1:$XFD$1, 0), 0)</f>
        <v>0.18291176965033856</v>
      </c>
      <c r="W37" s="29">
        <f>VLOOKUP($B37, ind_mes!$B:$XFD, MATCH(gdp_ind_share!W$1, ind_mes!$B$1:$XFD$1, 0), 0)/VLOOKUP($B37, gdp_tot_mes!$B:$XFD, MATCH(gdp_ind_share!W$1, gdp_tot_mes!$B$1:$XFD$1, 0), 0)</f>
        <v>0.1992594192665269</v>
      </c>
      <c r="X37" s="29">
        <f>VLOOKUP($B37, ind_mes!$B:$XFD, MATCH(gdp_ind_share!X$1, ind_mes!$B$1:$XFD$1, 0), 0)/VLOOKUP($B37, gdp_tot_mes!$B:$XFD, MATCH(gdp_ind_share!X$1, gdp_tot_mes!$B$1:$XFD$1, 0), 0)</f>
        <v>0.17949959476039351</v>
      </c>
      <c r="Y37" s="29">
        <f>VLOOKUP($B37, ind_mes!$B:$XFD, MATCH(gdp_ind_share!Y$1, ind_mes!$B$1:$XFD$1, 0), 0)/VLOOKUP($B37, gdp_tot_mes!$B:$XFD, MATCH(gdp_ind_share!Y$1, gdp_tot_mes!$B$1:$XFD$1, 0), 0)</f>
        <v>0.19344222840987602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x14ac:dyDescent="0.25">
      <c r="A38" s="1" t="s">
        <v>102</v>
      </c>
      <c r="B38" s="1" t="s">
        <v>105</v>
      </c>
      <c r="C38" s="1" t="s">
        <v>106</v>
      </c>
      <c r="D38" s="29">
        <f>VLOOKUP($B38, ind_mes!$B:$XFD, MATCH(gdp_ind_share!D$1, ind_mes!$B$1:$XFD$1, 0), 0)/VLOOKUP($B38, gdp_tot_mes!$B:$XFD, MATCH(gdp_ind_share!D$1, gdp_tot_mes!$B$1:$XFD$1, 0), 0)</f>
        <v>4.9527138340698988E-2</v>
      </c>
      <c r="E38" s="29">
        <f>VLOOKUP($B38, ind_mes!$B:$XFD, MATCH(gdp_ind_share!E$1, ind_mes!$B$1:$XFD$1, 0), 0)/VLOOKUP($B38, gdp_tot_mes!$B:$XFD, MATCH(gdp_ind_share!E$1, gdp_tot_mes!$B$1:$XFD$1, 0), 0)</f>
        <v>9.222301025600653E-2</v>
      </c>
      <c r="F38" s="29">
        <f>VLOOKUP($B38, ind_mes!$B:$XFD, MATCH(gdp_ind_share!F$1, ind_mes!$B$1:$XFD$1, 0), 0)/VLOOKUP($B38, gdp_tot_mes!$B:$XFD, MATCH(gdp_ind_share!F$1, gdp_tot_mes!$B$1:$XFD$1, 0), 0)</f>
        <v>2.7487559376362242E-2</v>
      </c>
      <c r="G38" s="29">
        <f>VLOOKUP($B38, ind_mes!$B:$XFD, MATCH(gdp_ind_share!G$1, ind_mes!$B$1:$XFD$1, 0), 0)/VLOOKUP($B38, gdp_tot_mes!$B:$XFD, MATCH(gdp_ind_share!G$1, gdp_tot_mes!$B$1:$XFD$1, 0), 0)</f>
        <v>0.17018691866140934</v>
      </c>
      <c r="H38" s="29">
        <f>VLOOKUP($B38, ind_mes!$B:$XFD, MATCH(gdp_ind_share!H$1, ind_mes!$B$1:$XFD$1, 0), 0)/VLOOKUP($B38, gdp_tot_mes!$B:$XFD, MATCH(gdp_ind_share!H$1, gdp_tot_mes!$B$1:$XFD$1, 0), 0)</f>
        <v>0.12887614901465791</v>
      </c>
      <c r="I38" s="29">
        <f>VLOOKUP($B38, ind_mes!$B:$XFD, MATCH(gdp_ind_share!I$1, ind_mes!$B$1:$XFD$1, 0), 0)/VLOOKUP($B38, gdp_tot_mes!$B:$XFD, MATCH(gdp_ind_share!I$1, gdp_tot_mes!$B$1:$XFD$1, 0), 0)</f>
        <v>0.11746485020093148</v>
      </c>
      <c r="J38" s="29">
        <f>VLOOKUP($B38, ind_mes!$B:$XFD, MATCH(gdp_ind_share!J$1, ind_mes!$B$1:$XFD$1, 0), 0)/VLOOKUP($B38, gdp_tot_mes!$B:$XFD, MATCH(gdp_ind_share!J$1, gdp_tot_mes!$B$1:$XFD$1, 0), 0)</f>
        <v>0.26094873593135298</v>
      </c>
      <c r="K38" s="29">
        <f>VLOOKUP($B38, ind_mes!$B:$XFD, MATCH(gdp_ind_share!K$1, ind_mes!$B$1:$XFD$1, 0), 0)/VLOOKUP($B38, gdp_tot_mes!$B:$XFD, MATCH(gdp_ind_share!K$1, gdp_tot_mes!$B$1:$XFD$1, 0), 0)</f>
        <v>0.2833880043550947</v>
      </c>
      <c r="L38" s="30">
        <f t="shared" si="0"/>
        <v>0.20902376404215073</v>
      </c>
      <c r="M38" s="29">
        <f>VLOOKUP($B38, ind_mes!$B:$XFD, MATCH(gdp_ind_share!M$1, ind_mes!$B$1:$XFD$1, 0), 0)/VLOOKUP($B38, gdp_tot_mes!$B:$XFD, MATCH(gdp_ind_share!M$1, gdp_tot_mes!$B$1:$XFD$1, 0), 0)</f>
        <v>0.11978667566661798</v>
      </c>
      <c r="N38" s="29">
        <f>VLOOKUP($B38, ind_mes!$B:$XFD, MATCH(gdp_ind_share!N$1, ind_mes!$B$1:$XFD$1, 0), 0)/VLOOKUP($B38, gdp_tot_mes!$B:$XFD, MATCH(gdp_ind_share!N$1, gdp_tot_mes!$B$1:$XFD$1, 0), 0)</f>
        <v>0.16194158792506722</v>
      </c>
      <c r="O38" s="29">
        <f>VLOOKUP($B38, ind_mes!$B:$XFD, MATCH(gdp_ind_share!O$1, ind_mes!$B$1:$XFD$1, 0), 0)/VLOOKUP($B38, gdp_tot_mes!$B:$XFD, MATCH(gdp_ind_share!O$1, gdp_tot_mes!$B$1:$XFD$1, 0), 0)</f>
        <v>0.15024334358627073</v>
      </c>
      <c r="P38" s="29">
        <f>VLOOKUP($B38, ind_mes!$B:$XFD, MATCH(gdp_ind_share!P$1, ind_mes!$B$1:$XFD$1, 0), 0)/VLOOKUP($B38, gdp_tot_mes!$B:$XFD, MATCH(gdp_ind_share!P$1, gdp_tot_mes!$B$1:$XFD$1, 0), 0)</f>
        <v>0.15235097098409936</v>
      </c>
      <c r="Q38" s="29">
        <f>VLOOKUP($B38, ind_mes!$B:$XFD, MATCH(gdp_ind_share!Q$1, ind_mes!$B$1:$XFD$1, 0), 0)/VLOOKUP($B38, gdp_tot_mes!$B:$XFD, MATCH(gdp_ind_share!Q$1, gdp_tot_mes!$B$1:$XFD$1, 0), 0)</f>
        <v>0.16536550284139165</v>
      </c>
      <c r="R38" s="29">
        <f>VLOOKUP($B38, ind_mes!$B:$XFD, MATCH(gdp_ind_share!R$1, ind_mes!$B$1:$XFD$1, 0), 0)/VLOOKUP($B38, gdp_tot_mes!$B:$XFD, MATCH(gdp_ind_share!R$1, gdp_tot_mes!$B$1:$XFD$1, 0), 0)</f>
        <v>0.18473874726415226</v>
      </c>
      <c r="S38" s="29">
        <f>VLOOKUP($B38, ind_mes!$B:$XFD, MATCH(gdp_ind_share!S$1, ind_mes!$B$1:$XFD$1, 0), 0)/VLOOKUP($B38, gdp_tot_mes!$B:$XFD, MATCH(gdp_ind_share!S$1, gdp_tot_mes!$B$1:$XFD$1, 0), 0)</f>
        <v>0.13220383909221642</v>
      </c>
      <c r="T38" s="29">
        <f>VLOOKUP($B38, ind_mes!$B:$XFD, MATCH(gdp_ind_share!T$1, ind_mes!$B$1:$XFD$1, 0), 0)/VLOOKUP($B38, gdp_tot_mes!$B:$XFD, MATCH(gdp_ind_share!T$1, gdp_tot_mes!$B$1:$XFD$1, 0), 0)</f>
        <v>0.10727241261322501</v>
      </c>
      <c r="U38" s="29">
        <f>VLOOKUP($B38, ind_mes!$B:$XFD, MATCH(gdp_ind_share!U$1, ind_mes!$B$1:$XFD$1, 0), 0)/VLOOKUP($B38, gdp_tot_mes!$B:$XFD, MATCH(gdp_ind_share!U$1, gdp_tot_mes!$B$1:$XFD$1, 0), 0)</f>
        <v>0.17593943465222403</v>
      </c>
      <c r="V38" s="29">
        <f>VLOOKUP($B38, ind_mes!$B:$XFD, MATCH(gdp_ind_share!V$1, ind_mes!$B$1:$XFD$1, 0), 0)/VLOOKUP($B38, gdp_tot_mes!$B:$XFD, MATCH(gdp_ind_share!V$1, gdp_tot_mes!$B$1:$XFD$1, 0), 0)</f>
        <v>0.11058621699112581</v>
      </c>
      <c r="W38" s="29">
        <f>VLOOKUP($B38, ind_mes!$B:$XFD, MATCH(gdp_ind_share!W$1, ind_mes!$B$1:$XFD$1, 0), 0)/VLOOKUP($B38, gdp_tot_mes!$B:$XFD, MATCH(gdp_ind_share!W$1, gdp_tot_mes!$B$1:$XFD$1, 0), 0)</f>
        <v>0.10816041410438454</v>
      </c>
      <c r="X38" s="29">
        <f>VLOOKUP($B38, ind_mes!$B:$XFD, MATCH(gdp_ind_share!X$1, ind_mes!$B$1:$XFD$1, 0), 0)/VLOOKUP($B38, gdp_tot_mes!$B:$XFD, MATCH(gdp_ind_share!X$1, gdp_tot_mes!$B$1:$XFD$1, 0), 0)</f>
        <v>0.11473626785913003</v>
      </c>
      <c r="Y38" s="29">
        <f>VLOOKUP($B38, ind_mes!$B:$XFD, MATCH(gdp_ind_share!Y$1, ind_mes!$B$1:$XFD$1, 0), 0)/VLOOKUP($B38, gdp_tot_mes!$B:$XFD, MATCH(gdp_ind_share!Y$1, gdp_tot_mes!$B$1:$XFD$1, 0), 0)</f>
        <v>0.11322543139500879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25">
      <c r="A39" s="1" t="s">
        <v>102</v>
      </c>
      <c r="B39" s="1" t="s">
        <v>107</v>
      </c>
      <c r="C39" s="1" t="s">
        <v>108</v>
      </c>
      <c r="D39" s="29">
        <f>VLOOKUP($B39, ind_mes!$B:$XFD, MATCH(gdp_ind_share!D$1, ind_mes!$B$1:$XFD$1, 0), 0)/VLOOKUP($B39, gdp_tot_mes!$B:$XFD, MATCH(gdp_ind_share!D$1, gdp_tot_mes!$B$1:$XFD$1, 0), 0)</f>
        <v>7.7619134690222382E-3</v>
      </c>
      <c r="E39" s="29">
        <f>VLOOKUP($B39, ind_mes!$B:$XFD, MATCH(gdp_ind_share!E$1, ind_mes!$B$1:$XFD$1, 0), 0)/VLOOKUP($B39, gdp_tot_mes!$B:$XFD, MATCH(gdp_ind_share!E$1, gdp_tot_mes!$B$1:$XFD$1, 0), 0)</f>
        <v>3.7500311309322402E-2</v>
      </c>
      <c r="F39" s="29">
        <f>VLOOKUP($B39, ind_mes!$B:$XFD, MATCH(gdp_ind_share!F$1, ind_mes!$B$1:$XFD$1, 0), 0)/VLOOKUP($B39, gdp_tot_mes!$B:$XFD, MATCH(gdp_ind_share!F$1, gdp_tot_mes!$B$1:$XFD$1, 0), 0)</f>
        <v>3.8564007733419857E-2</v>
      </c>
      <c r="G39" s="29">
        <f>VLOOKUP($B39, ind_mes!$B:$XFD, MATCH(gdp_ind_share!G$1, ind_mes!$B$1:$XFD$1, 0), 0)/VLOOKUP($B39, gdp_tot_mes!$B:$XFD, MATCH(gdp_ind_share!G$1, gdp_tot_mes!$B$1:$XFD$1, 0), 0)</f>
        <v>0.14204242265657951</v>
      </c>
      <c r="H39" s="29">
        <f>VLOOKUP($B39, ind_mes!$B:$XFD, MATCH(gdp_ind_share!H$1, ind_mes!$B$1:$XFD$1, 0), 0)/VLOOKUP($B39, gdp_tot_mes!$B:$XFD, MATCH(gdp_ind_share!H$1, gdp_tot_mes!$B$1:$XFD$1, 0), 0)</f>
        <v>0.11819279454356307</v>
      </c>
      <c r="I39" s="29">
        <f>VLOOKUP($B39, ind_mes!$B:$XFD, MATCH(gdp_ind_share!I$1, ind_mes!$B$1:$XFD$1, 0), 0)/VLOOKUP($B39, gdp_tot_mes!$B:$XFD, MATCH(gdp_ind_share!I$1, gdp_tot_mes!$B$1:$XFD$1, 0), 0)</f>
        <v>0.12765207344580204</v>
      </c>
      <c r="J39" s="29">
        <f>VLOOKUP($B39, ind_mes!$B:$XFD, MATCH(gdp_ind_share!J$1, ind_mes!$B$1:$XFD$1, 0), 0)/VLOOKUP($B39, gdp_tot_mes!$B:$XFD, MATCH(gdp_ind_share!J$1, gdp_tot_mes!$B$1:$XFD$1, 0), 0)</f>
        <v>0.1546338976269214</v>
      </c>
      <c r="K39" s="29">
        <f>VLOOKUP($B39, ind_mes!$B:$XFD, MATCH(gdp_ind_share!K$1, ind_mes!$B$1:$XFD$1, 0), 0)/VLOOKUP($B39, gdp_tot_mes!$B:$XFD, MATCH(gdp_ind_share!K$1, gdp_tot_mes!$B$1:$XFD$1, 0), 0)</f>
        <v>0.1765335041893964</v>
      </c>
      <c r="L39" s="30">
        <f t="shared" si="0"/>
        <v>0.10586444753956481</v>
      </c>
      <c r="M39" s="29">
        <f>VLOOKUP($B39, ind_mes!$B:$XFD, MATCH(gdp_ind_share!M$1, ind_mes!$B$1:$XFD$1, 0), 0)/VLOOKUP($B39, gdp_tot_mes!$B:$XFD, MATCH(gdp_ind_share!M$1, gdp_tot_mes!$B$1:$XFD$1, 0), 0)</f>
        <v>2.106157955976689E-2</v>
      </c>
      <c r="N39" s="29">
        <f>VLOOKUP($B39, ind_mes!$B:$XFD, MATCH(gdp_ind_share!N$1, ind_mes!$B$1:$XFD$1, 0), 0)/VLOOKUP($B39, gdp_tot_mes!$B:$XFD, MATCH(gdp_ind_share!N$1, gdp_tot_mes!$B$1:$XFD$1, 0), 0)</f>
        <v>0.10526110892834585</v>
      </c>
      <c r="O39" s="29">
        <f>VLOOKUP($B39, ind_mes!$B:$XFD, MATCH(gdp_ind_share!O$1, ind_mes!$B$1:$XFD$1, 0), 0)/VLOOKUP($B39, gdp_tot_mes!$B:$XFD, MATCH(gdp_ind_share!O$1, gdp_tot_mes!$B$1:$XFD$1, 0), 0)</f>
        <v>9.3087672378103836E-2</v>
      </c>
      <c r="P39" s="29">
        <f>VLOOKUP($B39, ind_mes!$B:$XFD, MATCH(gdp_ind_share!P$1, ind_mes!$B$1:$XFD$1, 0), 0)/VLOOKUP($B39, gdp_tot_mes!$B:$XFD, MATCH(gdp_ind_share!P$1, gdp_tot_mes!$B$1:$XFD$1, 0), 0)</f>
        <v>9.1860075921362444E-2</v>
      </c>
      <c r="Q39" s="29">
        <f>VLOOKUP($B39, ind_mes!$B:$XFD, MATCH(gdp_ind_share!Q$1, ind_mes!$B$1:$XFD$1, 0), 0)/VLOOKUP($B39, gdp_tot_mes!$B:$XFD, MATCH(gdp_ind_share!Q$1, gdp_tot_mes!$B$1:$XFD$1, 0), 0)</f>
        <v>8.8966006792993921E-2</v>
      </c>
      <c r="R39" s="29">
        <f>VLOOKUP($B39, ind_mes!$B:$XFD, MATCH(gdp_ind_share!R$1, ind_mes!$B$1:$XFD$1, 0), 0)/VLOOKUP($B39, gdp_tot_mes!$B:$XFD, MATCH(gdp_ind_share!R$1, gdp_tot_mes!$B$1:$XFD$1, 0), 0)</f>
        <v>0.10802296920649099</v>
      </c>
      <c r="S39" s="29">
        <f>VLOOKUP($B39, ind_mes!$B:$XFD, MATCH(gdp_ind_share!S$1, ind_mes!$B$1:$XFD$1, 0), 0)/VLOOKUP($B39, gdp_tot_mes!$B:$XFD, MATCH(gdp_ind_share!S$1, gdp_tot_mes!$B$1:$XFD$1, 0), 0)</f>
        <v>7.633505558553548E-2</v>
      </c>
      <c r="T39" s="29">
        <f>VLOOKUP($B39, ind_mes!$B:$XFD, MATCH(gdp_ind_share!T$1, ind_mes!$B$1:$XFD$1, 0), 0)/VLOOKUP($B39, gdp_tot_mes!$B:$XFD, MATCH(gdp_ind_share!T$1, gdp_tot_mes!$B$1:$XFD$1, 0), 0)</f>
        <v>5.7973601835519355E-2</v>
      </c>
      <c r="U39" s="29">
        <f>VLOOKUP($B39, ind_mes!$B:$XFD, MATCH(gdp_ind_share!U$1, ind_mes!$B$1:$XFD$1, 0), 0)/VLOOKUP($B39, gdp_tot_mes!$B:$XFD, MATCH(gdp_ind_share!U$1, gdp_tot_mes!$B$1:$XFD$1, 0), 0)</f>
        <v>9.0276558164070375E-2</v>
      </c>
      <c r="V39" s="29">
        <f>VLOOKUP($B39, ind_mes!$B:$XFD, MATCH(gdp_ind_share!V$1, ind_mes!$B$1:$XFD$1, 0), 0)/VLOOKUP($B39, gdp_tot_mes!$B:$XFD, MATCH(gdp_ind_share!V$1, gdp_tot_mes!$B$1:$XFD$1, 0), 0)</f>
        <v>5.9955892261966223E-2</v>
      </c>
      <c r="W39" s="29">
        <f>VLOOKUP($B39, ind_mes!$B:$XFD, MATCH(gdp_ind_share!W$1, ind_mes!$B$1:$XFD$1, 0), 0)/VLOOKUP($B39, gdp_tot_mes!$B:$XFD, MATCH(gdp_ind_share!W$1, gdp_tot_mes!$B$1:$XFD$1, 0), 0)</f>
        <v>6.4215917136875605E-2</v>
      </c>
      <c r="X39" s="29">
        <f>VLOOKUP($B39, ind_mes!$B:$XFD, MATCH(gdp_ind_share!X$1, ind_mes!$B$1:$XFD$1, 0), 0)/VLOOKUP($B39, gdp_tot_mes!$B:$XFD, MATCH(gdp_ind_share!X$1, gdp_tot_mes!$B$1:$XFD$1, 0), 0)</f>
        <v>6.8211043635409654E-2</v>
      </c>
      <c r="Y39" s="29">
        <f>VLOOKUP($B39, ind_mes!$B:$XFD, MATCH(gdp_ind_share!Y$1, ind_mes!$B$1:$XFD$1, 0), 0)/VLOOKUP($B39, gdp_tot_mes!$B:$XFD, MATCH(gdp_ind_share!Y$1, gdp_tot_mes!$B$1:$XFD$1, 0), 0)</f>
        <v>5.3266128858972084E-2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x14ac:dyDescent="0.25">
      <c r="A40" s="1" t="s">
        <v>102</v>
      </c>
      <c r="B40" s="1" t="s">
        <v>109</v>
      </c>
      <c r="C40" s="1" t="s">
        <v>110</v>
      </c>
      <c r="D40" s="29">
        <f>VLOOKUP($B40, ind_mes!$B:$XFD, MATCH(gdp_ind_share!D$1, ind_mes!$B$1:$XFD$1, 0), 0)/VLOOKUP($B40, gdp_tot_mes!$B:$XFD, MATCH(gdp_ind_share!D$1, gdp_tot_mes!$B$1:$XFD$1, 0), 0)</f>
        <v>0.13784048777841615</v>
      </c>
      <c r="E40" s="29">
        <f>VLOOKUP($B40, ind_mes!$B:$XFD, MATCH(gdp_ind_share!E$1, ind_mes!$B$1:$XFD$1, 0), 0)/VLOOKUP($B40, gdp_tot_mes!$B:$XFD, MATCH(gdp_ind_share!E$1, gdp_tot_mes!$B$1:$XFD$1, 0), 0)</f>
        <v>2.4242754416263401E-2</v>
      </c>
      <c r="F40" s="29">
        <f>VLOOKUP($B40, ind_mes!$B:$XFD, MATCH(gdp_ind_share!F$1, ind_mes!$B$1:$XFD$1, 0), 0)/VLOOKUP($B40, gdp_tot_mes!$B:$XFD, MATCH(gdp_ind_share!F$1, gdp_tot_mes!$B$1:$XFD$1, 0), 0)</f>
        <v>7.8329830645428658E-2</v>
      </c>
      <c r="G40" s="29">
        <f>VLOOKUP($B40, ind_mes!$B:$XFD, MATCH(gdp_ind_share!G$1, ind_mes!$B$1:$XFD$1, 0), 0)/VLOOKUP($B40, gdp_tot_mes!$B:$XFD, MATCH(gdp_ind_share!G$1, gdp_tot_mes!$B$1:$XFD$1, 0), 0)</f>
        <v>0.11840330454009129</v>
      </c>
      <c r="H40" s="29">
        <f>VLOOKUP($B40, ind_mes!$B:$XFD, MATCH(gdp_ind_share!H$1, ind_mes!$B$1:$XFD$1, 0), 0)/VLOOKUP($B40, gdp_tot_mes!$B:$XFD, MATCH(gdp_ind_share!H$1, gdp_tot_mes!$B$1:$XFD$1, 0), 0)</f>
        <v>0.12527017712537683</v>
      </c>
      <c r="I40" s="29">
        <f>VLOOKUP($B40, ind_mes!$B:$XFD, MATCH(gdp_ind_share!I$1, ind_mes!$B$1:$XFD$1, 0), 0)/VLOOKUP($B40, gdp_tot_mes!$B:$XFD, MATCH(gdp_ind_share!I$1, gdp_tot_mes!$B$1:$XFD$1, 0), 0)</f>
        <v>0.14462706635248249</v>
      </c>
      <c r="J40" s="29">
        <f>VLOOKUP($B40, ind_mes!$B:$XFD, MATCH(gdp_ind_share!J$1, ind_mes!$B$1:$XFD$1, 0), 0)/VLOOKUP($B40, gdp_tot_mes!$B:$XFD, MATCH(gdp_ind_share!J$1, gdp_tot_mes!$B$1:$XFD$1, 0), 0)</f>
        <v>0.28453787625984073</v>
      </c>
      <c r="K40" s="29">
        <f>VLOOKUP($B40, ind_mes!$B:$XFD, MATCH(gdp_ind_share!K$1, ind_mes!$B$1:$XFD$1, 0), 0)/VLOOKUP($B40, gdp_tot_mes!$B:$XFD, MATCH(gdp_ind_share!K$1, gdp_tot_mes!$B$1:$XFD$1, 0), 0)</f>
        <v>0.28483806349220414</v>
      </c>
      <c r="L40" s="30">
        <f t="shared" si="0"/>
        <v>0.20538116885422245</v>
      </c>
      <c r="M40" s="29">
        <f>VLOOKUP($B40, ind_mes!$B:$XFD, MATCH(gdp_ind_share!M$1, ind_mes!$B$1:$XFD$1, 0), 0)/VLOOKUP($B40, gdp_tot_mes!$B:$XFD, MATCH(gdp_ind_share!M$1, gdp_tot_mes!$B$1:$XFD$1, 0), 0)</f>
        <v>0.11003289528864442</v>
      </c>
      <c r="N40" s="29">
        <f>VLOOKUP($B40, ind_mes!$B:$XFD, MATCH(gdp_ind_share!N$1, ind_mes!$B$1:$XFD$1, 0), 0)/VLOOKUP($B40, gdp_tot_mes!$B:$XFD, MATCH(gdp_ind_share!N$1, gdp_tot_mes!$B$1:$XFD$1, 0), 0)</f>
        <v>0.14685153269887391</v>
      </c>
      <c r="O40" s="29">
        <f>VLOOKUP($B40, ind_mes!$B:$XFD, MATCH(gdp_ind_share!O$1, ind_mes!$B$1:$XFD$1, 0), 0)/VLOOKUP($B40, gdp_tot_mes!$B:$XFD, MATCH(gdp_ind_share!O$1, gdp_tot_mes!$B$1:$XFD$1, 0), 0)</f>
        <v>0.13985508335883159</v>
      </c>
      <c r="P40" s="29">
        <f>VLOOKUP($B40, ind_mes!$B:$XFD, MATCH(gdp_ind_share!P$1, ind_mes!$B$1:$XFD$1, 0), 0)/VLOOKUP($B40, gdp_tot_mes!$B:$XFD, MATCH(gdp_ind_share!P$1, gdp_tot_mes!$B$1:$XFD$1, 0), 0)</f>
        <v>0.13691493958024153</v>
      </c>
      <c r="Q40" s="29">
        <f>VLOOKUP($B40, ind_mes!$B:$XFD, MATCH(gdp_ind_share!Q$1, ind_mes!$B$1:$XFD$1, 0), 0)/VLOOKUP($B40, gdp_tot_mes!$B:$XFD, MATCH(gdp_ind_share!Q$1, gdp_tot_mes!$B$1:$XFD$1, 0), 0)</f>
        <v>0.18712677888322274</v>
      </c>
      <c r="R40" s="29">
        <f>VLOOKUP($B40, ind_mes!$B:$XFD, MATCH(gdp_ind_share!R$1, ind_mes!$B$1:$XFD$1, 0), 0)/VLOOKUP($B40, gdp_tot_mes!$B:$XFD, MATCH(gdp_ind_share!R$1, gdp_tot_mes!$B$1:$XFD$1, 0), 0)</f>
        <v>0.22534308232253875</v>
      </c>
      <c r="S40" s="29">
        <f>VLOOKUP($B40, ind_mes!$B:$XFD, MATCH(gdp_ind_share!S$1, ind_mes!$B$1:$XFD$1, 0), 0)/VLOOKUP($B40, gdp_tot_mes!$B:$XFD, MATCH(gdp_ind_share!S$1, gdp_tot_mes!$B$1:$XFD$1, 0), 0)</f>
        <v>0.23008456243449218</v>
      </c>
      <c r="T40" s="29">
        <f>VLOOKUP($B40, ind_mes!$B:$XFD, MATCH(gdp_ind_share!T$1, ind_mes!$B$1:$XFD$1, 0), 0)/VLOOKUP($B40, gdp_tot_mes!$B:$XFD, MATCH(gdp_ind_share!T$1, gdp_tot_mes!$B$1:$XFD$1, 0), 0)</f>
        <v>0.22384571624424388</v>
      </c>
      <c r="U40" s="29">
        <f>VLOOKUP($B40, ind_mes!$B:$XFD, MATCH(gdp_ind_share!U$1, ind_mes!$B$1:$XFD$1, 0), 0)/VLOOKUP($B40, gdp_tot_mes!$B:$XFD, MATCH(gdp_ind_share!U$1, gdp_tot_mes!$B$1:$XFD$1, 0), 0)</f>
        <v>0.26909649762416171</v>
      </c>
      <c r="V40" s="29">
        <f>VLOOKUP($B40, ind_mes!$B:$XFD, MATCH(gdp_ind_share!V$1, ind_mes!$B$1:$XFD$1, 0), 0)/VLOOKUP($B40, gdp_tot_mes!$B:$XFD, MATCH(gdp_ind_share!V$1, gdp_tot_mes!$B$1:$XFD$1, 0), 0)</f>
        <v>0.19173877658590102</v>
      </c>
      <c r="W40" s="29">
        <f>VLOOKUP($B40, ind_mes!$B:$XFD, MATCH(gdp_ind_share!W$1, ind_mes!$B$1:$XFD$1, 0), 0)/VLOOKUP($B40, gdp_tot_mes!$B:$XFD, MATCH(gdp_ind_share!W$1, gdp_tot_mes!$B$1:$XFD$1, 0), 0)</f>
        <v>0.13594599516512759</v>
      </c>
      <c r="X40" s="29">
        <f>VLOOKUP($B40, ind_mes!$B:$XFD, MATCH(gdp_ind_share!X$1, ind_mes!$B$1:$XFD$1, 0), 0)/VLOOKUP($B40, gdp_tot_mes!$B:$XFD, MATCH(gdp_ind_share!X$1, gdp_tot_mes!$B$1:$XFD$1, 0), 0)</f>
        <v>0.11794324093977381</v>
      </c>
      <c r="Y40" s="29">
        <f>VLOOKUP($B40, ind_mes!$B:$XFD, MATCH(gdp_ind_share!Y$1, ind_mes!$B$1:$XFD$1, 0), 0)/VLOOKUP($B40, gdp_tot_mes!$B:$XFD, MATCH(gdp_ind_share!Y$1, gdp_tot_mes!$B$1:$XFD$1, 0), 0)</f>
        <v>0.11362446184134639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25">
      <c r="A41" s="1" t="s">
        <v>102</v>
      </c>
      <c r="B41" s="1" t="s">
        <v>111</v>
      </c>
      <c r="C41" s="1" t="s">
        <v>112</v>
      </c>
      <c r="D41" s="29">
        <f>VLOOKUP($B41, ind_mes!$B:$XFD, MATCH(gdp_ind_share!D$1, ind_mes!$B$1:$XFD$1, 0), 0)/VLOOKUP($B41, gdp_tot_mes!$B:$XFD, MATCH(gdp_ind_share!D$1, gdp_tot_mes!$B$1:$XFD$1, 0), 0)</f>
        <v>0.32688786571687456</v>
      </c>
      <c r="E41" s="29">
        <f>VLOOKUP($B41, ind_mes!$B:$XFD, MATCH(gdp_ind_share!E$1, ind_mes!$B$1:$XFD$1, 0), 0)/VLOOKUP($B41, gdp_tot_mes!$B:$XFD, MATCH(gdp_ind_share!E$1, gdp_tot_mes!$B$1:$XFD$1, 0), 0)</f>
        <v>9.0869072449415982E-3</v>
      </c>
      <c r="F41" s="29">
        <f>VLOOKUP($B41, ind_mes!$B:$XFD, MATCH(gdp_ind_share!F$1, ind_mes!$B$1:$XFD$1, 0), 0)/VLOOKUP($B41, gdp_tot_mes!$B:$XFD, MATCH(gdp_ind_share!F$1, gdp_tot_mes!$B$1:$XFD$1, 0), 0)</f>
        <v>4.014761265674778E-2</v>
      </c>
      <c r="G41" s="29">
        <f>VLOOKUP($B41, ind_mes!$B:$XFD, MATCH(gdp_ind_share!G$1, ind_mes!$B$1:$XFD$1, 0), 0)/VLOOKUP($B41, gdp_tot_mes!$B:$XFD, MATCH(gdp_ind_share!G$1, gdp_tot_mes!$B$1:$XFD$1, 0), 0)</f>
        <v>7.8546147875352093E-2</v>
      </c>
      <c r="H41" s="29">
        <f>VLOOKUP($B41, ind_mes!$B:$XFD, MATCH(gdp_ind_share!H$1, ind_mes!$B$1:$XFD$1, 0), 0)/VLOOKUP($B41, gdp_tot_mes!$B:$XFD, MATCH(gdp_ind_share!H$1, gdp_tot_mes!$B$1:$XFD$1, 0), 0)</f>
        <v>9.0204861351529525E-2</v>
      </c>
      <c r="I41" s="29">
        <f>VLOOKUP($B41, ind_mes!$B:$XFD, MATCH(gdp_ind_share!I$1, ind_mes!$B$1:$XFD$1, 0), 0)/VLOOKUP($B41, gdp_tot_mes!$B:$XFD, MATCH(gdp_ind_share!I$1, gdp_tot_mes!$B$1:$XFD$1, 0), 0)</f>
        <v>7.377418139832001E-2</v>
      </c>
      <c r="J41" s="29">
        <f>VLOOKUP($B41, ind_mes!$B:$XFD, MATCH(gdp_ind_share!J$1, ind_mes!$B$1:$XFD$1, 0), 0)/VLOOKUP($B41, gdp_tot_mes!$B:$XFD, MATCH(gdp_ind_share!J$1, gdp_tot_mes!$B$1:$XFD$1, 0), 0)</f>
        <v>0.13858358253144989</v>
      </c>
      <c r="K41" s="29">
        <f>VLOOKUP($B41, ind_mes!$B:$XFD, MATCH(gdp_ind_share!K$1, ind_mes!$B$1:$XFD$1, 0), 0)/VLOOKUP($B41, gdp_tot_mes!$B:$XFD, MATCH(gdp_ind_share!K$1, gdp_tot_mes!$B$1:$XFD$1, 0), 0)</f>
        <v>0.1520636094921993</v>
      </c>
      <c r="L41" s="30">
        <f t="shared" si="0"/>
        <v>0.18700334567403856</v>
      </c>
      <c r="M41" s="29">
        <f>VLOOKUP($B41, ind_mes!$B:$XFD, MATCH(gdp_ind_share!M$1, ind_mes!$B$1:$XFD$1, 0), 0)/VLOOKUP($B41, gdp_tot_mes!$B:$XFD, MATCH(gdp_ind_share!M$1, gdp_tot_mes!$B$1:$XFD$1, 0), 0)</f>
        <v>0.22893102909224569</v>
      </c>
      <c r="N41" s="29">
        <f>VLOOKUP($B41, ind_mes!$B:$XFD, MATCH(gdp_ind_share!N$1, ind_mes!$B$1:$XFD$1, 0), 0)/VLOOKUP($B41, gdp_tot_mes!$B:$XFD, MATCH(gdp_ind_share!N$1, gdp_tot_mes!$B$1:$XFD$1, 0), 0)</f>
        <v>5.7666789974658184E-2</v>
      </c>
      <c r="O41" s="29">
        <f>VLOOKUP($B41, ind_mes!$B:$XFD, MATCH(gdp_ind_share!O$1, ind_mes!$B$1:$XFD$1, 0), 0)/VLOOKUP($B41, gdp_tot_mes!$B:$XFD, MATCH(gdp_ind_share!O$1, gdp_tot_mes!$B$1:$XFD$1, 0), 0)</f>
        <v>5.8861595639484066E-2</v>
      </c>
      <c r="P41" s="29">
        <f>VLOOKUP($B41, ind_mes!$B:$XFD, MATCH(gdp_ind_share!P$1, ind_mes!$B$1:$XFD$1, 0), 0)/VLOOKUP($B41, gdp_tot_mes!$B:$XFD, MATCH(gdp_ind_share!P$1, gdp_tot_mes!$B$1:$XFD$1, 0), 0)</f>
        <v>6.7956821307079959E-2</v>
      </c>
      <c r="Q41" s="29">
        <f>VLOOKUP($B41, ind_mes!$B:$XFD, MATCH(gdp_ind_share!Q$1, ind_mes!$B$1:$XFD$1, 0), 0)/VLOOKUP($B41, gdp_tot_mes!$B:$XFD, MATCH(gdp_ind_share!Q$1, gdp_tot_mes!$B$1:$XFD$1, 0), 0)</f>
        <v>7.4051393013380457E-2</v>
      </c>
      <c r="R41" s="29">
        <f>VLOOKUP($B41, ind_mes!$B:$XFD, MATCH(gdp_ind_share!R$1, ind_mes!$B$1:$XFD$1, 0), 0)/VLOOKUP($B41, gdp_tot_mes!$B:$XFD, MATCH(gdp_ind_share!R$1, gdp_tot_mes!$B$1:$XFD$1, 0), 0)</f>
        <v>8.8583483897678908E-2</v>
      </c>
      <c r="S41" s="29">
        <f>VLOOKUP($B41, ind_mes!$B:$XFD, MATCH(gdp_ind_share!S$1, ind_mes!$B$1:$XFD$1, 0), 0)/VLOOKUP($B41, gdp_tot_mes!$B:$XFD, MATCH(gdp_ind_share!S$1, gdp_tot_mes!$B$1:$XFD$1, 0), 0)</f>
        <v>6.1323422966133717E-2</v>
      </c>
      <c r="T41" s="29">
        <f>VLOOKUP($B41, ind_mes!$B:$XFD, MATCH(gdp_ind_share!T$1, ind_mes!$B$1:$XFD$1, 0), 0)/VLOOKUP($B41, gdp_tot_mes!$B:$XFD, MATCH(gdp_ind_share!T$1, gdp_tot_mes!$B$1:$XFD$1, 0), 0)</f>
        <v>4.9821899354445864E-2</v>
      </c>
      <c r="U41" s="29">
        <f>VLOOKUP($B41, ind_mes!$B:$XFD, MATCH(gdp_ind_share!U$1, ind_mes!$B$1:$XFD$1, 0), 0)/VLOOKUP($B41, gdp_tot_mes!$B:$XFD, MATCH(gdp_ind_share!U$1, gdp_tot_mes!$B$1:$XFD$1, 0), 0)</f>
        <v>0.1041564006852948</v>
      </c>
      <c r="V41" s="29">
        <f>VLOOKUP($B41, ind_mes!$B:$XFD, MATCH(gdp_ind_share!V$1, ind_mes!$B$1:$XFD$1, 0), 0)/VLOOKUP($B41, gdp_tot_mes!$B:$XFD, MATCH(gdp_ind_share!V$1, gdp_tot_mes!$B$1:$XFD$1, 0), 0)</f>
        <v>0.19393806175758768</v>
      </c>
      <c r="W41" s="29">
        <f>VLOOKUP($B41, ind_mes!$B:$XFD, MATCH(gdp_ind_share!W$1, ind_mes!$B$1:$XFD$1, 0), 0)/VLOOKUP($B41, gdp_tot_mes!$B:$XFD, MATCH(gdp_ind_share!W$1, gdp_tot_mes!$B$1:$XFD$1, 0), 0)</f>
        <v>0.17856653037397568</v>
      </c>
      <c r="X41" s="29">
        <f>VLOOKUP($B41, ind_mes!$B:$XFD, MATCH(gdp_ind_share!X$1, ind_mes!$B$1:$XFD$1, 0), 0)/VLOOKUP($B41, gdp_tot_mes!$B:$XFD, MATCH(gdp_ind_share!X$1, gdp_tot_mes!$B$1:$XFD$1, 0), 0)</f>
        <v>0.22798097430998915</v>
      </c>
      <c r="Y41" s="29">
        <f>VLOOKUP($B41, ind_mes!$B:$XFD, MATCH(gdp_ind_share!Y$1, ind_mes!$B$1:$XFD$1, 0), 0)/VLOOKUP($B41, gdp_tot_mes!$B:$XFD, MATCH(gdp_ind_share!Y$1, gdp_tot_mes!$B$1:$XFD$1, 0), 0)</f>
        <v>0.15311610948150958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x14ac:dyDescent="0.25">
      <c r="A42" s="1" t="s">
        <v>113</v>
      </c>
      <c r="B42" s="1" t="s">
        <v>114</v>
      </c>
      <c r="C42" s="1" t="s">
        <v>115</v>
      </c>
      <c r="D42" s="29">
        <f>VLOOKUP($B42, ind_mes!$B:$XFD, MATCH(gdp_ind_share!D$1, ind_mes!$B$1:$XFD$1, 0), 0)/VLOOKUP($B42, gdp_tot_mes!$B:$XFD, MATCH(gdp_ind_share!D$1, gdp_tot_mes!$B$1:$XFD$1, 0), 0)</f>
        <v>9.7068567262144828E-2</v>
      </c>
      <c r="E42" s="29">
        <f>VLOOKUP($B42, ind_mes!$B:$XFD, MATCH(gdp_ind_share!E$1, ind_mes!$B$1:$XFD$1, 0), 0)/VLOOKUP($B42, gdp_tot_mes!$B:$XFD, MATCH(gdp_ind_share!E$1, gdp_tot_mes!$B$1:$XFD$1, 0), 0)</f>
        <v>8.9757350125381375E-3</v>
      </c>
      <c r="F42" s="29">
        <f>VLOOKUP($B42, ind_mes!$B:$XFD, MATCH(gdp_ind_share!F$1, ind_mes!$B$1:$XFD$1, 0), 0)/VLOOKUP($B42, gdp_tot_mes!$B:$XFD, MATCH(gdp_ind_share!F$1, gdp_tot_mes!$B$1:$XFD$1, 0), 0)</f>
        <v>4.4387059809071101E-2</v>
      </c>
      <c r="G42" s="29">
        <f>VLOOKUP($B42, ind_mes!$B:$XFD, MATCH(gdp_ind_share!G$1, ind_mes!$B$1:$XFD$1, 0), 0)/VLOOKUP($B42, gdp_tot_mes!$B:$XFD, MATCH(gdp_ind_share!G$1, gdp_tot_mes!$B$1:$XFD$1, 0), 0)</f>
        <v>3.9445467339975018E-2</v>
      </c>
      <c r="H42" s="29">
        <f>VLOOKUP($B42, ind_mes!$B:$XFD, MATCH(gdp_ind_share!H$1, ind_mes!$B$1:$XFD$1, 0), 0)/VLOOKUP($B42, gdp_tot_mes!$B:$XFD, MATCH(gdp_ind_share!H$1, gdp_tot_mes!$B$1:$XFD$1, 0), 0)</f>
        <v>7.5943478529188702E-2</v>
      </c>
      <c r="I42" s="29">
        <f>VLOOKUP($B42, ind_mes!$B:$XFD, MATCH(gdp_ind_share!I$1, ind_mes!$B$1:$XFD$1, 0), 0)/VLOOKUP($B42, gdp_tot_mes!$B:$XFD, MATCH(gdp_ind_share!I$1, gdp_tot_mes!$B$1:$XFD$1, 0), 0)</f>
        <v>0.11491792385087281</v>
      </c>
      <c r="J42" s="29">
        <f>VLOOKUP($B42, ind_mes!$B:$XFD, MATCH(gdp_ind_share!J$1, ind_mes!$B$1:$XFD$1, 0), 0)/VLOOKUP($B42, gdp_tot_mes!$B:$XFD, MATCH(gdp_ind_share!J$1, gdp_tot_mes!$B$1:$XFD$1, 0), 0)</f>
        <v>0.10835155313701192</v>
      </c>
      <c r="K42" s="29">
        <f>VLOOKUP($B42, ind_mes!$B:$XFD, MATCH(gdp_ind_share!K$1, ind_mes!$B$1:$XFD$1, 0), 0)/VLOOKUP($B42, gdp_tot_mes!$B:$XFD, MATCH(gdp_ind_share!K$1, gdp_tot_mes!$B$1:$XFD$1, 0), 0)</f>
        <v>0.13800384742565106</v>
      </c>
      <c r="L42" s="30">
        <f t="shared" si="0"/>
        <v>0.13651230034648903</v>
      </c>
      <c r="M42" s="29">
        <f>VLOOKUP($B42, ind_mes!$B:$XFD, MATCH(gdp_ind_share!M$1, ind_mes!$B$1:$XFD$1, 0), 0)/VLOOKUP($B42, gdp_tot_mes!$B:$XFD, MATCH(gdp_ind_share!M$1, gdp_tot_mes!$B$1:$XFD$1, 0), 0)</f>
        <v>0.13472244385149459</v>
      </c>
      <c r="N42" s="29">
        <f>VLOOKUP($B42, ind_mes!$B:$XFD, MATCH(gdp_ind_share!N$1, ind_mes!$B$1:$XFD$1, 0), 0)/VLOOKUP($B42, gdp_tot_mes!$B:$XFD, MATCH(gdp_ind_share!N$1, gdp_tot_mes!$B$1:$XFD$1, 0), 0)</f>
        <v>0.12216482271695742</v>
      </c>
      <c r="O42" s="29">
        <f>VLOOKUP($B42, ind_mes!$B:$XFD, MATCH(gdp_ind_share!O$1, ind_mes!$B$1:$XFD$1, 0), 0)/VLOOKUP($B42, gdp_tot_mes!$B:$XFD, MATCH(gdp_ind_share!O$1, gdp_tot_mes!$B$1:$XFD$1, 0), 0)</f>
        <v>0.1511328887007522</v>
      </c>
      <c r="P42" s="29">
        <f>VLOOKUP($B42, ind_mes!$B:$XFD, MATCH(gdp_ind_share!P$1, ind_mes!$B$1:$XFD$1, 0), 0)/VLOOKUP($B42, gdp_tot_mes!$B:$XFD, MATCH(gdp_ind_share!P$1, gdp_tot_mes!$B$1:$XFD$1, 0), 0)</f>
        <v>0.13777862676490971</v>
      </c>
      <c r="Q42" s="29">
        <f>VLOOKUP($B42, ind_mes!$B:$XFD, MATCH(gdp_ind_share!Q$1, ind_mes!$B$1:$XFD$1, 0), 0)/VLOOKUP($B42, gdp_tot_mes!$B:$XFD, MATCH(gdp_ind_share!Q$1, gdp_tot_mes!$B$1:$XFD$1, 0), 0)</f>
        <v>0.11943076378606325</v>
      </c>
      <c r="R42" s="29">
        <f>VLOOKUP($B42, ind_mes!$B:$XFD, MATCH(gdp_ind_share!R$1, ind_mes!$B$1:$XFD$1, 0), 0)/VLOOKUP($B42, gdp_tot_mes!$B:$XFD, MATCH(gdp_ind_share!R$1, gdp_tot_mes!$B$1:$XFD$1, 0), 0)</f>
        <v>0.10975145088002194</v>
      </c>
      <c r="S42" s="29">
        <f>VLOOKUP($B42, ind_mes!$B:$XFD, MATCH(gdp_ind_share!S$1, ind_mes!$B$1:$XFD$1, 0), 0)/VLOOKUP($B42, gdp_tot_mes!$B:$XFD, MATCH(gdp_ind_share!S$1, gdp_tot_mes!$B$1:$XFD$1, 0), 0)</f>
        <v>0.11856968580468255</v>
      </c>
      <c r="T42" s="29">
        <f>VLOOKUP($B42, ind_mes!$B:$XFD, MATCH(gdp_ind_share!T$1, ind_mes!$B$1:$XFD$1, 0), 0)/VLOOKUP($B42, gdp_tot_mes!$B:$XFD, MATCH(gdp_ind_share!T$1, gdp_tot_mes!$B$1:$XFD$1, 0), 0)</f>
        <v>0.13583984129049256</v>
      </c>
      <c r="U42" s="29">
        <f>VLOOKUP($B42, ind_mes!$B:$XFD, MATCH(gdp_ind_share!U$1, ind_mes!$B$1:$XFD$1, 0), 0)/VLOOKUP($B42, gdp_tot_mes!$B:$XFD, MATCH(gdp_ind_share!U$1, gdp_tot_mes!$B$1:$XFD$1, 0), 0)</f>
        <v>0.13139647535292262</v>
      </c>
      <c r="V42" s="29">
        <f>VLOOKUP($B42, ind_mes!$B:$XFD, MATCH(gdp_ind_share!V$1, ind_mes!$B$1:$XFD$1, 0), 0)/VLOOKUP($B42, gdp_tot_mes!$B:$XFD, MATCH(gdp_ind_share!V$1, gdp_tot_mes!$B$1:$XFD$1, 0), 0)</f>
        <v>0.1350694195307022</v>
      </c>
      <c r="W42" s="29">
        <f>VLOOKUP($B42, ind_mes!$B:$XFD, MATCH(gdp_ind_share!W$1, ind_mes!$B$1:$XFD$1, 0), 0)/VLOOKUP($B42, gdp_tot_mes!$B:$XFD, MATCH(gdp_ind_share!W$1, gdp_tot_mes!$B$1:$XFD$1, 0), 0)</f>
        <v>0.12701265075196921</v>
      </c>
      <c r="X42" s="29">
        <f>VLOOKUP($B42, ind_mes!$B:$XFD, MATCH(gdp_ind_share!X$1, ind_mes!$B$1:$XFD$1, 0), 0)/VLOOKUP($B42, gdp_tot_mes!$B:$XFD, MATCH(gdp_ind_share!X$1, gdp_tot_mes!$B$1:$XFD$1, 0), 0)</f>
        <v>0.1261432162718914</v>
      </c>
      <c r="Y42" s="29">
        <f>VLOOKUP($B42, ind_mes!$B:$XFD, MATCH(gdp_ind_share!Y$1, ind_mes!$B$1:$XFD$1, 0), 0)/VLOOKUP($B42, gdp_tot_mes!$B:$XFD, MATCH(gdp_ind_share!Y$1, gdp_tot_mes!$B$1:$XFD$1, 0), 0)</f>
        <v>0.19887913034065247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x14ac:dyDescent="0.25">
      <c r="A43" s="1" t="s">
        <v>113</v>
      </c>
      <c r="B43" s="1" t="s">
        <v>116</v>
      </c>
      <c r="C43" s="1" t="s">
        <v>117</v>
      </c>
      <c r="D43" s="29">
        <f>VLOOKUP($B43, ind_mes!$B:$XFD, MATCH(gdp_ind_share!D$1, ind_mes!$B$1:$XFD$1, 0), 0)/VLOOKUP($B43, gdp_tot_mes!$B:$XFD, MATCH(gdp_ind_share!D$1, gdp_tot_mes!$B$1:$XFD$1, 0), 0)</f>
        <v>0.25460727458022758</v>
      </c>
      <c r="E43" s="29">
        <f>VLOOKUP($B43, ind_mes!$B:$XFD, MATCH(gdp_ind_share!E$1, ind_mes!$B$1:$XFD$1, 0), 0)/VLOOKUP($B43, gdp_tot_mes!$B:$XFD, MATCH(gdp_ind_share!E$1, gdp_tot_mes!$B$1:$XFD$1, 0), 0)</f>
        <v>2.3628173014845776E-2</v>
      </c>
      <c r="F43" s="29">
        <f>VLOOKUP($B43, ind_mes!$B:$XFD, MATCH(gdp_ind_share!F$1, ind_mes!$B$1:$XFD$1, 0), 0)/VLOOKUP($B43, gdp_tot_mes!$B:$XFD, MATCH(gdp_ind_share!F$1, gdp_tot_mes!$B$1:$XFD$1, 0), 0)</f>
        <v>4.6152286665963077E-2</v>
      </c>
      <c r="G43" s="29">
        <f>VLOOKUP($B43, ind_mes!$B:$XFD, MATCH(gdp_ind_share!G$1, ind_mes!$B$1:$XFD$1, 0), 0)/VLOOKUP($B43, gdp_tot_mes!$B:$XFD, MATCH(gdp_ind_share!G$1, gdp_tot_mes!$B$1:$XFD$1, 0), 0)</f>
        <v>0.10236604416811038</v>
      </c>
      <c r="H43" s="29">
        <f>VLOOKUP($B43, ind_mes!$B:$XFD, MATCH(gdp_ind_share!H$1, ind_mes!$B$1:$XFD$1, 0), 0)/VLOOKUP($B43, gdp_tot_mes!$B:$XFD, MATCH(gdp_ind_share!H$1, gdp_tot_mes!$B$1:$XFD$1, 0), 0)</f>
        <v>0.1453114110932566</v>
      </c>
      <c r="I43" s="29">
        <f>VLOOKUP($B43, ind_mes!$B:$XFD, MATCH(gdp_ind_share!I$1, ind_mes!$B$1:$XFD$1, 0), 0)/VLOOKUP($B43, gdp_tot_mes!$B:$XFD, MATCH(gdp_ind_share!I$1, gdp_tot_mes!$B$1:$XFD$1, 0), 0)</f>
        <v>0.19325231146669763</v>
      </c>
      <c r="J43" s="29">
        <f>VLOOKUP($B43, ind_mes!$B:$XFD, MATCH(gdp_ind_share!J$1, ind_mes!$B$1:$XFD$1, 0), 0)/VLOOKUP($B43, gdp_tot_mes!$B:$XFD, MATCH(gdp_ind_share!J$1, gdp_tot_mes!$B$1:$XFD$1, 0), 0)</f>
        <v>0.2508772315235398</v>
      </c>
      <c r="K43" s="29">
        <f>VLOOKUP($B43, ind_mes!$B:$XFD, MATCH(gdp_ind_share!K$1, ind_mes!$B$1:$XFD$1, 0), 0)/VLOOKUP($B43, gdp_tot_mes!$B:$XFD, MATCH(gdp_ind_share!K$1, gdp_tot_mes!$B$1:$XFD$1, 0), 0)</f>
        <v>0.34564951268666277</v>
      </c>
      <c r="L43" s="30">
        <f t="shared" si="0"/>
        <v>0.3222213657759968</v>
      </c>
      <c r="M43" s="29">
        <f>VLOOKUP($B43, ind_mes!$B:$XFD, MATCH(gdp_ind_share!M$1, ind_mes!$B$1:$XFD$1, 0), 0)/VLOOKUP($B43, gdp_tot_mes!$B:$XFD, MATCH(gdp_ind_share!M$1, gdp_tot_mes!$B$1:$XFD$1, 0), 0)</f>
        <v>0.2941075894831976</v>
      </c>
      <c r="N43" s="29">
        <f>VLOOKUP($B43, ind_mes!$B:$XFD, MATCH(gdp_ind_share!N$1, ind_mes!$B$1:$XFD$1, 0), 0)/VLOOKUP($B43, gdp_tot_mes!$B:$XFD, MATCH(gdp_ind_share!N$1, gdp_tot_mes!$B$1:$XFD$1, 0), 0)</f>
        <v>0.21212161660013745</v>
      </c>
      <c r="O43" s="29">
        <f>VLOOKUP($B43, ind_mes!$B:$XFD, MATCH(gdp_ind_share!O$1, ind_mes!$B$1:$XFD$1, 0), 0)/VLOOKUP($B43, gdp_tot_mes!$B:$XFD, MATCH(gdp_ind_share!O$1, gdp_tot_mes!$B$1:$XFD$1, 0), 0)</f>
        <v>0.22847376528908447</v>
      </c>
      <c r="P43" s="29">
        <f>VLOOKUP($B43, ind_mes!$B:$XFD, MATCH(gdp_ind_share!P$1, ind_mes!$B$1:$XFD$1, 0), 0)/VLOOKUP($B43, gdp_tot_mes!$B:$XFD, MATCH(gdp_ind_share!P$1, gdp_tot_mes!$B$1:$XFD$1, 0), 0)</f>
        <v>0.20164121093564627</v>
      </c>
      <c r="Q43" s="29">
        <f>VLOOKUP($B43, ind_mes!$B:$XFD, MATCH(gdp_ind_share!Q$1, ind_mes!$B$1:$XFD$1, 0), 0)/VLOOKUP($B43, gdp_tot_mes!$B:$XFD, MATCH(gdp_ind_share!Q$1, gdp_tot_mes!$B$1:$XFD$1, 0), 0)</f>
        <v>0.17393045014484318</v>
      </c>
      <c r="R43" s="29">
        <f>VLOOKUP($B43, ind_mes!$B:$XFD, MATCH(gdp_ind_share!R$1, ind_mes!$B$1:$XFD$1, 0), 0)/VLOOKUP($B43, gdp_tot_mes!$B:$XFD, MATCH(gdp_ind_share!R$1, gdp_tot_mes!$B$1:$XFD$1, 0), 0)</f>
        <v>0.1810205682232148</v>
      </c>
      <c r="S43" s="29">
        <f>VLOOKUP($B43, ind_mes!$B:$XFD, MATCH(gdp_ind_share!S$1, ind_mes!$B$1:$XFD$1, 0), 0)/VLOOKUP($B43, gdp_tot_mes!$B:$XFD, MATCH(gdp_ind_share!S$1, gdp_tot_mes!$B$1:$XFD$1, 0), 0)</f>
        <v>0.19890499317962662</v>
      </c>
      <c r="T43" s="29">
        <f>VLOOKUP($B43, ind_mes!$B:$XFD, MATCH(gdp_ind_share!T$1, ind_mes!$B$1:$XFD$1, 0), 0)/VLOOKUP($B43, gdp_tot_mes!$B:$XFD, MATCH(gdp_ind_share!T$1, gdp_tot_mes!$B$1:$XFD$1, 0), 0)</f>
        <v>0.19776247084227322</v>
      </c>
      <c r="U43" s="29">
        <f>VLOOKUP($B43, ind_mes!$B:$XFD, MATCH(gdp_ind_share!U$1, ind_mes!$B$1:$XFD$1, 0), 0)/VLOOKUP($B43, gdp_tot_mes!$B:$XFD, MATCH(gdp_ind_share!U$1, gdp_tot_mes!$B$1:$XFD$1, 0), 0)</f>
        <v>0.18891744680719308</v>
      </c>
      <c r="V43" s="29">
        <f>VLOOKUP($B43, ind_mes!$B:$XFD, MATCH(gdp_ind_share!V$1, ind_mes!$B$1:$XFD$1, 0), 0)/VLOOKUP($B43, gdp_tot_mes!$B:$XFD, MATCH(gdp_ind_share!V$1, gdp_tot_mes!$B$1:$XFD$1, 0), 0)</f>
        <v>0.20906478381800339</v>
      </c>
      <c r="W43" s="29">
        <f>VLOOKUP($B43, ind_mes!$B:$XFD, MATCH(gdp_ind_share!W$1, ind_mes!$B$1:$XFD$1, 0), 0)/VLOOKUP($B43, gdp_tot_mes!$B:$XFD, MATCH(gdp_ind_share!W$1, gdp_tot_mes!$B$1:$XFD$1, 0), 0)</f>
        <v>0.1950790063451289</v>
      </c>
      <c r="X43" s="29">
        <f>VLOOKUP($B43, ind_mes!$B:$XFD, MATCH(gdp_ind_share!X$1, ind_mes!$B$1:$XFD$1, 0), 0)/VLOOKUP($B43, gdp_tot_mes!$B:$XFD, MATCH(gdp_ind_share!X$1, gdp_tot_mes!$B$1:$XFD$1, 0), 0)</f>
        <v>0.17707947542234018</v>
      </c>
      <c r="Y43" s="29">
        <f>VLOOKUP($B43, ind_mes!$B:$XFD, MATCH(gdp_ind_share!Y$1, ind_mes!$B$1:$XFD$1, 0), 0)/VLOOKUP($B43, gdp_tot_mes!$B:$XFD, MATCH(gdp_ind_share!Y$1, gdp_tot_mes!$B$1:$XFD$1, 0), 0)</f>
        <v>0.18439567896140621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x14ac:dyDescent="0.25">
      <c r="A44" s="1" t="s">
        <v>113</v>
      </c>
      <c r="B44" s="1" t="s">
        <v>118</v>
      </c>
      <c r="C44" s="1" t="s">
        <v>119</v>
      </c>
      <c r="D44" s="29">
        <f>VLOOKUP($B44, ind_mes!$B:$XFD, MATCH(gdp_ind_share!D$1, ind_mes!$B$1:$XFD$1, 0), 0)/VLOOKUP($B44, gdp_tot_mes!$B:$XFD, MATCH(gdp_ind_share!D$1, gdp_tot_mes!$B$1:$XFD$1, 0), 0)</f>
        <v>0.10753231087640484</v>
      </c>
      <c r="E44" s="29">
        <f>VLOOKUP($B44, ind_mes!$B:$XFD, MATCH(gdp_ind_share!E$1, ind_mes!$B$1:$XFD$1, 0), 0)/VLOOKUP($B44, gdp_tot_mes!$B:$XFD, MATCH(gdp_ind_share!E$1, gdp_tot_mes!$B$1:$XFD$1, 0), 0)</f>
        <v>2.7472462848967021E-2</v>
      </c>
      <c r="F44" s="29">
        <f>VLOOKUP($B44, ind_mes!$B:$XFD, MATCH(gdp_ind_share!F$1, ind_mes!$B$1:$XFD$1, 0), 0)/VLOOKUP($B44, gdp_tot_mes!$B:$XFD, MATCH(gdp_ind_share!F$1, gdp_tot_mes!$B$1:$XFD$1, 0), 0)</f>
        <v>3.4715765951367786E-2</v>
      </c>
      <c r="G44" s="29">
        <f>VLOOKUP($B44, ind_mes!$B:$XFD, MATCH(gdp_ind_share!G$1, ind_mes!$B$1:$XFD$1, 0), 0)/VLOOKUP($B44, gdp_tot_mes!$B:$XFD, MATCH(gdp_ind_share!G$1, gdp_tot_mes!$B$1:$XFD$1, 0), 0)</f>
        <v>7.485874029867072E-2</v>
      </c>
      <c r="H44" s="29">
        <f>VLOOKUP($B44, ind_mes!$B:$XFD, MATCH(gdp_ind_share!H$1, ind_mes!$B$1:$XFD$1, 0), 0)/VLOOKUP($B44, gdp_tot_mes!$B:$XFD, MATCH(gdp_ind_share!H$1, gdp_tot_mes!$B$1:$XFD$1, 0), 0)</f>
        <v>0.13737124682504603</v>
      </c>
      <c r="I44" s="29">
        <f>VLOOKUP($B44, ind_mes!$B:$XFD, MATCH(gdp_ind_share!I$1, ind_mes!$B$1:$XFD$1, 0), 0)/VLOOKUP($B44, gdp_tot_mes!$B:$XFD, MATCH(gdp_ind_share!I$1, gdp_tot_mes!$B$1:$XFD$1, 0), 0)</f>
        <v>0.13872211997630082</v>
      </c>
      <c r="J44" s="29">
        <f>VLOOKUP($B44, ind_mes!$B:$XFD, MATCH(gdp_ind_share!J$1, ind_mes!$B$1:$XFD$1, 0), 0)/VLOOKUP($B44, gdp_tot_mes!$B:$XFD, MATCH(gdp_ind_share!J$1, gdp_tot_mes!$B$1:$XFD$1, 0), 0)</f>
        <v>0.15850384315029126</v>
      </c>
      <c r="K44" s="29">
        <f>VLOOKUP($B44, ind_mes!$B:$XFD, MATCH(gdp_ind_share!K$1, ind_mes!$B$1:$XFD$1, 0), 0)/VLOOKUP($B44, gdp_tot_mes!$B:$XFD, MATCH(gdp_ind_share!K$1, gdp_tot_mes!$B$1:$XFD$1, 0), 0)</f>
        <v>0.11233482009047617</v>
      </c>
      <c r="L44" s="30">
        <f t="shared" si="0"/>
        <v>0.1016697613010019</v>
      </c>
      <c r="M44" s="29">
        <f>VLOOKUP($B44, ind_mes!$B:$XFD, MATCH(gdp_ind_share!M$1, ind_mes!$B$1:$XFD$1, 0), 0)/VLOOKUP($B44, gdp_tot_mes!$B:$XFD, MATCH(gdp_ind_share!M$1, gdp_tot_mes!$B$1:$XFD$1, 0), 0)</f>
        <v>8.8871690753632784E-2</v>
      </c>
      <c r="N44" s="29">
        <f>VLOOKUP($B44, ind_mes!$B:$XFD, MATCH(gdp_ind_share!N$1, ind_mes!$B$1:$XFD$1, 0), 0)/VLOOKUP($B44, gdp_tot_mes!$B:$XFD, MATCH(gdp_ind_share!N$1, gdp_tot_mes!$B$1:$XFD$1, 0), 0)</f>
        <v>0.1201365385225885</v>
      </c>
      <c r="O44" s="29">
        <f>VLOOKUP($B44, ind_mes!$B:$XFD, MATCH(gdp_ind_share!O$1, ind_mes!$B$1:$XFD$1, 0), 0)/VLOOKUP($B44, gdp_tot_mes!$B:$XFD, MATCH(gdp_ind_share!O$1, gdp_tot_mes!$B$1:$XFD$1, 0), 0)</f>
        <v>0.12350273498967392</v>
      </c>
      <c r="P44" s="29">
        <f>VLOOKUP($B44, ind_mes!$B:$XFD, MATCH(gdp_ind_share!P$1, ind_mes!$B$1:$XFD$1, 0), 0)/VLOOKUP($B44, gdp_tot_mes!$B:$XFD, MATCH(gdp_ind_share!P$1, gdp_tot_mes!$B$1:$XFD$1, 0), 0)</f>
        <v>0.11069258929097196</v>
      </c>
      <c r="Q44" s="29">
        <f>VLOOKUP($B44, ind_mes!$B:$XFD, MATCH(gdp_ind_share!Q$1, ind_mes!$B$1:$XFD$1, 0), 0)/VLOOKUP($B44, gdp_tot_mes!$B:$XFD, MATCH(gdp_ind_share!Q$1, gdp_tot_mes!$B$1:$XFD$1, 0), 0)</f>
        <v>7.9727202409438591E-2</v>
      </c>
      <c r="R44" s="29">
        <f>VLOOKUP($B44, ind_mes!$B:$XFD, MATCH(gdp_ind_share!R$1, ind_mes!$B$1:$XFD$1, 0), 0)/VLOOKUP($B44, gdp_tot_mes!$B:$XFD, MATCH(gdp_ind_share!R$1, gdp_tot_mes!$B$1:$XFD$1, 0), 0)</f>
        <v>8.3053207073081087E-2</v>
      </c>
      <c r="S44" s="29">
        <f>VLOOKUP($B44, ind_mes!$B:$XFD, MATCH(gdp_ind_share!S$1, ind_mes!$B$1:$XFD$1, 0), 0)/VLOOKUP($B44, gdp_tot_mes!$B:$XFD, MATCH(gdp_ind_share!S$1, gdp_tot_mes!$B$1:$XFD$1, 0), 0)</f>
        <v>8.4890841810988979E-2</v>
      </c>
      <c r="T44" s="29">
        <f>VLOOKUP($B44, ind_mes!$B:$XFD, MATCH(gdp_ind_share!T$1, ind_mes!$B$1:$XFD$1, 0), 0)/VLOOKUP($B44, gdp_tot_mes!$B:$XFD, MATCH(gdp_ind_share!T$1, gdp_tot_mes!$B$1:$XFD$1, 0), 0)</f>
        <v>7.4369993080125124E-2</v>
      </c>
      <c r="U44" s="29">
        <f>VLOOKUP($B44, ind_mes!$B:$XFD, MATCH(gdp_ind_share!U$1, ind_mes!$B$1:$XFD$1, 0), 0)/VLOOKUP($B44, gdp_tot_mes!$B:$XFD, MATCH(gdp_ind_share!U$1, gdp_tot_mes!$B$1:$XFD$1, 0), 0)</f>
        <v>7.8002435921981264E-2</v>
      </c>
      <c r="V44" s="29">
        <f>VLOOKUP($B44, ind_mes!$B:$XFD, MATCH(gdp_ind_share!V$1, ind_mes!$B$1:$XFD$1, 0), 0)/VLOOKUP($B44, gdp_tot_mes!$B:$XFD, MATCH(gdp_ind_share!V$1, gdp_tot_mes!$B$1:$XFD$1, 0), 0)</f>
        <v>7.1225739442455221E-2</v>
      </c>
      <c r="W44" s="29">
        <f>VLOOKUP($B44, ind_mes!$B:$XFD, MATCH(gdp_ind_share!W$1, ind_mes!$B$1:$XFD$1, 0), 0)/VLOOKUP($B44, gdp_tot_mes!$B:$XFD, MATCH(gdp_ind_share!W$1, gdp_tot_mes!$B$1:$XFD$1, 0), 0)</f>
        <v>7.7699756637453293E-2</v>
      </c>
      <c r="X44" s="29">
        <f>VLOOKUP($B44, ind_mes!$B:$XFD, MATCH(gdp_ind_share!X$1, ind_mes!$B$1:$XFD$1, 0), 0)/VLOOKUP($B44, gdp_tot_mes!$B:$XFD, MATCH(gdp_ind_share!X$1, gdp_tot_mes!$B$1:$XFD$1, 0), 0)</f>
        <v>8.3802041607485681E-2</v>
      </c>
      <c r="Y44" s="29">
        <f>VLOOKUP($B44, ind_mes!$B:$XFD, MATCH(gdp_ind_share!Y$1, ind_mes!$B$1:$XFD$1, 0), 0)/VLOOKUP($B44, gdp_tot_mes!$B:$XFD, MATCH(gdp_ind_share!Y$1, gdp_tot_mes!$B$1:$XFD$1, 0), 0)</f>
        <v>9.8882748329223322E-2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x14ac:dyDescent="0.25">
      <c r="A45" s="1" t="s">
        <v>113</v>
      </c>
      <c r="B45" s="1" t="s">
        <v>120</v>
      </c>
      <c r="C45" s="1" t="s">
        <v>121</v>
      </c>
      <c r="D45" s="29">
        <f>VLOOKUP($B45, ind_mes!$B:$XFD, MATCH(gdp_ind_share!D$1, ind_mes!$B$1:$XFD$1, 0), 0)/VLOOKUP($B45, gdp_tot_mes!$B:$XFD, MATCH(gdp_ind_share!D$1, gdp_tot_mes!$B$1:$XFD$1, 0), 0)</f>
        <v>2.7727871349825135E-2</v>
      </c>
      <c r="E45" s="29">
        <f>VLOOKUP($B45, ind_mes!$B:$XFD, MATCH(gdp_ind_share!E$1, ind_mes!$B$1:$XFD$1, 0), 0)/VLOOKUP($B45, gdp_tot_mes!$B:$XFD, MATCH(gdp_ind_share!E$1, gdp_tot_mes!$B$1:$XFD$1, 0), 0)</f>
        <v>4.2262742324715413E-2</v>
      </c>
      <c r="F45" s="29">
        <f>VLOOKUP($B45, ind_mes!$B:$XFD, MATCH(gdp_ind_share!F$1, ind_mes!$B$1:$XFD$1, 0), 0)/VLOOKUP($B45, gdp_tot_mes!$B:$XFD, MATCH(gdp_ind_share!F$1, gdp_tot_mes!$B$1:$XFD$1, 0), 0)</f>
        <v>5.8599036478362156E-2</v>
      </c>
      <c r="G45" s="29">
        <f>VLOOKUP($B45, ind_mes!$B:$XFD, MATCH(gdp_ind_share!G$1, ind_mes!$B$1:$XFD$1, 0), 0)/VLOOKUP($B45, gdp_tot_mes!$B:$XFD, MATCH(gdp_ind_share!G$1, gdp_tot_mes!$B$1:$XFD$1, 0), 0)</f>
        <v>0.12544798277703215</v>
      </c>
      <c r="H45" s="29">
        <f>VLOOKUP($B45, ind_mes!$B:$XFD, MATCH(gdp_ind_share!H$1, ind_mes!$B$1:$XFD$1, 0), 0)/VLOOKUP($B45, gdp_tot_mes!$B:$XFD, MATCH(gdp_ind_share!H$1, gdp_tot_mes!$B$1:$XFD$1, 0), 0)</f>
        <v>0.21275751538642665</v>
      </c>
      <c r="I45" s="29">
        <f>VLOOKUP($B45, ind_mes!$B:$XFD, MATCH(gdp_ind_share!I$1, ind_mes!$B$1:$XFD$1, 0), 0)/VLOOKUP($B45, gdp_tot_mes!$B:$XFD, MATCH(gdp_ind_share!I$1, gdp_tot_mes!$B$1:$XFD$1, 0), 0)</f>
        <v>0.22188795749851956</v>
      </c>
      <c r="J45" s="29">
        <f>VLOOKUP($B45, ind_mes!$B:$XFD, MATCH(gdp_ind_share!J$1, ind_mes!$B$1:$XFD$1, 0), 0)/VLOOKUP($B45, gdp_tot_mes!$B:$XFD, MATCH(gdp_ind_share!J$1, gdp_tot_mes!$B$1:$XFD$1, 0), 0)</f>
        <v>0.16584003112301363</v>
      </c>
      <c r="K45" s="29">
        <f>VLOOKUP($B45, ind_mes!$B:$XFD, MATCH(gdp_ind_share!K$1, ind_mes!$B$1:$XFD$1, 0), 0)/VLOOKUP($B45, gdp_tot_mes!$B:$XFD, MATCH(gdp_ind_share!K$1, gdp_tot_mes!$B$1:$XFD$1, 0), 0)</f>
        <v>0.15503782850624917</v>
      </c>
      <c r="L45" s="30">
        <f t="shared" si="0"/>
        <v>0.20059114556890817</v>
      </c>
      <c r="M45" s="29">
        <f>VLOOKUP($B45, ind_mes!$B:$XFD, MATCH(gdp_ind_share!M$1, ind_mes!$B$1:$XFD$1, 0), 0)/VLOOKUP($B45, gdp_tot_mes!$B:$XFD, MATCH(gdp_ind_share!M$1, gdp_tot_mes!$B$1:$XFD$1, 0), 0)</f>
        <v>0.255255126044099</v>
      </c>
      <c r="N45" s="29">
        <f>VLOOKUP($B45, ind_mes!$B:$XFD, MATCH(gdp_ind_share!N$1, ind_mes!$B$1:$XFD$1, 0), 0)/VLOOKUP($B45, gdp_tot_mes!$B:$XFD, MATCH(gdp_ind_share!N$1, gdp_tot_mes!$B$1:$XFD$1, 0), 0)</f>
        <v>0.14387418475277375</v>
      </c>
      <c r="O45" s="29">
        <f>VLOOKUP($B45, ind_mes!$B:$XFD, MATCH(gdp_ind_share!O$1, ind_mes!$B$1:$XFD$1, 0), 0)/VLOOKUP($B45, gdp_tot_mes!$B:$XFD, MATCH(gdp_ind_share!O$1, gdp_tot_mes!$B$1:$XFD$1, 0), 0)</f>
        <v>0.1629230620421846</v>
      </c>
      <c r="P45" s="29">
        <f>VLOOKUP($B45, ind_mes!$B:$XFD, MATCH(gdp_ind_share!P$1, ind_mes!$B$1:$XFD$1, 0), 0)/VLOOKUP($B45, gdp_tot_mes!$B:$XFD, MATCH(gdp_ind_share!P$1, gdp_tot_mes!$B$1:$XFD$1, 0), 0)</f>
        <v>0.15063913455440575</v>
      </c>
      <c r="Q45" s="29">
        <f>VLOOKUP($B45, ind_mes!$B:$XFD, MATCH(gdp_ind_share!Q$1, ind_mes!$B$1:$XFD$1, 0), 0)/VLOOKUP($B45, gdp_tot_mes!$B:$XFD, MATCH(gdp_ind_share!Q$1, gdp_tot_mes!$B$1:$XFD$1, 0), 0)</f>
        <v>9.8644674684037037E-2</v>
      </c>
      <c r="R45" s="29">
        <f>VLOOKUP($B45, ind_mes!$B:$XFD, MATCH(gdp_ind_share!R$1, ind_mes!$B$1:$XFD$1, 0), 0)/VLOOKUP($B45, gdp_tot_mes!$B:$XFD, MATCH(gdp_ind_share!R$1, gdp_tot_mes!$B$1:$XFD$1, 0), 0)</f>
        <v>9.3866220981719956E-2</v>
      </c>
      <c r="S45" s="29">
        <f>VLOOKUP($B45, ind_mes!$B:$XFD, MATCH(gdp_ind_share!S$1, ind_mes!$B$1:$XFD$1, 0), 0)/VLOOKUP($B45, gdp_tot_mes!$B:$XFD, MATCH(gdp_ind_share!S$1, gdp_tot_mes!$B$1:$XFD$1, 0), 0)</f>
        <v>9.8746558204946766E-2</v>
      </c>
      <c r="T45" s="29">
        <f>VLOOKUP($B45, ind_mes!$B:$XFD, MATCH(gdp_ind_share!T$1, ind_mes!$B$1:$XFD$1, 0), 0)/VLOOKUP($B45, gdp_tot_mes!$B:$XFD, MATCH(gdp_ind_share!T$1, gdp_tot_mes!$B$1:$XFD$1, 0), 0)</f>
        <v>0.10167116709603979</v>
      </c>
      <c r="U45" s="29">
        <f>VLOOKUP($B45, ind_mes!$B:$XFD, MATCH(gdp_ind_share!U$1, ind_mes!$B$1:$XFD$1, 0), 0)/VLOOKUP($B45, gdp_tot_mes!$B:$XFD, MATCH(gdp_ind_share!U$1, gdp_tot_mes!$B$1:$XFD$1, 0), 0)</f>
        <v>9.8774092630306967E-2</v>
      </c>
      <c r="V45" s="29">
        <f>VLOOKUP($B45, ind_mes!$B:$XFD, MATCH(gdp_ind_share!V$1, ind_mes!$B$1:$XFD$1, 0), 0)/VLOOKUP($B45, gdp_tot_mes!$B:$XFD, MATCH(gdp_ind_share!V$1, gdp_tot_mes!$B$1:$XFD$1, 0), 0)</f>
        <v>0.10571760697415437</v>
      </c>
      <c r="W45" s="29">
        <f>VLOOKUP($B45, ind_mes!$B:$XFD, MATCH(gdp_ind_share!W$1, ind_mes!$B$1:$XFD$1, 0), 0)/VLOOKUP($B45, gdp_tot_mes!$B:$XFD, MATCH(gdp_ind_share!W$1, gdp_tot_mes!$B$1:$XFD$1, 0), 0)</f>
        <v>0.12638264097268323</v>
      </c>
      <c r="X45" s="29">
        <f>VLOOKUP($B45, ind_mes!$B:$XFD, MATCH(gdp_ind_share!X$1, ind_mes!$B$1:$XFD$1, 0), 0)/VLOOKUP($B45, gdp_tot_mes!$B:$XFD, MATCH(gdp_ind_share!X$1, gdp_tot_mes!$B$1:$XFD$1, 0), 0)</f>
        <v>0.1278182049295227</v>
      </c>
      <c r="Y45" s="29">
        <f>VLOOKUP($B45, ind_mes!$B:$XFD, MATCH(gdp_ind_share!Y$1, ind_mes!$B$1:$XFD$1, 0), 0)/VLOOKUP($B45, gdp_tot_mes!$B:$XFD, MATCH(gdp_ind_share!Y$1, gdp_tot_mes!$B$1:$XFD$1, 0), 0)</f>
        <v>0.17003805926758078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x14ac:dyDescent="0.25">
      <c r="A46" s="1" t="s">
        <v>113</v>
      </c>
      <c r="B46" s="1" t="s">
        <v>122</v>
      </c>
      <c r="C46" s="1" t="s">
        <v>123</v>
      </c>
      <c r="D46" s="29">
        <f>VLOOKUP($B46, ind_mes!$B:$XFD, MATCH(gdp_ind_share!D$1, ind_mes!$B$1:$XFD$1, 0), 0)/VLOOKUP($B46, gdp_tot_mes!$B:$XFD, MATCH(gdp_ind_share!D$1, gdp_tot_mes!$B$1:$XFD$1, 0), 0)</f>
        <v>6.5408987254472015E-2</v>
      </c>
      <c r="E46" s="29">
        <f>VLOOKUP($B46, ind_mes!$B:$XFD, MATCH(gdp_ind_share!E$1, ind_mes!$B$1:$XFD$1, 0), 0)/VLOOKUP($B46, gdp_tot_mes!$B:$XFD, MATCH(gdp_ind_share!E$1, gdp_tot_mes!$B$1:$XFD$1, 0), 0)</f>
        <v>8.6949479554156245E-2</v>
      </c>
      <c r="F46" s="29">
        <f>VLOOKUP($B46, ind_mes!$B:$XFD, MATCH(gdp_ind_share!F$1, ind_mes!$B$1:$XFD$1, 0), 0)/VLOOKUP($B46, gdp_tot_mes!$B:$XFD, MATCH(gdp_ind_share!F$1, gdp_tot_mes!$B$1:$XFD$1, 0), 0)</f>
        <v>0.10167767289883227</v>
      </c>
      <c r="G46" s="29">
        <f>VLOOKUP($B46, ind_mes!$B:$XFD, MATCH(gdp_ind_share!G$1, ind_mes!$B$1:$XFD$1, 0), 0)/VLOOKUP($B46, gdp_tot_mes!$B:$XFD, MATCH(gdp_ind_share!G$1, gdp_tot_mes!$B$1:$XFD$1, 0), 0)</f>
        <v>0.1316419000650946</v>
      </c>
      <c r="H46" s="29">
        <f>VLOOKUP($B46, ind_mes!$B:$XFD, MATCH(gdp_ind_share!H$1, ind_mes!$B$1:$XFD$1, 0), 0)/VLOOKUP($B46, gdp_tot_mes!$B:$XFD, MATCH(gdp_ind_share!H$1, gdp_tot_mes!$B$1:$XFD$1, 0), 0)</f>
        <v>0.21546761762817138</v>
      </c>
      <c r="I46" s="29">
        <f>VLOOKUP($B46, ind_mes!$B:$XFD, MATCH(gdp_ind_share!I$1, ind_mes!$B$1:$XFD$1, 0), 0)/VLOOKUP($B46, gdp_tot_mes!$B:$XFD, MATCH(gdp_ind_share!I$1, gdp_tot_mes!$B$1:$XFD$1, 0), 0)</f>
        <v>0.24104432985331725</v>
      </c>
      <c r="J46" s="29">
        <f>VLOOKUP($B46, ind_mes!$B:$XFD, MATCH(gdp_ind_share!J$1, ind_mes!$B$1:$XFD$1, 0), 0)/VLOOKUP($B46, gdp_tot_mes!$B:$XFD, MATCH(gdp_ind_share!J$1, gdp_tot_mes!$B$1:$XFD$1, 0), 0)</f>
        <v>0.34563230671395123</v>
      </c>
      <c r="K46" s="29">
        <f>VLOOKUP($B46, ind_mes!$B:$XFD, MATCH(gdp_ind_share!K$1, ind_mes!$B$1:$XFD$1, 0), 0)/VLOOKUP($B46, gdp_tot_mes!$B:$XFD, MATCH(gdp_ind_share!K$1, gdp_tot_mes!$B$1:$XFD$1, 0), 0)</f>
        <v>0.30140997608932457</v>
      </c>
      <c r="L46" s="30">
        <f t="shared" si="0"/>
        <v>0.3164430573227312</v>
      </c>
      <c r="M46" s="29">
        <f>VLOOKUP($B46, ind_mes!$B:$XFD, MATCH(gdp_ind_share!M$1, ind_mes!$B$1:$XFD$1, 0), 0)/VLOOKUP($B46, gdp_tot_mes!$B:$XFD, MATCH(gdp_ind_share!M$1, gdp_tot_mes!$B$1:$XFD$1, 0), 0)</f>
        <v>0.33448275480281914</v>
      </c>
      <c r="N46" s="29">
        <f>VLOOKUP($B46, ind_mes!$B:$XFD, MATCH(gdp_ind_share!N$1, ind_mes!$B$1:$XFD$1, 0), 0)/VLOOKUP($B46, gdp_tot_mes!$B:$XFD, MATCH(gdp_ind_share!N$1, gdp_tot_mes!$B$1:$XFD$1, 0), 0)</f>
        <v>0.24327513735249673</v>
      </c>
      <c r="O46" s="29">
        <f>VLOOKUP($B46, ind_mes!$B:$XFD, MATCH(gdp_ind_share!O$1, ind_mes!$B$1:$XFD$1, 0), 0)/VLOOKUP($B46, gdp_tot_mes!$B:$XFD, MATCH(gdp_ind_share!O$1, gdp_tot_mes!$B$1:$XFD$1, 0), 0)</f>
        <v>0.27477369554715686</v>
      </c>
      <c r="P46" s="29">
        <f>VLOOKUP($B46, ind_mes!$B:$XFD, MATCH(gdp_ind_share!P$1, ind_mes!$B$1:$XFD$1, 0), 0)/VLOOKUP($B46, gdp_tot_mes!$B:$XFD, MATCH(gdp_ind_share!P$1, gdp_tot_mes!$B$1:$XFD$1, 0), 0)</f>
        <v>0.24706328466273467</v>
      </c>
      <c r="Q46" s="29">
        <f>VLOOKUP($B46, ind_mes!$B:$XFD, MATCH(gdp_ind_share!Q$1, ind_mes!$B$1:$XFD$1, 0), 0)/VLOOKUP($B46, gdp_tot_mes!$B:$XFD, MATCH(gdp_ind_share!Q$1, gdp_tot_mes!$B$1:$XFD$1, 0), 0)</f>
        <v>0.26654126540637185</v>
      </c>
      <c r="R46" s="29">
        <f>VLOOKUP($B46, ind_mes!$B:$XFD, MATCH(gdp_ind_share!R$1, ind_mes!$B$1:$XFD$1, 0), 0)/VLOOKUP($B46, gdp_tot_mes!$B:$XFD, MATCH(gdp_ind_share!R$1, gdp_tot_mes!$B$1:$XFD$1, 0), 0)</f>
        <v>0.28204137263233164</v>
      </c>
      <c r="S46" s="29">
        <f>VLOOKUP($B46, ind_mes!$B:$XFD, MATCH(gdp_ind_share!S$1, ind_mes!$B$1:$XFD$1, 0), 0)/VLOOKUP($B46, gdp_tot_mes!$B:$XFD, MATCH(gdp_ind_share!S$1, gdp_tot_mes!$B$1:$XFD$1, 0), 0)</f>
        <v>0.29414025124082821</v>
      </c>
      <c r="T46" s="29">
        <f>VLOOKUP($B46, ind_mes!$B:$XFD, MATCH(gdp_ind_share!T$1, ind_mes!$B$1:$XFD$1, 0), 0)/VLOOKUP($B46, gdp_tot_mes!$B:$XFD, MATCH(gdp_ind_share!T$1, gdp_tot_mes!$B$1:$XFD$1, 0), 0)</f>
        <v>0.28462183096970267</v>
      </c>
      <c r="U46" s="29">
        <f>VLOOKUP($B46, ind_mes!$B:$XFD, MATCH(gdp_ind_share!U$1, ind_mes!$B$1:$XFD$1, 0), 0)/VLOOKUP($B46, gdp_tot_mes!$B:$XFD, MATCH(gdp_ind_share!U$1, gdp_tot_mes!$B$1:$XFD$1, 0), 0)</f>
        <v>0.30680155866514114</v>
      </c>
      <c r="V46" s="29">
        <f>VLOOKUP($B46, ind_mes!$B:$XFD, MATCH(gdp_ind_share!V$1, ind_mes!$B$1:$XFD$1, 0), 0)/VLOOKUP($B46, gdp_tot_mes!$B:$XFD, MATCH(gdp_ind_share!V$1, gdp_tot_mes!$B$1:$XFD$1, 0), 0)</f>
        <v>0.27288480611896032</v>
      </c>
      <c r="W46" s="29">
        <f>VLOOKUP($B46, ind_mes!$B:$XFD, MATCH(gdp_ind_share!W$1, ind_mes!$B$1:$XFD$1, 0), 0)/VLOOKUP($B46, gdp_tot_mes!$B:$XFD, MATCH(gdp_ind_share!W$1, gdp_tot_mes!$B$1:$XFD$1, 0), 0)</f>
        <v>0.28641719609826921</v>
      </c>
      <c r="X46" s="29">
        <f>VLOOKUP($B46, ind_mes!$B:$XFD, MATCH(gdp_ind_share!X$1, ind_mes!$B$1:$XFD$1, 0), 0)/VLOOKUP($B46, gdp_tot_mes!$B:$XFD, MATCH(gdp_ind_share!X$1, gdp_tot_mes!$B$1:$XFD$1, 0), 0)</f>
        <v>0.26627082378948919</v>
      </c>
      <c r="Y46" s="29">
        <f>VLOOKUP($B46, ind_mes!$B:$XFD, MATCH(gdp_ind_share!Y$1, ind_mes!$B$1:$XFD$1, 0), 0)/VLOOKUP($B46, gdp_tot_mes!$B:$XFD, MATCH(gdp_ind_share!Y$1, gdp_tot_mes!$B$1:$XFD$1, 0), 0)</f>
        <v>0.29321749024810018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x14ac:dyDescent="0.25">
      <c r="A47" s="1" t="s">
        <v>113</v>
      </c>
      <c r="B47" s="1" t="s">
        <v>124</v>
      </c>
      <c r="C47" s="1" t="s">
        <v>125</v>
      </c>
      <c r="D47" s="29">
        <f>VLOOKUP($B47, ind_mes!$B:$XFD, MATCH(gdp_ind_share!D$1, ind_mes!$B$1:$XFD$1, 0), 0)/VLOOKUP($B47, gdp_tot_mes!$B:$XFD, MATCH(gdp_ind_share!D$1, gdp_tot_mes!$B$1:$XFD$1, 0), 0)</f>
        <v>0.10858647031119568</v>
      </c>
      <c r="E47" s="29">
        <f>VLOOKUP($B47, ind_mes!$B:$XFD, MATCH(gdp_ind_share!E$1, ind_mes!$B$1:$XFD$1, 0), 0)/VLOOKUP($B47, gdp_tot_mes!$B:$XFD, MATCH(gdp_ind_share!E$1, gdp_tot_mes!$B$1:$XFD$1, 0), 0)</f>
        <v>4.6430119179591382E-2</v>
      </c>
      <c r="F47" s="29">
        <f>VLOOKUP($B47, ind_mes!$B:$XFD, MATCH(gdp_ind_share!F$1, ind_mes!$B$1:$XFD$1, 0), 0)/VLOOKUP($B47, gdp_tot_mes!$B:$XFD, MATCH(gdp_ind_share!F$1, gdp_tot_mes!$B$1:$XFD$1, 0), 0)</f>
        <v>0.16655294576211035</v>
      </c>
      <c r="G47" s="29">
        <f>VLOOKUP($B47, ind_mes!$B:$XFD, MATCH(gdp_ind_share!G$1, ind_mes!$B$1:$XFD$1, 0), 0)/VLOOKUP($B47, gdp_tot_mes!$B:$XFD, MATCH(gdp_ind_share!G$1, gdp_tot_mes!$B$1:$XFD$1, 0), 0)</f>
        <v>0.13498671971784651</v>
      </c>
      <c r="H47" s="29">
        <f>VLOOKUP($B47, ind_mes!$B:$XFD, MATCH(gdp_ind_share!H$1, ind_mes!$B$1:$XFD$1, 0), 0)/VLOOKUP($B47, gdp_tot_mes!$B:$XFD, MATCH(gdp_ind_share!H$1, gdp_tot_mes!$B$1:$XFD$1, 0), 0)</f>
        <v>0.2099434684693193</v>
      </c>
      <c r="I47" s="29">
        <f>VLOOKUP($B47, ind_mes!$B:$XFD, MATCH(gdp_ind_share!I$1, ind_mes!$B$1:$XFD$1, 0), 0)/VLOOKUP($B47, gdp_tot_mes!$B:$XFD, MATCH(gdp_ind_share!I$1, gdp_tot_mes!$B$1:$XFD$1, 0), 0)</f>
        <v>0.20333845296396361</v>
      </c>
      <c r="J47" s="29">
        <f>VLOOKUP($B47, ind_mes!$B:$XFD, MATCH(gdp_ind_share!J$1, ind_mes!$B$1:$XFD$1, 0), 0)/VLOOKUP($B47, gdp_tot_mes!$B:$XFD, MATCH(gdp_ind_share!J$1, gdp_tot_mes!$B$1:$XFD$1, 0), 0)</f>
        <v>0.26113172675831986</v>
      </c>
      <c r="K47" s="29">
        <f>VLOOKUP($B47, ind_mes!$B:$XFD, MATCH(gdp_ind_share!K$1, ind_mes!$B$1:$XFD$1, 0), 0)/VLOOKUP($B47, gdp_tot_mes!$B:$XFD, MATCH(gdp_ind_share!K$1, gdp_tot_mes!$B$1:$XFD$1, 0), 0)</f>
        <v>0.31133887838915308</v>
      </c>
      <c r="L47" s="30">
        <f t="shared" si="0"/>
        <v>0.25913400451119956</v>
      </c>
      <c r="M47" s="29">
        <f>VLOOKUP($B47, ind_mes!$B:$XFD, MATCH(gdp_ind_share!M$1, ind_mes!$B$1:$XFD$1, 0), 0)/VLOOKUP($B47, gdp_tot_mes!$B:$XFD, MATCH(gdp_ind_share!M$1, gdp_tot_mes!$B$1:$XFD$1, 0), 0)</f>
        <v>0.19648815585765536</v>
      </c>
      <c r="N47" s="29">
        <f>VLOOKUP($B47, ind_mes!$B:$XFD, MATCH(gdp_ind_share!N$1, ind_mes!$B$1:$XFD$1, 0), 0)/VLOOKUP($B47, gdp_tot_mes!$B:$XFD, MATCH(gdp_ind_share!N$1, gdp_tot_mes!$B$1:$XFD$1, 0), 0)</f>
        <v>0.22243327556284992</v>
      </c>
      <c r="O47" s="29">
        <f>VLOOKUP($B47, ind_mes!$B:$XFD, MATCH(gdp_ind_share!O$1, ind_mes!$B$1:$XFD$1, 0), 0)/VLOOKUP($B47, gdp_tot_mes!$B:$XFD, MATCH(gdp_ind_share!O$1, gdp_tot_mes!$B$1:$XFD$1, 0), 0)</f>
        <v>0.24060421728994713</v>
      </c>
      <c r="P47" s="29">
        <f>VLOOKUP($B47, ind_mes!$B:$XFD, MATCH(gdp_ind_share!P$1, ind_mes!$B$1:$XFD$1, 0), 0)/VLOOKUP($B47, gdp_tot_mes!$B:$XFD, MATCH(gdp_ind_share!P$1, gdp_tot_mes!$B$1:$XFD$1, 0), 0)</f>
        <v>0.21313719538208711</v>
      </c>
      <c r="Q47" s="29">
        <f>VLOOKUP($B47, ind_mes!$B:$XFD, MATCH(gdp_ind_share!Q$1, ind_mes!$B$1:$XFD$1, 0), 0)/VLOOKUP($B47, gdp_tot_mes!$B:$XFD, MATCH(gdp_ind_share!Q$1, gdp_tot_mes!$B$1:$XFD$1, 0), 0)</f>
        <v>0.24060066883439332</v>
      </c>
      <c r="R47" s="29">
        <f>VLOOKUP($B47, ind_mes!$B:$XFD, MATCH(gdp_ind_share!R$1, ind_mes!$B$1:$XFD$1, 0), 0)/VLOOKUP($B47, gdp_tot_mes!$B:$XFD, MATCH(gdp_ind_share!R$1, gdp_tot_mes!$B$1:$XFD$1, 0), 0)</f>
        <v>0.22297974813793106</v>
      </c>
      <c r="S47" s="29">
        <f>VLOOKUP($B47, ind_mes!$B:$XFD, MATCH(gdp_ind_share!S$1, ind_mes!$B$1:$XFD$1, 0), 0)/VLOOKUP($B47, gdp_tot_mes!$B:$XFD, MATCH(gdp_ind_share!S$1, gdp_tot_mes!$B$1:$XFD$1, 0), 0)</f>
        <v>0.27189232893515536</v>
      </c>
      <c r="T47" s="29">
        <f>VLOOKUP($B47, ind_mes!$B:$XFD, MATCH(gdp_ind_share!T$1, ind_mes!$B$1:$XFD$1, 0), 0)/VLOOKUP($B47, gdp_tot_mes!$B:$XFD, MATCH(gdp_ind_share!T$1, gdp_tot_mes!$B$1:$XFD$1, 0), 0)</f>
        <v>0.26813951977285116</v>
      </c>
      <c r="U47" s="29">
        <f>VLOOKUP($B47, ind_mes!$B:$XFD, MATCH(gdp_ind_share!U$1, ind_mes!$B$1:$XFD$1, 0), 0)/VLOOKUP($B47, gdp_tot_mes!$B:$XFD, MATCH(gdp_ind_share!U$1, gdp_tot_mes!$B$1:$XFD$1, 0), 0)</f>
        <v>0.29573600573632275</v>
      </c>
      <c r="V47" s="29">
        <f>VLOOKUP($B47, ind_mes!$B:$XFD, MATCH(gdp_ind_share!V$1, ind_mes!$B$1:$XFD$1, 0), 0)/VLOOKUP($B47, gdp_tot_mes!$B:$XFD, MATCH(gdp_ind_share!V$1, gdp_tot_mes!$B$1:$XFD$1, 0), 0)</f>
        <v>0.26320653659782778</v>
      </c>
      <c r="W47" s="29">
        <f>VLOOKUP($B47, ind_mes!$B:$XFD, MATCH(gdp_ind_share!W$1, ind_mes!$B$1:$XFD$1, 0), 0)/VLOOKUP($B47, gdp_tot_mes!$B:$XFD, MATCH(gdp_ind_share!W$1, gdp_tot_mes!$B$1:$XFD$1, 0), 0)</f>
        <v>0.21848633241411877</v>
      </c>
      <c r="X47" s="29">
        <f>VLOOKUP($B47, ind_mes!$B:$XFD, MATCH(gdp_ind_share!X$1, ind_mes!$B$1:$XFD$1, 0), 0)/VLOOKUP($B47, gdp_tot_mes!$B:$XFD, MATCH(gdp_ind_share!X$1, gdp_tot_mes!$B$1:$XFD$1, 0), 0)</f>
        <v>0.23622510434165431</v>
      </c>
      <c r="Y47" s="29">
        <f>VLOOKUP($B47, ind_mes!$B:$XFD, MATCH(gdp_ind_share!Y$1, ind_mes!$B$1:$XFD$1, 0), 0)/VLOOKUP($B47, gdp_tot_mes!$B:$XFD, MATCH(gdp_ind_share!Y$1, gdp_tot_mes!$B$1:$XFD$1, 0), 0)</f>
        <v>0.20268360509806005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x14ac:dyDescent="0.25">
      <c r="A48" s="1" t="s">
        <v>113</v>
      </c>
      <c r="B48" s="1" t="s">
        <v>126</v>
      </c>
      <c r="C48" s="1" t="s">
        <v>127</v>
      </c>
      <c r="D48" s="29">
        <f>VLOOKUP($B48, ind_mes!$B:$XFD, MATCH(gdp_ind_share!D$1, ind_mes!$B$1:$XFD$1, 0), 0)/VLOOKUP($B48, gdp_tot_mes!$B:$XFD, MATCH(gdp_ind_share!D$1, gdp_tot_mes!$B$1:$XFD$1, 0), 0)</f>
        <v>0.13038030148085414</v>
      </c>
      <c r="E48" s="29">
        <f>VLOOKUP($B48, ind_mes!$B:$XFD, MATCH(gdp_ind_share!E$1, ind_mes!$B$1:$XFD$1, 0), 0)/VLOOKUP($B48, gdp_tot_mes!$B:$XFD, MATCH(gdp_ind_share!E$1, gdp_tot_mes!$B$1:$XFD$1, 0), 0)</f>
        <v>0.32052095555067855</v>
      </c>
      <c r="F48" s="29">
        <f>VLOOKUP($B48, ind_mes!$B:$XFD, MATCH(gdp_ind_share!F$1, ind_mes!$B$1:$XFD$1, 0), 0)/VLOOKUP($B48, gdp_tot_mes!$B:$XFD, MATCH(gdp_ind_share!F$1, gdp_tot_mes!$B$1:$XFD$1, 0), 0)</f>
        <v>0.30615388155893319</v>
      </c>
      <c r="G48" s="29">
        <f>VLOOKUP($B48, ind_mes!$B:$XFD, MATCH(gdp_ind_share!G$1, ind_mes!$B$1:$XFD$1, 0), 0)/VLOOKUP($B48, gdp_tot_mes!$B:$XFD, MATCH(gdp_ind_share!G$1, gdp_tot_mes!$B$1:$XFD$1, 0), 0)</f>
        <v>0.3650216038911907</v>
      </c>
      <c r="H48" s="29">
        <f>VLOOKUP($B48, ind_mes!$B:$XFD, MATCH(gdp_ind_share!H$1, ind_mes!$B$1:$XFD$1, 0), 0)/VLOOKUP($B48, gdp_tot_mes!$B:$XFD, MATCH(gdp_ind_share!H$1, gdp_tot_mes!$B$1:$XFD$1, 0), 0)</f>
        <v>0.37192857200229451</v>
      </c>
      <c r="I48" s="29">
        <f>VLOOKUP($B48, ind_mes!$B:$XFD, MATCH(gdp_ind_share!I$1, ind_mes!$B$1:$XFD$1, 0), 0)/VLOOKUP($B48, gdp_tot_mes!$B:$XFD, MATCH(gdp_ind_share!I$1, gdp_tot_mes!$B$1:$XFD$1, 0), 0)</f>
        <v>0.3835825899976873</v>
      </c>
      <c r="J48" s="29">
        <f>VLOOKUP($B48, ind_mes!$B:$XFD, MATCH(gdp_ind_share!J$1, ind_mes!$B$1:$XFD$1, 0), 0)/VLOOKUP($B48, gdp_tot_mes!$B:$XFD, MATCH(gdp_ind_share!J$1, gdp_tot_mes!$B$1:$XFD$1, 0), 0)</f>
        <v>0.45149341480802019</v>
      </c>
      <c r="K48" s="29">
        <f>VLOOKUP($B48, ind_mes!$B:$XFD, MATCH(gdp_ind_share!K$1, ind_mes!$B$1:$XFD$1, 0), 0)/VLOOKUP($B48, gdp_tot_mes!$B:$XFD, MATCH(gdp_ind_share!K$1, gdp_tot_mes!$B$1:$XFD$1, 0), 0)</f>
        <v>0.47402736429929865</v>
      </c>
      <c r="L48" s="30">
        <f t="shared" si="0"/>
        <v>0.42899452250530012</v>
      </c>
      <c r="M48" s="29">
        <f>VLOOKUP($B48, ind_mes!$B:$XFD, MATCH(gdp_ind_share!M$1, ind_mes!$B$1:$XFD$1, 0), 0)/VLOOKUP($B48, gdp_tot_mes!$B:$XFD, MATCH(gdp_ind_share!M$1, gdp_tot_mes!$B$1:$XFD$1, 0), 0)</f>
        <v>0.37495511235250195</v>
      </c>
      <c r="N48" s="29">
        <f>VLOOKUP($B48, ind_mes!$B:$XFD, MATCH(gdp_ind_share!N$1, ind_mes!$B$1:$XFD$1, 0), 0)/VLOOKUP($B48, gdp_tot_mes!$B:$XFD, MATCH(gdp_ind_share!N$1, gdp_tot_mes!$B$1:$XFD$1, 0), 0)</f>
        <v>0.29726105009684617</v>
      </c>
      <c r="O48" s="29">
        <f>VLOOKUP($B48, ind_mes!$B:$XFD, MATCH(gdp_ind_share!O$1, ind_mes!$B$1:$XFD$1, 0), 0)/VLOOKUP($B48, gdp_tot_mes!$B:$XFD, MATCH(gdp_ind_share!O$1, gdp_tot_mes!$B$1:$XFD$1, 0), 0)</f>
        <v>0.32047959943373894</v>
      </c>
      <c r="P48" s="29">
        <f>VLOOKUP($B48, ind_mes!$B:$XFD, MATCH(gdp_ind_share!P$1, ind_mes!$B$1:$XFD$1, 0), 0)/VLOOKUP($B48, gdp_tot_mes!$B:$XFD, MATCH(gdp_ind_share!P$1, gdp_tot_mes!$B$1:$XFD$1, 0), 0)</f>
        <v>0.28466827899672714</v>
      </c>
      <c r="Q48" s="29">
        <f>VLOOKUP($B48, ind_mes!$B:$XFD, MATCH(gdp_ind_share!Q$1, ind_mes!$B$1:$XFD$1, 0), 0)/VLOOKUP($B48, gdp_tot_mes!$B:$XFD, MATCH(gdp_ind_share!Q$1, gdp_tot_mes!$B$1:$XFD$1, 0), 0)</f>
        <v>0.2544011495976557</v>
      </c>
      <c r="R48" s="29">
        <f>VLOOKUP($B48, ind_mes!$B:$XFD, MATCH(gdp_ind_share!R$1, ind_mes!$B$1:$XFD$1, 0), 0)/VLOOKUP($B48, gdp_tot_mes!$B:$XFD, MATCH(gdp_ind_share!R$1, gdp_tot_mes!$B$1:$XFD$1, 0), 0)</f>
        <v>0.27414213334617682</v>
      </c>
      <c r="S48" s="29">
        <f>VLOOKUP($B48, ind_mes!$B:$XFD, MATCH(gdp_ind_share!S$1, ind_mes!$B$1:$XFD$1, 0), 0)/VLOOKUP($B48, gdp_tot_mes!$B:$XFD, MATCH(gdp_ind_share!S$1, gdp_tot_mes!$B$1:$XFD$1, 0), 0)</f>
        <v>0.29504855121410095</v>
      </c>
      <c r="T48" s="29">
        <f>VLOOKUP($B48, ind_mes!$B:$XFD, MATCH(gdp_ind_share!T$1, ind_mes!$B$1:$XFD$1, 0), 0)/VLOOKUP($B48, gdp_tot_mes!$B:$XFD, MATCH(gdp_ind_share!T$1, gdp_tot_mes!$B$1:$XFD$1, 0), 0)</f>
        <v>0.29838463991771924</v>
      </c>
      <c r="U48" s="29">
        <f>VLOOKUP($B48, ind_mes!$B:$XFD, MATCH(gdp_ind_share!U$1, ind_mes!$B$1:$XFD$1, 0), 0)/VLOOKUP($B48, gdp_tot_mes!$B:$XFD, MATCH(gdp_ind_share!U$1, gdp_tot_mes!$B$1:$XFD$1, 0), 0)</f>
        <v>0.28093442032520494</v>
      </c>
      <c r="V48" s="29">
        <f>VLOOKUP($B48, ind_mes!$B:$XFD, MATCH(gdp_ind_share!V$1, ind_mes!$B$1:$XFD$1, 0), 0)/VLOOKUP($B48, gdp_tot_mes!$B:$XFD, MATCH(gdp_ind_share!V$1, gdp_tot_mes!$B$1:$XFD$1, 0), 0)</f>
        <v>0.28409405127627257</v>
      </c>
      <c r="W48" s="29">
        <f>VLOOKUP($B48, ind_mes!$B:$XFD, MATCH(gdp_ind_share!W$1, ind_mes!$B$1:$XFD$1, 0), 0)/VLOOKUP($B48, gdp_tot_mes!$B:$XFD, MATCH(gdp_ind_share!W$1, gdp_tot_mes!$B$1:$XFD$1, 0), 0)</f>
        <v>0.2978652841388616</v>
      </c>
      <c r="X48" s="29">
        <f>VLOOKUP($B48, ind_mes!$B:$XFD, MATCH(gdp_ind_share!X$1, ind_mes!$B$1:$XFD$1, 0), 0)/VLOOKUP($B48, gdp_tot_mes!$B:$XFD, MATCH(gdp_ind_share!X$1, gdp_tot_mes!$B$1:$XFD$1, 0), 0)</f>
        <v>0.30252239739938352</v>
      </c>
      <c r="Y48" s="29">
        <f>VLOOKUP($B48, ind_mes!$B:$XFD, MATCH(gdp_ind_share!Y$1, ind_mes!$B$1:$XFD$1, 0), 0)/VLOOKUP($B48, gdp_tot_mes!$B:$XFD, MATCH(gdp_ind_share!Y$1, gdp_tot_mes!$B$1:$XFD$1, 0), 0)</f>
        <v>0.33735359206876081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x14ac:dyDescent="0.25">
      <c r="A49" s="1" t="s">
        <v>113</v>
      </c>
      <c r="B49" s="1" t="s">
        <v>128</v>
      </c>
      <c r="C49" s="1" t="s">
        <v>129</v>
      </c>
      <c r="D49" s="29">
        <f>VLOOKUP($B49, ind_mes!$B:$XFD, MATCH(gdp_ind_share!D$1, ind_mes!$B$1:$XFD$1, 0), 0)/VLOOKUP($B49, gdp_tot_mes!$B:$XFD, MATCH(gdp_ind_share!D$1, gdp_tot_mes!$B$1:$XFD$1, 0), 0)</f>
        <v>2.4771484221825554E-2</v>
      </c>
      <c r="E49" s="29">
        <f>VLOOKUP($B49, ind_mes!$B:$XFD, MATCH(gdp_ind_share!E$1, ind_mes!$B$1:$XFD$1, 0), 0)/VLOOKUP($B49, gdp_tot_mes!$B:$XFD, MATCH(gdp_ind_share!E$1, gdp_tot_mes!$B$1:$XFD$1, 0), 0)</f>
        <v>3.7841119008539426E-2</v>
      </c>
      <c r="F49" s="29">
        <f>VLOOKUP($B49, ind_mes!$B:$XFD, MATCH(gdp_ind_share!F$1, ind_mes!$B$1:$XFD$1, 0), 0)/VLOOKUP($B49, gdp_tot_mes!$B:$XFD, MATCH(gdp_ind_share!F$1, gdp_tot_mes!$B$1:$XFD$1, 0), 0)</f>
        <v>8.7387997587580327E-2</v>
      </c>
      <c r="G49" s="29">
        <f>VLOOKUP($B49, ind_mes!$B:$XFD, MATCH(gdp_ind_share!G$1, ind_mes!$B$1:$XFD$1, 0), 0)/VLOOKUP($B49, gdp_tot_mes!$B:$XFD, MATCH(gdp_ind_share!G$1, gdp_tot_mes!$B$1:$XFD$1, 0), 0)</f>
        <v>0.14894870815615799</v>
      </c>
      <c r="H49" s="29">
        <f>VLOOKUP($B49, ind_mes!$B:$XFD, MATCH(gdp_ind_share!H$1, ind_mes!$B$1:$XFD$1, 0), 0)/VLOOKUP($B49, gdp_tot_mes!$B:$XFD, MATCH(gdp_ind_share!H$1, gdp_tot_mes!$B$1:$XFD$1, 0), 0)</f>
        <v>0.41917348755494271</v>
      </c>
      <c r="I49" s="29">
        <f>VLOOKUP($B49, ind_mes!$B:$XFD, MATCH(gdp_ind_share!I$1, ind_mes!$B$1:$XFD$1, 0), 0)/VLOOKUP($B49, gdp_tot_mes!$B:$XFD, MATCH(gdp_ind_share!I$1, gdp_tot_mes!$B$1:$XFD$1, 0), 0)</f>
        <v>0.30507146671124225</v>
      </c>
      <c r="J49" s="29">
        <f>VLOOKUP($B49, ind_mes!$B:$XFD, MATCH(gdp_ind_share!J$1, ind_mes!$B$1:$XFD$1, 0), 0)/VLOOKUP($B49, gdp_tot_mes!$B:$XFD, MATCH(gdp_ind_share!J$1, gdp_tot_mes!$B$1:$XFD$1, 0), 0)</f>
        <v>0.46584325308575431</v>
      </c>
      <c r="K49" s="29">
        <f>VLOOKUP($B49, ind_mes!$B:$XFD, MATCH(gdp_ind_share!K$1, ind_mes!$B$1:$XFD$1, 0), 0)/VLOOKUP($B49, gdp_tot_mes!$B:$XFD, MATCH(gdp_ind_share!K$1, gdp_tot_mes!$B$1:$XFD$1, 0), 0)</f>
        <v>0.54570818319047187</v>
      </c>
      <c r="L49" s="30">
        <f t="shared" si="0"/>
        <v>0.48811957594652472</v>
      </c>
      <c r="M49" s="29">
        <f>VLOOKUP($B49, ind_mes!$B:$XFD, MATCH(gdp_ind_share!M$1, ind_mes!$B$1:$XFD$1, 0), 0)/VLOOKUP($B49, gdp_tot_mes!$B:$XFD, MATCH(gdp_ind_share!M$1, gdp_tot_mes!$B$1:$XFD$1, 0), 0)</f>
        <v>0.41901324725378813</v>
      </c>
      <c r="N49" s="29">
        <f>VLOOKUP($B49, ind_mes!$B:$XFD, MATCH(gdp_ind_share!N$1, ind_mes!$B$1:$XFD$1, 0), 0)/VLOOKUP($B49, gdp_tot_mes!$B:$XFD, MATCH(gdp_ind_share!N$1, gdp_tot_mes!$B$1:$XFD$1, 0), 0)</f>
        <v>0.28831192980375658</v>
      </c>
      <c r="O49" s="29">
        <f>VLOOKUP($B49, ind_mes!$B:$XFD, MATCH(gdp_ind_share!O$1, ind_mes!$B$1:$XFD$1, 0), 0)/VLOOKUP($B49, gdp_tot_mes!$B:$XFD, MATCH(gdp_ind_share!O$1, gdp_tot_mes!$B$1:$XFD$1, 0), 0)</f>
        <v>0.31353643898611233</v>
      </c>
      <c r="P49" s="29">
        <f>VLOOKUP($B49, ind_mes!$B:$XFD, MATCH(gdp_ind_share!P$1, ind_mes!$B$1:$XFD$1, 0), 0)/VLOOKUP($B49, gdp_tot_mes!$B:$XFD, MATCH(gdp_ind_share!P$1, gdp_tot_mes!$B$1:$XFD$1, 0), 0)</f>
        <v>0.29220080692503853</v>
      </c>
      <c r="Q49" s="29">
        <f>VLOOKUP($B49, ind_mes!$B:$XFD, MATCH(gdp_ind_share!Q$1, ind_mes!$B$1:$XFD$1, 0), 0)/VLOOKUP($B49, gdp_tot_mes!$B:$XFD, MATCH(gdp_ind_share!Q$1, gdp_tot_mes!$B$1:$XFD$1, 0), 0)</f>
        <v>0.35087174823642253</v>
      </c>
      <c r="R49" s="29">
        <f>VLOOKUP($B49, ind_mes!$B:$XFD, MATCH(gdp_ind_share!R$1, ind_mes!$B$1:$XFD$1, 0), 0)/VLOOKUP($B49, gdp_tot_mes!$B:$XFD, MATCH(gdp_ind_share!R$1, gdp_tot_mes!$B$1:$XFD$1, 0), 0)</f>
        <v>0.35114785607259635</v>
      </c>
      <c r="S49" s="29">
        <f>VLOOKUP($B49, ind_mes!$B:$XFD, MATCH(gdp_ind_share!S$1, ind_mes!$B$1:$XFD$1, 0), 0)/VLOOKUP($B49, gdp_tot_mes!$B:$XFD, MATCH(gdp_ind_share!S$1, gdp_tot_mes!$B$1:$XFD$1, 0), 0)</f>
        <v>0.40383780690500742</v>
      </c>
      <c r="T49" s="29">
        <f>VLOOKUP($B49, ind_mes!$B:$XFD, MATCH(gdp_ind_share!T$1, ind_mes!$B$1:$XFD$1, 0), 0)/VLOOKUP($B49, gdp_tot_mes!$B:$XFD, MATCH(gdp_ind_share!T$1, gdp_tot_mes!$B$1:$XFD$1, 0), 0)</f>
        <v>0.37787123271118322</v>
      </c>
      <c r="U49" s="29">
        <f>VLOOKUP($B49, ind_mes!$B:$XFD, MATCH(gdp_ind_share!U$1, ind_mes!$B$1:$XFD$1, 0), 0)/VLOOKUP($B49, gdp_tot_mes!$B:$XFD, MATCH(gdp_ind_share!U$1, gdp_tot_mes!$B$1:$XFD$1, 0), 0)</f>
        <v>0.37275599503047069</v>
      </c>
      <c r="V49" s="29">
        <f>VLOOKUP($B49, ind_mes!$B:$XFD, MATCH(gdp_ind_share!V$1, ind_mes!$B$1:$XFD$1, 0), 0)/VLOOKUP($B49, gdp_tot_mes!$B:$XFD, MATCH(gdp_ind_share!V$1, gdp_tot_mes!$B$1:$XFD$1, 0), 0)</f>
        <v>0.39543259473667214</v>
      </c>
      <c r="W49" s="29">
        <f>VLOOKUP($B49, ind_mes!$B:$XFD, MATCH(gdp_ind_share!W$1, ind_mes!$B$1:$XFD$1, 0), 0)/VLOOKUP($B49, gdp_tot_mes!$B:$XFD, MATCH(gdp_ind_share!W$1, gdp_tot_mes!$B$1:$XFD$1, 0), 0)</f>
        <v>0.38832676183041559</v>
      </c>
      <c r="X49" s="29">
        <f>VLOOKUP($B49, ind_mes!$B:$XFD, MATCH(gdp_ind_share!X$1, ind_mes!$B$1:$XFD$1, 0), 0)/VLOOKUP($B49, gdp_tot_mes!$B:$XFD, MATCH(gdp_ind_share!X$1, gdp_tot_mes!$B$1:$XFD$1, 0), 0)</f>
        <v>0.32085910627943615</v>
      </c>
      <c r="Y49" s="29">
        <f>VLOOKUP($B49, ind_mes!$B:$XFD, MATCH(gdp_ind_share!Y$1, ind_mes!$B$1:$XFD$1, 0), 0)/VLOOKUP($B49, gdp_tot_mes!$B:$XFD, MATCH(gdp_ind_share!Y$1, gdp_tot_mes!$B$1:$XFD$1, 0), 0)</f>
        <v>0.30723242857886945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x14ac:dyDescent="0.25">
      <c r="A50" s="1" t="s">
        <v>113</v>
      </c>
      <c r="B50" s="1" t="s">
        <v>130</v>
      </c>
      <c r="C50" s="1" t="s">
        <v>131</v>
      </c>
      <c r="D50" s="29">
        <f>VLOOKUP($B50, ind_mes!$B:$XFD, MATCH(gdp_ind_share!D$1, ind_mes!$B$1:$XFD$1, 0), 0)/VLOOKUP($B50, gdp_tot_mes!$B:$XFD, MATCH(gdp_ind_share!D$1, gdp_tot_mes!$B$1:$XFD$1, 0), 0)</f>
        <v>0.12683716347414056</v>
      </c>
      <c r="E50" s="29">
        <f>VLOOKUP($B50, ind_mes!$B:$XFD, MATCH(gdp_ind_share!E$1, ind_mes!$B$1:$XFD$1, 0), 0)/VLOOKUP($B50, gdp_tot_mes!$B:$XFD, MATCH(gdp_ind_share!E$1, gdp_tot_mes!$B$1:$XFD$1, 0), 0)</f>
        <v>0.10156578910520077</v>
      </c>
      <c r="F50" s="29">
        <f>VLOOKUP($B50, ind_mes!$B:$XFD, MATCH(gdp_ind_share!F$1, ind_mes!$B$1:$XFD$1, 0), 0)/VLOOKUP($B50, gdp_tot_mes!$B:$XFD, MATCH(gdp_ind_share!F$1, gdp_tot_mes!$B$1:$XFD$1, 0), 0)</f>
        <v>0.17211781286803463</v>
      </c>
      <c r="G50" s="29">
        <f>VLOOKUP($B50, ind_mes!$B:$XFD, MATCH(gdp_ind_share!G$1, ind_mes!$B$1:$XFD$1, 0), 0)/VLOOKUP($B50, gdp_tot_mes!$B:$XFD, MATCH(gdp_ind_share!G$1, gdp_tot_mes!$B$1:$XFD$1, 0), 0)</f>
        <v>0.27940347098192281</v>
      </c>
      <c r="H50" s="29">
        <f>VLOOKUP($B50, ind_mes!$B:$XFD, MATCH(gdp_ind_share!H$1, ind_mes!$B$1:$XFD$1, 0), 0)/VLOOKUP($B50, gdp_tot_mes!$B:$XFD, MATCH(gdp_ind_share!H$1, gdp_tot_mes!$B$1:$XFD$1, 0), 0)</f>
        <v>0.29305447904511212</v>
      </c>
      <c r="I50" s="29">
        <f>VLOOKUP($B50, ind_mes!$B:$XFD, MATCH(gdp_ind_share!I$1, ind_mes!$B$1:$XFD$1, 0), 0)/VLOOKUP($B50, gdp_tot_mes!$B:$XFD, MATCH(gdp_ind_share!I$1, gdp_tot_mes!$B$1:$XFD$1, 0), 0)</f>
        <v>0.3368597253018184</v>
      </c>
      <c r="J50" s="29">
        <f>VLOOKUP($B50, ind_mes!$B:$XFD, MATCH(gdp_ind_share!J$1, ind_mes!$B$1:$XFD$1, 0), 0)/VLOOKUP($B50, gdp_tot_mes!$B:$XFD, MATCH(gdp_ind_share!J$1, gdp_tot_mes!$B$1:$XFD$1, 0), 0)</f>
        <v>0.3144522458872559</v>
      </c>
      <c r="K50" s="29">
        <f>VLOOKUP($B50, ind_mes!$B:$XFD, MATCH(gdp_ind_share!K$1, ind_mes!$B$1:$XFD$1, 0), 0)/VLOOKUP($B50, gdp_tot_mes!$B:$XFD, MATCH(gdp_ind_share!K$1, gdp_tot_mes!$B$1:$XFD$1, 0), 0)</f>
        <v>0.32726441564735193</v>
      </c>
      <c r="L50" s="30">
        <f t="shared" si="0"/>
        <v>0.30222128472535553</v>
      </c>
      <c r="M50" s="29">
        <f>VLOOKUP($B50, ind_mes!$B:$XFD, MATCH(gdp_ind_share!M$1, ind_mes!$B$1:$XFD$1, 0), 0)/VLOOKUP($B50, gdp_tot_mes!$B:$XFD, MATCH(gdp_ind_share!M$1, gdp_tot_mes!$B$1:$XFD$1, 0), 0)</f>
        <v>0.27216952761895991</v>
      </c>
      <c r="N50" s="29">
        <f>VLOOKUP($B50, ind_mes!$B:$XFD, MATCH(gdp_ind_share!N$1, ind_mes!$B$1:$XFD$1, 0), 0)/VLOOKUP($B50, gdp_tot_mes!$B:$XFD, MATCH(gdp_ind_share!N$1, gdp_tot_mes!$B$1:$XFD$1, 0), 0)</f>
        <v>0.20030835420630641</v>
      </c>
      <c r="O50" s="29">
        <f>VLOOKUP($B50, ind_mes!$B:$XFD, MATCH(gdp_ind_share!O$1, ind_mes!$B$1:$XFD$1, 0), 0)/VLOOKUP($B50, gdp_tot_mes!$B:$XFD, MATCH(gdp_ind_share!O$1, gdp_tot_mes!$B$1:$XFD$1, 0), 0)</f>
        <v>0.22146064164837237</v>
      </c>
      <c r="P50" s="29">
        <f>VLOOKUP($B50, ind_mes!$B:$XFD, MATCH(gdp_ind_share!P$1, ind_mes!$B$1:$XFD$1, 0), 0)/VLOOKUP($B50, gdp_tot_mes!$B:$XFD, MATCH(gdp_ind_share!P$1, gdp_tot_mes!$B$1:$XFD$1, 0), 0)</f>
        <v>0.20420326955352838</v>
      </c>
      <c r="Q50" s="29">
        <f>VLOOKUP($B50, ind_mes!$B:$XFD, MATCH(gdp_ind_share!Q$1, ind_mes!$B$1:$XFD$1, 0), 0)/VLOOKUP($B50, gdp_tot_mes!$B:$XFD, MATCH(gdp_ind_share!Q$1, gdp_tot_mes!$B$1:$XFD$1, 0), 0)</f>
        <v>0.20969081304792683</v>
      </c>
      <c r="R50" s="29">
        <f>VLOOKUP($B50, ind_mes!$B:$XFD, MATCH(gdp_ind_share!R$1, ind_mes!$B$1:$XFD$1, 0), 0)/VLOOKUP($B50, gdp_tot_mes!$B:$XFD, MATCH(gdp_ind_share!R$1, gdp_tot_mes!$B$1:$XFD$1, 0), 0)</f>
        <v>0.21719285762752386</v>
      </c>
      <c r="S50" s="29">
        <f>VLOOKUP($B50, ind_mes!$B:$XFD, MATCH(gdp_ind_share!S$1, ind_mes!$B$1:$XFD$1, 0), 0)/VLOOKUP($B50, gdp_tot_mes!$B:$XFD, MATCH(gdp_ind_share!S$1, gdp_tot_mes!$B$1:$XFD$1, 0), 0)</f>
        <v>0.25560766492178461</v>
      </c>
      <c r="T50" s="29">
        <f>VLOOKUP($B50, ind_mes!$B:$XFD, MATCH(gdp_ind_share!T$1, ind_mes!$B$1:$XFD$1, 0), 0)/VLOOKUP($B50, gdp_tot_mes!$B:$XFD, MATCH(gdp_ind_share!T$1, gdp_tot_mes!$B$1:$XFD$1, 0), 0)</f>
        <v>0.23679034726701376</v>
      </c>
      <c r="U50" s="29">
        <f>VLOOKUP($B50, ind_mes!$B:$XFD, MATCH(gdp_ind_share!U$1, ind_mes!$B$1:$XFD$1, 0), 0)/VLOOKUP($B50, gdp_tot_mes!$B:$XFD, MATCH(gdp_ind_share!U$1, gdp_tot_mes!$B$1:$XFD$1, 0), 0)</f>
        <v>0.24410450775120793</v>
      </c>
      <c r="V50" s="29">
        <f>VLOOKUP($B50, ind_mes!$B:$XFD, MATCH(gdp_ind_share!V$1, ind_mes!$B$1:$XFD$1, 0), 0)/VLOOKUP($B50, gdp_tot_mes!$B:$XFD, MATCH(gdp_ind_share!V$1, gdp_tot_mes!$B$1:$XFD$1, 0), 0)</f>
        <v>0.24248629375625955</v>
      </c>
      <c r="W50" s="29">
        <f>VLOOKUP($B50, ind_mes!$B:$XFD, MATCH(gdp_ind_share!W$1, ind_mes!$B$1:$XFD$1, 0), 0)/VLOOKUP($B50, gdp_tot_mes!$B:$XFD, MATCH(gdp_ind_share!W$1, gdp_tot_mes!$B$1:$XFD$1, 0), 0)</f>
        <v>0.27151789812229921</v>
      </c>
      <c r="X50" s="29">
        <f>VLOOKUP($B50, ind_mes!$B:$XFD, MATCH(gdp_ind_share!X$1, ind_mes!$B$1:$XFD$1, 0), 0)/VLOOKUP($B50, gdp_tot_mes!$B:$XFD, MATCH(gdp_ind_share!X$1, gdp_tot_mes!$B$1:$XFD$1, 0), 0)</f>
        <v>0.22985124498479631</v>
      </c>
      <c r="Y50" s="29">
        <f>VLOOKUP($B50, ind_mes!$B:$XFD, MATCH(gdp_ind_share!Y$1, ind_mes!$B$1:$XFD$1, 0), 0)/VLOOKUP($B50, gdp_tot_mes!$B:$XFD, MATCH(gdp_ind_share!Y$1, gdp_tot_mes!$B$1:$XFD$1, 0), 0)</f>
        <v>0.24130576940686582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x14ac:dyDescent="0.25">
      <c r="A51" s="1" t="s">
        <v>113</v>
      </c>
      <c r="B51" s="1" t="s">
        <v>132</v>
      </c>
      <c r="C51" s="1" t="s">
        <v>133</v>
      </c>
      <c r="D51" s="29">
        <f>VLOOKUP($B51, ind_mes!$B:$XFD, MATCH(gdp_ind_share!D$1, ind_mes!$B$1:$XFD$1, 0), 0)/VLOOKUP($B51, gdp_tot_mes!$B:$XFD, MATCH(gdp_ind_share!D$1, gdp_tot_mes!$B$1:$XFD$1, 0), 0)</f>
        <v>4.7342179174610727E-2</v>
      </c>
      <c r="E51" s="29">
        <f>VLOOKUP($B51, ind_mes!$B:$XFD, MATCH(gdp_ind_share!E$1, ind_mes!$B$1:$XFD$1, 0), 0)/VLOOKUP($B51, gdp_tot_mes!$B:$XFD, MATCH(gdp_ind_share!E$1, gdp_tot_mes!$B$1:$XFD$1, 0), 0)</f>
        <v>9.4726526277159565E-2</v>
      </c>
      <c r="F51" s="29">
        <f>VLOOKUP($B51, ind_mes!$B:$XFD, MATCH(gdp_ind_share!F$1, ind_mes!$B$1:$XFD$1, 0), 0)/VLOOKUP($B51, gdp_tot_mes!$B:$XFD, MATCH(gdp_ind_share!F$1, gdp_tot_mes!$B$1:$XFD$1, 0), 0)</f>
        <v>0.10601825373332946</v>
      </c>
      <c r="G51" s="29">
        <f>VLOOKUP($B51, ind_mes!$B:$XFD, MATCH(gdp_ind_share!G$1, ind_mes!$B$1:$XFD$1, 0), 0)/VLOOKUP($B51, gdp_tot_mes!$B:$XFD, MATCH(gdp_ind_share!G$1, gdp_tot_mes!$B$1:$XFD$1, 0), 0)</f>
        <v>0.14175478783277068</v>
      </c>
      <c r="H51" s="29">
        <f>VLOOKUP($B51, ind_mes!$B:$XFD, MATCH(gdp_ind_share!H$1, ind_mes!$B$1:$XFD$1, 0), 0)/VLOOKUP($B51, gdp_tot_mes!$B:$XFD, MATCH(gdp_ind_share!H$1, gdp_tot_mes!$B$1:$XFD$1, 0), 0)</f>
        <v>0.24906967758617829</v>
      </c>
      <c r="I51" s="29">
        <f>VLOOKUP($B51, ind_mes!$B:$XFD, MATCH(gdp_ind_share!I$1, ind_mes!$B$1:$XFD$1, 0), 0)/VLOOKUP($B51, gdp_tot_mes!$B:$XFD, MATCH(gdp_ind_share!I$1, gdp_tot_mes!$B$1:$XFD$1, 0), 0)</f>
        <v>0.27335733440969634</v>
      </c>
      <c r="J51" s="29">
        <f>VLOOKUP($B51, ind_mes!$B:$XFD, MATCH(gdp_ind_share!J$1, ind_mes!$B$1:$XFD$1, 0), 0)/VLOOKUP($B51, gdp_tot_mes!$B:$XFD, MATCH(gdp_ind_share!J$1, gdp_tot_mes!$B$1:$XFD$1, 0), 0)</f>
        <v>0.35635047092025851</v>
      </c>
      <c r="K51" s="29">
        <f>VLOOKUP($B51, ind_mes!$B:$XFD, MATCH(gdp_ind_share!K$1, ind_mes!$B$1:$XFD$1, 0), 0)/VLOOKUP($B51, gdp_tot_mes!$B:$XFD, MATCH(gdp_ind_share!K$1, gdp_tot_mes!$B$1:$XFD$1, 0), 0)</f>
        <v>0.25028388790672146</v>
      </c>
      <c r="L51" s="30">
        <f t="shared" si="0"/>
        <v>0.25744196403671588</v>
      </c>
      <c r="M51" s="29">
        <f>VLOOKUP($B51, ind_mes!$B:$XFD, MATCH(gdp_ind_share!M$1, ind_mes!$B$1:$XFD$1, 0), 0)/VLOOKUP($B51, gdp_tot_mes!$B:$XFD, MATCH(gdp_ind_share!M$1, gdp_tot_mes!$B$1:$XFD$1, 0), 0)</f>
        <v>0.26603165539270923</v>
      </c>
      <c r="N51" s="29">
        <f>VLOOKUP($B51, ind_mes!$B:$XFD, MATCH(gdp_ind_share!N$1, ind_mes!$B$1:$XFD$1, 0), 0)/VLOOKUP($B51, gdp_tot_mes!$B:$XFD, MATCH(gdp_ind_share!N$1, gdp_tot_mes!$B$1:$XFD$1, 0), 0)</f>
        <v>0.22351430430580171</v>
      </c>
      <c r="O51" s="29">
        <f>VLOOKUP($B51, ind_mes!$B:$XFD, MATCH(gdp_ind_share!O$1, ind_mes!$B$1:$XFD$1, 0), 0)/VLOOKUP($B51, gdp_tot_mes!$B:$XFD, MATCH(gdp_ind_share!O$1, gdp_tot_mes!$B$1:$XFD$1, 0), 0)</f>
        <v>0.24768994005841807</v>
      </c>
      <c r="P51" s="29">
        <f>VLOOKUP($B51, ind_mes!$B:$XFD, MATCH(gdp_ind_share!P$1, ind_mes!$B$1:$XFD$1, 0), 0)/VLOOKUP($B51, gdp_tot_mes!$B:$XFD, MATCH(gdp_ind_share!P$1, gdp_tot_mes!$B$1:$XFD$1, 0), 0)</f>
        <v>0.23038645502899704</v>
      </c>
      <c r="Q51" s="29">
        <f>VLOOKUP($B51, ind_mes!$B:$XFD, MATCH(gdp_ind_share!Q$1, ind_mes!$B$1:$XFD$1, 0), 0)/VLOOKUP($B51, gdp_tot_mes!$B:$XFD, MATCH(gdp_ind_share!Q$1, gdp_tot_mes!$B$1:$XFD$1, 0), 0)</f>
        <v>0.20847347193135751</v>
      </c>
      <c r="R51" s="29">
        <f>VLOOKUP($B51, ind_mes!$B:$XFD, MATCH(gdp_ind_share!R$1, ind_mes!$B$1:$XFD$1, 0), 0)/VLOOKUP($B51, gdp_tot_mes!$B:$XFD, MATCH(gdp_ind_share!R$1, gdp_tot_mes!$B$1:$XFD$1, 0), 0)</f>
        <v>0.22030589207324913</v>
      </c>
      <c r="S51" s="29">
        <f>VLOOKUP($B51, ind_mes!$B:$XFD, MATCH(gdp_ind_share!S$1, ind_mes!$B$1:$XFD$1, 0), 0)/VLOOKUP($B51, gdp_tot_mes!$B:$XFD, MATCH(gdp_ind_share!S$1, gdp_tot_mes!$B$1:$XFD$1, 0), 0)</f>
        <v>0.23638408000944605</v>
      </c>
      <c r="T51" s="29">
        <f>VLOOKUP($B51, ind_mes!$B:$XFD, MATCH(gdp_ind_share!T$1, ind_mes!$B$1:$XFD$1, 0), 0)/VLOOKUP($B51, gdp_tot_mes!$B:$XFD, MATCH(gdp_ind_share!T$1, gdp_tot_mes!$B$1:$XFD$1, 0), 0)</f>
        <v>0.24547628690486908</v>
      </c>
      <c r="U51" s="29">
        <f>VLOOKUP($B51, ind_mes!$B:$XFD, MATCH(gdp_ind_share!U$1, ind_mes!$B$1:$XFD$1, 0), 0)/VLOOKUP($B51, gdp_tot_mes!$B:$XFD, MATCH(gdp_ind_share!U$1, gdp_tot_mes!$B$1:$XFD$1, 0), 0)</f>
        <v>0.24232218016650886</v>
      </c>
      <c r="V51" s="29">
        <f>VLOOKUP($B51, ind_mes!$B:$XFD, MATCH(gdp_ind_share!V$1, ind_mes!$B$1:$XFD$1, 0), 0)/VLOOKUP($B51, gdp_tot_mes!$B:$XFD, MATCH(gdp_ind_share!V$1, gdp_tot_mes!$B$1:$XFD$1, 0), 0)</f>
        <v>0.24739686571414002</v>
      </c>
      <c r="W51" s="29">
        <f>VLOOKUP($B51, ind_mes!$B:$XFD, MATCH(gdp_ind_share!W$1, ind_mes!$B$1:$XFD$1, 0), 0)/VLOOKUP($B51, gdp_tot_mes!$B:$XFD, MATCH(gdp_ind_share!W$1, gdp_tot_mes!$B$1:$XFD$1, 0), 0)</f>
        <v>0.22938495313843785</v>
      </c>
      <c r="X51" s="29">
        <f>VLOOKUP($B51, ind_mes!$B:$XFD, MATCH(gdp_ind_share!X$1, ind_mes!$B$1:$XFD$1, 0), 0)/VLOOKUP($B51, gdp_tot_mes!$B:$XFD, MATCH(gdp_ind_share!X$1, gdp_tot_mes!$B$1:$XFD$1, 0), 0)</f>
        <v>0.22057915885069415</v>
      </c>
      <c r="Y51" s="29">
        <f>VLOOKUP($B51, ind_mes!$B:$XFD, MATCH(gdp_ind_share!Y$1, ind_mes!$B$1:$XFD$1, 0), 0)/VLOOKUP($B51, gdp_tot_mes!$B:$XFD, MATCH(gdp_ind_share!Y$1, gdp_tot_mes!$B$1:$XFD$1, 0), 0)</f>
        <v>0.22415158382788494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x14ac:dyDescent="0.25">
      <c r="A52" s="1" t="s">
        <v>113</v>
      </c>
      <c r="B52" s="1" t="s">
        <v>134</v>
      </c>
      <c r="C52" s="1" t="s">
        <v>135</v>
      </c>
      <c r="D52" s="29">
        <f>VLOOKUP($B52, ind_mes!$B:$XFD, MATCH(gdp_ind_share!D$1, ind_mes!$B$1:$XFD$1, 0), 0)/VLOOKUP($B52, gdp_tot_mes!$B:$XFD, MATCH(gdp_ind_share!D$1, gdp_tot_mes!$B$1:$XFD$1, 0), 0)</f>
        <v>7.3085676219908788E-2</v>
      </c>
      <c r="E52" s="29">
        <f>VLOOKUP($B52, ind_mes!$B:$XFD, MATCH(gdp_ind_share!E$1, ind_mes!$B$1:$XFD$1, 0), 0)/VLOOKUP($B52, gdp_tot_mes!$B:$XFD, MATCH(gdp_ind_share!E$1, gdp_tot_mes!$B$1:$XFD$1, 0), 0)</f>
        <v>0.18907668729780799</v>
      </c>
      <c r="F52" s="29">
        <f>VLOOKUP($B52, ind_mes!$B:$XFD, MATCH(gdp_ind_share!F$1, ind_mes!$B$1:$XFD$1, 0), 0)/VLOOKUP($B52, gdp_tot_mes!$B:$XFD, MATCH(gdp_ind_share!F$1, gdp_tot_mes!$B$1:$XFD$1, 0), 0)</f>
        <v>0.24426751720975948</v>
      </c>
      <c r="G52" s="29">
        <f>VLOOKUP($B52, ind_mes!$B:$XFD, MATCH(gdp_ind_share!G$1, ind_mes!$B$1:$XFD$1, 0), 0)/VLOOKUP($B52, gdp_tot_mes!$B:$XFD, MATCH(gdp_ind_share!G$1, gdp_tot_mes!$B$1:$XFD$1, 0), 0)</f>
        <v>0.28162449681306895</v>
      </c>
      <c r="H52" s="29">
        <f>VLOOKUP($B52, ind_mes!$B:$XFD, MATCH(gdp_ind_share!H$1, ind_mes!$B$1:$XFD$1, 0), 0)/VLOOKUP($B52, gdp_tot_mes!$B:$XFD, MATCH(gdp_ind_share!H$1, gdp_tot_mes!$B$1:$XFD$1, 0), 0)</f>
        <v>0.34368485481530481</v>
      </c>
      <c r="I52" s="29">
        <f>VLOOKUP($B52, ind_mes!$B:$XFD, MATCH(gdp_ind_share!I$1, ind_mes!$B$1:$XFD$1, 0), 0)/VLOOKUP($B52, gdp_tot_mes!$B:$XFD, MATCH(gdp_ind_share!I$1, gdp_tot_mes!$B$1:$XFD$1, 0), 0)</f>
        <v>0.36694168528655813</v>
      </c>
      <c r="J52" s="29">
        <f>VLOOKUP($B52, ind_mes!$B:$XFD, MATCH(gdp_ind_share!J$1, ind_mes!$B$1:$XFD$1, 0), 0)/VLOOKUP($B52, gdp_tot_mes!$B:$XFD, MATCH(gdp_ind_share!J$1, gdp_tot_mes!$B$1:$XFD$1, 0), 0)</f>
        <v>0.4027324977538902</v>
      </c>
      <c r="K52" s="29">
        <f>VLOOKUP($B52, ind_mes!$B:$XFD, MATCH(gdp_ind_share!K$1, ind_mes!$B$1:$XFD$1, 0), 0)/VLOOKUP($B52, gdp_tot_mes!$B:$XFD, MATCH(gdp_ind_share!K$1, gdp_tot_mes!$B$1:$XFD$1, 0), 0)</f>
        <v>0.34676344810011861</v>
      </c>
      <c r="L52" s="30">
        <f t="shared" si="0"/>
        <v>0.29215270553603528</v>
      </c>
      <c r="M52" s="29">
        <f>VLOOKUP($B52, ind_mes!$B:$XFD, MATCH(gdp_ind_share!M$1, ind_mes!$B$1:$XFD$1, 0), 0)/VLOOKUP($B52, gdp_tot_mes!$B:$XFD, MATCH(gdp_ind_share!M$1, gdp_tot_mes!$B$1:$XFD$1, 0), 0)</f>
        <v>0.22661981445913532</v>
      </c>
      <c r="N52" s="29">
        <f>VLOOKUP($B52, ind_mes!$B:$XFD, MATCH(gdp_ind_share!N$1, ind_mes!$B$1:$XFD$1, 0), 0)/VLOOKUP($B52, gdp_tot_mes!$B:$XFD, MATCH(gdp_ind_share!N$1, gdp_tot_mes!$B$1:$XFD$1, 0), 0)</f>
        <v>0.22094847974693888</v>
      </c>
      <c r="O52" s="29">
        <f>VLOOKUP($B52, ind_mes!$B:$XFD, MATCH(gdp_ind_share!O$1, ind_mes!$B$1:$XFD$1, 0), 0)/VLOOKUP($B52, gdp_tot_mes!$B:$XFD, MATCH(gdp_ind_share!O$1, gdp_tot_mes!$B$1:$XFD$1, 0), 0)</f>
        <v>0.23422263645591204</v>
      </c>
      <c r="P52" s="29">
        <f>VLOOKUP($B52, ind_mes!$B:$XFD, MATCH(gdp_ind_share!P$1, ind_mes!$B$1:$XFD$1, 0), 0)/VLOOKUP($B52, gdp_tot_mes!$B:$XFD, MATCH(gdp_ind_share!P$1, gdp_tot_mes!$B$1:$XFD$1, 0), 0)</f>
        <v>0.21041654371298127</v>
      </c>
      <c r="Q52" s="29">
        <f>VLOOKUP($B52, ind_mes!$B:$XFD, MATCH(gdp_ind_share!Q$1, ind_mes!$B$1:$XFD$1, 0), 0)/VLOOKUP($B52, gdp_tot_mes!$B:$XFD, MATCH(gdp_ind_share!Q$1, gdp_tot_mes!$B$1:$XFD$1, 0), 0)</f>
        <v>0.22091300820114973</v>
      </c>
      <c r="R52" s="29">
        <f>VLOOKUP($B52, ind_mes!$B:$XFD, MATCH(gdp_ind_share!R$1, ind_mes!$B$1:$XFD$1, 0), 0)/VLOOKUP($B52, gdp_tot_mes!$B:$XFD, MATCH(gdp_ind_share!R$1, gdp_tot_mes!$B$1:$XFD$1, 0), 0)</f>
        <v>0.22715120368931185</v>
      </c>
      <c r="S52" s="29">
        <f>VLOOKUP($B52, ind_mes!$B:$XFD, MATCH(gdp_ind_share!S$1, ind_mes!$B$1:$XFD$1, 0), 0)/VLOOKUP($B52, gdp_tot_mes!$B:$XFD, MATCH(gdp_ind_share!S$1, gdp_tot_mes!$B$1:$XFD$1, 0), 0)</f>
        <v>0.24552357421252535</v>
      </c>
      <c r="T52" s="29">
        <f>VLOOKUP($B52, ind_mes!$B:$XFD, MATCH(gdp_ind_share!T$1, ind_mes!$B$1:$XFD$1, 0), 0)/VLOOKUP($B52, gdp_tot_mes!$B:$XFD, MATCH(gdp_ind_share!T$1, gdp_tot_mes!$B$1:$XFD$1, 0), 0)</f>
        <v>0.22476383532502031</v>
      </c>
      <c r="U52" s="29">
        <f>VLOOKUP($B52, ind_mes!$B:$XFD, MATCH(gdp_ind_share!U$1, ind_mes!$B$1:$XFD$1, 0), 0)/VLOOKUP($B52, gdp_tot_mes!$B:$XFD, MATCH(gdp_ind_share!U$1, gdp_tot_mes!$B$1:$XFD$1, 0), 0)</f>
        <v>0.20443923979207496</v>
      </c>
      <c r="V52" s="29">
        <f>VLOOKUP($B52, ind_mes!$B:$XFD, MATCH(gdp_ind_share!V$1, ind_mes!$B$1:$XFD$1, 0), 0)/VLOOKUP($B52, gdp_tot_mes!$B:$XFD, MATCH(gdp_ind_share!V$1, gdp_tot_mes!$B$1:$XFD$1, 0), 0)</f>
        <v>0.19945514559920804</v>
      </c>
      <c r="W52" s="29">
        <f>VLOOKUP($B52, ind_mes!$B:$XFD, MATCH(gdp_ind_share!W$1, ind_mes!$B$1:$XFD$1, 0), 0)/VLOOKUP($B52, gdp_tot_mes!$B:$XFD, MATCH(gdp_ind_share!W$1, gdp_tot_mes!$B$1:$XFD$1, 0), 0)</f>
        <v>0.20657875392430716</v>
      </c>
      <c r="X52" s="29">
        <f>VLOOKUP($B52, ind_mes!$B:$XFD, MATCH(gdp_ind_share!X$1, ind_mes!$B$1:$XFD$1, 0), 0)/VLOOKUP($B52, gdp_tot_mes!$B:$XFD, MATCH(gdp_ind_share!X$1, gdp_tot_mes!$B$1:$XFD$1, 0), 0)</f>
        <v>0.20293639841836264</v>
      </c>
      <c r="Y52" s="29">
        <f>VLOOKUP($B52, ind_mes!$B:$XFD, MATCH(gdp_ind_share!Y$1, ind_mes!$B$1:$XFD$1, 0), 0)/VLOOKUP($B52, gdp_tot_mes!$B:$XFD, MATCH(gdp_ind_share!Y$1, gdp_tot_mes!$B$1:$XFD$1, 0), 0)</f>
        <v>0.23517799776555376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x14ac:dyDescent="0.25">
      <c r="A53" s="1" t="s">
        <v>113</v>
      </c>
      <c r="B53" s="1" t="s">
        <v>136</v>
      </c>
      <c r="C53" s="1" t="s">
        <v>137</v>
      </c>
      <c r="D53" s="29">
        <f>VLOOKUP($B53, ind_mes!$B:$XFD, MATCH(gdp_ind_share!D$1, ind_mes!$B$1:$XFD$1, 0), 0)/VLOOKUP($B53, gdp_tot_mes!$B:$XFD, MATCH(gdp_ind_share!D$1, gdp_tot_mes!$B$1:$XFD$1, 0), 0)</f>
        <v>7.8157818114120453E-2</v>
      </c>
      <c r="E53" s="29">
        <f>VLOOKUP($B53, ind_mes!$B:$XFD, MATCH(gdp_ind_share!E$1, ind_mes!$B$1:$XFD$1, 0), 0)/VLOOKUP($B53, gdp_tot_mes!$B:$XFD, MATCH(gdp_ind_share!E$1, gdp_tot_mes!$B$1:$XFD$1, 0), 0)</f>
        <v>0.15735635551060861</v>
      </c>
      <c r="F53" s="29">
        <f>VLOOKUP($B53, ind_mes!$B:$XFD, MATCH(gdp_ind_share!F$1, ind_mes!$B$1:$XFD$1, 0), 0)/VLOOKUP($B53, gdp_tot_mes!$B:$XFD, MATCH(gdp_ind_share!F$1, gdp_tot_mes!$B$1:$XFD$1, 0), 0)</f>
        <v>0.19197530039315802</v>
      </c>
      <c r="G53" s="29">
        <f>VLOOKUP($B53, ind_mes!$B:$XFD, MATCH(gdp_ind_share!G$1, ind_mes!$B$1:$XFD$1, 0), 0)/VLOOKUP($B53, gdp_tot_mes!$B:$XFD, MATCH(gdp_ind_share!G$1, gdp_tot_mes!$B$1:$XFD$1, 0), 0)</f>
        <v>0.21285602166059334</v>
      </c>
      <c r="H53" s="29">
        <f>VLOOKUP($B53, ind_mes!$B:$XFD, MATCH(gdp_ind_share!H$1, ind_mes!$B$1:$XFD$1, 0), 0)/VLOOKUP($B53, gdp_tot_mes!$B:$XFD, MATCH(gdp_ind_share!H$1, gdp_tot_mes!$B$1:$XFD$1, 0), 0)</f>
        <v>0.27580713841255683</v>
      </c>
      <c r="I53" s="29">
        <f>VLOOKUP($B53, ind_mes!$B:$XFD, MATCH(gdp_ind_share!I$1, ind_mes!$B$1:$XFD$1, 0), 0)/VLOOKUP($B53, gdp_tot_mes!$B:$XFD, MATCH(gdp_ind_share!I$1, gdp_tot_mes!$B$1:$XFD$1, 0), 0)</f>
        <v>0.26100817825859418</v>
      </c>
      <c r="J53" s="29">
        <f>VLOOKUP($B53, ind_mes!$B:$XFD, MATCH(gdp_ind_share!J$1, ind_mes!$B$1:$XFD$1, 0), 0)/VLOOKUP($B53, gdp_tot_mes!$B:$XFD, MATCH(gdp_ind_share!J$1, gdp_tot_mes!$B$1:$XFD$1, 0), 0)</f>
        <v>0.29842260910536822</v>
      </c>
      <c r="K53" s="29">
        <f>VLOOKUP($B53, ind_mes!$B:$XFD, MATCH(gdp_ind_share!K$1, ind_mes!$B$1:$XFD$1, 0), 0)/VLOOKUP($B53, gdp_tot_mes!$B:$XFD, MATCH(gdp_ind_share!K$1, gdp_tot_mes!$B$1:$XFD$1, 0), 0)</f>
        <v>0.30105644449243951</v>
      </c>
      <c r="L53" s="30">
        <f t="shared" si="0"/>
        <v>0.2671153163824066</v>
      </c>
      <c r="M53" s="29">
        <f>VLOOKUP($B53, ind_mes!$B:$XFD, MATCH(gdp_ind_share!M$1, ind_mes!$B$1:$XFD$1, 0), 0)/VLOOKUP($B53, gdp_tot_mes!$B:$XFD, MATCH(gdp_ind_share!M$1, gdp_tot_mes!$B$1:$XFD$1, 0), 0)</f>
        <v>0.22638596265036717</v>
      </c>
      <c r="N53" s="29">
        <f>VLOOKUP($B53, ind_mes!$B:$XFD, MATCH(gdp_ind_share!N$1, ind_mes!$B$1:$XFD$1, 0), 0)/VLOOKUP($B53, gdp_tot_mes!$B:$XFD, MATCH(gdp_ind_share!N$1, gdp_tot_mes!$B$1:$XFD$1, 0), 0)</f>
        <v>0.20065836256409567</v>
      </c>
      <c r="O53" s="29">
        <f>VLOOKUP($B53, ind_mes!$B:$XFD, MATCH(gdp_ind_share!O$1, ind_mes!$B$1:$XFD$1, 0), 0)/VLOOKUP($B53, gdp_tot_mes!$B:$XFD, MATCH(gdp_ind_share!O$1, gdp_tot_mes!$B$1:$XFD$1, 0), 0)</f>
        <v>0.20728426274405568</v>
      </c>
      <c r="P53" s="29">
        <f>VLOOKUP($B53, ind_mes!$B:$XFD, MATCH(gdp_ind_share!P$1, ind_mes!$B$1:$XFD$1, 0), 0)/VLOOKUP($B53, gdp_tot_mes!$B:$XFD, MATCH(gdp_ind_share!P$1, gdp_tot_mes!$B$1:$XFD$1, 0), 0)</f>
        <v>0.18304344480009863</v>
      </c>
      <c r="Q53" s="29">
        <f>VLOOKUP($B53, ind_mes!$B:$XFD, MATCH(gdp_ind_share!Q$1, ind_mes!$B$1:$XFD$1, 0), 0)/VLOOKUP($B53, gdp_tot_mes!$B:$XFD, MATCH(gdp_ind_share!Q$1, gdp_tot_mes!$B$1:$XFD$1, 0), 0)</f>
        <v>0.16033863409338084</v>
      </c>
      <c r="R53" s="29">
        <f>VLOOKUP($B53, ind_mes!$B:$XFD, MATCH(gdp_ind_share!R$1, ind_mes!$B$1:$XFD$1, 0), 0)/VLOOKUP($B53, gdp_tot_mes!$B:$XFD, MATCH(gdp_ind_share!R$1, gdp_tot_mes!$B$1:$XFD$1, 0), 0)</f>
        <v>0.16356240744823242</v>
      </c>
      <c r="S53" s="29">
        <f>VLOOKUP($B53, ind_mes!$B:$XFD, MATCH(gdp_ind_share!S$1, ind_mes!$B$1:$XFD$1, 0), 0)/VLOOKUP($B53, gdp_tot_mes!$B:$XFD, MATCH(gdp_ind_share!S$1, gdp_tot_mes!$B$1:$XFD$1, 0), 0)</f>
        <v>0.18472056325185279</v>
      </c>
      <c r="T53" s="29">
        <f>VLOOKUP($B53, ind_mes!$B:$XFD, MATCH(gdp_ind_share!T$1, ind_mes!$B$1:$XFD$1, 0), 0)/VLOOKUP($B53, gdp_tot_mes!$B:$XFD, MATCH(gdp_ind_share!T$1, gdp_tot_mes!$B$1:$XFD$1, 0), 0)</f>
        <v>0.18356285429645838</v>
      </c>
      <c r="U53" s="29">
        <f>VLOOKUP($B53, ind_mes!$B:$XFD, MATCH(gdp_ind_share!U$1, ind_mes!$B$1:$XFD$1, 0), 0)/VLOOKUP($B53, gdp_tot_mes!$B:$XFD, MATCH(gdp_ind_share!U$1, gdp_tot_mes!$B$1:$XFD$1, 0), 0)</f>
        <v>0.18249752897323437</v>
      </c>
      <c r="V53" s="29">
        <f>VLOOKUP($B53, ind_mes!$B:$XFD, MATCH(gdp_ind_share!V$1, ind_mes!$B$1:$XFD$1, 0), 0)/VLOOKUP($B53, gdp_tot_mes!$B:$XFD, MATCH(gdp_ind_share!V$1, gdp_tot_mes!$B$1:$XFD$1, 0), 0)</f>
        <v>0.20619331191222132</v>
      </c>
      <c r="W53" s="29">
        <f>VLOOKUP($B53, ind_mes!$B:$XFD, MATCH(gdp_ind_share!W$1, ind_mes!$B$1:$XFD$1, 0), 0)/VLOOKUP($B53, gdp_tot_mes!$B:$XFD, MATCH(gdp_ind_share!W$1, gdp_tot_mes!$B$1:$XFD$1, 0), 0)</f>
        <v>0.19008788340103125</v>
      </c>
      <c r="X53" s="29">
        <f>VLOOKUP($B53, ind_mes!$B:$XFD, MATCH(gdp_ind_share!X$1, ind_mes!$B$1:$XFD$1, 0), 0)/VLOOKUP($B53, gdp_tot_mes!$B:$XFD, MATCH(gdp_ind_share!X$1, gdp_tot_mes!$B$1:$XFD$1, 0), 0)</f>
        <v>0.18677440106253509</v>
      </c>
      <c r="Y53" s="29">
        <f>VLOOKUP($B53, ind_mes!$B:$XFD, MATCH(gdp_ind_share!Y$1, ind_mes!$B$1:$XFD$1, 0), 0)/VLOOKUP($B53, gdp_tot_mes!$B:$XFD, MATCH(gdp_ind_share!Y$1, gdp_tot_mes!$B$1:$XFD$1, 0), 0)</f>
        <v>0.2402228675187994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x14ac:dyDescent="0.25">
      <c r="A54" s="1" t="s">
        <v>138</v>
      </c>
      <c r="B54" s="1" t="s">
        <v>139</v>
      </c>
      <c r="C54" s="1" t="s">
        <v>140</v>
      </c>
      <c r="D54" s="29">
        <f>VLOOKUP($B54, ind_mes!$B:$XFD, MATCH(gdp_ind_share!D$1, ind_mes!$B$1:$XFD$1, 0), 0)/VLOOKUP($B54, gdp_tot_mes!$B:$XFD, MATCH(gdp_ind_share!D$1, gdp_tot_mes!$B$1:$XFD$1, 0), 0)</f>
        <v>7.7966965814941919E-2</v>
      </c>
      <c r="E54" s="29">
        <f>VLOOKUP($B54, ind_mes!$B:$XFD, MATCH(gdp_ind_share!E$1, ind_mes!$B$1:$XFD$1, 0), 0)/VLOOKUP($B54, gdp_tot_mes!$B:$XFD, MATCH(gdp_ind_share!E$1, gdp_tot_mes!$B$1:$XFD$1, 0), 0)</f>
        <v>0.14500786492055107</v>
      </c>
      <c r="F54" s="29">
        <f>VLOOKUP($B54, ind_mes!$B:$XFD, MATCH(gdp_ind_share!F$1, ind_mes!$B$1:$XFD$1, 0), 0)/VLOOKUP($B54, gdp_tot_mes!$B:$XFD, MATCH(gdp_ind_share!F$1, gdp_tot_mes!$B$1:$XFD$1, 0), 0)</f>
        <v>0.19182216364415108</v>
      </c>
      <c r="G54" s="29">
        <f>VLOOKUP($B54, ind_mes!$B:$XFD, MATCH(gdp_ind_share!G$1, ind_mes!$B$1:$XFD$1, 0), 0)/VLOOKUP($B54, gdp_tot_mes!$B:$XFD, MATCH(gdp_ind_share!G$1, gdp_tot_mes!$B$1:$XFD$1, 0), 0)</f>
        <v>0.34806765226331621</v>
      </c>
      <c r="H54" s="29">
        <f>VLOOKUP($B54, ind_mes!$B:$XFD, MATCH(gdp_ind_share!H$1, ind_mes!$B$1:$XFD$1, 0), 0)/VLOOKUP($B54, gdp_tot_mes!$B:$XFD, MATCH(gdp_ind_share!H$1, gdp_tot_mes!$B$1:$XFD$1, 0), 0)</f>
        <v>0.1315174079795203</v>
      </c>
      <c r="I54" s="29">
        <f>VLOOKUP($B54, ind_mes!$B:$XFD, MATCH(gdp_ind_share!I$1, ind_mes!$B$1:$XFD$1, 0), 0)/VLOOKUP($B54, gdp_tot_mes!$B:$XFD, MATCH(gdp_ind_share!I$1, gdp_tot_mes!$B$1:$XFD$1, 0), 0)</f>
        <v>0.15514903227648874</v>
      </c>
      <c r="J54" s="29">
        <f>VLOOKUP($B54, ind_mes!$B:$XFD, MATCH(gdp_ind_share!J$1, ind_mes!$B$1:$XFD$1, 0), 0)/VLOOKUP($B54, gdp_tot_mes!$B:$XFD, MATCH(gdp_ind_share!J$1, gdp_tot_mes!$B$1:$XFD$1, 0), 0)</f>
        <v>0.16815700679178902</v>
      </c>
      <c r="K54" s="29">
        <f>VLOOKUP($B54, ind_mes!$B:$XFD, MATCH(gdp_ind_share!K$1, ind_mes!$B$1:$XFD$1, 0), 0)/VLOOKUP($B54, gdp_tot_mes!$B:$XFD, MATCH(gdp_ind_share!K$1, gdp_tot_mes!$B$1:$XFD$1, 0), 0)</f>
        <v>0.31025352753138169</v>
      </c>
      <c r="L54" s="30">
        <f t="shared" si="0"/>
        <v>0.22366826134706963</v>
      </c>
      <c r="M54" s="29">
        <f>VLOOKUP($B54, ind_mes!$B:$XFD, MATCH(gdp_ind_share!M$1, ind_mes!$B$1:$XFD$1, 0), 0)/VLOOKUP($B54, gdp_tot_mes!$B:$XFD, MATCH(gdp_ind_share!M$1, gdp_tot_mes!$B$1:$XFD$1, 0), 0)</f>
        <v>0.11976594192589513</v>
      </c>
      <c r="N54" s="29">
        <f>VLOOKUP($B54, ind_mes!$B:$XFD, MATCH(gdp_ind_share!N$1, ind_mes!$B$1:$XFD$1, 0), 0)/VLOOKUP($B54, gdp_tot_mes!$B:$XFD, MATCH(gdp_ind_share!N$1, gdp_tot_mes!$B$1:$XFD$1, 0), 0)</f>
        <v>0.11542109917175211</v>
      </c>
      <c r="O54" s="29">
        <f>VLOOKUP($B54, ind_mes!$B:$XFD, MATCH(gdp_ind_share!O$1, ind_mes!$B$1:$XFD$1, 0), 0)/VLOOKUP($B54, gdp_tot_mes!$B:$XFD, MATCH(gdp_ind_share!O$1, gdp_tot_mes!$B$1:$XFD$1, 0), 0)</f>
        <v>0.1270580927186741</v>
      </c>
      <c r="P54" s="29">
        <f>VLOOKUP($B54, ind_mes!$B:$XFD, MATCH(gdp_ind_share!P$1, ind_mes!$B$1:$XFD$1, 0), 0)/VLOOKUP($B54, gdp_tot_mes!$B:$XFD, MATCH(gdp_ind_share!P$1, gdp_tot_mes!$B$1:$XFD$1, 0), 0)</f>
        <v>9.7016139096498269E-2</v>
      </c>
      <c r="Q54" s="29">
        <f>VLOOKUP($B54, ind_mes!$B:$XFD, MATCH(gdp_ind_share!Q$1, ind_mes!$B$1:$XFD$1, 0), 0)/VLOOKUP($B54, gdp_tot_mes!$B:$XFD, MATCH(gdp_ind_share!Q$1, gdp_tot_mes!$B$1:$XFD$1, 0), 0)</f>
        <v>5.3741443816478551E-2</v>
      </c>
      <c r="R54" s="29">
        <f>VLOOKUP($B54, ind_mes!$B:$XFD, MATCH(gdp_ind_share!R$1, ind_mes!$B$1:$XFD$1, 0), 0)/VLOOKUP($B54, gdp_tot_mes!$B:$XFD, MATCH(gdp_ind_share!R$1, gdp_tot_mes!$B$1:$XFD$1, 0), 0)</f>
        <v>5.7167381309057956E-2</v>
      </c>
      <c r="S54" s="29">
        <f>VLOOKUP($B54, ind_mes!$B:$XFD, MATCH(gdp_ind_share!S$1, ind_mes!$B$1:$XFD$1, 0), 0)/VLOOKUP($B54, gdp_tot_mes!$B:$XFD, MATCH(gdp_ind_share!S$1, gdp_tot_mes!$B$1:$XFD$1, 0), 0)</f>
        <v>5.9339665655169807E-2</v>
      </c>
      <c r="T54" s="29">
        <f>VLOOKUP($B54, ind_mes!$B:$XFD, MATCH(gdp_ind_share!T$1, ind_mes!$B$1:$XFD$1, 0), 0)/VLOOKUP($B54, gdp_tot_mes!$B:$XFD, MATCH(gdp_ind_share!T$1, gdp_tot_mes!$B$1:$XFD$1, 0), 0)</f>
        <v>6.2884833520794547E-2</v>
      </c>
      <c r="U54" s="29">
        <f>VLOOKUP($B54, ind_mes!$B:$XFD, MATCH(gdp_ind_share!U$1, ind_mes!$B$1:$XFD$1, 0), 0)/VLOOKUP($B54, gdp_tot_mes!$B:$XFD, MATCH(gdp_ind_share!U$1, gdp_tot_mes!$B$1:$XFD$1, 0), 0)</f>
        <v>8.5173605980576023E-2</v>
      </c>
      <c r="V54" s="29">
        <f>VLOOKUP($B54, ind_mes!$B:$XFD, MATCH(gdp_ind_share!V$1, ind_mes!$B$1:$XFD$1, 0), 0)/VLOOKUP($B54, gdp_tot_mes!$B:$XFD, MATCH(gdp_ind_share!V$1, gdp_tot_mes!$B$1:$XFD$1, 0), 0)</f>
        <v>6.64762100426909E-2</v>
      </c>
      <c r="W54" s="29">
        <f>VLOOKUP($B54, ind_mes!$B:$XFD, MATCH(gdp_ind_share!W$1, ind_mes!$B$1:$XFD$1, 0), 0)/VLOOKUP($B54, gdp_tot_mes!$B:$XFD, MATCH(gdp_ind_share!W$1, gdp_tot_mes!$B$1:$XFD$1, 0), 0)</f>
        <v>9.5895000314832862E-2</v>
      </c>
      <c r="X54" s="29">
        <f>VLOOKUP($B54, ind_mes!$B:$XFD, MATCH(gdp_ind_share!X$1, ind_mes!$B$1:$XFD$1, 0), 0)/VLOOKUP($B54, gdp_tot_mes!$B:$XFD, MATCH(gdp_ind_share!X$1, gdp_tot_mes!$B$1:$XFD$1, 0), 0)</f>
        <v>6.1991934960651626E-2</v>
      </c>
      <c r="Y54" s="29">
        <f>VLOOKUP($B54, ind_mes!$B:$XFD, MATCH(gdp_ind_share!Y$1, ind_mes!$B$1:$XFD$1, 0), 0)/VLOOKUP($B54, gdp_tot_mes!$B:$XFD, MATCH(gdp_ind_share!Y$1, gdp_tot_mes!$B$1:$XFD$1, 0), 0)</f>
        <v>0.12390854351222255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25">
      <c r="A55" s="1" t="s">
        <v>138</v>
      </c>
      <c r="B55" s="1" t="s">
        <v>141</v>
      </c>
      <c r="C55" s="1" t="s">
        <v>142</v>
      </c>
      <c r="D55" s="29">
        <f>VLOOKUP($B55, ind_mes!$B:$XFD, MATCH(gdp_ind_share!D$1, ind_mes!$B$1:$XFD$1, 0), 0)/VLOOKUP($B55, gdp_tot_mes!$B:$XFD, MATCH(gdp_ind_share!D$1, gdp_tot_mes!$B$1:$XFD$1, 0), 0)</f>
        <v>2.6878854488305771E-2</v>
      </c>
      <c r="E55" s="29">
        <f>VLOOKUP($B55, ind_mes!$B:$XFD, MATCH(gdp_ind_share!E$1, ind_mes!$B$1:$XFD$1, 0), 0)/VLOOKUP($B55, gdp_tot_mes!$B:$XFD, MATCH(gdp_ind_share!E$1, gdp_tot_mes!$B$1:$XFD$1, 0), 0)</f>
        <v>7.6936180700198656E-2</v>
      </c>
      <c r="F55" s="29">
        <f>VLOOKUP($B55, ind_mes!$B:$XFD, MATCH(gdp_ind_share!F$1, ind_mes!$B$1:$XFD$1, 0), 0)/VLOOKUP($B55, gdp_tot_mes!$B:$XFD, MATCH(gdp_ind_share!F$1, gdp_tot_mes!$B$1:$XFD$1, 0), 0)</f>
        <v>4.9637004263418279E-2</v>
      </c>
      <c r="G55" s="29">
        <f>VLOOKUP($B55, ind_mes!$B:$XFD, MATCH(gdp_ind_share!G$1, ind_mes!$B$1:$XFD$1, 0), 0)/VLOOKUP($B55, gdp_tot_mes!$B:$XFD, MATCH(gdp_ind_share!G$1, gdp_tot_mes!$B$1:$XFD$1, 0), 0)</f>
        <v>9.2028445976323453E-2</v>
      </c>
      <c r="H55" s="29">
        <f>VLOOKUP($B55, ind_mes!$B:$XFD, MATCH(gdp_ind_share!H$1, ind_mes!$B$1:$XFD$1, 0), 0)/VLOOKUP($B55, gdp_tot_mes!$B:$XFD, MATCH(gdp_ind_share!H$1, gdp_tot_mes!$B$1:$XFD$1, 0), 0)</f>
        <v>0.21950872141041103</v>
      </c>
      <c r="I55" s="29">
        <f>VLOOKUP($B55, ind_mes!$B:$XFD, MATCH(gdp_ind_share!I$1, ind_mes!$B$1:$XFD$1, 0), 0)/VLOOKUP($B55, gdp_tot_mes!$B:$XFD, MATCH(gdp_ind_share!I$1, gdp_tot_mes!$B$1:$XFD$1, 0), 0)</f>
        <v>0.1876665668771697</v>
      </c>
      <c r="J55" s="29">
        <f>VLOOKUP($B55, ind_mes!$B:$XFD, MATCH(gdp_ind_share!J$1, ind_mes!$B$1:$XFD$1, 0), 0)/VLOOKUP($B55, gdp_tot_mes!$B:$XFD, MATCH(gdp_ind_share!J$1, gdp_tot_mes!$B$1:$XFD$1, 0), 0)</f>
        <v>0.18223799124340578</v>
      </c>
      <c r="K55" s="29">
        <f>VLOOKUP($B55, ind_mes!$B:$XFD, MATCH(gdp_ind_share!K$1, ind_mes!$B$1:$XFD$1, 0), 0)/VLOOKUP($B55, gdp_tot_mes!$B:$XFD, MATCH(gdp_ind_share!K$1, gdp_tot_mes!$B$1:$XFD$1, 0), 0)</f>
        <v>0.18637659124200603</v>
      </c>
      <c r="L55" s="30">
        <f t="shared" si="0"/>
        <v>0.18383375969781815</v>
      </c>
      <c r="M55" s="29">
        <f>VLOOKUP($B55, ind_mes!$B:$XFD, MATCH(gdp_ind_share!M$1, ind_mes!$B$1:$XFD$1, 0), 0)/VLOOKUP($B55, gdp_tot_mes!$B:$XFD, MATCH(gdp_ind_share!M$1, gdp_tot_mes!$B$1:$XFD$1, 0), 0)</f>
        <v>0.18078236184479271</v>
      </c>
      <c r="N55" s="29">
        <f>VLOOKUP($B55, ind_mes!$B:$XFD, MATCH(gdp_ind_share!N$1, ind_mes!$B$1:$XFD$1, 0), 0)/VLOOKUP($B55, gdp_tot_mes!$B:$XFD, MATCH(gdp_ind_share!N$1, gdp_tot_mes!$B$1:$XFD$1, 0), 0)</f>
        <v>0.15935377368575082</v>
      </c>
      <c r="O55" s="29">
        <f>VLOOKUP($B55, ind_mes!$B:$XFD, MATCH(gdp_ind_share!O$1, ind_mes!$B$1:$XFD$1, 0), 0)/VLOOKUP($B55, gdp_tot_mes!$B:$XFD, MATCH(gdp_ind_share!O$1, gdp_tot_mes!$B$1:$XFD$1, 0), 0)</f>
        <v>0.1705977602809701</v>
      </c>
      <c r="P55" s="29">
        <f>VLOOKUP($B55, ind_mes!$B:$XFD, MATCH(gdp_ind_share!P$1, ind_mes!$B$1:$XFD$1, 0), 0)/VLOOKUP($B55, gdp_tot_mes!$B:$XFD, MATCH(gdp_ind_share!P$1, gdp_tot_mes!$B$1:$XFD$1, 0), 0)</f>
        <v>0.16271461993979794</v>
      </c>
      <c r="Q55" s="29">
        <f>VLOOKUP($B55, ind_mes!$B:$XFD, MATCH(gdp_ind_share!Q$1, ind_mes!$B$1:$XFD$1, 0), 0)/VLOOKUP($B55, gdp_tot_mes!$B:$XFD, MATCH(gdp_ind_share!Q$1, gdp_tot_mes!$B$1:$XFD$1, 0), 0)</f>
        <v>0.1354590749872395</v>
      </c>
      <c r="R55" s="29">
        <f>VLOOKUP($B55, ind_mes!$B:$XFD, MATCH(gdp_ind_share!R$1, ind_mes!$B$1:$XFD$1, 0), 0)/VLOOKUP($B55, gdp_tot_mes!$B:$XFD, MATCH(gdp_ind_share!R$1, gdp_tot_mes!$B$1:$XFD$1, 0), 0)</f>
        <v>0.14432703191604776</v>
      </c>
      <c r="S55" s="29">
        <f>VLOOKUP($B55, ind_mes!$B:$XFD, MATCH(gdp_ind_share!S$1, ind_mes!$B$1:$XFD$1, 0), 0)/VLOOKUP($B55, gdp_tot_mes!$B:$XFD, MATCH(gdp_ind_share!S$1, gdp_tot_mes!$B$1:$XFD$1, 0), 0)</f>
        <v>0.14573421741531717</v>
      </c>
      <c r="T55" s="29">
        <f>VLOOKUP($B55, ind_mes!$B:$XFD, MATCH(gdp_ind_share!T$1, ind_mes!$B$1:$XFD$1, 0), 0)/VLOOKUP($B55, gdp_tot_mes!$B:$XFD, MATCH(gdp_ind_share!T$1, gdp_tot_mes!$B$1:$XFD$1, 0), 0)</f>
        <v>0.13368783304740733</v>
      </c>
      <c r="U55" s="29">
        <f>VLOOKUP($B55, ind_mes!$B:$XFD, MATCH(gdp_ind_share!U$1, ind_mes!$B$1:$XFD$1, 0), 0)/VLOOKUP($B55, gdp_tot_mes!$B:$XFD, MATCH(gdp_ind_share!U$1, gdp_tot_mes!$B$1:$XFD$1, 0), 0)</f>
        <v>0.14307747509787197</v>
      </c>
      <c r="V55" s="29">
        <f>VLOOKUP($B55, ind_mes!$B:$XFD, MATCH(gdp_ind_share!V$1, ind_mes!$B$1:$XFD$1, 0), 0)/VLOOKUP($B55, gdp_tot_mes!$B:$XFD, MATCH(gdp_ind_share!V$1, gdp_tot_mes!$B$1:$XFD$1, 0), 0)</f>
        <v>0.1216722679915737</v>
      </c>
      <c r="W55" s="29">
        <f>VLOOKUP($B55, ind_mes!$B:$XFD, MATCH(gdp_ind_share!W$1, ind_mes!$B$1:$XFD$1, 0), 0)/VLOOKUP($B55, gdp_tot_mes!$B:$XFD, MATCH(gdp_ind_share!W$1, gdp_tot_mes!$B$1:$XFD$1, 0), 0)</f>
        <v>0.12844146526881675</v>
      </c>
      <c r="X55" s="29">
        <f>VLOOKUP($B55, ind_mes!$B:$XFD, MATCH(gdp_ind_share!X$1, ind_mes!$B$1:$XFD$1, 0), 0)/VLOOKUP($B55, gdp_tot_mes!$B:$XFD, MATCH(gdp_ind_share!X$1, gdp_tot_mes!$B$1:$XFD$1, 0), 0)</f>
        <v>0.14378673837040865</v>
      </c>
      <c r="Y55" s="29">
        <f>VLOOKUP($B55, ind_mes!$B:$XFD, MATCH(gdp_ind_share!Y$1, ind_mes!$B$1:$XFD$1, 0), 0)/VLOOKUP($B55, gdp_tot_mes!$B:$XFD, MATCH(gdp_ind_share!Y$1, gdp_tot_mes!$B$1:$XFD$1, 0), 0)</f>
        <v>0.17256840277011368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x14ac:dyDescent="0.25">
      <c r="A56" s="1" t="s">
        <v>138</v>
      </c>
      <c r="B56" s="1" t="s">
        <v>143</v>
      </c>
      <c r="C56" s="1" t="s">
        <v>144</v>
      </c>
      <c r="D56" s="29">
        <f>VLOOKUP($B56, ind_mes!$B:$XFD, MATCH(gdp_ind_share!D$1, ind_mes!$B$1:$XFD$1, 0), 0)/VLOOKUP($B56, gdp_tot_mes!$B:$XFD, MATCH(gdp_ind_share!D$1, gdp_tot_mes!$B$1:$XFD$1, 0), 0)</f>
        <v>4.6597631847653732E-2</v>
      </c>
      <c r="E56" s="29">
        <f>VLOOKUP($B56, ind_mes!$B:$XFD, MATCH(gdp_ind_share!E$1, ind_mes!$B$1:$XFD$1, 0), 0)/VLOOKUP($B56, gdp_tot_mes!$B:$XFD, MATCH(gdp_ind_share!E$1, gdp_tot_mes!$B$1:$XFD$1, 0), 0)</f>
        <v>2.0431209093874997E-2</v>
      </c>
      <c r="F56" s="29">
        <f>VLOOKUP($B56, ind_mes!$B:$XFD, MATCH(gdp_ind_share!F$1, ind_mes!$B$1:$XFD$1, 0), 0)/VLOOKUP($B56, gdp_tot_mes!$B:$XFD, MATCH(gdp_ind_share!F$1, gdp_tot_mes!$B$1:$XFD$1, 0), 0)</f>
        <v>6.0203773057474153E-2</v>
      </c>
      <c r="G56" s="29">
        <f>VLOOKUP($B56, ind_mes!$B:$XFD, MATCH(gdp_ind_share!G$1, ind_mes!$B$1:$XFD$1, 0), 0)/VLOOKUP($B56, gdp_tot_mes!$B:$XFD, MATCH(gdp_ind_share!G$1, gdp_tot_mes!$B$1:$XFD$1, 0), 0)</f>
        <v>0.1338317896173315</v>
      </c>
      <c r="H56" s="29">
        <f>VLOOKUP($B56, ind_mes!$B:$XFD, MATCH(gdp_ind_share!H$1, ind_mes!$B$1:$XFD$1, 0), 0)/VLOOKUP($B56, gdp_tot_mes!$B:$XFD, MATCH(gdp_ind_share!H$1, gdp_tot_mes!$B$1:$XFD$1, 0), 0)</f>
        <v>0.21423840125848664</v>
      </c>
      <c r="I56" s="29">
        <f>VLOOKUP($B56, ind_mes!$B:$XFD, MATCH(gdp_ind_share!I$1, ind_mes!$B$1:$XFD$1, 0), 0)/VLOOKUP($B56, gdp_tot_mes!$B:$XFD, MATCH(gdp_ind_share!I$1, gdp_tot_mes!$B$1:$XFD$1, 0), 0)</f>
        <v>0.17815569230726561</v>
      </c>
      <c r="J56" s="29">
        <f>VLOOKUP($B56, ind_mes!$B:$XFD, MATCH(gdp_ind_share!J$1, ind_mes!$B$1:$XFD$1, 0), 0)/VLOOKUP($B56, gdp_tot_mes!$B:$XFD, MATCH(gdp_ind_share!J$1, gdp_tot_mes!$B$1:$XFD$1, 0), 0)</f>
        <v>9.6297751092178641E-2</v>
      </c>
      <c r="K56" s="29">
        <f>VLOOKUP($B56, ind_mes!$B:$XFD, MATCH(gdp_ind_share!K$1, ind_mes!$B$1:$XFD$1, 0), 0)/VLOOKUP($B56, gdp_tot_mes!$B:$XFD, MATCH(gdp_ind_share!K$1, gdp_tot_mes!$B$1:$XFD$1, 0), 0)</f>
        <v>0.17574374983422514</v>
      </c>
      <c r="L56" s="30">
        <f t="shared" si="0"/>
        <v>0.15490914115148355</v>
      </c>
      <c r="M56" s="29">
        <f>VLOOKUP($B56, ind_mes!$B:$XFD, MATCH(gdp_ind_share!M$1, ind_mes!$B$1:$XFD$1, 0), 0)/VLOOKUP($B56, gdp_tot_mes!$B:$XFD, MATCH(gdp_ind_share!M$1, gdp_tot_mes!$B$1:$XFD$1, 0), 0)</f>
        <v>0.12990761073219365</v>
      </c>
      <c r="N56" s="29">
        <f>VLOOKUP($B56, ind_mes!$B:$XFD, MATCH(gdp_ind_share!N$1, ind_mes!$B$1:$XFD$1, 0), 0)/VLOOKUP($B56, gdp_tot_mes!$B:$XFD, MATCH(gdp_ind_share!N$1, gdp_tot_mes!$B$1:$XFD$1, 0), 0)</f>
        <v>0.17529293179186112</v>
      </c>
      <c r="O56" s="29">
        <f>VLOOKUP($B56, ind_mes!$B:$XFD, MATCH(gdp_ind_share!O$1, ind_mes!$B$1:$XFD$1, 0), 0)/VLOOKUP($B56, gdp_tot_mes!$B:$XFD, MATCH(gdp_ind_share!O$1, gdp_tot_mes!$B$1:$XFD$1, 0), 0)</f>
        <v>0.19446053421744938</v>
      </c>
      <c r="P56" s="29">
        <f>VLOOKUP($B56, ind_mes!$B:$XFD, MATCH(gdp_ind_share!P$1, ind_mes!$B$1:$XFD$1, 0), 0)/VLOOKUP($B56, gdp_tot_mes!$B:$XFD, MATCH(gdp_ind_share!P$1, gdp_tot_mes!$B$1:$XFD$1, 0), 0)</f>
        <v>0.17932973296748986</v>
      </c>
      <c r="Q56" s="29">
        <f>VLOOKUP($B56, ind_mes!$B:$XFD, MATCH(gdp_ind_share!Q$1, ind_mes!$B$1:$XFD$1, 0), 0)/VLOOKUP($B56, gdp_tot_mes!$B:$XFD, MATCH(gdp_ind_share!Q$1, gdp_tot_mes!$B$1:$XFD$1, 0), 0)</f>
        <v>0.36283276527022584</v>
      </c>
      <c r="R56" s="29">
        <f>VLOOKUP($B56, ind_mes!$B:$XFD, MATCH(gdp_ind_share!R$1, ind_mes!$B$1:$XFD$1, 0), 0)/VLOOKUP($B56, gdp_tot_mes!$B:$XFD, MATCH(gdp_ind_share!R$1, gdp_tot_mes!$B$1:$XFD$1, 0), 0)</f>
        <v>0.36750608359077291</v>
      </c>
      <c r="S56" s="29">
        <f>VLOOKUP($B56, ind_mes!$B:$XFD, MATCH(gdp_ind_share!S$1, ind_mes!$B$1:$XFD$1, 0), 0)/VLOOKUP($B56, gdp_tot_mes!$B:$XFD, MATCH(gdp_ind_share!S$1, gdp_tot_mes!$B$1:$XFD$1, 0), 0)</f>
        <v>0.40234704589309206</v>
      </c>
      <c r="T56" s="29">
        <f>VLOOKUP($B56, ind_mes!$B:$XFD, MATCH(gdp_ind_share!T$1, ind_mes!$B$1:$XFD$1, 0), 0)/VLOOKUP($B56, gdp_tot_mes!$B:$XFD, MATCH(gdp_ind_share!T$1, gdp_tot_mes!$B$1:$XFD$1, 0), 0)</f>
        <v>0.40581073489944525</v>
      </c>
      <c r="U56" s="29">
        <f>VLOOKUP($B56, ind_mes!$B:$XFD, MATCH(gdp_ind_share!U$1, ind_mes!$B$1:$XFD$1, 0), 0)/VLOOKUP($B56, gdp_tot_mes!$B:$XFD, MATCH(gdp_ind_share!U$1, gdp_tot_mes!$B$1:$XFD$1, 0), 0)</f>
        <v>0.42321078205195461</v>
      </c>
      <c r="V56" s="29">
        <f>VLOOKUP($B56, ind_mes!$B:$XFD, MATCH(gdp_ind_share!V$1, ind_mes!$B$1:$XFD$1, 0), 0)/VLOOKUP($B56, gdp_tot_mes!$B:$XFD, MATCH(gdp_ind_share!V$1, gdp_tot_mes!$B$1:$XFD$1, 0), 0)</f>
        <v>0.34355509623136571</v>
      </c>
      <c r="W56" s="29">
        <f>VLOOKUP($B56, ind_mes!$B:$XFD, MATCH(gdp_ind_share!W$1, ind_mes!$B$1:$XFD$1, 0), 0)/VLOOKUP($B56, gdp_tot_mes!$B:$XFD, MATCH(gdp_ind_share!W$1, gdp_tot_mes!$B$1:$XFD$1, 0), 0)</f>
        <v>0.34839166163089003</v>
      </c>
      <c r="X56" s="29">
        <f>VLOOKUP($B56, ind_mes!$B:$XFD, MATCH(gdp_ind_share!X$1, ind_mes!$B$1:$XFD$1, 0), 0)/VLOOKUP($B56, gdp_tot_mes!$B:$XFD, MATCH(gdp_ind_share!X$1, gdp_tot_mes!$B$1:$XFD$1, 0), 0)</f>
        <v>0.37425098662247863</v>
      </c>
      <c r="Y56" s="29">
        <f>VLOOKUP($B56, ind_mes!$B:$XFD, MATCH(gdp_ind_share!Y$1, ind_mes!$B$1:$XFD$1, 0), 0)/VLOOKUP($B56, gdp_tot_mes!$B:$XFD, MATCH(gdp_ind_share!Y$1, gdp_tot_mes!$B$1:$XFD$1, 0), 0)</f>
        <v>0.4521810308677825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25">
      <c r="A57" s="1" t="s">
        <v>138</v>
      </c>
      <c r="B57" s="1" t="s">
        <v>145</v>
      </c>
      <c r="C57" s="1" t="s">
        <v>146</v>
      </c>
      <c r="D57" s="29">
        <f>VLOOKUP($B57, ind_mes!$B:$XFD, MATCH(gdp_ind_share!D$1, ind_mes!$B$1:$XFD$1, 0), 0)/VLOOKUP($B57, gdp_tot_mes!$B:$XFD, MATCH(gdp_ind_share!D$1, gdp_tot_mes!$B$1:$XFD$1, 0), 0)</f>
        <v>1.8497596124994645E-2</v>
      </c>
      <c r="E57" s="29">
        <f>VLOOKUP($B57, ind_mes!$B:$XFD, MATCH(gdp_ind_share!E$1, ind_mes!$B$1:$XFD$1, 0), 0)/VLOOKUP($B57, gdp_tot_mes!$B:$XFD, MATCH(gdp_ind_share!E$1, gdp_tot_mes!$B$1:$XFD$1, 0), 0)</f>
        <v>0.2468797536256136</v>
      </c>
      <c r="F57" s="29">
        <f>VLOOKUP($B57, ind_mes!$B:$XFD, MATCH(gdp_ind_share!F$1, ind_mes!$B$1:$XFD$1, 0), 0)/VLOOKUP($B57, gdp_tot_mes!$B:$XFD, MATCH(gdp_ind_share!F$1, gdp_tot_mes!$B$1:$XFD$1, 0), 0)</f>
        <v>5.2778039153555389E-2</v>
      </c>
      <c r="G57" s="29">
        <f>VLOOKUP($B57, ind_mes!$B:$XFD, MATCH(gdp_ind_share!G$1, ind_mes!$B$1:$XFD$1, 0), 0)/VLOOKUP($B57, gdp_tot_mes!$B:$XFD, MATCH(gdp_ind_share!G$1, gdp_tot_mes!$B$1:$XFD$1, 0), 0)</f>
        <v>0.12665590742979038</v>
      </c>
      <c r="H57" s="29">
        <f>VLOOKUP($B57, ind_mes!$B:$XFD, MATCH(gdp_ind_share!H$1, ind_mes!$B$1:$XFD$1, 0), 0)/VLOOKUP($B57, gdp_tot_mes!$B:$XFD, MATCH(gdp_ind_share!H$1, gdp_tot_mes!$B$1:$XFD$1, 0), 0)</f>
        <v>0.14594922018376741</v>
      </c>
      <c r="I57" s="29">
        <f>VLOOKUP($B57, ind_mes!$B:$XFD, MATCH(gdp_ind_share!I$1, ind_mes!$B$1:$XFD$1, 0), 0)/VLOOKUP($B57, gdp_tot_mes!$B:$XFD, MATCH(gdp_ind_share!I$1, gdp_tot_mes!$B$1:$XFD$1, 0), 0)</f>
        <v>0.16476895372716271</v>
      </c>
      <c r="J57" s="29">
        <f>VLOOKUP($B57, ind_mes!$B:$XFD, MATCH(gdp_ind_share!J$1, ind_mes!$B$1:$XFD$1, 0), 0)/VLOOKUP($B57, gdp_tot_mes!$B:$XFD, MATCH(gdp_ind_share!J$1, gdp_tot_mes!$B$1:$XFD$1, 0), 0)</f>
        <v>0.15193075641155329</v>
      </c>
      <c r="K57" s="29">
        <f>VLOOKUP($B57, ind_mes!$B:$XFD, MATCH(gdp_ind_share!K$1, ind_mes!$B$1:$XFD$1, 0), 0)/VLOOKUP($B57, gdp_tot_mes!$B:$XFD, MATCH(gdp_ind_share!K$1, gdp_tot_mes!$B$1:$XFD$1, 0), 0)</f>
        <v>0.12483717766504424</v>
      </c>
      <c r="L57" s="30">
        <f t="shared" si="0"/>
        <v>0.13778733914249564</v>
      </c>
      <c r="M57" s="29">
        <f>VLOOKUP($B57, ind_mes!$B:$XFD, MATCH(gdp_ind_share!M$1, ind_mes!$B$1:$XFD$1, 0), 0)/VLOOKUP($B57, gdp_tot_mes!$B:$XFD, MATCH(gdp_ind_share!M$1, gdp_tot_mes!$B$1:$XFD$1, 0), 0)</f>
        <v>0.1533275329154373</v>
      </c>
      <c r="N57" s="29">
        <f>VLOOKUP($B57, ind_mes!$B:$XFD, MATCH(gdp_ind_share!N$1, ind_mes!$B$1:$XFD$1, 0), 0)/VLOOKUP($B57, gdp_tot_mes!$B:$XFD, MATCH(gdp_ind_share!N$1, gdp_tot_mes!$B$1:$XFD$1, 0), 0)</f>
        <v>0.14703851099500925</v>
      </c>
      <c r="O57" s="29">
        <f>VLOOKUP($B57, ind_mes!$B:$XFD, MATCH(gdp_ind_share!O$1, ind_mes!$B$1:$XFD$1, 0), 0)/VLOOKUP($B57, gdp_tot_mes!$B:$XFD, MATCH(gdp_ind_share!O$1, gdp_tot_mes!$B$1:$XFD$1, 0), 0)</f>
        <v>0.15812311258466213</v>
      </c>
      <c r="P57" s="29">
        <f>VLOOKUP($B57, ind_mes!$B:$XFD, MATCH(gdp_ind_share!P$1, ind_mes!$B$1:$XFD$1, 0), 0)/VLOOKUP($B57, gdp_tot_mes!$B:$XFD, MATCH(gdp_ind_share!P$1, gdp_tot_mes!$B$1:$XFD$1, 0), 0)</f>
        <v>0.14850837615897108</v>
      </c>
      <c r="Q57" s="29">
        <f>VLOOKUP($B57, ind_mes!$B:$XFD, MATCH(gdp_ind_share!Q$1, ind_mes!$B$1:$XFD$1, 0), 0)/VLOOKUP($B57, gdp_tot_mes!$B:$XFD, MATCH(gdp_ind_share!Q$1, gdp_tot_mes!$B$1:$XFD$1, 0), 0)</f>
        <v>0.1082882944568505</v>
      </c>
      <c r="R57" s="29">
        <f>VLOOKUP($B57, ind_mes!$B:$XFD, MATCH(gdp_ind_share!R$1, ind_mes!$B$1:$XFD$1, 0), 0)/VLOOKUP($B57, gdp_tot_mes!$B:$XFD, MATCH(gdp_ind_share!R$1, gdp_tot_mes!$B$1:$XFD$1, 0), 0)</f>
        <v>0.10916437257528984</v>
      </c>
      <c r="S57" s="29">
        <f>VLOOKUP($B57, ind_mes!$B:$XFD, MATCH(gdp_ind_share!S$1, ind_mes!$B$1:$XFD$1, 0), 0)/VLOOKUP($B57, gdp_tot_mes!$B:$XFD, MATCH(gdp_ind_share!S$1, gdp_tot_mes!$B$1:$XFD$1, 0), 0)</f>
        <v>0.13008743173751969</v>
      </c>
      <c r="T57" s="29">
        <f>VLOOKUP($B57, ind_mes!$B:$XFD, MATCH(gdp_ind_share!T$1, ind_mes!$B$1:$XFD$1, 0), 0)/VLOOKUP($B57, gdp_tot_mes!$B:$XFD, MATCH(gdp_ind_share!T$1, gdp_tot_mes!$B$1:$XFD$1, 0), 0)</f>
        <v>0.11471614454198649</v>
      </c>
      <c r="U57" s="29">
        <f>VLOOKUP($B57, ind_mes!$B:$XFD, MATCH(gdp_ind_share!U$1, ind_mes!$B$1:$XFD$1, 0), 0)/VLOOKUP($B57, gdp_tot_mes!$B:$XFD, MATCH(gdp_ind_share!U$1, gdp_tot_mes!$B$1:$XFD$1, 0), 0)</f>
        <v>0.12726940227153691</v>
      </c>
      <c r="V57" s="29">
        <f>VLOOKUP($B57, ind_mes!$B:$XFD, MATCH(gdp_ind_share!V$1, ind_mes!$B$1:$XFD$1, 0), 0)/VLOOKUP($B57, gdp_tot_mes!$B:$XFD, MATCH(gdp_ind_share!V$1, gdp_tot_mes!$B$1:$XFD$1, 0), 0)</f>
        <v>0.10876619795293829</v>
      </c>
      <c r="W57" s="29">
        <f>VLOOKUP($B57, ind_mes!$B:$XFD, MATCH(gdp_ind_share!W$1, ind_mes!$B$1:$XFD$1, 0), 0)/VLOOKUP($B57, gdp_tot_mes!$B:$XFD, MATCH(gdp_ind_share!W$1, gdp_tot_mes!$B$1:$XFD$1, 0), 0)</f>
        <v>0.11722025208222138</v>
      </c>
      <c r="X57" s="29">
        <f>VLOOKUP($B57, ind_mes!$B:$XFD, MATCH(gdp_ind_share!X$1, ind_mes!$B$1:$XFD$1, 0), 0)/VLOOKUP($B57, gdp_tot_mes!$B:$XFD, MATCH(gdp_ind_share!X$1, gdp_tot_mes!$B$1:$XFD$1, 0), 0)</f>
        <v>0.12029403734021889</v>
      </c>
      <c r="Y57" s="29">
        <f>VLOOKUP($B57, ind_mes!$B:$XFD, MATCH(gdp_ind_share!Y$1, ind_mes!$B$1:$XFD$1, 0), 0)/VLOOKUP($B57, gdp_tot_mes!$B:$XFD, MATCH(gdp_ind_share!Y$1, gdp_tot_mes!$B$1:$XFD$1, 0), 0)</f>
        <v>0.1506200265755803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x14ac:dyDescent="0.25">
      <c r="A58" s="1" t="s">
        <v>147</v>
      </c>
      <c r="B58" s="1" t="s">
        <v>148</v>
      </c>
      <c r="C58" s="1" t="s">
        <v>149</v>
      </c>
      <c r="D58" s="29">
        <f>VLOOKUP($B58, ind_mes!$B:$XFD, MATCH(gdp_ind_share!D$1, ind_mes!$B$1:$XFD$1, 0), 0)/VLOOKUP($B58, gdp_tot_mes!$B:$XFD, MATCH(gdp_ind_share!D$1, gdp_tot_mes!$B$1:$XFD$1, 0), 0)</f>
        <v>0</v>
      </c>
      <c r="E58" s="29">
        <f>VLOOKUP($B58, ind_mes!$B:$XFD, MATCH(gdp_ind_share!E$1, ind_mes!$B$1:$XFD$1, 0), 0)/VLOOKUP($B58, gdp_tot_mes!$B:$XFD, MATCH(gdp_ind_share!E$1, gdp_tot_mes!$B$1:$XFD$1, 0), 0)</f>
        <v>0.40434052935647657</v>
      </c>
      <c r="F58" s="29">
        <f>VLOOKUP($B58, ind_mes!$B:$XFD, MATCH(gdp_ind_share!F$1, ind_mes!$B$1:$XFD$1, 0), 0)/VLOOKUP($B58, gdp_tot_mes!$B:$XFD, MATCH(gdp_ind_share!F$1, gdp_tot_mes!$B$1:$XFD$1, 0), 0)</f>
        <v>0.16098672114713097</v>
      </c>
      <c r="G58" s="29">
        <f>VLOOKUP($B58, ind_mes!$B:$XFD, MATCH(gdp_ind_share!G$1, ind_mes!$B$1:$XFD$1, 0), 0)/VLOOKUP($B58, gdp_tot_mes!$B:$XFD, MATCH(gdp_ind_share!G$1, gdp_tot_mes!$B$1:$XFD$1, 0), 0)</f>
        <v>0.13399708021894338</v>
      </c>
      <c r="H58" s="29">
        <f>VLOOKUP($B58, ind_mes!$B:$XFD, MATCH(gdp_ind_share!H$1, ind_mes!$B$1:$XFD$1, 0), 0)/VLOOKUP($B58, gdp_tot_mes!$B:$XFD, MATCH(gdp_ind_share!H$1, gdp_tot_mes!$B$1:$XFD$1, 0), 0)</f>
        <v>0.61024203797652854</v>
      </c>
      <c r="I58" s="29">
        <f>VLOOKUP($B58, ind_mes!$B:$XFD, MATCH(gdp_ind_share!I$1, ind_mes!$B$1:$XFD$1, 0), 0)/VLOOKUP($B58, gdp_tot_mes!$B:$XFD, MATCH(gdp_ind_share!I$1, gdp_tot_mes!$B$1:$XFD$1, 0), 0)</f>
        <v>0.47049827717966419</v>
      </c>
      <c r="J58" s="29">
        <f>VLOOKUP($B58, ind_mes!$B:$XFD, MATCH(gdp_ind_share!J$1, ind_mes!$B$1:$XFD$1, 0), 0)/VLOOKUP($B58, gdp_tot_mes!$B:$XFD, MATCH(gdp_ind_share!J$1, gdp_tot_mes!$B$1:$XFD$1, 0), 0)</f>
        <v>0.35254447115531196</v>
      </c>
      <c r="K58" s="29">
        <f>VLOOKUP($B58, ind_mes!$B:$XFD, MATCH(gdp_ind_share!K$1, ind_mes!$B$1:$XFD$1, 0), 0)/VLOOKUP($B58, gdp_tot_mes!$B:$XFD, MATCH(gdp_ind_share!K$1, gdp_tot_mes!$B$1:$XFD$1, 0), 0)</f>
        <v>0.29398258907632624</v>
      </c>
      <c r="L58" s="30">
        <f t="shared" si="0"/>
        <v>0.22230425153983352</v>
      </c>
      <c r="M58" s="29">
        <f>VLOOKUP($B58, ind_mes!$B:$XFD, MATCH(gdp_ind_share!M$1, ind_mes!$B$1:$XFD$1, 0), 0)/VLOOKUP($B58, gdp_tot_mes!$B:$XFD, MATCH(gdp_ind_share!M$1, gdp_tot_mes!$B$1:$XFD$1, 0), 0)</f>
        <v>0.13629024649604224</v>
      </c>
      <c r="N58" s="29">
        <f>VLOOKUP($B58, ind_mes!$B:$XFD, MATCH(gdp_ind_share!N$1, ind_mes!$B$1:$XFD$1, 0), 0)/VLOOKUP($B58, gdp_tot_mes!$B:$XFD, MATCH(gdp_ind_share!N$1, gdp_tot_mes!$B$1:$XFD$1, 0), 0)</f>
        <v>0.10263518464032562</v>
      </c>
      <c r="O58" s="29">
        <f>VLOOKUP($B58, ind_mes!$B:$XFD, MATCH(gdp_ind_share!O$1, ind_mes!$B$1:$XFD$1, 0), 0)/VLOOKUP($B58, gdp_tot_mes!$B:$XFD, MATCH(gdp_ind_share!O$1, gdp_tot_mes!$B$1:$XFD$1, 0), 0)</f>
        <v>9.6112221367378875E-2</v>
      </c>
      <c r="P58" s="29">
        <f>VLOOKUP($B58, ind_mes!$B:$XFD, MATCH(gdp_ind_share!P$1, ind_mes!$B$1:$XFD$1, 0), 0)/VLOOKUP($B58, gdp_tot_mes!$B:$XFD, MATCH(gdp_ind_share!P$1, gdp_tot_mes!$B$1:$XFD$1, 0), 0)</f>
        <v>0.11269131312206031</v>
      </c>
      <c r="Q58" s="29">
        <f>VLOOKUP($B58, ind_mes!$B:$XFD, MATCH(gdp_ind_share!Q$1, ind_mes!$B$1:$XFD$1, 0), 0)/VLOOKUP($B58, gdp_tot_mes!$B:$XFD, MATCH(gdp_ind_share!Q$1, gdp_tot_mes!$B$1:$XFD$1, 0), 0)</f>
        <v>0.11835998250988128</v>
      </c>
      <c r="R58" s="29">
        <f>VLOOKUP($B58, ind_mes!$B:$XFD, MATCH(gdp_ind_share!R$1, ind_mes!$B$1:$XFD$1, 0), 0)/VLOOKUP($B58, gdp_tot_mes!$B:$XFD, MATCH(gdp_ind_share!R$1, gdp_tot_mes!$B$1:$XFD$1, 0), 0)</f>
        <v>0.10208548814326643</v>
      </c>
      <c r="S58" s="29">
        <f>VLOOKUP($B58, ind_mes!$B:$XFD, MATCH(gdp_ind_share!S$1, ind_mes!$B$1:$XFD$1, 0), 0)/VLOOKUP($B58, gdp_tot_mes!$B:$XFD, MATCH(gdp_ind_share!S$1, gdp_tot_mes!$B$1:$XFD$1, 0), 0)</f>
        <v>0.10705209324915231</v>
      </c>
      <c r="T58" s="29">
        <f>VLOOKUP($B58, ind_mes!$B:$XFD, MATCH(gdp_ind_share!T$1, ind_mes!$B$1:$XFD$1, 0), 0)/VLOOKUP($B58, gdp_tot_mes!$B:$XFD, MATCH(gdp_ind_share!T$1, gdp_tot_mes!$B$1:$XFD$1, 0), 0)</f>
        <v>0.10758881549925313</v>
      </c>
      <c r="U58" s="29">
        <f>VLOOKUP($B58, ind_mes!$B:$XFD, MATCH(gdp_ind_share!U$1, ind_mes!$B$1:$XFD$1, 0), 0)/VLOOKUP($B58, gdp_tot_mes!$B:$XFD, MATCH(gdp_ind_share!U$1, gdp_tot_mes!$B$1:$XFD$1, 0), 0)</f>
        <v>9.9381911199080797E-2</v>
      </c>
      <c r="V58" s="29">
        <f>VLOOKUP($B58, ind_mes!$B:$XFD, MATCH(gdp_ind_share!V$1, ind_mes!$B$1:$XFD$1, 0), 0)/VLOOKUP($B58, gdp_tot_mes!$B:$XFD, MATCH(gdp_ind_share!V$1, gdp_tot_mes!$B$1:$XFD$1, 0), 0)</f>
        <v>9.3723389146686847E-2</v>
      </c>
      <c r="W58" s="29">
        <f>VLOOKUP($B58, ind_mes!$B:$XFD, MATCH(gdp_ind_share!W$1, ind_mes!$B$1:$XFD$1, 0), 0)/VLOOKUP($B58, gdp_tot_mes!$B:$XFD, MATCH(gdp_ind_share!W$1, gdp_tot_mes!$B$1:$XFD$1, 0), 0)</f>
        <v>8.8194462882575417E-2</v>
      </c>
      <c r="X58" s="29">
        <f>VLOOKUP($B58, ind_mes!$B:$XFD, MATCH(gdp_ind_share!X$1, ind_mes!$B$1:$XFD$1, 0), 0)/VLOOKUP($B58, gdp_tot_mes!$B:$XFD, MATCH(gdp_ind_share!X$1, gdp_tot_mes!$B$1:$XFD$1, 0), 0)</f>
        <v>8.9531823622672604E-2</v>
      </c>
      <c r="Y58" s="29">
        <f>VLOOKUP($B58, ind_mes!$B:$XFD, MATCH(gdp_ind_share!Y$1, ind_mes!$B$1:$XFD$1, 0), 0)/VLOOKUP($B58, gdp_tot_mes!$B:$XFD, MATCH(gdp_ind_share!Y$1, gdp_tot_mes!$B$1:$XFD$1, 0), 0)</f>
        <v>0.1419710338271028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x14ac:dyDescent="0.25">
      <c r="A59" s="1" t="s">
        <v>147</v>
      </c>
      <c r="B59" s="1" t="s">
        <v>150</v>
      </c>
      <c r="C59" s="1" t="s">
        <v>151</v>
      </c>
      <c r="D59" s="29">
        <f>VLOOKUP($B59, ind_mes!$B:$XFD, MATCH(gdp_ind_share!D$1, ind_mes!$B$1:$XFD$1, 0), 0)/VLOOKUP($B59, gdp_tot_mes!$B:$XFD, MATCH(gdp_ind_share!D$1, gdp_tot_mes!$B$1:$XFD$1, 0), 0)</f>
        <v>5.7568284271566949E-3</v>
      </c>
      <c r="E59" s="29">
        <f>VLOOKUP($B59, ind_mes!$B:$XFD, MATCH(gdp_ind_share!E$1, ind_mes!$B$1:$XFD$1, 0), 0)/VLOOKUP($B59, gdp_tot_mes!$B:$XFD, MATCH(gdp_ind_share!E$1, gdp_tot_mes!$B$1:$XFD$1, 0), 0)</f>
        <v>0</v>
      </c>
      <c r="F59" s="29">
        <f>VLOOKUP($B59, ind_mes!$B:$XFD, MATCH(gdp_ind_share!F$1, ind_mes!$B$1:$XFD$1, 0), 0)/VLOOKUP($B59, gdp_tot_mes!$B:$XFD, MATCH(gdp_ind_share!F$1, gdp_tot_mes!$B$1:$XFD$1, 0), 0)</f>
        <v>5.3288895728717386E-3</v>
      </c>
      <c r="G59" s="29">
        <f>VLOOKUP($B59, ind_mes!$B:$XFD, MATCH(gdp_ind_share!G$1, ind_mes!$B$1:$XFD$1, 0), 0)/VLOOKUP($B59, gdp_tot_mes!$B:$XFD, MATCH(gdp_ind_share!G$1, gdp_tot_mes!$B$1:$XFD$1, 0), 0)</f>
        <v>5.5240739710226673E-2</v>
      </c>
      <c r="H59" s="29">
        <f>VLOOKUP($B59, ind_mes!$B:$XFD, MATCH(gdp_ind_share!H$1, ind_mes!$B$1:$XFD$1, 0), 0)/VLOOKUP($B59, gdp_tot_mes!$B:$XFD, MATCH(gdp_ind_share!H$1, gdp_tot_mes!$B$1:$XFD$1, 0), 0)</f>
        <v>0.10336827175390455</v>
      </c>
      <c r="I59" s="29">
        <f>VLOOKUP($B59, ind_mes!$B:$XFD, MATCH(gdp_ind_share!I$1, ind_mes!$B$1:$XFD$1, 0), 0)/VLOOKUP($B59, gdp_tot_mes!$B:$XFD, MATCH(gdp_ind_share!I$1, gdp_tot_mes!$B$1:$XFD$1, 0), 0)</f>
        <v>0.18712225277391584</v>
      </c>
      <c r="J59" s="29">
        <f>VLOOKUP($B59, ind_mes!$B:$XFD, MATCH(gdp_ind_share!J$1, ind_mes!$B$1:$XFD$1, 0), 0)/VLOOKUP($B59, gdp_tot_mes!$B:$XFD, MATCH(gdp_ind_share!J$1, gdp_tot_mes!$B$1:$XFD$1, 0), 0)</f>
        <v>9.0748791020438244E-2</v>
      </c>
      <c r="K59" s="29">
        <f>VLOOKUP($B59, ind_mes!$B:$XFD, MATCH(gdp_ind_share!K$1, ind_mes!$B$1:$XFD$1, 0), 0)/VLOOKUP($B59, gdp_tot_mes!$B:$XFD, MATCH(gdp_ind_share!K$1, gdp_tot_mes!$B$1:$XFD$1, 0), 0)</f>
        <v>0.11218405483419801</v>
      </c>
      <c r="L59" s="30">
        <f t="shared" si="0"/>
        <v>0.10342547014867939</v>
      </c>
      <c r="M59" s="29">
        <f>VLOOKUP($B59, ind_mes!$B:$XFD, MATCH(gdp_ind_share!M$1, ind_mes!$B$1:$XFD$1, 0), 0)/VLOOKUP($B59, gdp_tot_mes!$B:$XFD, MATCH(gdp_ind_share!M$1, gdp_tot_mes!$B$1:$XFD$1, 0), 0)</f>
        <v>9.2915168526057065E-2</v>
      </c>
      <c r="N59" s="29">
        <f>VLOOKUP($B59, ind_mes!$B:$XFD, MATCH(gdp_ind_share!N$1, ind_mes!$B$1:$XFD$1, 0), 0)/VLOOKUP($B59, gdp_tot_mes!$B:$XFD, MATCH(gdp_ind_share!N$1, gdp_tot_mes!$B$1:$XFD$1, 0), 0)</f>
        <v>0.12185514005748495</v>
      </c>
      <c r="O59" s="29">
        <f>VLOOKUP($B59, ind_mes!$B:$XFD, MATCH(gdp_ind_share!O$1, ind_mes!$B$1:$XFD$1, 0), 0)/VLOOKUP($B59, gdp_tot_mes!$B:$XFD, MATCH(gdp_ind_share!O$1, gdp_tot_mes!$B$1:$XFD$1, 0), 0)</f>
        <v>0.10962141254705794</v>
      </c>
      <c r="P59" s="29">
        <f>VLOOKUP($B59, ind_mes!$B:$XFD, MATCH(gdp_ind_share!P$1, ind_mes!$B$1:$XFD$1, 0), 0)/VLOOKUP($B59, gdp_tot_mes!$B:$XFD, MATCH(gdp_ind_share!P$1, gdp_tot_mes!$B$1:$XFD$1, 0), 0)</f>
        <v>0.12352115043891962</v>
      </c>
      <c r="Q59" s="29">
        <f>VLOOKUP($B59, ind_mes!$B:$XFD, MATCH(gdp_ind_share!Q$1, ind_mes!$B$1:$XFD$1, 0), 0)/VLOOKUP($B59, gdp_tot_mes!$B:$XFD, MATCH(gdp_ind_share!Q$1, gdp_tot_mes!$B$1:$XFD$1, 0), 0)</f>
        <v>8.2324275290571597E-2</v>
      </c>
      <c r="R59" s="29">
        <f>VLOOKUP($B59, ind_mes!$B:$XFD, MATCH(gdp_ind_share!R$1, ind_mes!$B$1:$XFD$1, 0), 0)/VLOOKUP($B59, gdp_tot_mes!$B:$XFD, MATCH(gdp_ind_share!R$1, gdp_tot_mes!$B$1:$XFD$1, 0), 0)</f>
        <v>7.1426092908091904E-2</v>
      </c>
      <c r="S59" s="29">
        <f>VLOOKUP($B59, ind_mes!$B:$XFD, MATCH(gdp_ind_share!S$1, ind_mes!$B$1:$XFD$1, 0), 0)/VLOOKUP($B59, gdp_tot_mes!$B:$XFD, MATCH(gdp_ind_share!S$1, gdp_tot_mes!$B$1:$XFD$1, 0), 0)</f>
        <v>7.7791081081790989E-2</v>
      </c>
      <c r="T59" s="29">
        <f>VLOOKUP($B59, ind_mes!$B:$XFD, MATCH(gdp_ind_share!T$1, ind_mes!$B$1:$XFD$1, 0), 0)/VLOOKUP($B59, gdp_tot_mes!$B:$XFD, MATCH(gdp_ind_share!T$1, gdp_tot_mes!$B$1:$XFD$1, 0), 0)</f>
        <v>6.5392059120790311E-2</v>
      </c>
      <c r="U59" s="29">
        <f>VLOOKUP($B59, ind_mes!$B:$XFD, MATCH(gdp_ind_share!U$1, ind_mes!$B$1:$XFD$1, 0), 0)/VLOOKUP($B59, gdp_tot_mes!$B:$XFD, MATCH(gdp_ind_share!U$1, gdp_tot_mes!$B$1:$XFD$1, 0), 0)</f>
        <v>7.080500690855554E-2</v>
      </c>
      <c r="V59" s="29">
        <f>VLOOKUP($B59, ind_mes!$B:$XFD, MATCH(gdp_ind_share!V$1, ind_mes!$B$1:$XFD$1, 0), 0)/VLOOKUP($B59, gdp_tot_mes!$B:$XFD, MATCH(gdp_ind_share!V$1, gdp_tot_mes!$B$1:$XFD$1, 0), 0)</f>
        <v>5.7852810799076664E-2</v>
      </c>
      <c r="W59" s="29">
        <f>VLOOKUP($B59, ind_mes!$B:$XFD, MATCH(gdp_ind_share!W$1, ind_mes!$B$1:$XFD$1, 0), 0)/VLOOKUP($B59, gdp_tot_mes!$B:$XFD, MATCH(gdp_ind_share!W$1, gdp_tot_mes!$B$1:$XFD$1, 0), 0)</f>
        <v>5.8797710251889679E-2</v>
      </c>
      <c r="X59" s="29">
        <f>VLOOKUP($B59, ind_mes!$B:$XFD, MATCH(gdp_ind_share!X$1, ind_mes!$B$1:$XFD$1, 0), 0)/VLOOKUP($B59, gdp_tot_mes!$B:$XFD, MATCH(gdp_ind_share!X$1, gdp_tot_mes!$B$1:$XFD$1, 0), 0)</f>
        <v>5.5212759370706022E-2</v>
      </c>
      <c r="Y59" s="29">
        <f>VLOOKUP($B59, ind_mes!$B:$XFD, MATCH(gdp_ind_share!Y$1, ind_mes!$B$1:$XFD$1, 0), 0)/VLOOKUP($B59, gdp_tot_mes!$B:$XFD, MATCH(gdp_ind_share!Y$1, gdp_tot_mes!$B$1:$XFD$1, 0), 0)</f>
        <v>8.4504449289603031E-2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x14ac:dyDescent="0.25">
      <c r="A60" s="1" t="s">
        <v>147</v>
      </c>
      <c r="B60" s="1" t="s">
        <v>152</v>
      </c>
      <c r="C60" s="1" t="s">
        <v>153</v>
      </c>
      <c r="D60" s="29">
        <f>VLOOKUP($B60, ind_mes!$B:$XFD, MATCH(gdp_ind_share!D$1, ind_mes!$B$1:$XFD$1, 0), 0)/VLOOKUP($B60, gdp_tot_mes!$B:$XFD, MATCH(gdp_ind_share!D$1, gdp_tot_mes!$B$1:$XFD$1, 0), 0)</f>
        <v>3.092827446035765E-2</v>
      </c>
      <c r="E60" s="29">
        <f>VLOOKUP($B60, ind_mes!$B:$XFD, MATCH(gdp_ind_share!E$1, ind_mes!$B$1:$XFD$1, 0), 0)/VLOOKUP($B60, gdp_tot_mes!$B:$XFD, MATCH(gdp_ind_share!E$1, gdp_tot_mes!$B$1:$XFD$1, 0), 0)</f>
        <v>0</v>
      </c>
      <c r="F60" s="29">
        <f>VLOOKUP($B60, ind_mes!$B:$XFD, MATCH(gdp_ind_share!F$1, ind_mes!$B$1:$XFD$1, 0), 0)/VLOOKUP($B60, gdp_tot_mes!$B:$XFD, MATCH(gdp_ind_share!F$1, gdp_tot_mes!$B$1:$XFD$1, 0), 0)</f>
        <v>9.8515447190131362E-4</v>
      </c>
      <c r="G60" s="29">
        <f>VLOOKUP($B60, ind_mes!$B:$XFD, MATCH(gdp_ind_share!G$1, ind_mes!$B$1:$XFD$1, 0), 0)/VLOOKUP($B60, gdp_tot_mes!$B:$XFD, MATCH(gdp_ind_share!G$1, gdp_tot_mes!$B$1:$XFD$1, 0), 0)</f>
        <v>6.9899009750014392E-3</v>
      </c>
      <c r="H60" s="29">
        <f>VLOOKUP($B60, ind_mes!$B:$XFD, MATCH(gdp_ind_share!H$1, ind_mes!$B$1:$XFD$1, 0), 0)/VLOOKUP($B60, gdp_tot_mes!$B:$XFD, MATCH(gdp_ind_share!H$1, gdp_tot_mes!$B$1:$XFD$1, 0), 0)</f>
        <v>8.0186466681186522E-2</v>
      </c>
      <c r="I60" s="29">
        <f>VLOOKUP($B60, ind_mes!$B:$XFD, MATCH(gdp_ind_share!I$1, ind_mes!$B$1:$XFD$1, 0), 0)/VLOOKUP($B60, gdp_tot_mes!$B:$XFD, MATCH(gdp_ind_share!I$1, gdp_tot_mes!$B$1:$XFD$1, 0), 0)</f>
        <v>0.20029988157239226</v>
      </c>
      <c r="J60" s="29">
        <f>VLOOKUP($B60, ind_mes!$B:$XFD, MATCH(gdp_ind_share!J$1, ind_mes!$B$1:$XFD$1, 0), 0)/VLOOKUP($B60, gdp_tot_mes!$B:$XFD, MATCH(gdp_ind_share!J$1, gdp_tot_mes!$B$1:$XFD$1, 0), 0)</f>
        <v>0.12954412184535768</v>
      </c>
      <c r="K60" s="29">
        <f>VLOOKUP($B60, ind_mes!$B:$XFD, MATCH(gdp_ind_share!K$1, ind_mes!$B$1:$XFD$1, 0), 0)/VLOOKUP($B60, gdp_tot_mes!$B:$XFD, MATCH(gdp_ind_share!K$1, gdp_tot_mes!$B$1:$XFD$1, 0), 0)</f>
        <v>0.17898330265479728</v>
      </c>
      <c r="L60" s="30">
        <f t="shared" si="0"/>
        <v>0.19146499422997129</v>
      </c>
      <c r="M60" s="29">
        <f>VLOOKUP($B60, ind_mes!$B:$XFD, MATCH(gdp_ind_share!M$1, ind_mes!$B$1:$XFD$1, 0), 0)/VLOOKUP($B60, gdp_tot_mes!$B:$XFD, MATCH(gdp_ind_share!M$1, gdp_tot_mes!$B$1:$XFD$1, 0), 0)</f>
        <v>0.20644302412018012</v>
      </c>
      <c r="N60" s="29">
        <f>VLOOKUP($B60, ind_mes!$B:$XFD, MATCH(gdp_ind_share!N$1, ind_mes!$B$1:$XFD$1, 0), 0)/VLOOKUP($B60, gdp_tot_mes!$B:$XFD, MATCH(gdp_ind_share!N$1, gdp_tot_mes!$B$1:$XFD$1, 0), 0)</f>
        <v>0.22868242498159302</v>
      </c>
      <c r="O60" s="29">
        <f>VLOOKUP($B60, ind_mes!$B:$XFD, MATCH(gdp_ind_share!O$1, ind_mes!$B$1:$XFD$1, 0), 0)/VLOOKUP($B60, gdp_tot_mes!$B:$XFD, MATCH(gdp_ind_share!O$1, gdp_tot_mes!$B$1:$XFD$1, 0), 0)</f>
        <v>0.2312682137274511</v>
      </c>
      <c r="P60" s="29">
        <f>VLOOKUP($B60, ind_mes!$B:$XFD, MATCH(gdp_ind_share!P$1, ind_mes!$B$1:$XFD$1, 0), 0)/VLOOKUP($B60, gdp_tot_mes!$B:$XFD, MATCH(gdp_ind_share!P$1, gdp_tot_mes!$B$1:$XFD$1, 0), 0)</f>
        <v>0.25818680557748674</v>
      </c>
      <c r="Q60" s="29">
        <f>VLOOKUP($B60, ind_mes!$B:$XFD, MATCH(gdp_ind_share!Q$1, ind_mes!$B$1:$XFD$1, 0), 0)/VLOOKUP($B60, gdp_tot_mes!$B:$XFD, MATCH(gdp_ind_share!Q$1, gdp_tot_mes!$B$1:$XFD$1, 0), 0)</f>
        <v>0.23117658695968374</v>
      </c>
      <c r="R60" s="29">
        <f>VLOOKUP($B60, ind_mes!$B:$XFD, MATCH(gdp_ind_share!R$1, ind_mes!$B$1:$XFD$1, 0), 0)/VLOOKUP($B60, gdp_tot_mes!$B:$XFD, MATCH(gdp_ind_share!R$1, gdp_tot_mes!$B$1:$XFD$1, 0), 0)</f>
        <v>0.2215317733408094</v>
      </c>
      <c r="S60" s="29">
        <f>VLOOKUP($B60, ind_mes!$B:$XFD, MATCH(gdp_ind_share!S$1, ind_mes!$B$1:$XFD$1, 0), 0)/VLOOKUP($B60, gdp_tot_mes!$B:$XFD, MATCH(gdp_ind_share!S$1, gdp_tot_mes!$B$1:$XFD$1, 0), 0)</f>
        <v>0.23964272149293836</v>
      </c>
      <c r="T60" s="29">
        <f>VLOOKUP($B60, ind_mes!$B:$XFD, MATCH(gdp_ind_share!T$1, ind_mes!$B$1:$XFD$1, 0), 0)/VLOOKUP($B60, gdp_tot_mes!$B:$XFD, MATCH(gdp_ind_share!T$1, gdp_tot_mes!$B$1:$XFD$1, 0), 0)</f>
        <v>0.21992578744572161</v>
      </c>
      <c r="U60" s="29">
        <f>VLOOKUP($B60, ind_mes!$B:$XFD, MATCH(gdp_ind_share!U$1, ind_mes!$B$1:$XFD$1, 0), 0)/VLOOKUP($B60, gdp_tot_mes!$B:$XFD, MATCH(gdp_ind_share!U$1, gdp_tot_mes!$B$1:$XFD$1, 0), 0)</f>
        <v>0.19630399963536976</v>
      </c>
      <c r="V60" s="29">
        <f>VLOOKUP($B60, ind_mes!$B:$XFD, MATCH(gdp_ind_share!V$1, ind_mes!$B$1:$XFD$1, 0), 0)/VLOOKUP($B60, gdp_tot_mes!$B:$XFD, MATCH(gdp_ind_share!V$1, gdp_tot_mes!$B$1:$XFD$1, 0), 0)</f>
        <v>0.18644540846553059</v>
      </c>
      <c r="W60" s="29">
        <f>VLOOKUP($B60, ind_mes!$B:$XFD, MATCH(gdp_ind_share!W$1, ind_mes!$B$1:$XFD$1, 0), 0)/VLOOKUP($B60, gdp_tot_mes!$B:$XFD, MATCH(gdp_ind_share!W$1, gdp_tot_mes!$B$1:$XFD$1, 0), 0)</f>
        <v>0.20889523131401314</v>
      </c>
      <c r="X60" s="29">
        <f>VLOOKUP($B60, ind_mes!$B:$XFD, MATCH(gdp_ind_share!X$1, ind_mes!$B$1:$XFD$1, 0), 0)/VLOOKUP($B60, gdp_tot_mes!$B:$XFD, MATCH(gdp_ind_share!X$1, gdp_tot_mes!$B$1:$XFD$1, 0), 0)</f>
        <v>0.21470221408286713</v>
      </c>
      <c r="Y60" s="29">
        <f>VLOOKUP($B60, ind_mes!$B:$XFD, MATCH(gdp_ind_share!Y$1, ind_mes!$B$1:$XFD$1, 0), 0)/VLOOKUP($B60, gdp_tot_mes!$B:$XFD, MATCH(gdp_ind_share!Y$1, gdp_tot_mes!$B$1:$XFD$1, 0), 0)</f>
        <v>0.24699244969733766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25">
      <c r="A61" s="1" t="s">
        <v>147</v>
      </c>
      <c r="B61" s="1" t="s">
        <v>154</v>
      </c>
      <c r="C61" s="1" t="s">
        <v>155</v>
      </c>
      <c r="D61" s="29">
        <f>VLOOKUP($B61, ind_mes!$B:$XFD, MATCH(gdp_ind_share!D$1, ind_mes!$B$1:$XFD$1, 0), 0)/VLOOKUP($B61, gdp_tot_mes!$B:$XFD, MATCH(gdp_ind_share!D$1, gdp_tot_mes!$B$1:$XFD$1, 0), 0)</f>
        <v>7.9355578742974345E-2</v>
      </c>
      <c r="E61" s="29">
        <f>VLOOKUP($B61, ind_mes!$B:$XFD, MATCH(gdp_ind_share!E$1, ind_mes!$B$1:$XFD$1, 0), 0)/VLOOKUP($B61, gdp_tot_mes!$B:$XFD, MATCH(gdp_ind_share!E$1, gdp_tot_mes!$B$1:$XFD$1, 0), 0)</f>
        <v>5.845485550214978E-2</v>
      </c>
      <c r="F61" s="29">
        <f>VLOOKUP($B61, ind_mes!$B:$XFD, MATCH(gdp_ind_share!F$1, ind_mes!$B$1:$XFD$1, 0), 0)/VLOOKUP($B61, gdp_tot_mes!$B:$XFD, MATCH(gdp_ind_share!F$1, gdp_tot_mes!$B$1:$XFD$1, 0), 0)</f>
        <v>8.5346905925459293E-2</v>
      </c>
      <c r="G61" s="29">
        <f>VLOOKUP($B61, ind_mes!$B:$XFD, MATCH(gdp_ind_share!G$1, ind_mes!$B$1:$XFD$1, 0), 0)/VLOOKUP($B61, gdp_tot_mes!$B:$XFD, MATCH(gdp_ind_share!G$1, gdp_tot_mes!$B$1:$XFD$1, 0), 0)</f>
        <v>0.13707696450998169</v>
      </c>
      <c r="H61" s="29">
        <f>VLOOKUP($B61, ind_mes!$B:$XFD, MATCH(gdp_ind_share!H$1, ind_mes!$B$1:$XFD$1, 0), 0)/VLOOKUP($B61, gdp_tot_mes!$B:$XFD, MATCH(gdp_ind_share!H$1, gdp_tot_mes!$B$1:$XFD$1, 0), 0)</f>
        <v>0.12776507043819516</v>
      </c>
      <c r="I61" s="29">
        <f>VLOOKUP($B61, ind_mes!$B:$XFD, MATCH(gdp_ind_share!I$1, ind_mes!$B$1:$XFD$1, 0), 0)/VLOOKUP($B61, gdp_tot_mes!$B:$XFD, MATCH(gdp_ind_share!I$1, gdp_tot_mes!$B$1:$XFD$1, 0), 0)</f>
        <v>0.34459887481347862</v>
      </c>
      <c r="J61" s="29">
        <f>VLOOKUP($B61, ind_mes!$B:$XFD, MATCH(gdp_ind_share!J$1, ind_mes!$B$1:$XFD$1, 0), 0)/VLOOKUP($B61, gdp_tot_mes!$B:$XFD, MATCH(gdp_ind_share!J$1, gdp_tot_mes!$B$1:$XFD$1, 0), 0)</f>
        <v>0.20090862041991789</v>
      </c>
      <c r="K61" s="29">
        <f>VLOOKUP($B61, ind_mes!$B:$XFD, MATCH(gdp_ind_share!K$1, ind_mes!$B$1:$XFD$1, 0), 0)/VLOOKUP($B61, gdp_tot_mes!$B:$XFD, MATCH(gdp_ind_share!K$1, gdp_tot_mes!$B$1:$XFD$1, 0), 0)</f>
        <v>0.24518225991095857</v>
      </c>
      <c r="L61" s="30">
        <f t="shared" si="0"/>
        <v>0.21007401419078103</v>
      </c>
      <c r="M61" s="29">
        <f>VLOOKUP($B61, ind_mes!$B:$XFD, MATCH(gdp_ind_share!M$1, ind_mes!$B$1:$XFD$1, 0), 0)/VLOOKUP($B61, gdp_tot_mes!$B:$XFD, MATCH(gdp_ind_share!M$1, gdp_tot_mes!$B$1:$XFD$1, 0), 0)</f>
        <v>0.16794411932656797</v>
      </c>
      <c r="N61" s="29">
        <f>VLOOKUP($B61, ind_mes!$B:$XFD, MATCH(gdp_ind_share!N$1, ind_mes!$B$1:$XFD$1, 0), 0)/VLOOKUP($B61, gdp_tot_mes!$B:$XFD, MATCH(gdp_ind_share!N$1, gdp_tot_mes!$B$1:$XFD$1, 0), 0)</f>
        <v>0.19189385356688965</v>
      </c>
      <c r="O61" s="29">
        <f>VLOOKUP($B61, ind_mes!$B:$XFD, MATCH(gdp_ind_share!O$1, ind_mes!$B$1:$XFD$1, 0), 0)/VLOOKUP($B61, gdp_tot_mes!$B:$XFD, MATCH(gdp_ind_share!O$1, gdp_tot_mes!$B$1:$XFD$1, 0), 0)</f>
        <v>0.19904019846570578</v>
      </c>
      <c r="P61" s="29">
        <f>VLOOKUP($B61, ind_mes!$B:$XFD, MATCH(gdp_ind_share!P$1, ind_mes!$B$1:$XFD$1, 0), 0)/VLOOKUP($B61, gdp_tot_mes!$B:$XFD, MATCH(gdp_ind_share!P$1, gdp_tot_mes!$B$1:$XFD$1, 0), 0)</f>
        <v>0.17714326747311646</v>
      </c>
      <c r="Q61" s="29">
        <f>VLOOKUP($B61, ind_mes!$B:$XFD, MATCH(gdp_ind_share!Q$1, ind_mes!$B$1:$XFD$1, 0), 0)/VLOOKUP($B61, gdp_tot_mes!$B:$XFD, MATCH(gdp_ind_share!Q$1, gdp_tot_mes!$B$1:$XFD$1, 0), 0)</f>
        <v>0.18019201508453328</v>
      </c>
      <c r="R61" s="29">
        <f>VLOOKUP($B61, ind_mes!$B:$XFD, MATCH(gdp_ind_share!R$1, ind_mes!$B$1:$XFD$1, 0), 0)/VLOOKUP($B61, gdp_tot_mes!$B:$XFD, MATCH(gdp_ind_share!R$1, gdp_tot_mes!$B$1:$XFD$1, 0), 0)</f>
        <v>0.1654842456959788</v>
      </c>
      <c r="S61" s="29">
        <f>VLOOKUP($B61, ind_mes!$B:$XFD, MATCH(gdp_ind_share!S$1, ind_mes!$B$1:$XFD$1, 0), 0)/VLOOKUP($B61, gdp_tot_mes!$B:$XFD, MATCH(gdp_ind_share!S$1, gdp_tot_mes!$B$1:$XFD$1, 0), 0)</f>
        <v>0.21477533820324035</v>
      </c>
      <c r="T61" s="29">
        <f>VLOOKUP($B61, ind_mes!$B:$XFD, MATCH(gdp_ind_share!T$1, ind_mes!$B$1:$XFD$1, 0), 0)/VLOOKUP($B61, gdp_tot_mes!$B:$XFD, MATCH(gdp_ind_share!T$1, gdp_tot_mes!$B$1:$XFD$1, 0), 0)</f>
        <v>0.18529214864604543</v>
      </c>
      <c r="U61" s="29">
        <f>VLOOKUP($B61, ind_mes!$B:$XFD, MATCH(gdp_ind_share!U$1, ind_mes!$B$1:$XFD$1, 0), 0)/VLOOKUP($B61, gdp_tot_mes!$B:$XFD, MATCH(gdp_ind_share!U$1, gdp_tot_mes!$B$1:$XFD$1, 0), 0)</f>
        <v>0.14646547344695168</v>
      </c>
      <c r="V61" s="29">
        <f>VLOOKUP($B61, ind_mes!$B:$XFD, MATCH(gdp_ind_share!V$1, ind_mes!$B$1:$XFD$1, 0), 0)/VLOOKUP($B61, gdp_tot_mes!$B:$XFD, MATCH(gdp_ind_share!V$1, gdp_tot_mes!$B$1:$XFD$1, 0), 0)</f>
        <v>0.14002775006986407</v>
      </c>
      <c r="W61" s="29">
        <f>VLOOKUP($B61, ind_mes!$B:$XFD, MATCH(gdp_ind_share!W$1, ind_mes!$B$1:$XFD$1, 0), 0)/VLOOKUP($B61, gdp_tot_mes!$B:$XFD, MATCH(gdp_ind_share!W$1, gdp_tot_mes!$B$1:$XFD$1, 0), 0)</f>
        <v>0.13988655756563467</v>
      </c>
      <c r="X61" s="29">
        <f>VLOOKUP($B61, ind_mes!$B:$XFD, MATCH(gdp_ind_share!X$1, ind_mes!$B$1:$XFD$1, 0), 0)/VLOOKUP($B61, gdp_tot_mes!$B:$XFD, MATCH(gdp_ind_share!X$1, gdp_tot_mes!$B$1:$XFD$1, 0), 0)</f>
        <v>0.14503187880138524</v>
      </c>
      <c r="Y61" s="29">
        <f>VLOOKUP($B61, ind_mes!$B:$XFD, MATCH(gdp_ind_share!Y$1, ind_mes!$B$1:$XFD$1, 0), 0)/VLOOKUP($B61, gdp_tot_mes!$B:$XFD, MATCH(gdp_ind_share!Y$1, gdp_tot_mes!$B$1:$XFD$1, 0), 0)</f>
        <v>0.17808349125440395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x14ac:dyDescent="0.25">
      <c r="A62" s="1" t="s">
        <v>147</v>
      </c>
      <c r="B62" s="1" t="s">
        <v>156</v>
      </c>
      <c r="C62" s="1" t="s">
        <v>157</v>
      </c>
      <c r="D62" s="29" t="e">
        <f>VLOOKUP($B62, ind_mes!$B:$XFD, MATCH(gdp_ind_share!D$1, ind_mes!$B$1:$XFD$1, 0), 0)/VLOOKUP($B62, gdp_tot_mes!$B:$XFD, MATCH(gdp_ind_share!D$1, gdp_tot_mes!$B$1:$XFD$1, 0), 0)</f>
        <v>#DIV/0!</v>
      </c>
      <c r="E62" s="29">
        <f>VLOOKUP($B62, ind_mes!$B:$XFD, MATCH(gdp_ind_share!E$1, ind_mes!$B$1:$XFD$1, 0), 0)/VLOOKUP($B62, gdp_tot_mes!$B:$XFD, MATCH(gdp_ind_share!E$1, gdp_tot_mes!$B$1:$XFD$1, 0), 0)</f>
        <v>1.4802811458450495E-2</v>
      </c>
      <c r="F62" s="29">
        <f>VLOOKUP($B62, ind_mes!$B:$XFD, MATCH(gdp_ind_share!F$1, ind_mes!$B$1:$XFD$1, 0), 0)/VLOOKUP($B62, gdp_tot_mes!$B:$XFD, MATCH(gdp_ind_share!F$1, gdp_tot_mes!$B$1:$XFD$1, 0), 0)</f>
        <v>1.6280328951031826E-2</v>
      </c>
      <c r="G62" s="29">
        <f>VLOOKUP($B62, ind_mes!$B:$XFD, MATCH(gdp_ind_share!G$1, ind_mes!$B$1:$XFD$1, 0), 0)/VLOOKUP($B62, gdp_tot_mes!$B:$XFD, MATCH(gdp_ind_share!G$1, gdp_tot_mes!$B$1:$XFD$1, 0), 0)</f>
        <v>0.14330262417334644</v>
      </c>
      <c r="H62" s="29">
        <f>VLOOKUP($B62, ind_mes!$B:$XFD, MATCH(gdp_ind_share!H$1, ind_mes!$B$1:$XFD$1, 0), 0)/VLOOKUP($B62, gdp_tot_mes!$B:$XFD, MATCH(gdp_ind_share!H$1, gdp_tot_mes!$B$1:$XFD$1, 0), 0)</f>
        <v>7.7795472987650077E-2</v>
      </c>
      <c r="I62" s="29">
        <f>VLOOKUP($B62, ind_mes!$B:$XFD, MATCH(gdp_ind_share!I$1, ind_mes!$B$1:$XFD$1, 0), 0)/VLOOKUP($B62, gdp_tot_mes!$B:$XFD, MATCH(gdp_ind_share!I$1, gdp_tot_mes!$B$1:$XFD$1, 0), 0)</f>
        <v>0.16691635839904401</v>
      </c>
      <c r="J62" s="29">
        <f>VLOOKUP($B62, ind_mes!$B:$XFD, MATCH(gdp_ind_share!J$1, ind_mes!$B$1:$XFD$1, 0), 0)/VLOOKUP($B62, gdp_tot_mes!$B:$XFD, MATCH(gdp_ind_share!J$1, gdp_tot_mes!$B$1:$XFD$1, 0), 0)</f>
        <v>0.16935962427891046</v>
      </c>
      <c r="K62" s="29">
        <f>VLOOKUP($B62, ind_mes!$B:$XFD, MATCH(gdp_ind_share!K$1, ind_mes!$B$1:$XFD$1, 0), 0)/VLOOKUP($B62, gdp_tot_mes!$B:$XFD, MATCH(gdp_ind_share!K$1, gdp_tot_mes!$B$1:$XFD$1, 0), 0)</f>
        <v>0.13348214991320359</v>
      </c>
      <c r="L62" s="30">
        <f t="shared" si="0"/>
        <v>0.14731640865230239</v>
      </c>
      <c r="M62" s="29">
        <f>VLOOKUP($B62, ind_mes!$B:$XFD, MATCH(gdp_ind_share!M$1, ind_mes!$B$1:$XFD$1, 0), 0)/VLOOKUP($B62, gdp_tot_mes!$B:$XFD, MATCH(gdp_ind_share!M$1, gdp_tot_mes!$B$1:$XFD$1, 0), 0)</f>
        <v>0.16391751913922092</v>
      </c>
      <c r="N62" s="29">
        <f>VLOOKUP($B62, ind_mes!$B:$XFD, MATCH(gdp_ind_share!N$1, ind_mes!$B$1:$XFD$1, 0), 0)/VLOOKUP($B62, gdp_tot_mes!$B:$XFD, MATCH(gdp_ind_share!N$1, gdp_tot_mes!$B$1:$XFD$1, 0), 0)</f>
        <v>0.12134174835060905</v>
      </c>
      <c r="O62" s="29">
        <f>VLOOKUP($B62, ind_mes!$B:$XFD, MATCH(gdp_ind_share!O$1, ind_mes!$B$1:$XFD$1, 0), 0)/VLOOKUP($B62, gdp_tot_mes!$B:$XFD, MATCH(gdp_ind_share!O$1, gdp_tot_mes!$B$1:$XFD$1, 0), 0)</f>
        <v>0.12322003238517795</v>
      </c>
      <c r="P62" s="29">
        <f>VLOOKUP($B62, ind_mes!$B:$XFD, MATCH(gdp_ind_share!P$1, ind_mes!$B$1:$XFD$1, 0), 0)/VLOOKUP($B62, gdp_tot_mes!$B:$XFD, MATCH(gdp_ind_share!P$1, gdp_tot_mes!$B$1:$XFD$1, 0), 0)</f>
        <v>0.14314813618406808</v>
      </c>
      <c r="Q62" s="29">
        <f>VLOOKUP($B62, ind_mes!$B:$XFD, MATCH(gdp_ind_share!Q$1, ind_mes!$B$1:$XFD$1, 0), 0)/VLOOKUP($B62, gdp_tot_mes!$B:$XFD, MATCH(gdp_ind_share!Q$1, gdp_tot_mes!$B$1:$XFD$1, 0), 0)</f>
        <v>0.12427757867565715</v>
      </c>
      <c r="R62" s="29">
        <f>VLOOKUP($B62, ind_mes!$B:$XFD, MATCH(gdp_ind_share!R$1, ind_mes!$B$1:$XFD$1, 0), 0)/VLOOKUP($B62, gdp_tot_mes!$B:$XFD, MATCH(gdp_ind_share!R$1, gdp_tot_mes!$B$1:$XFD$1, 0), 0)</f>
        <v>0.11289616746505969</v>
      </c>
      <c r="S62" s="29">
        <f>VLOOKUP($B62, ind_mes!$B:$XFD, MATCH(gdp_ind_share!S$1, ind_mes!$B$1:$XFD$1, 0), 0)/VLOOKUP($B62, gdp_tot_mes!$B:$XFD, MATCH(gdp_ind_share!S$1, gdp_tot_mes!$B$1:$XFD$1, 0), 0)</f>
        <v>0.13089103111790254</v>
      </c>
      <c r="T62" s="29">
        <f>VLOOKUP($B62, ind_mes!$B:$XFD, MATCH(gdp_ind_share!T$1, ind_mes!$B$1:$XFD$1, 0), 0)/VLOOKUP($B62, gdp_tot_mes!$B:$XFD, MATCH(gdp_ind_share!T$1, gdp_tot_mes!$B$1:$XFD$1, 0), 0)</f>
        <v>0.12426029360168876</v>
      </c>
      <c r="U62" s="29">
        <f>VLOOKUP($B62, ind_mes!$B:$XFD, MATCH(gdp_ind_share!U$1, ind_mes!$B$1:$XFD$1, 0), 0)/VLOOKUP($B62, gdp_tot_mes!$B:$XFD, MATCH(gdp_ind_share!U$1, gdp_tot_mes!$B$1:$XFD$1, 0), 0)</f>
        <v>0.13601667744719076</v>
      </c>
      <c r="V62" s="29">
        <f>VLOOKUP($B62, ind_mes!$B:$XFD, MATCH(gdp_ind_share!V$1, ind_mes!$B$1:$XFD$1, 0), 0)/VLOOKUP($B62, gdp_tot_mes!$B:$XFD, MATCH(gdp_ind_share!V$1, gdp_tot_mes!$B$1:$XFD$1, 0), 0)</f>
        <v>0.13786592454375868</v>
      </c>
      <c r="W62" s="29">
        <f>VLOOKUP($B62, ind_mes!$B:$XFD, MATCH(gdp_ind_share!W$1, ind_mes!$B$1:$XFD$1, 0), 0)/VLOOKUP($B62, gdp_tot_mes!$B:$XFD, MATCH(gdp_ind_share!W$1, gdp_tot_mes!$B$1:$XFD$1, 0), 0)</f>
        <v>0.15122715941430631</v>
      </c>
      <c r="X62" s="29">
        <f>VLOOKUP($B62, ind_mes!$B:$XFD, MATCH(gdp_ind_share!X$1, ind_mes!$B$1:$XFD$1, 0), 0)/VLOOKUP($B62, gdp_tot_mes!$B:$XFD, MATCH(gdp_ind_share!X$1, gdp_tot_mes!$B$1:$XFD$1, 0), 0)</f>
        <v>0.15362642964659984</v>
      </c>
      <c r="Y62" s="29">
        <f>VLOOKUP($B62, ind_mes!$B:$XFD, MATCH(gdp_ind_share!Y$1, ind_mes!$B$1:$XFD$1, 0), 0)/VLOOKUP($B62, gdp_tot_mes!$B:$XFD, MATCH(gdp_ind_share!Y$1, gdp_tot_mes!$B$1:$XFD$1, 0), 0)</f>
        <v>0.17586935136736073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x14ac:dyDescent="0.25">
      <c r="A63" s="1" t="s">
        <v>158</v>
      </c>
      <c r="B63" s="1" t="s">
        <v>159</v>
      </c>
      <c r="C63" s="1" t="s">
        <v>160</v>
      </c>
      <c r="D63" s="29">
        <f>VLOOKUP($B63, ind_mes!$B:$XFD, MATCH(gdp_ind_share!D$1, ind_mes!$B$1:$XFD$1, 0), 0)/VLOOKUP($B63, gdp_tot_mes!$B:$XFD, MATCH(gdp_ind_share!D$1, gdp_tot_mes!$B$1:$XFD$1, 0), 0)</f>
        <v>7.1904387854478904E-2</v>
      </c>
      <c r="E63" s="29">
        <f>VLOOKUP($B63, ind_mes!$B:$XFD, MATCH(gdp_ind_share!E$1, ind_mes!$B$1:$XFD$1, 0), 0)/VLOOKUP($B63, gdp_tot_mes!$B:$XFD, MATCH(gdp_ind_share!E$1, gdp_tot_mes!$B$1:$XFD$1, 0), 0)</f>
        <v>4.0379536925246678E-2</v>
      </c>
      <c r="F63" s="29">
        <f>VLOOKUP($B63, ind_mes!$B:$XFD, MATCH(gdp_ind_share!F$1, ind_mes!$B$1:$XFD$1, 0), 0)/VLOOKUP($B63, gdp_tot_mes!$B:$XFD, MATCH(gdp_ind_share!F$1, gdp_tot_mes!$B$1:$XFD$1, 0), 0)</f>
        <v>5.7736105094031036E-2</v>
      </c>
      <c r="G63" s="29">
        <f>VLOOKUP($B63, ind_mes!$B:$XFD, MATCH(gdp_ind_share!G$1, ind_mes!$B$1:$XFD$1, 0), 0)/VLOOKUP($B63, gdp_tot_mes!$B:$XFD, MATCH(gdp_ind_share!G$1, gdp_tot_mes!$B$1:$XFD$1, 0), 0)</f>
        <v>0.11955196226105973</v>
      </c>
      <c r="H63" s="29">
        <f>VLOOKUP($B63, ind_mes!$B:$XFD, MATCH(gdp_ind_share!H$1, ind_mes!$B$1:$XFD$1, 0), 0)/VLOOKUP($B63, gdp_tot_mes!$B:$XFD, MATCH(gdp_ind_share!H$1, gdp_tot_mes!$B$1:$XFD$1, 0), 0)</f>
        <v>8.9356215719251259E-2</v>
      </c>
      <c r="I63" s="29">
        <f>VLOOKUP($B63, ind_mes!$B:$XFD, MATCH(gdp_ind_share!I$1, ind_mes!$B$1:$XFD$1, 0), 0)/VLOOKUP($B63, gdp_tot_mes!$B:$XFD, MATCH(gdp_ind_share!I$1, gdp_tot_mes!$B$1:$XFD$1, 0), 0)</f>
        <v>0.16430204887034458</v>
      </c>
      <c r="J63" s="29">
        <f>VLOOKUP($B63, ind_mes!$B:$XFD, MATCH(gdp_ind_share!J$1, ind_mes!$B$1:$XFD$1, 0), 0)/VLOOKUP($B63, gdp_tot_mes!$B:$XFD, MATCH(gdp_ind_share!J$1, gdp_tot_mes!$B$1:$XFD$1, 0), 0)</f>
        <v>0.53795606190909551</v>
      </c>
      <c r="K63" s="29">
        <f>VLOOKUP($B63, ind_mes!$B:$XFD, MATCH(gdp_ind_share!K$1, ind_mes!$B$1:$XFD$1, 0), 0)/VLOOKUP($B63, gdp_tot_mes!$B:$XFD, MATCH(gdp_ind_share!K$1, gdp_tot_mes!$B$1:$XFD$1, 0), 0)</f>
        <v>0.49618596898278849</v>
      </c>
      <c r="L63" s="30">
        <f t="shared" si="0"/>
        <v>0.48177979035221807</v>
      </c>
      <c r="M63" s="29">
        <f>VLOOKUP($B63, ind_mes!$B:$XFD, MATCH(gdp_ind_share!M$1, ind_mes!$B$1:$XFD$1, 0), 0)/VLOOKUP($B63, gdp_tot_mes!$B:$XFD, MATCH(gdp_ind_share!M$1, gdp_tot_mes!$B$1:$XFD$1, 0), 0)</f>
        <v>0.46449237599553356</v>
      </c>
      <c r="N63" s="29">
        <f>VLOOKUP($B63, ind_mes!$B:$XFD, MATCH(gdp_ind_share!N$1, ind_mes!$B$1:$XFD$1, 0), 0)/VLOOKUP($B63, gdp_tot_mes!$B:$XFD, MATCH(gdp_ind_share!N$1, gdp_tot_mes!$B$1:$XFD$1, 0), 0)</f>
        <v>0.29714173166427055</v>
      </c>
      <c r="O63" s="29">
        <f>VLOOKUP($B63, ind_mes!$B:$XFD, MATCH(gdp_ind_share!O$1, ind_mes!$B$1:$XFD$1, 0), 0)/VLOOKUP($B63, gdp_tot_mes!$B:$XFD, MATCH(gdp_ind_share!O$1, gdp_tot_mes!$B$1:$XFD$1, 0), 0)</f>
        <v>0.34072120188458843</v>
      </c>
      <c r="P63" s="29">
        <f>VLOOKUP($B63, ind_mes!$B:$XFD, MATCH(gdp_ind_share!P$1, ind_mes!$B$1:$XFD$1, 0), 0)/VLOOKUP($B63, gdp_tot_mes!$B:$XFD, MATCH(gdp_ind_share!P$1, gdp_tot_mes!$B$1:$XFD$1, 0), 0)</f>
        <v>0.30455735197880507</v>
      </c>
      <c r="Q63" s="29">
        <f>VLOOKUP($B63, ind_mes!$B:$XFD, MATCH(gdp_ind_share!Q$1, ind_mes!$B$1:$XFD$1, 0), 0)/VLOOKUP($B63, gdp_tot_mes!$B:$XFD, MATCH(gdp_ind_share!Q$1, gdp_tot_mes!$B$1:$XFD$1, 0), 0)</f>
        <v>0.25192247526274142</v>
      </c>
      <c r="R63" s="29">
        <f>VLOOKUP($B63, ind_mes!$B:$XFD, MATCH(gdp_ind_share!R$1, ind_mes!$B$1:$XFD$1, 0), 0)/VLOOKUP($B63, gdp_tot_mes!$B:$XFD, MATCH(gdp_ind_share!R$1, gdp_tot_mes!$B$1:$XFD$1, 0), 0)</f>
        <v>0.23641691944013232</v>
      </c>
      <c r="S63" s="29">
        <f>VLOOKUP($B63, ind_mes!$B:$XFD, MATCH(gdp_ind_share!S$1, ind_mes!$B$1:$XFD$1, 0), 0)/VLOOKUP($B63, gdp_tot_mes!$B:$XFD, MATCH(gdp_ind_share!S$1, gdp_tot_mes!$B$1:$XFD$1, 0), 0)</f>
        <v>0.28287594772006847</v>
      </c>
      <c r="T63" s="29">
        <f>VLOOKUP($B63, ind_mes!$B:$XFD, MATCH(gdp_ind_share!T$1, ind_mes!$B$1:$XFD$1, 0), 0)/VLOOKUP($B63, gdp_tot_mes!$B:$XFD, MATCH(gdp_ind_share!T$1, gdp_tot_mes!$B$1:$XFD$1, 0), 0)</f>
        <v>0.27112285194189478</v>
      </c>
      <c r="U63" s="29">
        <f>VLOOKUP($B63, ind_mes!$B:$XFD, MATCH(gdp_ind_share!U$1, ind_mes!$B$1:$XFD$1, 0), 0)/VLOOKUP($B63, gdp_tot_mes!$B:$XFD, MATCH(gdp_ind_share!U$1, gdp_tot_mes!$B$1:$XFD$1, 0), 0)</f>
        <v>0.2423004936976926</v>
      </c>
      <c r="V63" s="29">
        <f>VLOOKUP($B63, ind_mes!$B:$XFD, MATCH(gdp_ind_share!V$1, ind_mes!$B$1:$XFD$1, 0), 0)/VLOOKUP($B63, gdp_tot_mes!$B:$XFD, MATCH(gdp_ind_share!V$1, gdp_tot_mes!$B$1:$XFD$1, 0), 0)</f>
        <v>0.22756458423386292</v>
      </c>
      <c r="W63" s="29">
        <f>VLOOKUP($B63, ind_mes!$B:$XFD, MATCH(gdp_ind_share!W$1, ind_mes!$B$1:$XFD$1, 0), 0)/VLOOKUP($B63, gdp_tot_mes!$B:$XFD, MATCH(gdp_ind_share!W$1, gdp_tot_mes!$B$1:$XFD$1, 0), 0)</f>
        <v>0.27273964695739028</v>
      </c>
      <c r="X63" s="29">
        <f>VLOOKUP($B63, ind_mes!$B:$XFD, MATCH(gdp_ind_share!X$1, ind_mes!$B$1:$XFD$1, 0), 0)/VLOOKUP($B63, gdp_tot_mes!$B:$XFD, MATCH(gdp_ind_share!X$1, gdp_tot_mes!$B$1:$XFD$1, 0), 0)</f>
        <v>0.18279635931225305</v>
      </c>
      <c r="Y63" s="29">
        <f>VLOOKUP($B63, ind_mes!$B:$XFD, MATCH(gdp_ind_share!Y$1, ind_mes!$B$1:$XFD$1, 0), 0)/VLOOKUP($B63, gdp_tot_mes!$B:$XFD, MATCH(gdp_ind_share!Y$1, gdp_tot_mes!$B$1:$XFD$1, 0), 0)</f>
        <v>0.32009063504424257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x14ac:dyDescent="0.25">
      <c r="A64" s="1" t="s">
        <v>158</v>
      </c>
      <c r="B64" s="1" t="s">
        <v>161</v>
      </c>
      <c r="C64" s="1" t="s">
        <v>162</v>
      </c>
      <c r="D64" s="29">
        <f>VLOOKUP($B64, ind_mes!$B:$XFD, MATCH(gdp_ind_share!D$1, ind_mes!$B$1:$XFD$1, 0), 0)/VLOOKUP($B64, gdp_tot_mes!$B:$XFD, MATCH(gdp_ind_share!D$1, gdp_tot_mes!$B$1:$XFD$1, 0), 0)</f>
        <v>7.9480385511031315E-2</v>
      </c>
      <c r="E64" s="29">
        <f>VLOOKUP($B64, ind_mes!$B:$XFD, MATCH(gdp_ind_share!E$1, ind_mes!$B$1:$XFD$1, 0), 0)/VLOOKUP($B64, gdp_tot_mes!$B:$XFD, MATCH(gdp_ind_share!E$1, gdp_tot_mes!$B$1:$XFD$1, 0), 0)</f>
        <v>5.3279568298276618E-2</v>
      </c>
      <c r="F64" s="29">
        <f>VLOOKUP($B64, ind_mes!$B:$XFD, MATCH(gdp_ind_share!F$1, ind_mes!$B$1:$XFD$1, 0), 0)/VLOOKUP($B64, gdp_tot_mes!$B:$XFD, MATCH(gdp_ind_share!F$1, gdp_tot_mes!$B$1:$XFD$1, 0), 0)</f>
        <v>0.2401377206555082</v>
      </c>
      <c r="G64" s="29">
        <f>VLOOKUP($B64, ind_mes!$B:$XFD, MATCH(gdp_ind_share!G$1, ind_mes!$B$1:$XFD$1, 0), 0)/VLOOKUP($B64, gdp_tot_mes!$B:$XFD, MATCH(gdp_ind_share!G$1, gdp_tot_mes!$B$1:$XFD$1, 0), 0)</f>
        <v>0.23794036724151257</v>
      </c>
      <c r="H64" s="29">
        <f>VLOOKUP($B64, ind_mes!$B:$XFD, MATCH(gdp_ind_share!H$1, ind_mes!$B$1:$XFD$1, 0), 0)/VLOOKUP($B64, gdp_tot_mes!$B:$XFD, MATCH(gdp_ind_share!H$1, gdp_tot_mes!$B$1:$XFD$1, 0), 0)</f>
        <v>0.22885095974691563</v>
      </c>
      <c r="I64" s="29">
        <f>VLOOKUP($B64, ind_mes!$B:$XFD, MATCH(gdp_ind_share!I$1, ind_mes!$B$1:$XFD$1, 0), 0)/VLOOKUP($B64, gdp_tot_mes!$B:$XFD, MATCH(gdp_ind_share!I$1, gdp_tot_mes!$B$1:$XFD$1, 0), 0)</f>
        <v>0.26864682203587475</v>
      </c>
      <c r="J64" s="29">
        <f>VLOOKUP($B64, ind_mes!$B:$XFD, MATCH(gdp_ind_share!J$1, ind_mes!$B$1:$XFD$1, 0), 0)/VLOOKUP($B64, gdp_tot_mes!$B:$XFD, MATCH(gdp_ind_share!J$1, gdp_tot_mes!$B$1:$XFD$1, 0), 0)</f>
        <v>0.2846871002152373</v>
      </c>
      <c r="K64" s="29">
        <f>VLOOKUP($B64, ind_mes!$B:$XFD, MATCH(gdp_ind_share!K$1, ind_mes!$B$1:$XFD$1, 0), 0)/VLOOKUP($B64, gdp_tot_mes!$B:$XFD, MATCH(gdp_ind_share!K$1, gdp_tot_mes!$B$1:$XFD$1, 0), 0)</f>
        <v>0.2742303298257468</v>
      </c>
      <c r="L64" s="30">
        <f t="shared" si="0"/>
        <v>0.21511406106658115</v>
      </c>
      <c r="M64" s="29">
        <f>VLOOKUP($B64, ind_mes!$B:$XFD, MATCH(gdp_ind_share!M$1, ind_mes!$B$1:$XFD$1, 0), 0)/VLOOKUP($B64, gdp_tot_mes!$B:$XFD, MATCH(gdp_ind_share!M$1, gdp_tot_mes!$B$1:$XFD$1, 0), 0)</f>
        <v>0.14417453855558238</v>
      </c>
      <c r="N64" s="29">
        <f>VLOOKUP($B64, ind_mes!$B:$XFD, MATCH(gdp_ind_share!N$1, ind_mes!$B$1:$XFD$1, 0), 0)/VLOOKUP($B64, gdp_tot_mes!$B:$XFD, MATCH(gdp_ind_share!N$1, gdp_tot_mes!$B$1:$XFD$1, 0), 0)</f>
        <v>9.186309412827505E-2</v>
      </c>
      <c r="O64" s="29">
        <f>VLOOKUP($B64, ind_mes!$B:$XFD, MATCH(gdp_ind_share!O$1, ind_mes!$B$1:$XFD$1, 0), 0)/VLOOKUP($B64, gdp_tot_mes!$B:$XFD, MATCH(gdp_ind_share!O$1, gdp_tot_mes!$B$1:$XFD$1, 0), 0)</f>
        <v>9.1513657644693977E-2</v>
      </c>
      <c r="P64" s="29">
        <f>VLOOKUP($B64, ind_mes!$B:$XFD, MATCH(gdp_ind_share!P$1, ind_mes!$B$1:$XFD$1, 0), 0)/VLOOKUP($B64, gdp_tot_mes!$B:$XFD, MATCH(gdp_ind_share!P$1, gdp_tot_mes!$B$1:$XFD$1, 0), 0)</f>
        <v>0.13452397934396443</v>
      </c>
      <c r="Q64" s="29">
        <f>VLOOKUP($B64, ind_mes!$B:$XFD, MATCH(gdp_ind_share!Q$1, ind_mes!$B$1:$XFD$1, 0), 0)/VLOOKUP($B64, gdp_tot_mes!$B:$XFD, MATCH(gdp_ind_share!Q$1, gdp_tot_mes!$B$1:$XFD$1, 0), 0)</f>
        <v>0.1524203587601631</v>
      </c>
      <c r="R64" s="29">
        <f>VLOOKUP($B64, ind_mes!$B:$XFD, MATCH(gdp_ind_share!R$1, ind_mes!$B$1:$XFD$1, 0), 0)/VLOOKUP($B64, gdp_tot_mes!$B:$XFD, MATCH(gdp_ind_share!R$1, gdp_tot_mes!$B$1:$XFD$1, 0), 0)</f>
        <v>0.14260540271332456</v>
      </c>
      <c r="S64" s="29">
        <f>VLOOKUP($B64, ind_mes!$B:$XFD, MATCH(gdp_ind_share!S$1, ind_mes!$B$1:$XFD$1, 0), 0)/VLOOKUP($B64, gdp_tot_mes!$B:$XFD, MATCH(gdp_ind_share!S$1, gdp_tot_mes!$B$1:$XFD$1, 0), 0)</f>
        <v>0.19577395187499846</v>
      </c>
      <c r="T64" s="29">
        <f>VLOOKUP($B64, ind_mes!$B:$XFD, MATCH(gdp_ind_share!T$1, ind_mes!$B$1:$XFD$1, 0), 0)/VLOOKUP($B64, gdp_tot_mes!$B:$XFD, MATCH(gdp_ind_share!T$1, gdp_tot_mes!$B$1:$XFD$1, 0), 0)</f>
        <v>0.15500290938000946</v>
      </c>
      <c r="U64" s="29">
        <f>VLOOKUP($B64, ind_mes!$B:$XFD, MATCH(gdp_ind_share!U$1, ind_mes!$B$1:$XFD$1, 0), 0)/VLOOKUP($B64, gdp_tot_mes!$B:$XFD, MATCH(gdp_ind_share!U$1, gdp_tot_mes!$B$1:$XFD$1, 0), 0)</f>
        <v>0.14011198523680576</v>
      </c>
      <c r="V64" s="29">
        <f>VLOOKUP($B64, ind_mes!$B:$XFD, MATCH(gdp_ind_share!V$1, ind_mes!$B$1:$XFD$1, 0), 0)/VLOOKUP($B64, gdp_tot_mes!$B:$XFD, MATCH(gdp_ind_share!V$1, gdp_tot_mes!$B$1:$XFD$1, 0), 0)</f>
        <v>0.14186348682175098</v>
      </c>
      <c r="W64" s="29">
        <f>VLOOKUP($B64, ind_mes!$B:$XFD, MATCH(gdp_ind_share!W$1, ind_mes!$B$1:$XFD$1, 0), 0)/VLOOKUP($B64, gdp_tot_mes!$B:$XFD, MATCH(gdp_ind_share!W$1, gdp_tot_mes!$B$1:$XFD$1, 0), 0)</f>
        <v>0.11512967588201294</v>
      </c>
      <c r="X64" s="29">
        <f>VLOOKUP($B64, ind_mes!$B:$XFD, MATCH(gdp_ind_share!X$1, ind_mes!$B$1:$XFD$1, 0), 0)/VLOOKUP($B64, gdp_tot_mes!$B:$XFD, MATCH(gdp_ind_share!X$1, gdp_tot_mes!$B$1:$XFD$1, 0), 0)</f>
        <v>7.0380387048372905E-2</v>
      </c>
      <c r="Y64" s="29">
        <f>VLOOKUP($B64, ind_mes!$B:$XFD, MATCH(gdp_ind_share!Y$1, ind_mes!$B$1:$XFD$1, 0), 0)/VLOOKUP($B64, gdp_tot_mes!$B:$XFD, MATCH(gdp_ind_share!Y$1, gdp_tot_mes!$B$1:$XFD$1, 0), 0)</f>
        <v>7.2780612662547983E-2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x14ac:dyDescent="0.25">
      <c r="A65" s="1" t="s">
        <v>158</v>
      </c>
      <c r="B65" s="1" t="s">
        <v>163</v>
      </c>
      <c r="C65" s="1" t="s">
        <v>164</v>
      </c>
      <c r="D65" s="29">
        <f>VLOOKUP($B65, ind_mes!$B:$XFD, MATCH(gdp_ind_share!D$1, ind_mes!$B$1:$XFD$1, 0), 0)/VLOOKUP($B65, gdp_tot_mes!$B:$XFD, MATCH(gdp_ind_share!D$1, gdp_tot_mes!$B$1:$XFD$1, 0), 0)</f>
        <v>0.11531197202463776</v>
      </c>
      <c r="E65" s="29">
        <f>VLOOKUP($B65, ind_mes!$B:$XFD, MATCH(gdp_ind_share!E$1, ind_mes!$B$1:$XFD$1, 0), 0)/VLOOKUP($B65, gdp_tot_mes!$B:$XFD, MATCH(gdp_ind_share!E$1, gdp_tot_mes!$B$1:$XFD$1, 0), 0)</f>
        <v>0.26607029488112066</v>
      </c>
      <c r="F65" s="29">
        <f>VLOOKUP($B65, ind_mes!$B:$XFD, MATCH(gdp_ind_share!F$1, ind_mes!$B$1:$XFD$1, 0), 0)/VLOOKUP($B65, gdp_tot_mes!$B:$XFD, MATCH(gdp_ind_share!F$1, gdp_tot_mes!$B$1:$XFD$1, 0), 0)</f>
        <v>0.20410412624441274</v>
      </c>
      <c r="G65" s="29">
        <f>VLOOKUP($B65, ind_mes!$B:$XFD, MATCH(gdp_ind_share!G$1, ind_mes!$B$1:$XFD$1, 0), 0)/VLOOKUP($B65, gdp_tot_mes!$B:$XFD, MATCH(gdp_ind_share!G$1, gdp_tot_mes!$B$1:$XFD$1, 0), 0)</f>
        <v>0.24257459920382793</v>
      </c>
      <c r="H65" s="29">
        <f>VLOOKUP($B65, ind_mes!$B:$XFD, MATCH(gdp_ind_share!H$1, ind_mes!$B$1:$XFD$1, 0), 0)/VLOOKUP($B65, gdp_tot_mes!$B:$XFD, MATCH(gdp_ind_share!H$1, gdp_tot_mes!$B$1:$XFD$1, 0), 0)</f>
        <v>0.23505214741367661</v>
      </c>
      <c r="I65" s="29">
        <f>VLOOKUP($B65, ind_mes!$B:$XFD, MATCH(gdp_ind_share!I$1, ind_mes!$B$1:$XFD$1, 0), 0)/VLOOKUP($B65, gdp_tot_mes!$B:$XFD, MATCH(gdp_ind_share!I$1, gdp_tot_mes!$B$1:$XFD$1, 0), 0)</f>
        <v>0.29095779213535489</v>
      </c>
      <c r="J65" s="29">
        <f>VLOOKUP($B65, ind_mes!$B:$XFD, MATCH(gdp_ind_share!J$1, ind_mes!$B$1:$XFD$1, 0), 0)/VLOOKUP($B65, gdp_tot_mes!$B:$XFD, MATCH(gdp_ind_share!J$1, gdp_tot_mes!$B$1:$XFD$1, 0), 0)</f>
        <v>0.36391169812342095</v>
      </c>
      <c r="K65" s="29">
        <f>VLOOKUP($B65, ind_mes!$B:$XFD, MATCH(gdp_ind_share!K$1, ind_mes!$B$1:$XFD$1, 0), 0)/VLOOKUP($B65, gdp_tot_mes!$B:$XFD, MATCH(gdp_ind_share!K$1, gdp_tot_mes!$B$1:$XFD$1, 0), 0)</f>
        <v>0.42836732124203775</v>
      </c>
      <c r="L65" s="30">
        <f t="shared" si="0"/>
        <v>0.32724790796555514</v>
      </c>
      <c r="M65" s="29">
        <f>VLOOKUP($B65, ind_mes!$B:$XFD, MATCH(gdp_ind_share!M$1, ind_mes!$B$1:$XFD$1, 0), 0)/VLOOKUP($B65, gdp_tot_mes!$B:$XFD, MATCH(gdp_ind_share!M$1, gdp_tot_mes!$B$1:$XFD$1, 0), 0)</f>
        <v>0.20590461203377594</v>
      </c>
      <c r="N65" s="29">
        <f>VLOOKUP($B65, ind_mes!$B:$XFD, MATCH(gdp_ind_share!N$1, ind_mes!$B$1:$XFD$1, 0), 0)/VLOOKUP($B65, gdp_tot_mes!$B:$XFD, MATCH(gdp_ind_share!N$1, gdp_tot_mes!$B$1:$XFD$1, 0), 0)</f>
        <v>0.23808939700979703</v>
      </c>
      <c r="O65" s="29">
        <f>VLOOKUP($B65, ind_mes!$B:$XFD, MATCH(gdp_ind_share!O$1, ind_mes!$B$1:$XFD$1, 0), 0)/VLOOKUP($B65, gdp_tot_mes!$B:$XFD, MATCH(gdp_ind_share!O$1, gdp_tot_mes!$B$1:$XFD$1, 0), 0)</f>
        <v>0.23156388949663737</v>
      </c>
      <c r="P65" s="29">
        <f>VLOOKUP($B65, ind_mes!$B:$XFD, MATCH(gdp_ind_share!P$1, ind_mes!$B$1:$XFD$1, 0), 0)/VLOOKUP($B65, gdp_tot_mes!$B:$XFD, MATCH(gdp_ind_share!P$1, gdp_tot_mes!$B$1:$XFD$1, 0), 0)</f>
        <v>0.24106365753243672</v>
      </c>
      <c r="Q65" s="29">
        <f>VLOOKUP($B65, ind_mes!$B:$XFD, MATCH(gdp_ind_share!Q$1, ind_mes!$B$1:$XFD$1, 0), 0)/VLOOKUP($B65, gdp_tot_mes!$B:$XFD, MATCH(gdp_ind_share!Q$1, gdp_tot_mes!$B$1:$XFD$1, 0), 0)</f>
        <v>0.20437122997314638</v>
      </c>
      <c r="R65" s="29">
        <f>VLOOKUP($B65, ind_mes!$B:$XFD, MATCH(gdp_ind_share!R$1, ind_mes!$B$1:$XFD$1, 0), 0)/VLOOKUP($B65, gdp_tot_mes!$B:$XFD, MATCH(gdp_ind_share!R$1, gdp_tot_mes!$B$1:$XFD$1, 0), 0)</f>
        <v>0.20564075804876661</v>
      </c>
      <c r="S65" s="29">
        <f>VLOOKUP($B65, ind_mes!$B:$XFD, MATCH(gdp_ind_share!S$1, ind_mes!$B$1:$XFD$1, 0), 0)/VLOOKUP($B65, gdp_tot_mes!$B:$XFD, MATCH(gdp_ind_share!S$1, gdp_tot_mes!$B$1:$XFD$1, 0), 0)</f>
        <v>0.22613938943763698</v>
      </c>
      <c r="T65" s="29">
        <f>VLOOKUP($B65, ind_mes!$B:$XFD, MATCH(gdp_ind_share!T$1, ind_mes!$B$1:$XFD$1, 0), 0)/VLOOKUP($B65, gdp_tot_mes!$B:$XFD, MATCH(gdp_ind_share!T$1, gdp_tot_mes!$B$1:$XFD$1, 0), 0)</f>
        <v>0.20475981333405874</v>
      </c>
      <c r="U65" s="29">
        <f>VLOOKUP($B65, ind_mes!$B:$XFD, MATCH(gdp_ind_share!U$1, ind_mes!$B$1:$XFD$1, 0), 0)/VLOOKUP($B65, gdp_tot_mes!$B:$XFD, MATCH(gdp_ind_share!U$1, gdp_tot_mes!$B$1:$XFD$1, 0), 0)</f>
        <v>0.20982845542369263</v>
      </c>
      <c r="V65" s="29">
        <f>VLOOKUP($B65, ind_mes!$B:$XFD, MATCH(gdp_ind_share!V$1, ind_mes!$B$1:$XFD$1, 0), 0)/VLOOKUP($B65, gdp_tot_mes!$B:$XFD, MATCH(gdp_ind_share!V$1, gdp_tot_mes!$B$1:$XFD$1, 0), 0)</f>
        <v>0.18513316309812416</v>
      </c>
      <c r="W65" s="29">
        <f>VLOOKUP($B65, ind_mes!$B:$XFD, MATCH(gdp_ind_share!W$1, ind_mes!$B$1:$XFD$1, 0), 0)/VLOOKUP($B65, gdp_tot_mes!$B:$XFD, MATCH(gdp_ind_share!W$1, gdp_tot_mes!$B$1:$XFD$1, 0), 0)</f>
        <v>0.18587219987639472</v>
      </c>
      <c r="X65" s="29">
        <f>VLOOKUP($B65, ind_mes!$B:$XFD, MATCH(gdp_ind_share!X$1, ind_mes!$B$1:$XFD$1, 0), 0)/VLOOKUP($B65, gdp_tot_mes!$B:$XFD, MATCH(gdp_ind_share!X$1, gdp_tot_mes!$B$1:$XFD$1, 0), 0)</f>
        <v>0.15575244962106272</v>
      </c>
      <c r="Y65" s="29">
        <f>VLOOKUP($B65, ind_mes!$B:$XFD, MATCH(gdp_ind_share!Y$1, ind_mes!$B$1:$XFD$1, 0), 0)/VLOOKUP($B65, gdp_tot_mes!$B:$XFD, MATCH(gdp_ind_share!Y$1, gdp_tot_mes!$B$1:$XFD$1, 0), 0)</f>
        <v>0.1761178536766107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x14ac:dyDescent="0.25">
      <c r="A66" s="1" t="s">
        <v>158</v>
      </c>
      <c r="B66" s="1" t="s">
        <v>165</v>
      </c>
      <c r="C66" s="1" t="s">
        <v>166</v>
      </c>
      <c r="D66" s="29">
        <f>VLOOKUP($B66, ind_mes!$B:$XFD, MATCH(gdp_ind_share!D$1, ind_mes!$B$1:$XFD$1, 0), 0)/VLOOKUP($B66, gdp_tot_mes!$B:$XFD, MATCH(gdp_ind_share!D$1, gdp_tot_mes!$B$1:$XFD$1, 0), 0)</f>
        <v>6.8299990276262851E-2</v>
      </c>
      <c r="E66" s="29">
        <f>VLOOKUP($B66, ind_mes!$B:$XFD, MATCH(gdp_ind_share!E$1, ind_mes!$B$1:$XFD$1, 0), 0)/VLOOKUP($B66, gdp_tot_mes!$B:$XFD, MATCH(gdp_ind_share!E$1, gdp_tot_mes!$B$1:$XFD$1, 0), 0)</f>
        <v>4.693589870324235E-2</v>
      </c>
      <c r="F66" s="29">
        <f>VLOOKUP($B66, ind_mes!$B:$XFD, MATCH(gdp_ind_share!F$1, ind_mes!$B$1:$XFD$1, 0), 0)/VLOOKUP($B66, gdp_tot_mes!$B:$XFD, MATCH(gdp_ind_share!F$1, gdp_tot_mes!$B$1:$XFD$1, 0), 0)</f>
        <v>8.8110556191441314E-2</v>
      </c>
      <c r="G66" s="29">
        <f>VLOOKUP($B66, ind_mes!$B:$XFD, MATCH(gdp_ind_share!G$1, ind_mes!$B$1:$XFD$1, 0), 0)/VLOOKUP($B66, gdp_tot_mes!$B:$XFD, MATCH(gdp_ind_share!G$1, gdp_tot_mes!$B$1:$XFD$1, 0), 0)</f>
        <v>0.1593890331592295</v>
      </c>
      <c r="H66" s="29">
        <f>VLOOKUP($B66, ind_mes!$B:$XFD, MATCH(gdp_ind_share!H$1, ind_mes!$B$1:$XFD$1, 0), 0)/VLOOKUP($B66, gdp_tot_mes!$B:$XFD, MATCH(gdp_ind_share!H$1, gdp_tot_mes!$B$1:$XFD$1, 0), 0)</f>
        <v>0.10474794417843453</v>
      </c>
      <c r="I66" s="29">
        <f>VLOOKUP($B66, ind_mes!$B:$XFD, MATCH(gdp_ind_share!I$1, ind_mes!$B$1:$XFD$1, 0), 0)/VLOOKUP($B66, gdp_tot_mes!$B:$XFD, MATCH(gdp_ind_share!I$1, gdp_tot_mes!$B$1:$XFD$1, 0), 0)</f>
        <v>0.13262094376766811</v>
      </c>
      <c r="J66" s="29">
        <f>VLOOKUP($B66, ind_mes!$B:$XFD, MATCH(gdp_ind_share!J$1, ind_mes!$B$1:$XFD$1, 0), 0)/VLOOKUP($B66, gdp_tot_mes!$B:$XFD, MATCH(gdp_ind_share!J$1, gdp_tot_mes!$B$1:$XFD$1, 0), 0)</f>
        <v>0.17201362202037554</v>
      </c>
      <c r="K66" s="29">
        <f>VLOOKUP($B66, ind_mes!$B:$XFD, MATCH(gdp_ind_share!K$1, ind_mes!$B$1:$XFD$1, 0), 0)/VLOOKUP($B66, gdp_tot_mes!$B:$XFD, MATCH(gdp_ind_share!K$1, gdp_tot_mes!$B$1:$XFD$1, 0), 0)</f>
        <v>0.175944389907841</v>
      </c>
      <c r="L66" s="30">
        <f t="shared" si="0"/>
        <v>0.13933828033737941</v>
      </c>
      <c r="M66" s="29">
        <f>VLOOKUP($B66, ind_mes!$B:$XFD, MATCH(gdp_ind_share!M$1, ind_mes!$B$1:$XFD$1, 0), 0)/VLOOKUP($B66, gdp_tot_mes!$B:$XFD, MATCH(gdp_ind_share!M$1, gdp_tot_mes!$B$1:$XFD$1, 0), 0)</f>
        <v>9.54109488528255E-2</v>
      </c>
      <c r="N66" s="29">
        <f>VLOOKUP($B66, ind_mes!$B:$XFD, MATCH(gdp_ind_share!N$1, ind_mes!$B$1:$XFD$1, 0), 0)/VLOOKUP($B66, gdp_tot_mes!$B:$XFD, MATCH(gdp_ind_share!N$1, gdp_tot_mes!$B$1:$XFD$1, 0), 0)</f>
        <v>0.12099918830380244</v>
      </c>
      <c r="O66" s="29">
        <f>VLOOKUP($B66, ind_mes!$B:$XFD, MATCH(gdp_ind_share!O$1, ind_mes!$B$1:$XFD$1, 0), 0)/VLOOKUP($B66, gdp_tot_mes!$B:$XFD, MATCH(gdp_ind_share!O$1, gdp_tot_mes!$B$1:$XFD$1, 0), 0)</f>
        <v>0.10810136816650025</v>
      </c>
      <c r="P66" s="29">
        <f>VLOOKUP($B66, ind_mes!$B:$XFD, MATCH(gdp_ind_share!P$1, ind_mes!$B$1:$XFD$1, 0), 0)/VLOOKUP($B66, gdp_tot_mes!$B:$XFD, MATCH(gdp_ind_share!P$1, gdp_tot_mes!$B$1:$XFD$1, 0), 0)</f>
        <v>0.12717385123951983</v>
      </c>
      <c r="Q66" s="29">
        <f>VLOOKUP($B66, ind_mes!$B:$XFD, MATCH(gdp_ind_share!Q$1, ind_mes!$B$1:$XFD$1, 0), 0)/VLOOKUP($B66, gdp_tot_mes!$B:$XFD, MATCH(gdp_ind_share!Q$1, gdp_tot_mes!$B$1:$XFD$1, 0), 0)</f>
        <v>0.12831792056945224</v>
      </c>
      <c r="R66" s="29">
        <f>VLOOKUP($B66, ind_mes!$B:$XFD, MATCH(gdp_ind_share!R$1, ind_mes!$B$1:$XFD$1, 0), 0)/VLOOKUP($B66, gdp_tot_mes!$B:$XFD, MATCH(gdp_ind_share!R$1, gdp_tot_mes!$B$1:$XFD$1, 0), 0)</f>
        <v>0.12686375313553838</v>
      </c>
      <c r="S66" s="29">
        <f>VLOOKUP($B66, ind_mes!$B:$XFD, MATCH(gdp_ind_share!S$1, ind_mes!$B$1:$XFD$1, 0), 0)/VLOOKUP($B66, gdp_tot_mes!$B:$XFD, MATCH(gdp_ind_share!S$1, gdp_tot_mes!$B$1:$XFD$1, 0), 0)</f>
        <v>0.15821175866642978</v>
      </c>
      <c r="T66" s="29">
        <f>VLOOKUP($B66, ind_mes!$B:$XFD, MATCH(gdp_ind_share!T$1, ind_mes!$B$1:$XFD$1, 0), 0)/VLOOKUP($B66, gdp_tot_mes!$B:$XFD, MATCH(gdp_ind_share!T$1, gdp_tot_mes!$B$1:$XFD$1, 0), 0)</f>
        <v>0.13401689150197657</v>
      </c>
      <c r="U66" s="29">
        <f>VLOOKUP($B66, ind_mes!$B:$XFD, MATCH(gdp_ind_share!U$1, ind_mes!$B$1:$XFD$1, 0), 0)/VLOOKUP($B66, gdp_tot_mes!$B:$XFD, MATCH(gdp_ind_share!U$1, gdp_tot_mes!$B$1:$XFD$1, 0), 0)</f>
        <v>0.12996985019654744</v>
      </c>
      <c r="V66" s="29">
        <f>VLOOKUP($B66, ind_mes!$B:$XFD, MATCH(gdp_ind_share!V$1, ind_mes!$B$1:$XFD$1, 0), 0)/VLOOKUP($B66, gdp_tot_mes!$B:$XFD, MATCH(gdp_ind_share!V$1, gdp_tot_mes!$B$1:$XFD$1, 0), 0)</f>
        <v>0.11862651212667789</v>
      </c>
      <c r="W66" s="29">
        <f>VLOOKUP($B66, ind_mes!$B:$XFD, MATCH(gdp_ind_share!W$1, ind_mes!$B$1:$XFD$1, 0), 0)/VLOOKUP($B66, gdp_tot_mes!$B:$XFD, MATCH(gdp_ind_share!W$1, gdp_tot_mes!$B$1:$XFD$1, 0), 0)</f>
        <v>0.12743845176892296</v>
      </c>
      <c r="X66" s="29">
        <f>VLOOKUP($B66, ind_mes!$B:$XFD, MATCH(gdp_ind_share!X$1, ind_mes!$B$1:$XFD$1, 0), 0)/VLOOKUP($B66, gdp_tot_mes!$B:$XFD, MATCH(gdp_ind_share!X$1, gdp_tot_mes!$B$1:$XFD$1, 0), 0)</f>
        <v>0.10081045682977728</v>
      </c>
      <c r="Y66" s="29">
        <f>VLOOKUP($B66, ind_mes!$B:$XFD, MATCH(gdp_ind_share!Y$1, ind_mes!$B$1:$XFD$1, 0), 0)/VLOOKUP($B66, gdp_tot_mes!$B:$XFD, MATCH(gdp_ind_share!Y$1, gdp_tot_mes!$B$1:$XFD$1, 0), 0)</f>
        <v>0.12301658027391935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x14ac:dyDescent="0.25">
      <c r="A67" s="1" t="s">
        <v>158</v>
      </c>
      <c r="B67" s="1" t="s">
        <v>167</v>
      </c>
      <c r="C67" s="1" t="s">
        <v>168</v>
      </c>
      <c r="D67" s="29">
        <f>VLOOKUP($B67, ind_mes!$B:$XFD, MATCH(gdp_ind_share!D$1, ind_mes!$B$1:$XFD$1, 0), 0)/VLOOKUP($B67, gdp_tot_mes!$B:$XFD, MATCH(gdp_ind_share!D$1, gdp_tot_mes!$B$1:$XFD$1, 0), 0)</f>
        <v>3.0747741963784658E-2</v>
      </c>
      <c r="E67" s="29">
        <f>VLOOKUP($B67, ind_mes!$B:$XFD, MATCH(gdp_ind_share!E$1, ind_mes!$B$1:$XFD$1, 0), 0)/VLOOKUP($B67, gdp_tot_mes!$B:$XFD, MATCH(gdp_ind_share!E$1, gdp_tot_mes!$B$1:$XFD$1, 0), 0)</f>
        <v>5.5971645192085173E-3</v>
      </c>
      <c r="F67" s="29">
        <f>VLOOKUP($B67, ind_mes!$B:$XFD, MATCH(gdp_ind_share!F$1, ind_mes!$B$1:$XFD$1, 0), 0)/VLOOKUP($B67, gdp_tot_mes!$B:$XFD, MATCH(gdp_ind_share!F$1, gdp_tot_mes!$B$1:$XFD$1, 0), 0)</f>
        <v>0.16952897866367173</v>
      </c>
      <c r="G67" s="29">
        <f>VLOOKUP($B67, ind_mes!$B:$XFD, MATCH(gdp_ind_share!G$1, ind_mes!$B$1:$XFD$1, 0), 0)/VLOOKUP($B67, gdp_tot_mes!$B:$XFD, MATCH(gdp_ind_share!G$1, gdp_tot_mes!$B$1:$XFD$1, 0), 0)</f>
        <v>3.8767196295750664E-2</v>
      </c>
      <c r="H67" s="29">
        <f>VLOOKUP($B67, ind_mes!$B:$XFD, MATCH(gdp_ind_share!H$1, ind_mes!$B$1:$XFD$1, 0), 0)/VLOOKUP($B67, gdp_tot_mes!$B:$XFD, MATCH(gdp_ind_share!H$1, gdp_tot_mes!$B$1:$XFD$1, 0), 0)</f>
        <v>8.6691852419932353E-2</v>
      </c>
      <c r="I67" s="29">
        <f>VLOOKUP($B67, ind_mes!$B:$XFD, MATCH(gdp_ind_share!I$1, ind_mes!$B$1:$XFD$1, 0), 0)/VLOOKUP($B67, gdp_tot_mes!$B:$XFD, MATCH(gdp_ind_share!I$1, gdp_tot_mes!$B$1:$XFD$1, 0), 0)</f>
        <v>0.12276575908341815</v>
      </c>
      <c r="J67" s="29">
        <f>VLOOKUP($B67, ind_mes!$B:$XFD, MATCH(gdp_ind_share!J$1, ind_mes!$B$1:$XFD$1, 0), 0)/VLOOKUP($B67, gdp_tot_mes!$B:$XFD, MATCH(gdp_ind_share!J$1, gdp_tot_mes!$B$1:$XFD$1, 0), 0)</f>
        <v>0.11759739815248031</v>
      </c>
      <c r="K67" s="29">
        <f>VLOOKUP($B67, ind_mes!$B:$XFD, MATCH(gdp_ind_share!K$1, ind_mes!$B$1:$XFD$1, 0), 0)/VLOOKUP($B67, gdp_tot_mes!$B:$XFD, MATCH(gdp_ind_share!K$1, gdp_tot_mes!$B$1:$XFD$1, 0), 0)</f>
        <v>0.18099701665658718</v>
      </c>
      <c r="L67" s="30">
        <f t="shared" ref="L67:L130" si="1">K67+5*(M67-K67)/11</f>
        <v>0.12726001689413247</v>
      </c>
      <c r="M67" s="29">
        <f>VLOOKUP($B67, ind_mes!$B:$XFD, MATCH(gdp_ind_share!M$1, ind_mes!$B$1:$XFD$1, 0), 0)/VLOOKUP($B67, gdp_tot_mes!$B:$XFD, MATCH(gdp_ind_share!M$1, gdp_tot_mes!$B$1:$XFD$1, 0), 0)</f>
        <v>6.277561717918681E-2</v>
      </c>
      <c r="N67" s="29">
        <f>VLOOKUP($B67, ind_mes!$B:$XFD, MATCH(gdp_ind_share!N$1, ind_mes!$B$1:$XFD$1, 0), 0)/VLOOKUP($B67, gdp_tot_mes!$B:$XFD, MATCH(gdp_ind_share!N$1, gdp_tot_mes!$B$1:$XFD$1, 0), 0)</f>
        <v>8.4814785616019919E-2</v>
      </c>
      <c r="O67" s="29">
        <f>VLOOKUP($B67, ind_mes!$B:$XFD, MATCH(gdp_ind_share!O$1, ind_mes!$B$1:$XFD$1, 0), 0)/VLOOKUP($B67, gdp_tot_mes!$B:$XFD, MATCH(gdp_ind_share!O$1, gdp_tot_mes!$B$1:$XFD$1, 0), 0)</f>
        <v>8.0965414576713066E-2</v>
      </c>
      <c r="P67" s="29">
        <f>VLOOKUP($B67, ind_mes!$B:$XFD, MATCH(gdp_ind_share!P$1, ind_mes!$B$1:$XFD$1, 0), 0)/VLOOKUP($B67, gdp_tot_mes!$B:$XFD, MATCH(gdp_ind_share!P$1, gdp_tot_mes!$B$1:$XFD$1, 0), 0)</f>
        <v>0.11130773030126524</v>
      </c>
      <c r="Q67" s="29">
        <f>VLOOKUP($B67, ind_mes!$B:$XFD, MATCH(gdp_ind_share!Q$1, ind_mes!$B$1:$XFD$1, 0), 0)/VLOOKUP($B67, gdp_tot_mes!$B:$XFD, MATCH(gdp_ind_share!Q$1, gdp_tot_mes!$B$1:$XFD$1, 0), 0)</f>
        <v>0.13356325254670032</v>
      </c>
      <c r="R67" s="29">
        <f>VLOOKUP($B67, ind_mes!$B:$XFD, MATCH(gdp_ind_share!R$1, ind_mes!$B$1:$XFD$1, 0), 0)/VLOOKUP($B67, gdp_tot_mes!$B:$XFD, MATCH(gdp_ind_share!R$1, gdp_tot_mes!$B$1:$XFD$1, 0), 0)</f>
        <v>0.12126248870592997</v>
      </c>
      <c r="S67" s="29">
        <f>VLOOKUP($B67, ind_mes!$B:$XFD, MATCH(gdp_ind_share!S$1, ind_mes!$B$1:$XFD$1, 0), 0)/VLOOKUP($B67, gdp_tot_mes!$B:$XFD, MATCH(gdp_ind_share!S$1, gdp_tot_mes!$B$1:$XFD$1, 0), 0)</f>
        <v>0.16995699297668188</v>
      </c>
      <c r="T67" s="29">
        <f>VLOOKUP($B67, ind_mes!$B:$XFD, MATCH(gdp_ind_share!T$1, ind_mes!$B$1:$XFD$1, 0), 0)/VLOOKUP($B67, gdp_tot_mes!$B:$XFD, MATCH(gdp_ind_share!T$1, gdp_tot_mes!$B$1:$XFD$1, 0), 0)</f>
        <v>0.17271951734225996</v>
      </c>
      <c r="U67" s="29">
        <f>VLOOKUP($B67, ind_mes!$B:$XFD, MATCH(gdp_ind_share!U$1, ind_mes!$B$1:$XFD$1, 0), 0)/VLOOKUP($B67, gdp_tot_mes!$B:$XFD, MATCH(gdp_ind_share!U$1, gdp_tot_mes!$B$1:$XFD$1, 0), 0)</f>
        <v>0.18030415637405695</v>
      </c>
      <c r="V67" s="29">
        <f>VLOOKUP($B67, ind_mes!$B:$XFD, MATCH(gdp_ind_share!V$1, ind_mes!$B$1:$XFD$1, 0), 0)/VLOOKUP($B67, gdp_tot_mes!$B:$XFD, MATCH(gdp_ind_share!V$1, gdp_tot_mes!$B$1:$XFD$1, 0), 0)</f>
        <v>0.20756246110346774</v>
      </c>
      <c r="W67" s="29">
        <f>VLOOKUP($B67, ind_mes!$B:$XFD, MATCH(gdp_ind_share!W$1, ind_mes!$B$1:$XFD$1, 0), 0)/VLOOKUP($B67, gdp_tot_mes!$B:$XFD, MATCH(gdp_ind_share!W$1, gdp_tot_mes!$B$1:$XFD$1, 0), 0)</f>
        <v>0.17791922116281794</v>
      </c>
      <c r="X67" s="29">
        <f>VLOOKUP($B67, ind_mes!$B:$XFD, MATCH(gdp_ind_share!X$1, ind_mes!$B$1:$XFD$1, 0), 0)/VLOOKUP($B67, gdp_tot_mes!$B:$XFD, MATCH(gdp_ind_share!X$1, gdp_tot_mes!$B$1:$XFD$1, 0), 0)</f>
        <v>0.13606402637444423</v>
      </c>
      <c r="Y67" s="29">
        <f>VLOOKUP($B67, ind_mes!$B:$XFD, MATCH(gdp_ind_share!Y$1, ind_mes!$B$1:$XFD$1, 0), 0)/VLOOKUP($B67, gdp_tot_mes!$B:$XFD, MATCH(gdp_ind_share!Y$1, gdp_tot_mes!$B$1:$XFD$1, 0), 0)</f>
        <v>0.21820366776588396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x14ac:dyDescent="0.25">
      <c r="A68" s="1" t="s">
        <v>158</v>
      </c>
      <c r="B68" s="1" t="s">
        <v>169</v>
      </c>
      <c r="C68" s="1" t="s">
        <v>170</v>
      </c>
      <c r="D68" s="29">
        <f>VLOOKUP($B68, ind_mes!$B:$XFD, MATCH(gdp_ind_share!D$1, ind_mes!$B$1:$XFD$1, 0), 0)/VLOOKUP($B68, gdp_tot_mes!$B:$XFD, MATCH(gdp_ind_share!D$1, gdp_tot_mes!$B$1:$XFD$1, 0), 0)</f>
        <v>7.0910541356972001E-2</v>
      </c>
      <c r="E68" s="29">
        <f>VLOOKUP($B68, ind_mes!$B:$XFD, MATCH(gdp_ind_share!E$1, ind_mes!$B$1:$XFD$1, 0), 0)/VLOOKUP($B68, gdp_tot_mes!$B:$XFD, MATCH(gdp_ind_share!E$1, gdp_tot_mes!$B$1:$XFD$1, 0), 0)</f>
        <v>1.1975750629231664E-2</v>
      </c>
      <c r="F68" s="29">
        <f>VLOOKUP($B68, ind_mes!$B:$XFD, MATCH(gdp_ind_share!F$1, ind_mes!$B$1:$XFD$1, 0), 0)/VLOOKUP($B68, gdp_tot_mes!$B:$XFD, MATCH(gdp_ind_share!F$1, gdp_tot_mes!$B$1:$XFD$1, 0), 0)</f>
        <v>1.210129137686943E-2</v>
      </c>
      <c r="G68" s="29">
        <f>VLOOKUP($B68, ind_mes!$B:$XFD, MATCH(gdp_ind_share!G$1, ind_mes!$B$1:$XFD$1, 0), 0)/VLOOKUP($B68, gdp_tot_mes!$B:$XFD, MATCH(gdp_ind_share!G$1, gdp_tot_mes!$B$1:$XFD$1, 0), 0)</f>
        <v>6.9000243296053448E-2</v>
      </c>
      <c r="H68" s="29">
        <f>VLOOKUP($B68, ind_mes!$B:$XFD, MATCH(gdp_ind_share!H$1, ind_mes!$B$1:$XFD$1, 0), 0)/VLOOKUP($B68, gdp_tot_mes!$B:$XFD, MATCH(gdp_ind_share!H$1, gdp_tot_mes!$B$1:$XFD$1, 0), 0)</f>
        <v>9.4827763708486404E-2</v>
      </c>
      <c r="I68" s="29">
        <f>VLOOKUP($B68, ind_mes!$B:$XFD, MATCH(gdp_ind_share!I$1, ind_mes!$B$1:$XFD$1, 0), 0)/VLOOKUP($B68, gdp_tot_mes!$B:$XFD, MATCH(gdp_ind_share!I$1, gdp_tot_mes!$B$1:$XFD$1, 0), 0)</f>
        <v>0.20361807371357729</v>
      </c>
      <c r="J68" s="29">
        <f>VLOOKUP($B68, ind_mes!$B:$XFD, MATCH(gdp_ind_share!J$1, ind_mes!$B$1:$XFD$1, 0), 0)/VLOOKUP($B68, gdp_tot_mes!$B:$XFD, MATCH(gdp_ind_share!J$1, gdp_tot_mes!$B$1:$XFD$1, 0), 0)</f>
        <v>0.34093854231353582</v>
      </c>
      <c r="K68" s="29">
        <f>VLOOKUP($B68, ind_mes!$B:$XFD, MATCH(gdp_ind_share!K$1, ind_mes!$B$1:$XFD$1, 0), 0)/VLOOKUP($B68, gdp_tot_mes!$B:$XFD, MATCH(gdp_ind_share!K$1, gdp_tot_mes!$B$1:$XFD$1, 0), 0)</f>
        <v>0.28357110701096305</v>
      </c>
      <c r="L68" s="30">
        <f t="shared" si="1"/>
        <v>0.32978495552505899</v>
      </c>
      <c r="M68" s="29">
        <f>VLOOKUP($B68, ind_mes!$B:$XFD, MATCH(gdp_ind_share!M$1, ind_mes!$B$1:$XFD$1, 0), 0)/VLOOKUP($B68, gdp_tot_mes!$B:$XFD, MATCH(gdp_ind_share!M$1, gdp_tot_mes!$B$1:$XFD$1, 0), 0)</f>
        <v>0.38524157374197415</v>
      </c>
      <c r="N68" s="29">
        <f>VLOOKUP($B68, ind_mes!$B:$XFD, MATCH(gdp_ind_share!N$1, ind_mes!$B$1:$XFD$1, 0), 0)/VLOOKUP($B68, gdp_tot_mes!$B:$XFD, MATCH(gdp_ind_share!N$1, gdp_tot_mes!$B$1:$XFD$1, 0), 0)</f>
        <v>0.31949289872613279</v>
      </c>
      <c r="O68" s="29">
        <f>VLOOKUP($B68, ind_mes!$B:$XFD, MATCH(gdp_ind_share!O$1, ind_mes!$B$1:$XFD$1, 0), 0)/VLOOKUP($B68, gdp_tot_mes!$B:$XFD, MATCH(gdp_ind_share!O$1, gdp_tot_mes!$B$1:$XFD$1, 0), 0)</f>
        <v>0.3842891639150946</v>
      </c>
      <c r="P68" s="29">
        <f>VLOOKUP($B68, ind_mes!$B:$XFD, MATCH(gdp_ind_share!P$1, ind_mes!$B$1:$XFD$1, 0), 0)/VLOOKUP($B68, gdp_tot_mes!$B:$XFD, MATCH(gdp_ind_share!P$1, gdp_tot_mes!$B$1:$XFD$1, 0), 0)</f>
        <v>0.40087072835946258</v>
      </c>
      <c r="Q68" s="29">
        <f>VLOOKUP($B68, ind_mes!$B:$XFD, MATCH(gdp_ind_share!Q$1, ind_mes!$B$1:$XFD$1, 0), 0)/VLOOKUP($B68, gdp_tot_mes!$B:$XFD, MATCH(gdp_ind_share!Q$1, gdp_tot_mes!$B$1:$XFD$1, 0), 0)</f>
        <v>0.36713744588253056</v>
      </c>
      <c r="R68" s="29">
        <f>VLOOKUP($B68, ind_mes!$B:$XFD, MATCH(gdp_ind_share!R$1, ind_mes!$B$1:$XFD$1, 0), 0)/VLOOKUP($B68, gdp_tot_mes!$B:$XFD, MATCH(gdp_ind_share!R$1, gdp_tot_mes!$B$1:$XFD$1, 0), 0)</f>
        <v>0.34464093702345011</v>
      </c>
      <c r="S68" s="29">
        <f>VLOOKUP($B68, ind_mes!$B:$XFD, MATCH(gdp_ind_share!S$1, ind_mes!$B$1:$XFD$1, 0), 0)/VLOOKUP($B68, gdp_tot_mes!$B:$XFD, MATCH(gdp_ind_share!S$1, gdp_tot_mes!$B$1:$XFD$1, 0), 0)</f>
        <v>0.40456776048765009</v>
      </c>
      <c r="T68" s="29">
        <f>VLOOKUP($B68, ind_mes!$B:$XFD, MATCH(gdp_ind_share!T$1, ind_mes!$B$1:$XFD$1, 0), 0)/VLOOKUP($B68, gdp_tot_mes!$B:$XFD, MATCH(gdp_ind_share!T$1, gdp_tot_mes!$B$1:$XFD$1, 0), 0)</f>
        <v>0.39627866761354441</v>
      </c>
      <c r="U68" s="29">
        <f>VLOOKUP($B68, ind_mes!$B:$XFD, MATCH(gdp_ind_share!U$1, ind_mes!$B$1:$XFD$1, 0), 0)/VLOOKUP($B68, gdp_tot_mes!$B:$XFD, MATCH(gdp_ind_share!U$1, gdp_tot_mes!$B$1:$XFD$1, 0), 0)</f>
        <v>0.40331052979939741</v>
      </c>
      <c r="V68" s="29">
        <f>VLOOKUP($B68, ind_mes!$B:$XFD, MATCH(gdp_ind_share!V$1, ind_mes!$B$1:$XFD$1, 0), 0)/VLOOKUP($B68, gdp_tot_mes!$B:$XFD, MATCH(gdp_ind_share!V$1, gdp_tot_mes!$B$1:$XFD$1, 0), 0)</f>
        <v>0.38160140211107774</v>
      </c>
      <c r="W68" s="29">
        <f>VLOOKUP($B68, ind_mes!$B:$XFD, MATCH(gdp_ind_share!W$1, ind_mes!$B$1:$XFD$1, 0), 0)/VLOOKUP($B68, gdp_tot_mes!$B:$XFD, MATCH(gdp_ind_share!W$1, gdp_tot_mes!$B$1:$XFD$1, 0), 0)</f>
        <v>0.48904933033794118</v>
      </c>
      <c r="X68" s="29">
        <f>VLOOKUP($B68, ind_mes!$B:$XFD, MATCH(gdp_ind_share!X$1, ind_mes!$B$1:$XFD$1, 0), 0)/VLOOKUP($B68, gdp_tot_mes!$B:$XFD, MATCH(gdp_ind_share!X$1, gdp_tot_mes!$B$1:$XFD$1, 0), 0)</f>
        <v>0.37887925510533527</v>
      </c>
      <c r="Y68" s="29">
        <f>VLOOKUP($B68, ind_mes!$B:$XFD, MATCH(gdp_ind_share!Y$1, ind_mes!$B$1:$XFD$1, 0), 0)/VLOOKUP($B68, gdp_tot_mes!$B:$XFD, MATCH(gdp_ind_share!Y$1, gdp_tot_mes!$B$1:$XFD$1, 0), 0)</f>
        <v>0.57171982998323667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25">
      <c r="A69" s="1" t="s">
        <v>171</v>
      </c>
      <c r="B69" s="1" t="s">
        <v>172</v>
      </c>
      <c r="C69" s="1" t="s">
        <v>173</v>
      </c>
      <c r="D69" s="29">
        <f>VLOOKUP($B69, ind_mes!$B:$XFD, MATCH(gdp_ind_share!D$1, ind_mes!$B$1:$XFD$1, 0), 0)/VLOOKUP($B69, gdp_tot_mes!$B:$XFD, MATCH(gdp_ind_share!D$1, gdp_tot_mes!$B$1:$XFD$1, 0), 0)</f>
        <v>0.19337899244140178</v>
      </c>
      <c r="E69" s="29">
        <f>VLOOKUP($B69, ind_mes!$B:$XFD, MATCH(gdp_ind_share!E$1, ind_mes!$B$1:$XFD$1, 0), 0)/VLOOKUP($B69, gdp_tot_mes!$B:$XFD, MATCH(gdp_ind_share!E$1, gdp_tot_mes!$B$1:$XFD$1, 0), 0)</f>
        <v>9.7542520699828619E-2</v>
      </c>
      <c r="F69" s="29">
        <f>VLOOKUP($B69, ind_mes!$B:$XFD, MATCH(gdp_ind_share!F$1, ind_mes!$B$1:$XFD$1, 0), 0)/VLOOKUP($B69, gdp_tot_mes!$B:$XFD, MATCH(gdp_ind_share!F$1, gdp_tot_mes!$B$1:$XFD$1, 0), 0)</f>
        <v>4.429228004650676E-2</v>
      </c>
      <c r="G69" s="29">
        <f>VLOOKUP($B69, ind_mes!$B:$XFD, MATCH(gdp_ind_share!G$1, ind_mes!$B$1:$XFD$1, 0), 0)/VLOOKUP($B69, gdp_tot_mes!$B:$XFD, MATCH(gdp_ind_share!G$1, gdp_tot_mes!$B$1:$XFD$1, 0), 0)</f>
        <v>0.13474311072938275</v>
      </c>
      <c r="H69" s="29">
        <f>VLOOKUP($B69, ind_mes!$B:$XFD, MATCH(gdp_ind_share!H$1, ind_mes!$B$1:$XFD$1, 0), 0)/VLOOKUP($B69, gdp_tot_mes!$B:$XFD, MATCH(gdp_ind_share!H$1, gdp_tot_mes!$B$1:$XFD$1, 0), 0)</f>
        <v>0.1570535109232683</v>
      </c>
      <c r="I69" s="29">
        <f>VLOOKUP($B69, ind_mes!$B:$XFD, MATCH(gdp_ind_share!I$1, ind_mes!$B$1:$XFD$1, 0), 0)/VLOOKUP($B69, gdp_tot_mes!$B:$XFD, MATCH(gdp_ind_share!I$1, gdp_tot_mes!$B$1:$XFD$1, 0), 0)</f>
        <v>0.18092316331494512</v>
      </c>
      <c r="J69" s="29">
        <f>VLOOKUP($B69, ind_mes!$B:$XFD, MATCH(gdp_ind_share!J$1, ind_mes!$B$1:$XFD$1, 0), 0)/VLOOKUP($B69, gdp_tot_mes!$B:$XFD, MATCH(gdp_ind_share!J$1, gdp_tot_mes!$B$1:$XFD$1, 0), 0)</f>
        <v>0.16510043399780575</v>
      </c>
      <c r="K69" s="29">
        <f>VLOOKUP($B69, ind_mes!$B:$XFD, MATCH(gdp_ind_share!K$1, ind_mes!$B$1:$XFD$1, 0), 0)/VLOOKUP($B69, gdp_tot_mes!$B:$XFD, MATCH(gdp_ind_share!K$1, gdp_tot_mes!$B$1:$XFD$1, 0), 0)</f>
        <v>0.11346875021452203</v>
      </c>
      <c r="L69" s="30">
        <f t="shared" si="1"/>
        <v>7.767805049853424E-2</v>
      </c>
      <c r="M69" s="29">
        <f>VLOOKUP($B69, ind_mes!$B:$XFD, MATCH(gdp_ind_share!M$1, ind_mes!$B$1:$XFD$1, 0), 0)/VLOOKUP($B69, gdp_tot_mes!$B:$XFD, MATCH(gdp_ind_share!M$1, gdp_tot_mes!$B$1:$XFD$1, 0), 0)</f>
        <v>3.4729210839348892E-2</v>
      </c>
      <c r="N69" s="29">
        <f>VLOOKUP($B69, ind_mes!$B:$XFD, MATCH(gdp_ind_share!N$1, ind_mes!$B$1:$XFD$1, 0), 0)/VLOOKUP($B69, gdp_tot_mes!$B:$XFD, MATCH(gdp_ind_share!N$1, gdp_tot_mes!$B$1:$XFD$1, 0), 0)</f>
        <v>0.10371259673430376</v>
      </c>
      <c r="O69" s="29">
        <f>VLOOKUP($B69, ind_mes!$B:$XFD, MATCH(gdp_ind_share!O$1, ind_mes!$B$1:$XFD$1, 0), 0)/VLOOKUP($B69, gdp_tot_mes!$B:$XFD, MATCH(gdp_ind_share!O$1, gdp_tot_mes!$B$1:$XFD$1, 0), 0)</f>
        <v>0.10464255352708103</v>
      </c>
      <c r="P69" s="29">
        <f>VLOOKUP($B69, ind_mes!$B:$XFD, MATCH(gdp_ind_share!P$1, ind_mes!$B$1:$XFD$1, 0), 0)/VLOOKUP($B69, gdp_tot_mes!$B:$XFD, MATCH(gdp_ind_share!P$1, gdp_tot_mes!$B$1:$XFD$1, 0), 0)</f>
        <v>0.12334620658197987</v>
      </c>
      <c r="Q69" s="29">
        <f>VLOOKUP($B69, ind_mes!$B:$XFD, MATCH(gdp_ind_share!Q$1, ind_mes!$B$1:$XFD$1, 0), 0)/VLOOKUP($B69, gdp_tot_mes!$B:$XFD, MATCH(gdp_ind_share!Q$1, gdp_tot_mes!$B$1:$XFD$1, 0), 0)</f>
        <v>6.9894335477583128E-2</v>
      </c>
      <c r="R69" s="29">
        <f>VLOOKUP($B69, ind_mes!$B:$XFD, MATCH(gdp_ind_share!R$1, ind_mes!$B$1:$XFD$1, 0), 0)/VLOOKUP($B69, gdp_tot_mes!$B:$XFD, MATCH(gdp_ind_share!R$1, gdp_tot_mes!$B$1:$XFD$1, 0), 0)</f>
        <v>7.4275327691239207E-2</v>
      </c>
      <c r="S69" s="29">
        <f>VLOOKUP($B69, ind_mes!$B:$XFD, MATCH(gdp_ind_share!S$1, ind_mes!$B$1:$XFD$1, 0), 0)/VLOOKUP($B69, gdp_tot_mes!$B:$XFD, MATCH(gdp_ind_share!S$1, gdp_tot_mes!$B$1:$XFD$1, 0), 0)</f>
        <v>8.2019687421696907E-2</v>
      </c>
      <c r="T69" s="29">
        <f>VLOOKUP($B69, ind_mes!$B:$XFD, MATCH(gdp_ind_share!T$1, ind_mes!$B$1:$XFD$1, 0), 0)/VLOOKUP($B69, gdp_tot_mes!$B:$XFD, MATCH(gdp_ind_share!T$1, gdp_tot_mes!$B$1:$XFD$1, 0), 0)</f>
        <v>7.2731448389013367E-2</v>
      </c>
      <c r="U69" s="29">
        <f>VLOOKUP($B69, ind_mes!$B:$XFD, MATCH(gdp_ind_share!U$1, ind_mes!$B$1:$XFD$1, 0), 0)/VLOOKUP($B69, gdp_tot_mes!$B:$XFD, MATCH(gdp_ind_share!U$1, gdp_tot_mes!$B$1:$XFD$1, 0), 0)</f>
        <v>6.7008003188393755E-2</v>
      </c>
      <c r="V69" s="29">
        <f>VLOOKUP($B69, ind_mes!$B:$XFD, MATCH(gdp_ind_share!V$1, ind_mes!$B$1:$XFD$1, 0), 0)/VLOOKUP($B69, gdp_tot_mes!$B:$XFD, MATCH(gdp_ind_share!V$1, gdp_tot_mes!$B$1:$XFD$1, 0), 0)</f>
        <v>6.7641537386351772E-2</v>
      </c>
      <c r="W69" s="29">
        <f>VLOOKUP($B69, ind_mes!$B:$XFD, MATCH(gdp_ind_share!W$1, ind_mes!$B$1:$XFD$1, 0), 0)/VLOOKUP($B69, gdp_tot_mes!$B:$XFD, MATCH(gdp_ind_share!W$1, gdp_tot_mes!$B$1:$XFD$1, 0), 0)</f>
        <v>6.4492757128822242E-2</v>
      </c>
      <c r="X69" s="29">
        <f>VLOOKUP($B69, ind_mes!$B:$XFD, MATCH(gdp_ind_share!X$1, ind_mes!$B$1:$XFD$1, 0), 0)/VLOOKUP($B69, gdp_tot_mes!$B:$XFD, MATCH(gdp_ind_share!X$1, gdp_tot_mes!$B$1:$XFD$1, 0), 0)</f>
        <v>7.2668754902887406E-2</v>
      </c>
      <c r="Y69" s="29">
        <f>VLOOKUP($B69, ind_mes!$B:$XFD, MATCH(gdp_ind_share!Y$1, ind_mes!$B$1:$XFD$1, 0), 0)/VLOOKUP($B69, gdp_tot_mes!$B:$XFD, MATCH(gdp_ind_share!Y$1, gdp_tot_mes!$B$1:$XFD$1, 0), 0)</f>
        <v>8.5294316781599142E-2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x14ac:dyDescent="0.25">
      <c r="A70" s="1" t="s">
        <v>171</v>
      </c>
      <c r="B70" s="1" t="s">
        <v>174</v>
      </c>
      <c r="C70" s="1" t="s">
        <v>175</v>
      </c>
      <c r="D70" s="29">
        <f>VLOOKUP($B70, ind_mes!$B:$XFD, MATCH(gdp_ind_share!D$1, ind_mes!$B$1:$XFD$1, 0), 0)/VLOOKUP($B70, gdp_tot_mes!$B:$XFD, MATCH(gdp_ind_share!D$1, gdp_tot_mes!$B$1:$XFD$1, 0), 0)</f>
        <v>8.6860696227756731E-2</v>
      </c>
      <c r="E70" s="29">
        <f>VLOOKUP($B70, ind_mes!$B:$XFD, MATCH(gdp_ind_share!E$1, ind_mes!$B$1:$XFD$1, 0), 0)/VLOOKUP($B70, gdp_tot_mes!$B:$XFD, MATCH(gdp_ind_share!E$1, gdp_tot_mes!$B$1:$XFD$1, 0), 0)</f>
        <v>0.1199159401648188</v>
      </c>
      <c r="F70" s="29">
        <f>VLOOKUP($B70, ind_mes!$B:$XFD, MATCH(gdp_ind_share!F$1, ind_mes!$B$1:$XFD$1, 0), 0)/VLOOKUP($B70, gdp_tot_mes!$B:$XFD, MATCH(gdp_ind_share!F$1, gdp_tot_mes!$B$1:$XFD$1, 0), 0)</f>
        <v>6.4302393636541749E-2</v>
      </c>
      <c r="G70" s="29">
        <f>VLOOKUP($B70, ind_mes!$B:$XFD, MATCH(gdp_ind_share!G$1, ind_mes!$B$1:$XFD$1, 0), 0)/VLOOKUP($B70, gdp_tot_mes!$B:$XFD, MATCH(gdp_ind_share!G$1, gdp_tot_mes!$B$1:$XFD$1, 0), 0)</f>
        <v>6.5650790437260159E-2</v>
      </c>
      <c r="H70" s="29">
        <f>VLOOKUP($B70, ind_mes!$B:$XFD, MATCH(gdp_ind_share!H$1, ind_mes!$B$1:$XFD$1, 0), 0)/VLOOKUP($B70, gdp_tot_mes!$B:$XFD, MATCH(gdp_ind_share!H$1, gdp_tot_mes!$B$1:$XFD$1, 0), 0)</f>
        <v>0.11435840923297662</v>
      </c>
      <c r="I70" s="29">
        <f>VLOOKUP($B70, ind_mes!$B:$XFD, MATCH(gdp_ind_share!I$1, ind_mes!$B$1:$XFD$1, 0), 0)/VLOOKUP($B70, gdp_tot_mes!$B:$XFD, MATCH(gdp_ind_share!I$1, gdp_tot_mes!$B$1:$XFD$1, 0), 0)</f>
        <v>0.10929896169938551</v>
      </c>
      <c r="J70" s="29">
        <f>VLOOKUP($B70, ind_mes!$B:$XFD, MATCH(gdp_ind_share!J$1, ind_mes!$B$1:$XFD$1, 0), 0)/VLOOKUP($B70, gdp_tot_mes!$B:$XFD, MATCH(gdp_ind_share!J$1, gdp_tot_mes!$B$1:$XFD$1, 0), 0)</f>
        <v>0.14588202791648966</v>
      </c>
      <c r="K70" s="29">
        <f>VLOOKUP($B70, ind_mes!$B:$XFD, MATCH(gdp_ind_share!K$1, ind_mes!$B$1:$XFD$1, 0), 0)/VLOOKUP($B70, gdp_tot_mes!$B:$XFD, MATCH(gdp_ind_share!K$1, gdp_tot_mes!$B$1:$XFD$1, 0), 0)</f>
        <v>0.11096281439253795</v>
      </c>
      <c r="L70" s="30">
        <f t="shared" si="1"/>
        <v>7.0062991847406608E-2</v>
      </c>
      <c r="M70" s="29">
        <f>VLOOKUP($B70, ind_mes!$B:$XFD, MATCH(gdp_ind_share!M$1, ind_mes!$B$1:$XFD$1, 0), 0)/VLOOKUP($B70, gdp_tot_mes!$B:$XFD, MATCH(gdp_ind_share!M$1, gdp_tot_mes!$B$1:$XFD$1, 0), 0)</f>
        <v>2.0983204793248982E-2</v>
      </c>
      <c r="N70" s="29">
        <f>VLOOKUP($B70, ind_mes!$B:$XFD, MATCH(gdp_ind_share!N$1, ind_mes!$B$1:$XFD$1, 0), 0)/VLOOKUP($B70, gdp_tot_mes!$B:$XFD, MATCH(gdp_ind_share!N$1, gdp_tot_mes!$B$1:$XFD$1, 0), 0)</f>
        <v>7.7196143299626166E-2</v>
      </c>
      <c r="O70" s="29">
        <f>VLOOKUP($B70, ind_mes!$B:$XFD, MATCH(gdp_ind_share!O$1, ind_mes!$B$1:$XFD$1, 0), 0)/VLOOKUP($B70, gdp_tot_mes!$B:$XFD, MATCH(gdp_ind_share!O$1, gdp_tot_mes!$B$1:$XFD$1, 0), 0)</f>
        <v>7.7637619970251218E-2</v>
      </c>
      <c r="P70" s="29">
        <f>VLOOKUP($B70, ind_mes!$B:$XFD, MATCH(gdp_ind_share!P$1, ind_mes!$B$1:$XFD$1, 0), 0)/VLOOKUP($B70, gdp_tot_mes!$B:$XFD, MATCH(gdp_ind_share!P$1, gdp_tot_mes!$B$1:$XFD$1, 0), 0)</f>
        <v>0.11704644789634</v>
      </c>
      <c r="Q70" s="29">
        <f>VLOOKUP($B70, ind_mes!$B:$XFD, MATCH(gdp_ind_share!Q$1, ind_mes!$B$1:$XFD$1, 0), 0)/VLOOKUP($B70, gdp_tot_mes!$B:$XFD, MATCH(gdp_ind_share!Q$1, gdp_tot_mes!$B$1:$XFD$1, 0), 0)</f>
        <v>6.0420393665944774E-2</v>
      </c>
      <c r="R70" s="29">
        <f>VLOOKUP($B70, ind_mes!$B:$XFD, MATCH(gdp_ind_share!R$1, ind_mes!$B$1:$XFD$1, 0), 0)/VLOOKUP($B70, gdp_tot_mes!$B:$XFD, MATCH(gdp_ind_share!R$1, gdp_tot_mes!$B$1:$XFD$1, 0), 0)</f>
        <v>6.933985498854886E-2</v>
      </c>
      <c r="S70" s="29">
        <f>VLOOKUP($B70, ind_mes!$B:$XFD, MATCH(gdp_ind_share!S$1, ind_mes!$B$1:$XFD$1, 0), 0)/VLOOKUP($B70, gdp_tot_mes!$B:$XFD, MATCH(gdp_ind_share!S$1, gdp_tot_mes!$B$1:$XFD$1, 0), 0)</f>
        <v>8.0565632638799983E-2</v>
      </c>
      <c r="T70" s="29">
        <f>VLOOKUP($B70, ind_mes!$B:$XFD, MATCH(gdp_ind_share!T$1, ind_mes!$B$1:$XFD$1, 0), 0)/VLOOKUP($B70, gdp_tot_mes!$B:$XFD, MATCH(gdp_ind_share!T$1, gdp_tot_mes!$B$1:$XFD$1, 0), 0)</f>
        <v>6.7531259895007315E-2</v>
      </c>
      <c r="U70" s="29">
        <f>VLOOKUP($B70, ind_mes!$B:$XFD, MATCH(gdp_ind_share!U$1, ind_mes!$B$1:$XFD$1, 0), 0)/VLOOKUP($B70, gdp_tot_mes!$B:$XFD, MATCH(gdp_ind_share!U$1, gdp_tot_mes!$B$1:$XFD$1, 0), 0)</f>
        <v>7.0277388736225813E-2</v>
      </c>
      <c r="V70" s="29">
        <f>VLOOKUP($B70, ind_mes!$B:$XFD, MATCH(gdp_ind_share!V$1, ind_mes!$B$1:$XFD$1, 0), 0)/VLOOKUP($B70, gdp_tot_mes!$B:$XFD, MATCH(gdp_ind_share!V$1, gdp_tot_mes!$B$1:$XFD$1, 0), 0)</f>
        <v>6.5924266473654597E-2</v>
      </c>
      <c r="W70" s="29">
        <f>VLOOKUP($B70, ind_mes!$B:$XFD, MATCH(gdp_ind_share!W$1, ind_mes!$B$1:$XFD$1, 0), 0)/VLOOKUP($B70, gdp_tot_mes!$B:$XFD, MATCH(gdp_ind_share!W$1, gdp_tot_mes!$B$1:$XFD$1, 0), 0)</f>
        <v>5.6650178618408133E-2</v>
      </c>
      <c r="X70" s="29">
        <f>VLOOKUP($B70, ind_mes!$B:$XFD, MATCH(gdp_ind_share!X$1, ind_mes!$B$1:$XFD$1, 0), 0)/VLOOKUP($B70, gdp_tot_mes!$B:$XFD, MATCH(gdp_ind_share!X$1, gdp_tot_mes!$B$1:$XFD$1, 0), 0)</f>
        <v>5.7394161917184619E-2</v>
      </c>
      <c r="Y70" s="29">
        <f>VLOOKUP($B70, ind_mes!$B:$XFD, MATCH(gdp_ind_share!Y$1, ind_mes!$B$1:$XFD$1, 0), 0)/VLOOKUP($B70, gdp_tot_mes!$B:$XFD, MATCH(gdp_ind_share!Y$1, gdp_tot_mes!$B$1:$XFD$1, 0), 0)</f>
        <v>6.8788928908368907E-2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x14ac:dyDescent="0.25">
      <c r="A71" s="1" t="s">
        <v>171</v>
      </c>
      <c r="B71" s="1" t="s">
        <v>176</v>
      </c>
      <c r="C71" s="1" t="s">
        <v>177</v>
      </c>
      <c r="D71" s="29">
        <f>VLOOKUP($B71, ind_mes!$B:$XFD, MATCH(gdp_ind_share!D$1, ind_mes!$B$1:$XFD$1, 0), 0)/VLOOKUP($B71, gdp_tot_mes!$B:$XFD, MATCH(gdp_ind_share!D$1, gdp_tot_mes!$B$1:$XFD$1, 0), 0)</f>
        <v>6.3716159290142294E-2</v>
      </c>
      <c r="E71" s="29">
        <f>VLOOKUP($B71, ind_mes!$B:$XFD, MATCH(gdp_ind_share!E$1, ind_mes!$B$1:$XFD$1, 0), 0)/VLOOKUP($B71, gdp_tot_mes!$B:$XFD, MATCH(gdp_ind_share!E$1, gdp_tot_mes!$B$1:$XFD$1, 0), 0)</f>
        <v>5.2707068491379482E-2</v>
      </c>
      <c r="F71" s="29">
        <f>VLOOKUP($B71, ind_mes!$B:$XFD, MATCH(gdp_ind_share!F$1, ind_mes!$B$1:$XFD$1, 0), 0)/VLOOKUP($B71, gdp_tot_mes!$B:$XFD, MATCH(gdp_ind_share!F$1, gdp_tot_mes!$B$1:$XFD$1, 0), 0)</f>
        <v>0.12376618001263211</v>
      </c>
      <c r="G71" s="29">
        <f>VLOOKUP($B71, ind_mes!$B:$XFD, MATCH(gdp_ind_share!G$1, ind_mes!$B$1:$XFD$1, 0), 0)/VLOOKUP($B71, gdp_tot_mes!$B:$XFD, MATCH(gdp_ind_share!G$1, gdp_tot_mes!$B$1:$XFD$1, 0), 0)</f>
        <v>0.10575094498467881</v>
      </c>
      <c r="H71" s="29">
        <f>VLOOKUP($B71, ind_mes!$B:$XFD, MATCH(gdp_ind_share!H$1, ind_mes!$B$1:$XFD$1, 0), 0)/VLOOKUP($B71, gdp_tot_mes!$B:$XFD, MATCH(gdp_ind_share!H$1, gdp_tot_mes!$B$1:$XFD$1, 0), 0)</f>
        <v>0.21919867191186163</v>
      </c>
      <c r="I71" s="29">
        <f>VLOOKUP($B71, ind_mes!$B:$XFD, MATCH(gdp_ind_share!I$1, ind_mes!$B$1:$XFD$1, 0), 0)/VLOOKUP($B71, gdp_tot_mes!$B:$XFD, MATCH(gdp_ind_share!I$1, gdp_tot_mes!$B$1:$XFD$1, 0), 0)</f>
        <v>0.27236129658206881</v>
      </c>
      <c r="J71" s="29">
        <f>VLOOKUP($B71, ind_mes!$B:$XFD, MATCH(gdp_ind_share!J$1, ind_mes!$B$1:$XFD$1, 0), 0)/VLOOKUP($B71, gdp_tot_mes!$B:$XFD, MATCH(gdp_ind_share!J$1, gdp_tot_mes!$B$1:$XFD$1, 0), 0)</f>
        <v>0.2613250746511529</v>
      </c>
      <c r="K71" s="29">
        <f>VLOOKUP($B71, ind_mes!$B:$XFD, MATCH(gdp_ind_share!K$1, ind_mes!$B$1:$XFD$1, 0), 0)/VLOOKUP($B71, gdp_tot_mes!$B:$XFD, MATCH(gdp_ind_share!K$1, gdp_tot_mes!$B$1:$XFD$1, 0), 0)</f>
        <v>0.25364316573729523</v>
      </c>
      <c r="L71" s="30">
        <f t="shared" si="1"/>
        <v>0.21131655700174901</v>
      </c>
      <c r="M71" s="29">
        <f>VLOOKUP($B71, ind_mes!$B:$XFD, MATCH(gdp_ind_share!M$1, ind_mes!$B$1:$XFD$1, 0), 0)/VLOOKUP($B71, gdp_tot_mes!$B:$XFD, MATCH(gdp_ind_share!M$1, gdp_tot_mes!$B$1:$XFD$1, 0), 0)</f>
        <v>0.16052462651909355</v>
      </c>
      <c r="N71" s="29">
        <f>VLOOKUP($B71, ind_mes!$B:$XFD, MATCH(gdp_ind_share!N$1, ind_mes!$B$1:$XFD$1, 0), 0)/VLOOKUP($B71, gdp_tot_mes!$B:$XFD, MATCH(gdp_ind_share!N$1, gdp_tot_mes!$B$1:$XFD$1, 0), 0)</f>
        <v>0.15532984484103729</v>
      </c>
      <c r="O71" s="29">
        <f>VLOOKUP($B71, ind_mes!$B:$XFD, MATCH(gdp_ind_share!O$1, ind_mes!$B$1:$XFD$1, 0), 0)/VLOOKUP($B71, gdp_tot_mes!$B:$XFD, MATCH(gdp_ind_share!O$1, gdp_tot_mes!$B$1:$XFD$1, 0), 0)</f>
        <v>0.17245426193314931</v>
      </c>
      <c r="P71" s="29">
        <f>VLOOKUP($B71, ind_mes!$B:$XFD, MATCH(gdp_ind_share!P$1, ind_mes!$B$1:$XFD$1, 0), 0)/VLOOKUP($B71, gdp_tot_mes!$B:$XFD, MATCH(gdp_ind_share!P$1, gdp_tot_mes!$B$1:$XFD$1, 0), 0)</f>
        <v>0.18283556757260136</v>
      </c>
      <c r="Q71" s="29">
        <f>VLOOKUP($B71, ind_mes!$B:$XFD, MATCH(gdp_ind_share!Q$1, ind_mes!$B$1:$XFD$1, 0), 0)/VLOOKUP($B71, gdp_tot_mes!$B:$XFD, MATCH(gdp_ind_share!Q$1, gdp_tot_mes!$B$1:$XFD$1, 0), 0)</f>
        <v>0.16107955605496183</v>
      </c>
      <c r="R71" s="29">
        <f>VLOOKUP($B71, ind_mes!$B:$XFD, MATCH(gdp_ind_share!R$1, ind_mes!$B$1:$XFD$1, 0), 0)/VLOOKUP($B71, gdp_tot_mes!$B:$XFD, MATCH(gdp_ind_share!R$1, gdp_tot_mes!$B$1:$XFD$1, 0), 0)</f>
        <v>0.19374414986293334</v>
      </c>
      <c r="S71" s="29">
        <f>VLOOKUP($B71, ind_mes!$B:$XFD, MATCH(gdp_ind_share!S$1, ind_mes!$B$1:$XFD$1, 0), 0)/VLOOKUP($B71, gdp_tot_mes!$B:$XFD, MATCH(gdp_ind_share!S$1, gdp_tot_mes!$B$1:$XFD$1, 0), 0)</f>
        <v>0.19470771067474893</v>
      </c>
      <c r="T71" s="29">
        <f>VLOOKUP($B71, ind_mes!$B:$XFD, MATCH(gdp_ind_share!T$1, ind_mes!$B$1:$XFD$1, 0), 0)/VLOOKUP($B71, gdp_tot_mes!$B:$XFD, MATCH(gdp_ind_share!T$1, gdp_tot_mes!$B$1:$XFD$1, 0), 0)</f>
        <v>0.1946944827510925</v>
      </c>
      <c r="U71" s="29">
        <f>VLOOKUP($B71, ind_mes!$B:$XFD, MATCH(gdp_ind_share!U$1, ind_mes!$B$1:$XFD$1, 0), 0)/VLOOKUP($B71, gdp_tot_mes!$B:$XFD, MATCH(gdp_ind_share!U$1, gdp_tot_mes!$B$1:$XFD$1, 0), 0)</f>
        <v>0.18630467872959885</v>
      </c>
      <c r="V71" s="29">
        <f>VLOOKUP($B71, ind_mes!$B:$XFD, MATCH(gdp_ind_share!V$1, ind_mes!$B$1:$XFD$1, 0), 0)/VLOOKUP($B71, gdp_tot_mes!$B:$XFD, MATCH(gdp_ind_share!V$1, gdp_tot_mes!$B$1:$XFD$1, 0), 0)</f>
        <v>0.17737017684301842</v>
      </c>
      <c r="W71" s="29">
        <f>VLOOKUP($B71, ind_mes!$B:$XFD, MATCH(gdp_ind_share!W$1, ind_mes!$B$1:$XFD$1, 0), 0)/VLOOKUP($B71, gdp_tot_mes!$B:$XFD, MATCH(gdp_ind_share!W$1, gdp_tot_mes!$B$1:$XFD$1, 0), 0)</f>
        <v>0.17952717304098548</v>
      </c>
      <c r="X71" s="29">
        <f>VLOOKUP($B71, ind_mes!$B:$XFD, MATCH(gdp_ind_share!X$1, ind_mes!$B$1:$XFD$1, 0), 0)/VLOOKUP($B71, gdp_tot_mes!$B:$XFD, MATCH(gdp_ind_share!X$1, gdp_tot_mes!$B$1:$XFD$1, 0), 0)</f>
        <v>0.18061564096940289</v>
      </c>
      <c r="Y71" s="29">
        <f>VLOOKUP($B71, ind_mes!$B:$XFD, MATCH(gdp_ind_share!Y$1, ind_mes!$B$1:$XFD$1, 0), 0)/VLOOKUP($B71, gdp_tot_mes!$B:$XFD, MATCH(gdp_ind_share!Y$1, gdp_tot_mes!$B$1:$XFD$1, 0), 0)</f>
        <v>0.18596930569848508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x14ac:dyDescent="0.25">
      <c r="A72" s="1" t="s">
        <v>171</v>
      </c>
      <c r="B72" s="1" t="s">
        <v>178</v>
      </c>
      <c r="C72" s="1" t="s">
        <v>179</v>
      </c>
      <c r="D72" s="29">
        <f>VLOOKUP($B72, ind_mes!$B:$XFD, MATCH(gdp_ind_share!D$1, ind_mes!$B$1:$XFD$1, 0), 0)/VLOOKUP($B72, gdp_tot_mes!$B:$XFD, MATCH(gdp_ind_share!D$1, gdp_tot_mes!$B$1:$XFD$1, 0), 0)</f>
        <v>0.18046187604721811</v>
      </c>
      <c r="E72" s="29">
        <f>VLOOKUP($B72, ind_mes!$B:$XFD, MATCH(gdp_ind_share!E$1, ind_mes!$B$1:$XFD$1, 0), 0)/VLOOKUP($B72, gdp_tot_mes!$B:$XFD, MATCH(gdp_ind_share!E$1, gdp_tot_mes!$B$1:$XFD$1, 0), 0)</f>
        <v>0.25465733410346236</v>
      </c>
      <c r="F72" s="29">
        <f>VLOOKUP($B72, ind_mes!$B:$XFD, MATCH(gdp_ind_share!F$1, ind_mes!$B$1:$XFD$1, 0), 0)/VLOOKUP($B72, gdp_tot_mes!$B:$XFD, MATCH(gdp_ind_share!F$1, gdp_tot_mes!$B$1:$XFD$1, 0), 0)</f>
        <v>0.3548316869115582</v>
      </c>
      <c r="G72" s="29">
        <f>VLOOKUP($B72, ind_mes!$B:$XFD, MATCH(gdp_ind_share!G$1, ind_mes!$B$1:$XFD$1, 0), 0)/VLOOKUP($B72, gdp_tot_mes!$B:$XFD, MATCH(gdp_ind_share!G$1, gdp_tot_mes!$B$1:$XFD$1, 0), 0)</f>
        <v>0.38389328737586254</v>
      </c>
      <c r="H72" s="29">
        <f>VLOOKUP($B72, ind_mes!$B:$XFD, MATCH(gdp_ind_share!H$1, ind_mes!$B$1:$XFD$1, 0), 0)/VLOOKUP($B72, gdp_tot_mes!$B:$XFD, MATCH(gdp_ind_share!H$1, gdp_tot_mes!$B$1:$XFD$1, 0), 0)</f>
        <v>0.24252667735522729</v>
      </c>
      <c r="I72" s="29">
        <f>VLOOKUP($B72, ind_mes!$B:$XFD, MATCH(gdp_ind_share!I$1, ind_mes!$B$1:$XFD$1, 0), 0)/VLOOKUP($B72, gdp_tot_mes!$B:$XFD, MATCH(gdp_ind_share!I$1, gdp_tot_mes!$B$1:$XFD$1, 0), 0)</f>
        <v>0.38266571961257739</v>
      </c>
      <c r="J72" s="29">
        <f>VLOOKUP($B72, ind_mes!$B:$XFD, MATCH(gdp_ind_share!J$1, ind_mes!$B$1:$XFD$1, 0), 0)/VLOOKUP($B72, gdp_tot_mes!$B:$XFD, MATCH(gdp_ind_share!J$1, gdp_tot_mes!$B$1:$XFD$1, 0), 0)</f>
        <v>0.30756752602852938</v>
      </c>
      <c r="K72" s="29">
        <f>VLOOKUP($B72, ind_mes!$B:$XFD, MATCH(gdp_ind_share!K$1, ind_mes!$B$1:$XFD$1, 0), 0)/VLOOKUP($B72, gdp_tot_mes!$B:$XFD, MATCH(gdp_ind_share!K$1, gdp_tot_mes!$B$1:$XFD$1, 0), 0)</f>
        <v>0.28785903986065053</v>
      </c>
      <c r="L72" s="30">
        <f t="shared" si="1"/>
        <v>0.25503238086687852</v>
      </c>
      <c r="M72" s="29">
        <f>VLOOKUP($B72, ind_mes!$B:$XFD, MATCH(gdp_ind_share!M$1, ind_mes!$B$1:$XFD$1, 0), 0)/VLOOKUP($B72, gdp_tot_mes!$B:$XFD, MATCH(gdp_ind_share!M$1, gdp_tot_mes!$B$1:$XFD$1, 0), 0)</f>
        <v>0.21564039007435215</v>
      </c>
      <c r="N72" s="29">
        <f>VLOOKUP($B72, ind_mes!$B:$XFD, MATCH(gdp_ind_share!N$1, ind_mes!$B$1:$XFD$1, 0), 0)/VLOOKUP($B72, gdp_tot_mes!$B:$XFD, MATCH(gdp_ind_share!N$1, gdp_tot_mes!$B$1:$XFD$1, 0), 0)</f>
        <v>0.20875389273234402</v>
      </c>
      <c r="O72" s="29">
        <f>VLOOKUP($B72, ind_mes!$B:$XFD, MATCH(gdp_ind_share!O$1, ind_mes!$B$1:$XFD$1, 0), 0)/VLOOKUP($B72, gdp_tot_mes!$B:$XFD, MATCH(gdp_ind_share!O$1, gdp_tot_mes!$B$1:$XFD$1, 0), 0)</f>
        <v>0.20780317265457796</v>
      </c>
      <c r="P72" s="29">
        <f>VLOOKUP($B72, ind_mes!$B:$XFD, MATCH(gdp_ind_share!P$1, ind_mes!$B$1:$XFD$1, 0), 0)/VLOOKUP($B72, gdp_tot_mes!$B:$XFD, MATCH(gdp_ind_share!P$1, gdp_tot_mes!$B$1:$XFD$1, 0), 0)</f>
        <v>0.22105804896988587</v>
      </c>
      <c r="Q72" s="29">
        <f>VLOOKUP($B72, ind_mes!$B:$XFD, MATCH(gdp_ind_share!Q$1, ind_mes!$B$1:$XFD$1, 0), 0)/VLOOKUP($B72, gdp_tot_mes!$B:$XFD, MATCH(gdp_ind_share!Q$1, gdp_tot_mes!$B$1:$XFD$1, 0), 0)</f>
        <v>0.22632343338990651</v>
      </c>
      <c r="R72" s="29">
        <f>VLOOKUP($B72, ind_mes!$B:$XFD, MATCH(gdp_ind_share!R$1, ind_mes!$B$1:$XFD$1, 0), 0)/VLOOKUP($B72, gdp_tot_mes!$B:$XFD, MATCH(gdp_ind_share!R$1, gdp_tot_mes!$B$1:$XFD$1, 0), 0)</f>
        <v>0.23384396699186763</v>
      </c>
      <c r="S72" s="29">
        <f>VLOOKUP($B72, ind_mes!$B:$XFD, MATCH(gdp_ind_share!S$1, ind_mes!$B$1:$XFD$1, 0), 0)/VLOOKUP($B72, gdp_tot_mes!$B:$XFD, MATCH(gdp_ind_share!S$1, gdp_tot_mes!$B$1:$XFD$1, 0), 0)</f>
        <v>0.22715477400395276</v>
      </c>
      <c r="T72" s="29">
        <f>VLOOKUP($B72, ind_mes!$B:$XFD, MATCH(gdp_ind_share!T$1, ind_mes!$B$1:$XFD$1, 0), 0)/VLOOKUP($B72, gdp_tot_mes!$B:$XFD, MATCH(gdp_ind_share!T$1, gdp_tot_mes!$B$1:$XFD$1, 0), 0)</f>
        <v>0.19196151075531079</v>
      </c>
      <c r="U72" s="29">
        <f>VLOOKUP($B72, ind_mes!$B:$XFD, MATCH(gdp_ind_share!U$1, ind_mes!$B$1:$XFD$1, 0), 0)/VLOOKUP($B72, gdp_tot_mes!$B:$XFD, MATCH(gdp_ind_share!U$1, gdp_tot_mes!$B$1:$XFD$1, 0), 0)</f>
        <v>0.20211919765055394</v>
      </c>
      <c r="V72" s="29">
        <f>VLOOKUP($B72, ind_mes!$B:$XFD, MATCH(gdp_ind_share!V$1, ind_mes!$B$1:$XFD$1, 0), 0)/VLOOKUP($B72, gdp_tot_mes!$B:$XFD, MATCH(gdp_ind_share!V$1, gdp_tot_mes!$B$1:$XFD$1, 0), 0)</f>
        <v>0.18587856780263823</v>
      </c>
      <c r="W72" s="29">
        <f>VLOOKUP($B72, ind_mes!$B:$XFD, MATCH(gdp_ind_share!W$1, ind_mes!$B$1:$XFD$1, 0), 0)/VLOOKUP($B72, gdp_tot_mes!$B:$XFD, MATCH(gdp_ind_share!W$1, gdp_tot_mes!$B$1:$XFD$1, 0), 0)</f>
        <v>0.19027223226844076</v>
      </c>
      <c r="X72" s="29">
        <f>VLOOKUP($B72, ind_mes!$B:$XFD, MATCH(gdp_ind_share!X$1, ind_mes!$B$1:$XFD$1, 0), 0)/VLOOKUP($B72, gdp_tot_mes!$B:$XFD, MATCH(gdp_ind_share!X$1, gdp_tot_mes!$B$1:$XFD$1, 0), 0)</f>
        <v>0.19651972105585622</v>
      </c>
      <c r="Y72" s="29">
        <f>VLOOKUP($B72, ind_mes!$B:$XFD, MATCH(gdp_ind_share!Y$1, ind_mes!$B$1:$XFD$1, 0), 0)/VLOOKUP($B72, gdp_tot_mes!$B:$XFD, MATCH(gdp_ind_share!Y$1, gdp_tot_mes!$B$1:$XFD$1, 0), 0)</f>
        <v>0.19489640666595426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x14ac:dyDescent="0.25">
      <c r="A73" s="1" t="s">
        <v>180</v>
      </c>
      <c r="B73" s="1" t="s">
        <v>181</v>
      </c>
      <c r="C73" s="1" t="s">
        <v>182</v>
      </c>
      <c r="D73" s="29">
        <f>VLOOKUP($B73, ind_mes!$B:$XFD, MATCH(gdp_ind_share!D$1, ind_mes!$B$1:$XFD$1, 0), 0)/VLOOKUP($B73, gdp_tot_mes!$B:$XFD, MATCH(gdp_ind_share!D$1, gdp_tot_mes!$B$1:$XFD$1, 0), 0)</f>
        <v>9.3845489920434275E-2</v>
      </c>
      <c r="E73" s="29">
        <f>VLOOKUP($B73, ind_mes!$B:$XFD, MATCH(gdp_ind_share!E$1, ind_mes!$B$1:$XFD$1, 0), 0)/VLOOKUP($B73, gdp_tot_mes!$B:$XFD, MATCH(gdp_ind_share!E$1, gdp_tot_mes!$B$1:$XFD$1, 0), 0)</f>
        <v>3.4235340282131488E-2</v>
      </c>
      <c r="F73" s="29">
        <f>VLOOKUP($B73, ind_mes!$B:$XFD, MATCH(gdp_ind_share!F$1, ind_mes!$B$1:$XFD$1, 0), 0)/VLOOKUP($B73, gdp_tot_mes!$B:$XFD, MATCH(gdp_ind_share!F$1, gdp_tot_mes!$B$1:$XFD$1, 0), 0)</f>
        <v>5.824054149215082E-2</v>
      </c>
      <c r="G73" s="29">
        <f>VLOOKUP($B73, ind_mes!$B:$XFD, MATCH(gdp_ind_share!G$1, ind_mes!$B$1:$XFD$1, 0), 0)/VLOOKUP($B73, gdp_tot_mes!$B:$XFD, MATCH(gdp_ind_share!G$1, gdp_tot_mes!$B$1:$XFD$1, 0), 0)</f>
        <v>7.4125818001778546E-2</v>
      </c>
      <c r="H73" s="29">
        <f>VLOOKUP($B73, ind_mes!$B:$XFD, MATCH(gdp_ind_share!H$1, ind_mes!$B$1:$XFD$1, 0), 0)/VLOOKUP($B73, gdp_tot_mes!$B:$XFD, MATCH(gdp_ind_share!H$1, gdp_tot_mes!$B$1:$XFD$1, 0), 0)</f>
        <v>0.15194144108541116</v>
      </c>
      <c r="I73" s="29">
        <f>VLOOKUP($B73, ind_mes!$B:$XFD, MATCH(gdp_ind_share!I$1, ind_mes!$B$1:$XFD$1, 0), 0)/VLOOKUP($B73, gdp_tot_mes!$B:$XFD, MATCH(gdp_ind_share!I$1, gdp_tot_mes!$B$1:$XFD$1, 0), 0)</f>
        <v>0.15034128319940374</v>
      </c>
      <c r="J73" s="29">
        <f>VLOOKUP($B73, ind_mes!$B:$XFD, MATCH(gdp_ind_share!J$1, ind_mes!$B$1:$XFD$1, 0), 0)/VLOOKUP($B73, gdp_tot_mes!$B:$XFD, MATCH(gdp_ind_share!J$1, gdp_tot_mes!$B$1:$XFD$1, 0), 0)</f>
        <v>0.1671380175520614</v>
      </c>
      <c r="K73" s="29">
        <f>VLOOKUP($B73, ind_mes!$B:$XFD, MATCH(gdp_ind_share!K$1, ind_mes!$B$1:$XFD$1, 0), 0)/VLOOKUP($B73, gdp_tot_mes!$B:$XFD, MATCH(gdp_ind_share!K$1, gdp_tot_mes!$B$1:$XFD$1, 0), 0)</f>
        <v>0.15659791787366792</v>
      </c>
      <c r="L73" s="30">
        <f t="shared" si="1"/>
        <v>0.11310483196081991</v>
      </c>
      <c r="M73" s="29">
        <f>VLOOKUP($B73, ind_mes!$B:$XFD, MATCH(gdp_ind_share!M$1, ind_mes!$B$1:$XFD$1, 0), 0)/VLOOKUP($B73, gdp_tot_mes!$B:$XFD, MATCH(gdp_ind_share!M$1, gdp_tot_mes!$B$1:$XFD$1, 0), 0)</f>
        <v>6.0913128865402288E-2</v>
      </c>
      <c r="N73" s="29">
        <f>VLOOKUP($B73, ind_mes!$B:$XFD, MATCH(gdp_ind_share!N$1, ind_mes!$B$1:$XFD$1, 0), 0)/VLOOKUP($B73, gdp_tot_mes!$B:$XFD, MATCH(gdp_ind_share!N$1, gdp_tot_mes!$B$1:$XFD$1, 0), 0)</f>
        <v>0.12477388885771765</v>
      </c>
      <c r="O73" s="29">
        <f>VLOOKUP($B73, ind_mes!$B:$XFD, MATCH(gdp_ind_share!O$1, ind_mes!$B$1:$XFD$1, 0), 0)/VLOOKUP($B73, gdp_tot_mes!$B:$XFD, MATCH(gdp_ind_share!O$1, gdp_tot_mes!$B$1:$XFD$1, 0), 0)</f>
        <v>0.12228763519178687</v>
      </c>
      <c r="P73" s="29">
        <f>VLOOKUP($B73, ind_mes!$B:$XFD, MATCH(gdp_ind_share!P$1, ind_mes!$B$1:$XFD$1, 0), 0)/VLOOKUP($B73, gdp_tot_mes!$B:$XFD, MATCH(gdp_ind_share!P$1, gdp_tot_mes!$B$1:$XFD$1, 0), 0)</f>
        <v>0.12342742399589056</v>
      </c>
      <c r="Q73" s="29">
        <f>VLOOKUP($B73, ind_mes!$B:$XFD, MATCH(gdp_ind_share!Q$1, ind_mes!$B$1:$XFD$1, 0), 0)/VLOOKUP($B73, gdp_tot_mes!$B:$XFD, MATCH(gdp_ind_share!Q$1, gdp_tot_mes!$B$1:$XFD$1, 0), 0)</f>
        <v>0.11275359389055319</v>
      </c>
      <c r="R73" s="29">
        <f>VLOOKUP($B73, ind_mes!$B:$XFD, MATCH(gdp_ind_share!R$1, ind_mes!$B$1:$XFD$1, 0), 0)/VLOOKUP($B73, gdp_tot_mes!$B:$XFD, MATCH(gdp_ind_share!R$1, gdp_tot_mes!$B$1:$XFD$1, 0), 0)</f>
        <v>8.4314781076688966E-2</v>
      </c>
      <c r="S73" s="29">
        <f>VLOOKUP($B73, ind_mes!$B:$XFD, MATCH(gdp_ind_share!S$1, ind_mes!$B$1:$XFD$1, 0), 0)/VLOOKUP($B73, gdp_tot_mes!$B:$XFD, MATCH(gdp_ind_share!S$1, gdp_tot_mes!$B$1:$XFD$1, 0), 0)</f>
        <v>0.10635138185796798</v>
      </c>
      <c r="T73" s="29">
        <f>VLOOKUP($B73, ind_mes!$B:$XFD, MATCH(gdp_ind_share!T$1, ind_mes!$B$1:$XFD$1, 0), 0)/VLOOKUP($B73, gdp_tot_mes!$B:$XFD, MATCH(gdp_ind_share!T$1, gdp_tot_mes!$B$1:$XFD$1, 0), 0)</f>
        <v>8.7370378678926872E-2</v>
      </c>
      <c r="U73" s="29">
        <f>VLOOKUP($B73, ind_mes!$B:$XFD, MATCH(gdp_ind_share!U$1, ind_mes!$B$1:$XFD$1, 0), 0)/VLOOKUP($B73, gdp_tot_mes!$B:$XFD, MATCH(gdp_ind_share!U$1, gdp_tot_mes!$B$1:$XFD$1, 0), 0)</f>
        <v>8.8421824978287947E-2</v>
      </c>
      <c r="V73" s="29">
        <f>VLOOKUP($B73, ind_mes!$B:$XFD, MATCH(gdp_ind_share!V$1, ind_mes!$B$1:$XFD$1, 0), 0)/VLOOKUP($B73, gdp_tot_mes!$B:$XFD, MATCH(gdp_ind_share!V$1, gdp_tot_mes!$B$1:$XFD$1, 0), 0)</f>
        <v>7.7594468232044744E-2</v>
      </c>
      <c r="W73" s="29">
        <f>VLOOKUP($B73, ind_mes!$B:$XFD, MATCH(gdp_ind_share!W$1, ind_mes!$B$1:$XFD$1, 0), 0)/VLOOKUP($B73, gdp_tot_mes!$B:$XFD, MATCH(gdp_ind_share!W$1, gdp_tot_mes!$B$1:$XFD$1, 0), 0)</f>
        <v>7.3208248293366182E-2</v>
      </c>
      <c r="X73" s="29">
        <f>VLOOKUP($B73, ind_mes!$B:$XFD, MATCH(gdp_ind_share!X$1, ind_mes!$B$1:$XFD$1, 0), 0)/VLOOKUP($B73, gdp_tot_mes!$B:$XFD, MATCH(gdp_ind_share!X$1, gdp_tot_mes!$B$1:$XFD$1, 0), 0)</f>
        <v>9.5507945666398919E-2</v>
      </c>
      <c r="Y73" s="29">
        <f>VLOOKUP($B73, ind_mes!$B:$XFD, MATCH(gdp_ind_share!Y$1, ind_mes!$B$1:$XFD$1, 0), 0)/VLOOKUP($B73, gdp_tot_mes!$B:$XFD, MATCH(gdp_ind_share!Y$1, gdp_tot_mes!$B$1:$XFD$1, 0), 0)</f>
        <v>0.17173632185008408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x14ac:dyDescent="0.25">
      <c r="A74" s="1" t="s">
        <v>180</v>
      </c>
      <c r="B74" s="1" t="s">
        <v>183</v>
      </c>
      <c r="C74" s="1" t="s">
        <v>184</v>
      </c>
      <c r="D74" s="29">
        <f>VLOOKUP($B74, ind_mes!$B:$XFD, MATCH(gdp_ind_share!D$1, ind_mes!$B$1:$XFD$1, 0), 0)/VLOOKUP($B74, gdp_tot_mes!$B:$XFD, MATCH(gdp_ind_share!D$1, gdp_tot_mes!$B$1:$XFD$1, 0), 0)</f>
        <v>0.17607908846457565</v>
      </c>
      <c r="E74" s="29">
        <f>VLOOKUP($B74, ind_mes!$B:$XFD, MATCH(gdp_ind_share!E$1, ind_mes!$B$1:$XFD$1, 0), 0)/VLOOKUP($B74, gdp_tot_mes!$B:$XFD, MATCH(gdp_ind_share!E$1, gdp_tot_mes!$B$1:$XFD$1, 0), 0)</f>
        <v>1.0213541525477493E-2</v>
      </c>
      <c r="F74" s="29">
        <f>VLOOKUP($B74, ind_mes!$B:$XFD, MATCH(gdp_ind_share!F$1, ind_mes!$B$1:$XFD$1, 0), 0)/VLOOKUP($B74, gdp_tot_mes!$B:$XFD, MATCH(gdp_ind_share!F$1, gdp_tot_mes!$B$1:$XFD$1, 0), 0)</f>
        <v>3.2451967452835385E-2</v>
      </c>
      <c r="G74" s="29">
        <f>VLOOKUP($B74, ind_mes!$B:$XFD, MATCH(gdp_ind_share!G$1, ind_mes!$B$1:$XFD$1, 0), 0)/VLOOKUP($B74, gdp_tot_mes!$B:$XFD, MATCH(gdp_ind_share!G$1, gdp_tot_mes!$B$1:$XFD$1, 0), 0)</f>
        <v>6.4593752382695227E-2</v>
      </c>
      <c r="H74" s="29">
        <f>VLOOKUP($B74, ind_mes!$B:$XFD, MATCH(gdp_ind_share!H$1, ind_mes!$B$1:$XFD$1, 0), 0)/VLOOKUP($B74, gdp_tot_mes!$B:$XFD, MATCH(gdp_ind_share!H$1, gdp_tot_mes!$B$1:$XFD$1, 0), 0)</f>
        <v>0.16430080333418864</v>
      </c>
      <c r="I74" s="29">
        <f>VLOOKUP($B74, ind_mes!$B:$XFD, MATCH(gdp_ind_share!I$1, ind_mes!$B$1:$XFD$1, 0), 0)/VLOOKUP($B74, gdp_tot_mes!$B:$XFD, MATCH(gdp_ind_share!I$1, gdp_tot_mes!$B$1:$XFD$1, 0), 0)</f>
        <v>0.24897222153541668</v>
      </c>
      <c r="J74" s="29">
        <f>VLOOKUP($B74, ind_mes!$B:$XFD, MATCH(gdp_ind_share!J$1, ind_mes!$B$1:$XFD$1, 0), 0)/VLOOKUP($B74, gdp_tot_mes!$B:$XFD, MATCH(gdp_ind_share!J$1, gdp_tot_mes!$B$1:$XFD$1, 0), 0)</f>
        <v>0.30315101054336979</v>
      </c>
      <c r="K74" s="29">
        <f>VLOOKUP($B74, ind_mes!$B:$XFD, MATCH(gdp_ind_share!K$1, ind_mes!$B$1:$XFD$1, 0), 0)/VLOOKUP($B74, gdp_tot_mes!$B:$XFD, MATCH(gdp_ind_share!K$1, gdp_tot_mes!$B$1:$XFD$1, 0), 0)</f>
        <v>0.26983100476610294</v>
      </c>
      <c r="L74" s="30">
        <f t="shared" si="1"/>
        <v>0.20618396974198694</v>
      </c>
      <c r="M74" s="29">
        <f>VLOOKUP($B74, ind_mes!$B:$XFD, MATCH(gdp_ind_share!M$1, ind_mes!$B$1:$XFD$1, 0), 0)/VLOOKUP($B74, gdp_tot_mes!$B:$XFD, MATCH(gdp_ind_share!M$1, gdp_tot_mes!$B$1:$XFD$1, 0), 0)</f>
        <v>0.12980752771304774</v>
      </c>
      <c r="N74" s="29">
        <f>VLOOKUP($B74, ind_mes!$B:$XFD, MATCH(gdp_ind_share!N$1, ind_mes!$B$1:$XFD$1, 0), 0)/VLOOKUP($B74, gdp_tot_mes!$B:$XFD, MATCH(gdp_ind_share!N$1, gdp_tot_mes!$B$1:$XFD$1, 0), 0)</f>
        <v>0.26267860108566393</v>
      </c>
      <c r="O74" s="29">
        <f>VLOOKUP($B74, ind_mes!$B:$XFD, MATCH(gdp_ind_share!O$1, ind_mes!$B$1:$XFD$1, 0), 0)/VLOOKUP($B74, gdp_tot_mes!$B:$XFD, MATCH(gdp_ind_share!O$1, gdp_tot_mes!$B$1:$XFD$1, 0), 0)</f>
        <v>0.25711842220004172</v>
      </c>
      <c r="P74" s="29">
        <f>VLOOKUP($B74, ind_mes!$B:$XFD, MATCH(gdp_ind_share!P$1, ind_mes!$B$1:$XFD$1, 0), 0)/VLOOKUP($B74, gdp_tot_mes!$B:$XFD, MATCH(gdp_ind_share!P$1, gdp_tot_mes!$B$1:$XFD$1, 0), 0)</f>
        <v>0.28397889473653753</v>
      </c>
      <c r="Q74" s="29">
        <f>VLOOKUP($B74, ind_mes!$B:$XFD, MATCH(gdp_ind_share!Q$1, ind_mes!$B$1:$XFD$1, 0), 0)/VLOOKUP($B74, gdp_tot_mes!$B:$XFD, MATCH(gdp_ind_share!Q$1, gdp_tot_mes!$B$1:$XFD$1, 0), 0)</f>
        <v>0.30662830651648304</v>
      </c>
      <c r="R74" s="29">
        <f>VLOOKUP($B74, ind_mes!$B:$XFD, MATCH(gdp_ind_share!R$1, ind_mes!$B$1:$XFD$1, 0), 0)/VLOOKUP($B74, gdp_tot_mes!$B:$XFD, MATCH(gdp_ind_share!R$1, gdp_tot_mes!$B$1:$XFD$1, 0), 0)</f>
        <v>0.29392528389293382</v>
      </c>
      <c r="S74" s="29">
        <f>VLOOKUP($B74, ind_mes!$B:$XFD, MATCH(gdp_ind_share!S$1, ind_mes!$B$1:$XFD$1, 0), 0)/VLOOKUP($B74, gdp_tot_mes!$B:$XFD, MATCH(gdp_ind_share!S$1, gdp_tot_mes!$B$1:$XFD$1, 0), 0)</f>
        <v>0.29901171660048903</v>
      </c>
      <c r="T74" s="29">
        <f>VLOOKUP($B74, ind_mes!$B:$XFD, MATCH(gdp_ind_share!T$1, ind_mes!$B$1:$XFD$1, 0), 0)/VLOOKUP($B74, gdp_tot_mes!$B:$XFD, MATCH(gdp_ind_share!T$1, gdp_tot_mes!$B$1:$XFD$1, 0), 0)</f>
        <v>0.26159558518976994</v>
      </c>
      <c r="U74" s="29">
        <f>VLOOKUP($B74, ind_mes!$B:$XFD, MATCH(gdp_ind_share!U$1, ind_mes!$B$1:$XFD$1, 0), 0)/VLOOKUP($B74, gdp_tot_mes!$B:$XFD, MATCH(gdp_ind_share!U$1, gdp_tot_mes!$B$1:$XFD$1, 0), 0)</f>
        <v>0.2404138719304825</v>
      </c>
      <c r="V74" s="29">
        <f>VLOOKUP($B74, ind_mes!$B:$XFD, MATCH(gdp_ind_share!V$1, ind_mes!$B$1:$XFD$1, 0), 0)/VLOOKUP($B74, gdp_tot_mes!$B:$XFD, MATCH(gdp_ind_share!V$1, gdp_tot_mes!$B$1:$XFD$1, 0), 0)</f>
        <v>0.23086100579344901</v>
      </c>
      <c r="W74" s="29">
        <f>VLOOKUP($B74, ind_mes!$B:$XFD, MATCH(gdp_ind_share!W$1, ind_mes!$B$1:$XFD$1, 0), 0)/VLOOKUP($B74, gdp_tot_mes!$B:$XFD, MATCH(gdp_ind_share!W$1, gdp_tot_mes!$B$1:$XFD$1, 0), 0)</f>
        <v>0.19557180766481663</v>
      </c>
      <c r="X74" s="29">
        <f>VLOOKUP($B74, ind_mes!$B:$XFD, MATCH(gdp_ind_share!X$1, ind_mes!$B$1:$XFD$1, 0), 0)/VLOOKUP($B74, gdp_tot_mes!$B:$XFD, MATCH(gdp_ind_share!X$1, gdp_tot_mes!$B$1:$XFD$1, 0), 0)</f>
        <v>0.21554659326655851</v>
      </c>
      <c r="Y74" s="29">
        <f>VLOOKUP($B74, ind_mes!$B:$XFD, MATCH(gdp_ind_share!Y$1, ind_mes!$B$1:$XFD$1, 0), 0)/VLOOKUP($B74, gdp_tot_mes!$B:$XFD, MATCH(gdp_ind_share!Y$1, gdp_tot_mes!$B$1:$XFD$1, 0), 0)</f>
        <v>0.25439829597324409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x14ac:dyDescent="0.25">
      <c r="A75" s="1" t="s">
        <v>180</v>
      </c>
      <c r="B75" s="1" t="s">
        <v>185</v>
      </c>
      <c r="C75" s="1" t="s">
        <v>186</v>
      </c>
      <c r="D75" s="29">
        <f>VLOOKUP($B75, ind_mes!$B:$XFD, MATCH(gdp_ind_share!D$1, ind_mes!$B$1:$XFD$1, 0), 0)/VLOOKUP($B75, gdp_tot_mes!$B:$XFD, MATCH(gdp_ind_share!D$1, gdp_tot_mes!$B$1:$XFD$1, 0), 0)</f>
        <v>6.2522950117686729E-2</v>
      </c>
      <c r="E75" s="29">
        <f>VLOOKUP($B75, ind_mes!$B:$XFD, MATCH(gdp_ind_share!E$1, ind_mes!$B$1:$XFD$1, 0), 0)/VLOOKUP($B75, gdp_tot_mes!$B:$XFD, MATCH(gdp_ind_share!E$1, gdp_tot_mes!$B$1:$XFD$1, 0), 0)</f>
        <v>0.10115401029367839</v>
      </c>
      <c r="F75" s="29">
        <f>VLOOKUP($B75, ind_mes!$B:$XFD, MATCH(gdp_ind_share!F$1, ind_mes!$B$1:$XFD$1, 0), 0)/VLOOKUP($B75, gdp_tot_mes!$B:$XFD, MATCH(gdp_ind_share!F$1, gdp_tot_mes!$B$1:$XFD$1, 0), 0)</f>
        <v>0.10639359928116253</v>
      </c>
      <c r="G75" s="29">
        <f>VLOOKUP($B75, ind_mes!$B:$XFD, MATCH(gdp_ind_share!G$1, ind_mes!$B$1:$XFD$1, 0), 0)/VLOOKUP($B75, gdp_tot_mes!$B:$XFD, MATCH(gdp_ind_share!G$1, gdp_tot_mes!$B$1:$XFD$1, 0), 0)</f>
        <v>0.13504860092637952</v>
      </c>
      <c r="H75" s="29">
        <f>VLOOKUP($B75, ind_mes!$B:$XFD, MATCH(gdp_ind_share!H$1, ind_mes!$B$1:$XFD$1, 0), 0)/VLOOKUP($B75, gdp_tot_mes!$B:$XFD, MATCH(gdp_ind_share!H$1, gdp_tot_mes!$B$1:$XFD$1, 0), 0)</f>
        <v>0.11404876461055527</v>
      </c>
      <c r="I75" s="29">
        <f>VLOOKUP($B75, ind_mes!$B:$XFD, MATCH(gdp_ind_share!I$1, ind_mes!$B$1:$XFD$1, 0), 0)/VLOOKUP($B75, gdp_tot_mes!$B:$XFD, MATCH(gdp_ind_share!I$1, gdp_tot_mes!$B$1:$XFD$1, 0), 0)</f>
        <v>0.19668339603540727</v>
      </c>
      <c r="J75" s="29">
        <f>VLOOKUP($B75, ind_mes!$B:$XFD, MATCH(gdp_ind_share!J$1, ind_mes!$B$1:$XFD$1, 0), 0)/VLOOKUP($B75, gdp_tot_mes!$B:$XFD, MATCH(gdp_ind_share!J$1, gdp_tot_mes!$B$1:$XFD$1, 0), 0)</f>
        <v>0.24071479452783254</v>
      </c>
      <c r="K75" s="29">
        <f>VLOOKUP($B75, ind_mes!$B:$XFD, MATCH(gdp_ind_share!K$1, ind_mes!$B$1:$XFD$1, 0), 0)/VLOOKUP($B75, gdp_tot_mes!$B:$XFD, MATCH(gdp_ind_share!K$1, gdp_tot_mes!$B$1:$XFD$1, 0), 0)</f>
        <v>0.24485387729169505</v>
      </c>
      <c r="L75" s="30">
        <f t="shared" si="1"/>
        <v>0.17582177667110438</v>
      </c>
      <c r="M75" s="29">
        <f>VLOOKUP($B75, ind_mes!$B:$XFD, MATCH(gdp_ind_share!M$1, ind_mes!$B$1:$XFD$1, 0), 0)/VLOOKUP($B75, gdp_tot_mes!$B:$XFD, MATCH(gdp_ind_share!M$1, gdp_tot_mes!$B$1:$XFD$1, 0), 0)</f>
        <v>9.298325592639553E-2</v>
      </c>
      <c r="N75" s="29">
        <f>VLOOKUP($B75, ind_mes!$B:$XFD, MATCH(gdp_ind_share!N$1, ind_mes!$B$1:$XFD$1, 0), 0)/VLOOKUP($B75, gdp_tot_mes!$B:$XFD, MATCH(gdp_ind_share!N$1, gdp_tot_mes!$B$1:$XFD$1, 0), 0)</f>
        <v>0.1306322136701312</v>
      </c>
      <c r="O75" s="29">
        <f>VLOOKUP($B75, ind_mes!$B:$XFD, MATCH(gdp_ind_share!O$1, ind_mes!$B$1:$XFD$1, 0), 0)/VLOOKUP($B75, gdp_tot_mes!$B:$XFD, MATCH(gdp_ind_share!O$1, gdp_tot_mes!$B$1:$XFD$1, 0), 0)</f>
        <v>0.12331265226120226</v>
      </c>
      <c r="P75" s="29">
        <f>VLOOKUP($B75, ind_mes!$B:$XFD, MATCH(gdp_ind_share!P$1, ind_mes!$B$1:$XFD$1, 0), 0)/VLOOKUP($B75, gdp_tot_mes!$B:$XFD, MATCH(gdp_ind_share!P$1, gdp_tot_mes!$B$1:$XFD$1, 0), 0)</f>
        <v>0.12539024890835998</v>
      </c>
      <c r="Q75" s="29">
        <f>VLOOKUP($B75, ind_mes!$B:$XFD, MATCH(gdp_ind_share!Q$1, ind_mes!$B$1:$XFD$1, 0), 0)/VLOOKUP($B75, gdp_tot_mes!$B:$XFD, MATCH(gdp_ind_share!Q$1, gdp_tot_mes!$B$1:$XFD$1, 0), 0)</f>
        <v>8.8091092034837518E-2</v>
      </c>
      <c r="R75" s="29">
        <f>VLOOKUP($B75, ind_mes!$B:$XFD, MATCH(gdp_ind_share!R$1, ind_mes!$B$1:$XFD$1, 0), 0)/VLOOKUP($B75, gdp_tot_mes!$B:$XFD, MATCH(gdp_ind_share!R$1, gdp_tot_mes!$B$1:$XFD$1, 0), 0)</f>
        <v>7.5898866195898071E-2</v>
      </c>
      <c r="S75" s="29">
        <f>VLOOKUP($B75, ind_mes!$B:$XFD, MATCH(gdp_ind_share!S$1, ind_mes!$B$1:$XFD$1, 0), 0)/VLOOKUP($B75, gdp_tot_mes!$B:$XFD, MATCH(gdp_ind_share!S$1, gdp_tot_mes!$B$1:$XFD$1, 0), 0)</f>
        <v>0.10860942021519351</v>
      </c>
      <c r="T75" s="29">
        <f>VLOOKUP($B75, ind_mes!$B:$XFD, MATCH(gdp_ind_share!T$1, ind_mes!$B$1:$XFD$1, 0), 0)/VLOOKUP($B75, gdp_tot_mes!$B:$XFD, MATCH(gdp_ind_share!T$1, gdp_tot_mes!$B$1:$XFD$1, 0), 0)</f>
        <v>9.1169057984457263E-2</v>
      </c>
      <c r="U75" s="29">
        <f>VLOOKUP($B75, ind_mes!$B:$XFD, MATCH(gdp_ind_share!U$1, ind_mes!$B$1:$XFD$1, 0), 0)/VLOOKUP($B75, gdp_tot_mes!$B:$XFD, MATCH(gdp_ind_share!U$1, gdp_tot_mes!$B$1:$XFD$1, 0), 0)</f>
        <v>0.10110602634461018</v>
      </c>
      <c r="V75" s="29">
        <f>VLOOKUP($B75, ind_mes!$B:$XFD, MATCH(gdp_ind_share!V$1, ind_mes!$B$1:$XFD$1, 0), 0)/VLOOKUP($B75, gdp_tot_mes!$B:$XFD, MATCH(gdp_ind_share!V$1, gdp_tot_mes!$B$1:$XFD$1, 0), 0)</f>
        <v>0.10841079045829967</v>
      </c>
      <c r="W75" s="29">
        <f>VLOOKUP($B75, ind_mes!$B:$XFD, MATCH(gdp_ind_share!W$1, ind_mes!$B$1:$XFD$1, 0), 0)/VLOOKUP($B75, gdp_tot_mes!$B:$XFD, MATCH(gdp_ind_share!W$1, gdp_tot_mes!$B$1:$XFD$1, 0), 0)</f>
        <v>0.11227997725716586</v>
      </c>
      <c r="X75" s="29">
        <f>VLOOKUP($B75, ind_mes!$B:$XFD, MATCH(gdp_ind_share!X$1, ind_mes!$B$1:$XFD$1, 0), 0)/VLOOKUP($B75, gdp_tot_mes!$B:$XFD, MATCH(gdp_ind_share!X$1, gdp_tot_mes!$B$1:$XFD$1, 0), 0)</f>
        <v>8.9499490280547017E-2</v>
      </c>
      <c r="Y75" s="29">
        <f>VLOOKUP($B75, ind_mes!$B:$XFD, MATCH(gdp_ind_share!Y$1, ind_mes!$B$1:$XFD$1, 0), 0)/VLOOKUP($B75, gdp_tot_mes!$B:$XFD, MATCH(gdp_ind_share!Y$1, gdp_tot_mes!$B$1:$XFD$1, 0), 0)</f>
        <v>0.11134947178130085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x14ac:dyDescent="0.25">
      <c r="A76" s="1" t="s">
        <v>180</v>
      </c>
      <c r="B76" s="1" t="s">
        <v>187</v>
      </c>
      <c r="C76" s="1" t="s">
        <v>188</v>
      </c>
      <c r="D76" s="29">
        <f>VLOOKUP($B76, ind_mes!$B:$XFD, MATCH(gdp_ind_share!D$1, ind_mes!$B$1:$XFD$1, 0), 0)/VLOOKUP($B76, gdp_tot_mes!$B:$XFD, MATCH(gdp_ind_share!D$1, gdp_tot_mes!$B$1:$XFD$1, 0), 0)</f>
        <v>0.21857935730051004</v>
      </c>
      <c r="E76" s="29">
        <f>VLOOKUP($B76, ind_mes!$B:$XFD, MATCH(gdp_ind_share!E$1, ind_mes!$B$1:$XFD$1, 0), 0)/VLOOKUP($B76, gdp_tot_mes!$B:$XFD, MATCH(gdp_ind_share!E$1, gdp_tot_mes!$B$1:$XFD$1, 0), 0)</f>
        <v>0.29546462043322991</v>
      </c>
      <c r="F76" s="29">
        <f>VLOOKUP($B76, ind_mes!$B:$XFD, MATCH(gdp_ind_share!F$1, ind_mes!$B$1:$XFD$1, 0), 0)/VLOOKUP($B76, gdp_tot_mes!$B:$XFD, MATCH(gdp_ind_share!F$1, gdp_tot_mes!$B$1:$XFD$1, 0), 0)</f>
        <v>0.35328630555073343</v>
      </c>
      <c r="G76" s="29">
        <f>VLOOKUP($B76, ind_mes!$B:$XFD, MATCH(gdp_ind_share!G$1, ind_mes!$B$1:$XFD$1, 0), 0)/VLOOKUP($B76, gdp_tot_mes!$B:$XFD, MATCH(gdp_ind_share!G$1, gdp_tot_mes!$B$1:$XFD$1, 0), 0)</f>
        <v>0.32276552008209669</v>
      </c>
      <c r="H76" s="29">
        <f>VLOOKUP($B76, ind_mes!$B:$XFD, MATCH(gdp_ind_share!H$1, ind_mes!$B$1:$XFD$1, 0), 0)/VLOOKUP($B76, gdp_tot_mes!$B:$XFD, MATCH(gdp_ind_share!H$1, gdp_tot_mes!$B$1:$XFD$1, 0), 0)</f>
        <v>0.24754912033492701</v>
      </c>
      <c r="I76" s="29">
        <f>VLOOKUP($B76, ind_mes!$B:$XFD, MATCH(gdp_ind_share!I$1, ind_mes!$B$1:$XFD$1, 0), 0)/VLOOKUP($B76, gdp_tot_mes!$B:$XFD, MATCH(gdp_ind_share!I$1, gdp_tot_mes!$B$1:$XFD$1, 0), 0)</f>
        <v>0.35004365542893984</v>
      </c>
      <c r="J76" s="29">
        <f>VLOOKUP($B76, ind_mes!$B:$XFD, MATCH(gdp_ind_share!J$1, ind_mes!$B$1:$XFD$1, 0), 0)/VLOOKUP($B76, gdp_tot_mes!$B:$XFD, MATCH(gdp_ind_share!J$1, gdp_tot_mes!$B$1:$XFD$1, 0), 0)</f>
        <v>0.33421463051140143</v>
      </c>
      <c r="K76" s="29">
        <f>VLOOKUP($B76, ind_mes!$B:$XFD, MATCH(gdp_ind_share!K$1, ind_mes!$B$1:$XFD$1, 0), 0)/VLOOKUP($B76, gdp_tot_mes!$B:$XFD, MATCH(gdp_ind_share!K$1, gdp_tot_mes!$B$1:$XFD$1, 0), 0)</f>
        <v>0.30586602148335673</v>
      </c>
      <c r="L76" s="30">
        <f t="shared" si="1"/>
        <v>0.31198753774681126</v>
      </c>
      <c r="M76" s="29">
        <f>VLOOKUP($B76, ind_mes!$B:$XFD, MATCH(gdp_ind_share!M$1, ind_mes!$B$1:$XFD$1, 0), 0)/VLOOKUP($B76, gdp_tot_mes!$B:$XFD, MATCH(gdp_ind_share!M$1, gdp_tot_mes!$B$1:$XFD$1, 0), 0)</f>
        <v>0.31933335726295675</v>
      </c>
      <c r="N76" s="29">
        <f>VLOOKUP($B76, ind_mes!$B:$XFD, MATCH(gdp_ind_share!N$1, ind_mes!$B$1:$XFD$1, 0), 0)/VLOOKUP($B76, gdp_tot_mes!$B:$XFD, MATCH(gdp_ind_share!N$1, gdp_tot_mes!$B$1:$XFD$1, 0), 0)</f>
        <v>0.22053443339173801</v>
      </c>
      <c r="O76" s="29">
        <f>VLOOKUP($B76, ind_mes!$B:$XFD, MATCH(gdp_ind_share!O$1, ind_mes!$B$1:$XFD$1, 0), 0)/VLOOKUP($B76, gdp_tot_mes!$B:$XFD, MATCH(gdp_ind_share!O$1, gdp_tot_mes!$B$1:$XFD$1, 0), 0)</f>
        <v>0.20608157234980007</v>
      </c>
      <c r="P76" s="29">
        <f>VLOOKUP($B76, ind_mes!$B:$XFD, MATCH(gdp_ind_share!P$1, ind_mes!$B$1:$XFD$1, 0), 0)/VLOOKUP($B76, gdp_tot_mes!$B:$XFD, MATCH(gdp_ind_share!P$1, gdp_tot_mes!$B$1:$XFD$1, 0), 0)</f>
        <v>0.20387081396480861</v>
      </c>
      <c r="Q76" s="29">
        <f>VLOOKUP($B76, ind_mes!$B:$XFD, MATCH(gdp_ind_share!Q$1, ind_mes!$B$1:$XFD$1, 0), 0)/VLOOKUP($B76, gdp_tot_mes!$B:$XFD, MATCH(gdp_ind_share!Q$1, gdp_tot_mes!$B$1:$XFD$1, 0), 0)</f>
        <v>0.16830428100159819</v>
      </c>
      <c r="R76" s="29">
        <f>VLOOKUP($B76, ind_mes!$B:$XFD, MATCH(gdp_ind_share!R$1, ind_mes!$B$1:$XFD$1, 0), 0)/VLOOKUP($B76, gdp_tot_mes!$B:$XFD, MATCH(gdp_ind_share!R$1, gdp_tot_mes!$B$1:$XFD$1, 0), 0)</f>
        <v>0.18479822827337522</v>
      </c>
      <c r="S76" s="29">
        <f>VLOOKUP($B76, ind_mes!$B:$XFD, MATCH(gdp_ind_share!S$1, ind_mes!$B$1:$XFD$1, 0), 0)/VLOOKUP($B76, gdp_tot_mes!$B:$XFD, MATCH(gdp_ind_share!S$1, gdp_tot_mes!$B$1:$XFD$1, 0), 0)</f>
        <v>0.17599299718491257</v>
      </c>
      <c r="T76" s="29">
        <f>VLOOKUP($B76, ind_mes!$B:$XFD, MATCH(gdp_ind_share!T$1, ind_mes!$B$1:$XFD$1, 0), 0)/VLOOKUP($B76, gdp_tot_mes!$B:$XFD, MATCH(gdp_ind_share!T$1, gdp_tot_mes!$B$1:$XFD$1, 0), 0)</f>
        <v>0.15373509269879632</v>
      </c>
      <c r="U76" s="29">
        <f>VLOOKUP($B76, ind_mes!$B:$XFD, MATCH(gdp_ind_share!U$1, ind_mes!$B$1:$XFD$1, 0), 0)/VLOOKUP($B76, gdp_tot_mes!$B:$XFD, MATCH(gdp_ind_share!U$1, gdp_tot_mes!$B$1:$XFD$1, 0), 0)</f>
        <v>0.160286836881431</v>
      </c>
      <c r="V76" s="29">
        <f>VLOOKUP($B76, ind_mes!$B:$XFD, MATCH(gdp_ind_share!V$1, ind_mes!$B$1:$XFD$1, 0), 0)/VLOOKUP($B76, gdp_tot_mes!$B:$XFD, MATCH(gdp_ind_share!V$1, gdp_tot_mes!$B$1:$XFD$1, 0), 0)</f>
        <v>0.15515975210800878</v>
      </c>
      <c r="W76" s="29">
        <f>VLOOKUP($B76, ind_mes!$B:$XFD, MATCH(gdp_ind_share!W$1, ind_mes!$B$1:$XFD$1, 0), 0)/VLOOKUP($B76, gdp_tot_mes!$B:$XFD, MATCH(gdp_ind_share!W$1, gdp_tot_mes!$B$1:$XFD$1, 0), 0)</f>
        <v>0.14784173531286324</v>
      </c>
      <c r="X76" s="29">
        <f>VLOOKUP($B76, ind_mes!$B:$XFD, MATCH(gdp_ind_share!X$1, ind_mes!$B$1:$XFD$1, 0), 0)/VLOOKUP($B76, gdp_tot_mes!$B:$XFD, MATCH(gdp_ind_share!X$1, gdp_tot_mes!$B$1:$XFD$1, 0), 0)</f>
        <v>0.1406922343156887</v>
      </c>
      <c r="Y76" s="29">
        <f>VLOOKUP($B76, ind_mes!$B:$XFD, MATCH(gdp_ind_share!Y$1, ind_mes!$B$1:$XFD$1, 0), 0)/VLOOKUP($B76, gdp_tot_mes!$B:$XFD, MATCH(gdp_ind_share!Y$1, gdp_tot_mes!$B$1:$XFD$1, 0), 0)</f>
        <v>0.17979589476708252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x14ac:dyDescent="0.25">
      <c r="A77" s="1" t="s">
        <v>180</v>
      </c>
      <c r="B77" s="1" t="s">
        <v>189</v>
      </c>
      <c r="C77" s="1" t="s">
        <v>190</v>
      </c>
      <c r="D77" s="29">
        <f>VLOOKUP($B77, ind_mes!$B:$XFD, MATCH(gdp_ind_share!D$1, ind_mes!$B$1:$XFD$1, 0), 0)/VLOOKUP($B77, gdp_tot_mes!$B:$XFD, MATCH(gdp_ind_share!D$1, gdp_tot_mes!$B$1:$XFD$1, 0), 0)</f>
        <v>0.22621144262580858</v>
      </c>
      <c r="E77" s="29">
        <f>VLOOKUP($B77, ind_mes!$B:$XFD, MATCH(gdp_ind_share!E$1, ind_mes!$B$1:$XFD$1, 0), 0)/VLOOKUP($B77, gdp_tot_mes!$B:$XFD, MATCH(gdp_ind_share!E$1, gdp_tot_mes!$B$1:$XFD$1, 0), 0)</f>
        <v>0.22453003205164676</v>
      </c>
      <c r="F77" s="29">
        <f>VLOOKUP($B77, ind_mes!$B:$XFD, MATCH(gdp_ind_share!F$1, ind_mes!$B$1:$XFD$1, 0), 0)/VLOOKUP($B77, gdp_tot_mes!$B:$XFD, MATCH(gdp_ind_share!F$1, gdp_tot_mes!$B$1:$XFD$1, 0), 0)</f>
        <v>0.31588928983627385</v>
      </c>
      <c r="G77" s="29">
        <f>VLOOKUP($B77, ind_mes!$B:$XFD, MATCH(gdp_ind_share!G$1, ind_mes!$B$1:$XFD$1, 0), 0)/VLOOKUP($B77, gdp_tot_mes!$B:$XFD, MATCH(gdp_ind_share!G$1, gdp_tot_mes!$B$1:$XFD$1, 0), 0)</f>
        <v>0.28417784562004089</v>
      </c>
      <c r="H77" s="29">
        <f>VLOOKUP($B77, ind_mes!$B:$XFD, MATCH(gdp_ind_share!H$1, ind_mes!$B$1:$XFD$1, 0), 0)/VLOOKUP($B77, gdp_tot_mes!$B:$XFD, MATCH(gdp_ind_share!H$1, gdp_tot_mes!$B$1:$XFD$1, 0), 0)</f>
        <v>0.32588679926438296</v>
      </c>
      <c r="I77" s="29">
        <f>VLOOKUP($B77, ind_mes!$B:$XFD, MATCH(gdp_ind_share!I$1, ind_mes!$B$1:$XFD$1, 0), 0)/VLOOKUP($B77, gdp_tot_mes!$B:$XFD, MATCH(gdp_ind_share!I$1, gdp_tot_mes!$B$1:$XFD$1, 0), 0)</f>
        <v>0.41849012272906561</v>
      </c>
      <c r="J77" s="29">
        <f>VLOOKUP($B77, ind_mes!$B:$XFD, MATCH(gdp_ind_share!J$1, ind_mes!$B$1:$XFD$1, 0), 0)/VLOOKUP($B77, gdp_tot_mes!$B:$XFD, MATCH(gdp_ind_share!J$1, gdp_tot_mes!$B$1:$XFD$1, 0), 0)</f>
        <v>0.36014373694263085</v>
      </c>
      <c r="K77" s="29">
        <f>VLOOKUP($B77, ind_mes!$B:$XFD, MATCH(gdp_ind_share!K$1, ind_mes!$B$1:$XFD$1, 0), 0)/VLOOKUP($B77, gdp_tot_mes!$B:$XFD, MATCH(gdp_ind_share!K$1, gdp_tot_mes!$B$1:$XFD$1, 0), 0)</f>
        <v>0.38684929290538328</v>
      </c>
      <c r="L77" s="30">
        <f t="shared" si="1"/>
        <v>0.34027200997413581</v>
      </c>
      <c r="M77" s="29">
        <f>VLOOKUP($B77, ind_mes!$B:$XFD, MATCH(gdp_ind_share!M$1, ind_mes!$B$1:$XFD$1, 0), 0)/VLOOKUP($B77, gdp_tot_mes!$B:$XFD, MATCH(gdp_ind_share!M$1, gdp_tot_mes!$B$1:$XFD$1, 0), 0)</f>
        <v>0.28437927045663886</v>
      </c>
      <c r="N77" s="29">
        <f>VLOOKUP($B77, ind_mes!$B:$XFD, MATCH(gdp_ind_share!N$1, ind_mes!$B$1:$XFD$1, 0), 0)/VLOOKUP($B77, gdp_tot_mes!$B:$XFD, MATCH(gdp_ind_share!N$1, gdp_tot_mes!$B$1:$XFD$1, 0), 0)</f>
        <v>0.21012212651225567</v>
      </c>
      <c r="O77" s="29">
        <f>VLOOKUP($B77, ind_mes!$B:$XFD, MATCH(gdp_ind_share!O$1, ind_mes!$B$1:$XFD$1, 0), 0)/VLOOKUP($B77, gdp_tot_mes!$B:$XFD, MATCH(gdp_ind_share!O$1, gdp_tot_mes!$B$1:$XFD$1, 0), 0)</f>
        <v>0.20418134139666855</v>
      </c>
      <c r="P77" s="29">
        <f>VLOOKUP($B77, ind_mes!$B:$XFD, MATCH(gdp_ind_share!P$1, ind_mes!$B$1:$XFD$1, 0), 0)/VLOOKUP($B77, gdp_tot_mes!$B:$XFD, MATCH(gdp_ind_share!P$1, gdp_tot_mes!$B$1:$XFD$1, 0), 0)</f>
        <v>0.20503948947515854</v>
      </c>
      <c r="Q77" s="29">
        <f>VLOOKUP($B77, ind_mes!$B:$XFD, MATCH(gdp_ind_share!Q$1, ind_mes!$B$1:$XFD$1, 0), 0)/VLOOKUP($B77, gdp_tot_mes!$B:$XFD, MATCH(gdp_ind_share!Q$1, gdp_tot_mes!$B$1:$XFD$1, 0), 0)</f>
        <v>0.22905429961769294</v>
      </c>
      <c r="R77" s="29">
        <f>VLOOKUP($B77, ind_mes!$B:$XFD, MATCH(gdp_ind_share!R$1, ind_mes!$B$1:$XFD$1, 0), 0)/VLOOKUP($B77, gdp_tot_mes!$B:$XFD, MATCH(gdp_ind_share!R$1, gdp_tot_mes!$B$1:$XFD$1, 0), 0)</f>
        <v>0.19012409054176899</v>
      </c>
      <c r="S77" s="29">
        <f>VLOOKUP($B77, ind_mes!$B:$XFD, MATCH(gdp_ind_share!S$1, ind_mes!$B$1:$XFD$1, 0), 0)/VLOOKUP($B77, gdp_tot_mes!$B:$XFD, MATCH(gdp_ind_share!S$1, gdp_tot_mes!$B$1:$XFD$1, 0), 0)</f>
        <v>0.21873566712441928</v>
      </c>
      <c r="T77" s="29">
        <f>VLOOKUP($B77, ind_mes!$B:$XFD, MATCH(gdp_ind_share!T$1, ind_mes!$B$1:$XFD$1, 0), 0)/VLOOKUP($B77, gdp_tot_mes!$B:$XFD, MATCH(gdp_ind_share!T$1, gdp_tot_mes!$B$1:$XFD$1, 0), 0)</f>
        <v>0.19718214297390282</v>
      </c>
      <c r="U77" s="29">
        <f>VLOOKUP($B77, ind_mes!$B:$XFD, MATCH(gdp_ind_share!U$1, ind_mes!$B$1:$XFD$1, 0), 0)/VLOOKUP($B77, gdp_tot_mes!$B:$XFD, MATCH(gdp_ind_share!U$1, gdp_tot_mes!$B$1:$XFD$1, 0), 0)</f>
        <v>0.18135425003030789</v>
      </c>
      <c r="V77" s="29">
        <f>VLOOKUP($B77, ind_mes!$B:$XFD, MATCH(gdp_ind_share!V$1, ind_mes!$B$1:$XFD$1, 0), 0)/VLOOKUP($B77, gdp_tot_mes!$B:$XFD, MATCH(gdp_ind_share!V$1, gdp_tot_mes!$B$1:$XFD$1, 0), 0)</f>
        <v>0.17844733495482032</v>
      </c>
      <c r="W77" s="29">
        <f>VLOOKUP($B77, ind_mes!$B:$XFD, MATCH(gdp_ind_share!W$1, ind_mes!$B$1:$XFD$1, 0), 0)/VLOOKUP($B77, gdp_tot_mes!$B:$XFD, MATCH(gdp_ind_share!W$1, gdp_tot_mes!$B$1:$XFD$1, 0), 0)</f>
        <v>0.18206735546485778</v>
      </c>
      <c r="X77" s="29">
        <f>VLOOKUP($B77, ind_mes!$B:$XFD, MATCH(gdp_ind_share!X$1, ind_mes!$B$1:$XFD$1, 0), 0)/VLOOKUP($B77, gdp_tot_mes!$B:$XFD, MATCH(gdp_ind_share!X$1, gdp_tot_mes!$B$1:$XFD$1, 0), 0)</f>
        <v>0.19800524162445715</v>
      </c>
      <c r="Y77" s="29">
        <f>VLOOKUP($B77, ind_mes!$B:$XFD, MATCH(gdp_ind_share!Y$1, ind_mes!$B$1:$XFD$1, 0), 0)/VLOOKUP($B77, gdp_tot_mes!$B:$XFD, MATCH(gdp_ind_share!Y$1, gdp_tot_mes!$B$1:$XFD$1, 0), 0)</f>
        <v>0.2068004892204727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x14ac:dyDescent="0.25">
      <c r="A78" s="1" t="s">
        <v>191</v>
      </c>
      <c r="B78" s="1" t="s">
        <v>192</v>
      </c>
      <c r="C78" s="1" t="s">
        <v>193</v>
      </c>
      <c r="D78" s="29">
        <f>VLOOKUP($B78, ind_mes!$B:$XFD, MATCH(gdp_ind_share!D$1, ind_mes!$B$1:$XFD$1, 0), 0)/VLOOKUP($B78, gdp_tot_mes!$B:$XFD, MATCH(gdp_ind_share!D$1, gdp_tot_mes!$B$1:$XFD$1, 0), 0)</f>
        <v>5.1194710825220757E-2</v>
      </c>
      <c r="E78" s="29">
        <f>VLOOKUP($B78, ind_mes!$B:$XFD, MATCH(gdp_ind_share!E$1, ind_mes!$B$1:$XFD$1, 0), 0)/VLOOKUP($B78, gdp_tot_mes!$B:$XFD, MATCH(gdp_ind_share!E$1, gdp_tot_mes!$B$1:$XFD$1, 0), 0)</f>
        <v>7.8018547530856922E-2</v>
      </c>
      <c r="F78" s="29">
        <f>VLOOKUP($B78, ind_mes!$B:$XFD, MATCH(gdp_ind_share!F$1, ind_mes!$B$1:$XFD$1, 0), 0)/VLOOKUP($B78, gdp_tot_mes!$B:$XFD, MATCH(gdp_ind_share!F$1, gdp_tot_mes!$B$1:$XFD$1, 0), 0)</f>
        <v>8.5469020197742801E-2</v>
      </c>
      <c r="G78" s="29">
        <f>VLOOKUP($B78, ind_mes!$B:$XFD, MATCH(gdp_ind_share!G$1, ind_mes!$B$1:$XFD$1, 0), 0)/VLOOKUP($B78, gdp_tot_mes!$B:$XFD, MATCH(gdp_ind_share!G$1, gdp_tot_mes!$B$1:$XFD$1, 0), 0)</f>
        <v>0.12488944675969599</v>
      </c>
      <c r="H78" s="29">
        <f>VLOOKUP($B78, ind_mes!$B:$XFD, MATCH(gdp_ind_share!H$1, ind_mes!$B$1:$XFD$1, 0), 0)/VLOOKUP($B78, gdp_tot_mes!$B:$XFD, MATCH(gdp_ind_share!H$1, gdp_tot_mes!$B$1:$XFD$1, 0), 0)</f>
        <v>0.16713857067273805</v>
      </c>
      <c r="I78" s="29">
        <f>VLOOKUP($B78, ind_mes!$B:$XFD, MATCH(gdp_ind_share!I$1, ind_mes!$B$1:$XFD$1, 0), 0)/VLOOKUP($B78, gdp_tot_mes!$B:$XFD, MATCH(gdp_ind_share!I$1, gdp_tot_mes!$B$1:$XFD$1, 0), 0)</f>
        <v>0.15014884214767199</v>
      </c>
      <c r="J78" s="29">
        <f>VLOOKUP($B78, ind_mes!$B:$XFD, MATCH(gdp_ind_share!J$1, ind_mes!$B$1:$XFD$1, 0), 0)/VLOOKUP($B78, gdp_tot_mes!$B:$XFD, MATCH(gdp_ind_share!J$1, gdp_tot_mes!$B$1:$XFD$1, 0), 0)</f>
        <v>0.246189417745622</v>
      </c>
      <c r="K78" s="29">
        <f>VLOOKUP($B78, ind_mes!$B:$XFD, MATCH(gdp_ind_share!K$1, ind_mes!$B$1:$XFD$1, 0), 0)/VLOOKUP($B78, gdp_tot_mes!$B:$XFD, MATCH(gdp_ind_share!K$1, gdp_tot_mes!$B$1:$XFD$1, 0), 0)</f>
        <v>0.27832722334886206</v>
      </c>
      <c r="L78" s="30">
        <f t="shared" si="1"/>
        <v>0.19730063696671996</v>
      </c>
      <c r="M78" s="29">
        <f>VLOOKUP($B78, ind_mes!$B:$XFD, MATCH(gdp_ind_share!M$1, ind_mes!$B$1:$XFD$1, 0), 0)/VLOOKUP($B78, gdp_tot_mes!$B:$XFD, MATCH(gdp_ind_share!M$1, gdp_tot_mes!$B$1:$XFD$1, 0), 0)</f>
        <v>0.10006873330814943</v>
      </c>
      <c r="N78" s="29">
        <f>VLOOKUP($B78, ind_mes!$B:$XFD, MATCH(gdp_ind_share!N$1, ind_mes!$B$1:$XFD$1, 0), 0)/VLOOKUP($B78, gdp_tot_mes!$B:$XFD, MATCH(gdp_ind_share!N$1, gdp_tot_mes!$B$1:$XFD$1, 0), 0)</f>
        <v>0.11132646133265464</v>
      </c>
      <c r="O78" s="29">
        <f>VLOOKUP($B78, ind_mes!$B:$XFD, MATCH(gdp_ind_share!O$1, ind_mes!$B$1:$XFD$1, 0), 0)/VLOOKUP($B78, gdp_tot_mes!$B:$XFD, MATCH(gdp_ind_share!O$1, gdp_tot_mes!$B$1:$XFD$1, 0), 0)</f>
        <v>0.11008259962097061</v>
      </c>
      <c r="P78" s="29">
        <f>VLOOKUP($B78, ind_mes!$B:$XFD, MATCH(gdp_ind_share!P$1, ind_mes!$B$1:$XFD$1, 0), 0)/VLOOKUP($B78, gdp_tot_mes!$B:$XFD, MATCH(gdp_ind_share!P$1, gdp_tot_mes!$B$1:$XFD$1, 0), 0)</f>
        <v>0.10314508952928843</v>
      </c>
      <c r="Q78" s="29">
        <f>VLOOKUP($B78, ind_mes!$B:$XFD, MATCH(gdp_ind_share!Q$1, ind_mes!$B$1:$XFD$1, 0), 0)/VLOOKUP($B78, gdp_tot_mes!$B:$XFD, MATCH(gdp_ind_share!Q$1, gdp_tot_mes!$B$1:$XFD$1, 0), 0)</f>
        <v>5.675511082323028E-2</v>
      </c>
      <c r="R78" s="29">
        <f>VLOOKUP($B78, ind_mes!$B:$XFD, MATCH(gdp_ind_share!R$1, ind_mes!$B$1:$XFD$1, 0), 0)/VLOOKUP($B78, gdp_tot_mes!$B:$XFD, MATCH(gdp_ind_share!R$1, gdp_tot_mes!$B$1:$XFD$1, 0), 0)</f>
        <v>3.8544811389839326E-2</v>
      </c>
      <c r="S78" s="29">
        <f>VLOOKUP($B78, ind_mes!$B:$XFD, MATCH(gdp_ind_share!S$1, ind_mes!$B$1:$XFD$1, 0), 0)/VLOOKUP($B78, gdp_tot_mes!$B:$XFD, MATCH(gdp_ind_share!S$1, gdp_tot_mes!$B$1:$XFD$1, 0), 0)</f>
        <v>5.5504500363118353E-2</v>
      </c>
      <c r="T78" s="29">
        <f>VLOOKUP($B78, ind_mes!$B:$XFD, MATCH(gdp_ind_share!T$1, ind_mes!$B$1:$XFD$1, 0), 0)/VLOOKUP($B78, gdp_tot_mes!$B:$XFD, MATCH(gdp_ind_share!T$1, gdp_tot_mes!$B$1:$XFD$1, 0), 0)</f>
        <v>5.5695707156034412E-2</v>
      </c>
      <c r="U78" s="29">
        <f>VLOOKUP($B78, ind_mes!$B:$XFD, MATCH(gdp_ind_share!U$1, ind_mes!$B$1:$XFD$1, 0), 0)/VLOOKUP($B78, gdp_tot_mes!$B:$XFD, MATCH(gdp_ind_share!U$1, gdp_tot_mes!$B$1:$XFD$1, 0), 0)</f>
        <v>9.2527147172236909E-2</v>
      </c>
      <c r="V78" s="29">
        <f>VLOOKUP($B78, ind_mes!$B:$XFD, MATCH(gdp_ind_share!V$1, ind_mes!$B$1:$XFD$1, 0), 0)/VLOOKUP($B78, gdp_tot_mes!$B:$XFD, MATCH(gdp_ind_share!V$1, gdp_tot_mes!$B$1:$XFD$1, 0), 0)</f>
        <v>6.033639389590454E-2</v>
      </c>
      <c r="W78" s="29">
        <f>VLOOKUP($B78, ind_mes!$B:$XFD, MATCH(gdp_ind_share!W$1, ind_mes!$B$1:$XFD$1, 0), 0)/VLOOKUP($B78, gdp_tot_mes!$B:$XFD, MATCH(gdp_ind_share!W$1, gdp_tot_mes!$B$1:$XFD$1, 0), 0)</f>
        <v>5.0701096506333476E-2</v>
      </c>
      <c r="X78" s="29">
        <f>VLOOKUP($B78, ind_mes!$B:$XFD, MATCH(gdp_ind_share!X$1, ind_mes!$B$1:$XFD$1, 0), 0)/VLOOKUP($B78, gdp_tot_mes!$B:$XFD, MATCH(gdp_ind_share!X$1, gdp_tot_mes!$B$1:$XFD$1, 0), 0)</f>
        <v>5.8850307235731945E-2</v>
      </c>
      <c r="Y78" s="29">
        <f>VLOOKUP($B78, ind_mes!$B:$XFD, MATCH(gdp_ind_share!Y$1, ind_mes!$B$1:$XFD$1, 0), 0)/VLOOKUP($B78, gdp_tot_mes!$B:$XFD, MATCH(gdp_ind_share!Y$1, gdp_tot_mes!$B$1:$XFD$1, 0), 0)</f>
        <v>8.3341942874813377E-2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x14ac:dyDescent="0.25">
      <c r="A79" s="1" t="s">
        <v>191</v>
      </c>
      <c r="B79" s="1" t="s">
        <v>194</v>
      </c>
      <c r="C79" s="1" t="s">
        <v>195</v>
      </c>
      <c r="D79" s="29">
        <f>VLOOKUP($B79, ind_mes!$B:$XFD, MATCH(gdp_ind_share!D$1, ind_mes!$B$1:$XFD$1, 0), 0)/VLOOKUP($B79, gdp_tot_mes!$B:$XFD, MATCH(gdp_ind_share!D$1, gdp_tot_mes!$B$1:$XFD$1, 0), 0)</f>
        <v>4.8646786306126635E-2</v>
      </c>
      <c r="E79" s="29">
        <f>VLOOKUP($B79, ind_mes!$B:$XFD, MATCH(gdp_ind_share!E$1, ind_mes!$B$1:$XFD$1, 0), 0)/VLOOKUP($B79, gdp_tot_mes!$B:$XFD, MATCH(gdp_ind_share!E$1, gdp_tot_mes!$B$1:$XFD$1, 0), 0)</f>
        <v>8.4722601041914564E-2</v>
      </c>
      <c r="F79" s="29">
        <f>VLOOKUP($B79, ind_mes!$B:$XFD, MATCH(gdp_ind_share!F$1, ind_mes!$B$1:$XFD$1, 0), 0)/VLOOKUP($B79, gdp_tot_mes!$B:$XFD, MATCH(gdp_ind_share!F$1, gdp_tot_mes!$B$1:$XFD$1, 0), 0)</f>
        <v>3.5361533927151849E-2</v>
      </c>
      <c r="G79" s="29">
        <f>VLOOKUP($B79, ind_mes!$B:$XFD, MATCH(gdp_ind_share!G$1, ind_mes!$B$1:$XFD$1, 0), 0)/VLOOKUP($B79, gdp_tot_mes!$B:$XFD, MATCH(gdp_ind_share!G$1, gdp_tot_mes!$B$1:$XFD$1, 0), 0)</f>
        <v>8.9267069100809907E-2</v>
      </c>
      <c r="H79" s="29">
        <f>VLOOKUP($B79, ind_mes!$B:$XFD, MATCH(gdp_ind_share!H$1, ind_mes!$B$1:$XFD$1, 0), 0)/VLOOKUP($B79, gdp_tot_mes!$B:$XFD, MATCH(gdp_ind_share!H$1, gdp_tot_mes!$B$1:$XFD$1, 0), 0)</f>
        <v>0.14080894457765938</v>
      </c>
      <c r="I79" s="29">
        <f>VLOOKUP($B79, ind_mes!$B:$XFD, MATCH(gdp_ind_share!I$1, ind_mes!$B$1:$XFD$1, 0), 0)/VLOOKUP($B79, gdp_tot_mes!$B:$XFD, MATCH(gdp_ind_share!I$1, gdp_tot_mes!$B$1:$XFD$1, 0), 0)</f>
        <v>0.12310781423141658</v>
      </c>
      <c r="J79" s="29">
        <f>VLOOKUP($B79, ind_mes!$B:$XFD, MATCH(gdp_ind_share!J$1, ind_mes!$B$1:$XFD$1, 0), 0)/VLOOKUP($B79, gdp_tot_mes!$B:$XFD, MATCH(gdp_ind_share!J$1, gdp_tot_mes!$B$1:$XFD$1, 0), 0)</f>
        <v>0.21035539521355956</v>
      </c>
      <c r="K79" s="29">
        <f>VLOOKUP($B79, ind_mes!$B:$XFD, MATCH(gdp_ind_share!K$1, ind_mes!$B$1:$XFD$1, 0), 0)/VLOOKUP($B79, gdp_tot_mes!$B:$XFD, MATCH(gdp_ind_share!K$1, gdp_tot_mes!$B$1:$XFD$1, 0), 0)</f>
        <v>0.23654595615050067</v>
      </c>
      <c r="L79" s="30">
        <f t="shared" si="1"/>
        <v>0.21425851684857539</v>
      </c>
      <c r="M79" s="29">
        <f>VLOOKUP($B79, ind_mes!$B:$XFD, MATCH(gdp_ind_share!M$1, ind_mes!$B$1:$XFD$1, 0), 0)/VLOOKUP($B79, gdp_tot_mes!$B:$XFD, MATCH(gdp_ind_share!M$1, gdp_tot_mes!$B$1:$XFD$1, 0), 0)</f>
        <v>0.18751358968626503</v>
      </c>
      <c r="N79" s="29">
        <f>VLOOKUP($B79, ind_mes!$B:$XFD, MATCH(gdp_ind_share!N$1, ind_mes!$B$1:$XFD$1, 0), 0)/VLOOKUP($B79, gdp_tot_mes!$B:$XFD, MATCH(gdp_ind_share!N$1, gdp_tot_mes!$B$1:$XFD$1, 0), 0)</f>
        <v>0.15087399510219182</v>
      </c>
      <c r="O79" s="29">
        <f>VLOOKUP($B79, ind_mes!$B:$XFD, MATCH(gdp_ind_share!O$1, ind_mes!$B$1:$XFD$1, 0), 0)/VLOOKUP($B79, gdp_tot_mes!$B:$XFD, MATCH(gdp_ind_share!O$1, gdp_tot_mes!$B$1:$XFD$1, 0), 0)</f>
        <v>0.15021918058801698</v>
      </c>
      <c r="P79" s="29">
        <f>VLOOKUP($B79, ind_mes!$B:$XFD, MATCH(gdp_ind_share!P$1, ind_mes!$B$1:$XFD$1, 0), 0)/VLOOKUP($B79, gdp_tot_mes!$B:$XFD, MATCH(gdp_ind_share!P$1, gdp_tot_mes!$B$1:$XFD$1, 0), 0)</f>
        <v>0.15634555714541656</v>
      </c>
      <c r="Q79" s="29">
        <f>VLOOKUP($B79, ind_mes!$B:$XFD, MATCH(gdp_ind_share!Q$1, ind_mes!$B$1:$XFD$1, 0), 0)/VLOOKUP($B79, gdp_tot_mes!$B:$XFD, MATCH(gdp_ind_share!Q$1, gdp_tot_mes!$B$1:$XFD$1, 0), 0)</f>
        <v>0.1519378172213533</v>
      </c>
      <c r="R79" s="29">
        <f>VLOOKUP($B79, ind_mes!$B:$XFD, MATCH(gdp_ind_share!R$1, ind_mes!$B$1:$XFD$1, 0), 0)/VLOOKUP($B79, gdp_tot_mes!$B:$XFD, MATCH(gdp_ind_share!R$1, gdp_tot_mes!$B$1:$XFD$1, 0), 0)</f>
        <v>0.12452495700923827</v>
      </c>
      <c r="S79" s="29">
        <f>VLOOKUP($B79, ind_mes!$B:$XFD, MATCH(gdp_ind_share!S$1, ind_mes!$B$1:$XFD$1, 0), 0)/VLOOKUP($B79, gdp_tot_mes!$B:$XFD, MATCH(gdp_ind_share!S$1, gdp_tot_mes!$B$1:$XFD$1, 0), 0)</f>
        <v>0.13422917096820025</v>
      </c>
      <c r="T79" s="29">
        <f>VLOOKUP($B79, ind_mes!$B:$XFD, MATCH(gdp_ind_share!T$1, ind_mes!$B$1:$XFD$1, 0), 0)/VLOOKUP($B79, gdp_tot_mes!$B:$XFD, MATCH(gdp_ind_share!T$1, gdp_tot_mes!$B$1:$XFD$1, 0), 0)</f>
        <v>0.15370652284167116</v>
      </c>
      <c r="U79" s="29">
        <f>VLOOKUP($B79, ind_mes!$B:$XFD, MATCH(gdp_ind_share!U$1, ind_mes!$B$1:$XFD$1, 0), 0)/VLOOKUP($B79, gdp_tot_mes!$B:$XFD, MATCH(gdp_ind_share!U$1, gdp_tot_mes!$B$1:$XFD$1, 0), 0)</f>
        <v>0.25309460147204882</v>
      </c>
      <c r="V79" s="29">
        <f>VLOOKUP($B79, ind_mes!$B:$XFD, MATCH(gdp_ind_share!V$1, ind_mes!$B$1:$XFD$1, 0), 0)/VLOOKUP($B79, gdp_tot_mes!$B:$XFD, MATCH(gdp_ind_share!V$1, gdp_tot_mes!$B$1:$XFD$1, 0), 0)</f>
        <v>0.14416303620452092</v>
      </c>
      <c r="W79" s="29">
        <f>VLOOKUP($B79, ind_mes!$B:$XFD, MATCH(gdp_ind_share!W$1, ind_mes!$B$1:$XFD$1, 0), 0)/VLOOKUP($B79, gdp_tot_mes!$B:$XFD, MATCH(gdp_ind_share!W$1, gdp_tot_mes!$B$1:$XFD$1, 0), 0)</f>
        <v>0.12199964649452841</v>
      </c>
      <c r="X79" s="29">
        <f>VLOOKUP($B79, ind_mes!$B:$XFD, MATCH(gdp_ind_share!X$1, ind_mes!$B$1:$XFD$1, 0), 0)/VLOOKUP($B79, gdp_tot_mes!$B:$XFD, MATCH(gdp_ind_share!X$1, gdp_tot_mes!$B$1:$XFD$1, 0), 0)</f>
        <v>0.14833853960452689</v>
      </c>
      <c r="Y79" s="29">
        <f>VLOOKUP($B79, ind_mes!$B:$XFD, MATCH(gdp_ind_share!Y$1, ind_mes!$B$1:$XFD$1, 0), 0)/VLOOKUP($B79, gdp_tot_mes!$B:$XFD, MATCH(gdp_ind_share!Y$1, gdp_tot_mes!$B$1:$XFD$1, 0), 0)</f>
        <v>0.16406953524679493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x14ac:dyDescent="0.25">
      <c r="A80" s="1" t="s">
        <v>191</v>
      </c>
      <c r="B80" s="1" t="s">
        <v>196</v>
      </c>
      <c r="C80" s="1" t="s">
        <v>197</v>
      </c>
      <c r="D80" s="29">
        <f>VLOOKUP($B80, ind_mes!$B:$XFD, MATCH(gdp_ind_share!D$1, ind_mes!$B$1:$XFD$1, 0), 0)/VLOOKUP($B80, gdp_tot_mes!$B:$XFD, MATCH(gdp_ind_share!D$1, gdp_tot_mes!$B$1:$XFD$1, 0), 0)</f>
        <v>0.10019195099668983</v>
      </c>
      <c r="E80" s="29">
        <f>VLOOKUP($B80, ind_mes!$B:$XFD, MATCH(gdp_ind_share!E$1, ind_mes!$B$1:$XFD$1, 0), 0)/VLOOKUP($B80, gdp_tot_mes!$B:$XFD, MATCH(gdp_ind_share!E$1, gdp_tot_mes!$B$1:$XFD$1, 0), 0)</f>
        <v>2.5674852534901184E-2</v>
      </c>
      <c r="F80" s="29">
        <f>VLOOKUP($B80, ind_mes!$B:$XFD, MATCH(gdp_ind_share!F$1, ind_mes!$B$1:$XFD$1, 0), 0)/VLOOKUP($B80, gdp_tot_mes!$B:$XFD, MATCH(gdp_ind_share!F$1, gdp_tot_mes!$B$1:$XFD$1, 0), 0)</f>
        <v>2.6086694348295414E-2</v>
      </c>
      <c r="G80" s="29">
        <f>VLOOKUP($B80, ind_mes!$B:$XFD, MATCH(gdp_ind_share!G$1, ind_mes!$B$1:$XFD$1, 0), 0)/VLOOKUP($B80, gdp_tot_mes!$B:$XFD, MATCH(gdp_ind_share!G$1, gdp_tot_mes!$B$1:$XFD$1, 0), 0)</f>
        <v>0.1237587752495059</v>
      </c>
      <c r="H80" s="29">
        <f>VLOOKUP($B80, ind_mes!$B:$XFD, MATCH(gdp_ind_share!H$1, ind_mes!$B$1:$XFD$1, 0), 0)/VLOOKUP($B80, gdp_tot_mes!$B:$XFD, MATCH(gdp_ind_share!H$1, gdp_tot_mes!$B$1:$XFD$1, 0), 0)</f>
        <v>0.13048604933662311</v>
      </c>
      <c r="I80" s="29">
        <f>VLOOKUP($B80, ind_mes!$B:$XFD, MATCH(gdp_ind_share!I$1, ind_mes!$B$1:$XFD$1, 0), 0)/VLOOKUP($B80, gdp_tot_mes!$B:$XFD, MATCH(gdp_ind_share!I$1, gdp_tot_mes!$B$1:$XFD$1, 0), 0)</f>
        <v>8.6042573506630513E-2</v>
      </c>
      <c r="J80" s="29">
        <f>VLOOKUP($B80, ind_mes!$B:$XFD, MATCH(gdp_ind_share!J$1, ind_mes!$B$1:$XFD$1, 0), 0)/VLOOKUP($B80, gdp_tot_mes!$B:$XFD, MATCH(gdp_ind_share!J$1, gdp_tot_mes!$B$1:$XFD$1, 0), 0)</f>
        <v>0.12458966477073441</v>
      </c>
      <c r="K80" s="29">
        <f>VLOOKUP($B80, ind_mes!$B:$XFD, MATCH(gdp_ind_share!K$1, ind_mes!$B$1:$XFD$1, 0), 0)/VLOOKUP($B80, gdp_tot_mes!$B:$XFD, MATCH(gdp_ind_share!K$1, gdp_tot_mes!$B$1:$XFD$1, 0), 0)</f>
        <v>0.11794119916268621</v>
      </c>
      <c r="L80" s="30">
        <f t="shared" si="1"/>
        <v>8.1752189934519243E-2</v>
      </c>
      <c r="M80" s="29">
        <f>VLOOKUP($B80, ind_mes!$B:$XFD, MATCH(gdp_ind_share!M$1, ind_mes!$B$1:$XFD$1, 0), 0)/VLOOKUP($B80, gdp_tot_mes!$B:$XFD, MATCH(gdp_ind_share!M$1, gdp_tot_mes!$B$1:$XFD$1, 0), 0)</f>
        <v>3.8325378860718892E-2</v>
      </c>
      <c r="N80" s="29">
        <f>VLOOKUP($B80, ind_mes!$B:$XFD, MATCH(gdp_ind_share!N$1, ind_mes!$B$1:$XFD$1, 0), 0)/VLOOKUP($B80, gdp_tot_mes!$B:$XFD, MATCH(gdp_ind_share!N$1, gdp_tot_mes!$B$1:$XFD$1, 0), 0)</f>
        <v>0.11016948061460767</v>
      </c>
      <c r="O80" s="29">
        <f>VLOOKUP($B80, ind_mes!$B:$XFD, MATCH(gdp_ind_share!O$1, ind_mes!$B$1:$XFD$1, 0), 0)/VLOOKUP($B80, gdp_tot_mes!$B:$XFD, MATCH(gdp_ind_share!O$1, gdp_tot_mes!$B$1:$XFD$1, 0), 0)</f>
        <v>0.11195728003585707</v>
      </c>
      <c r="P80" s="29">
        <f>VLOOKUP($B80, ind_mes!$B:$XFD, MATCH(gdp_ind_share!P$1, ind_mes!$B$1:$XFD$1, 0), 0)/VLOOKUP($B80, gdp_tot_mes!$B:$XFD, MATCH(gdp_ind_share!P$1, gdp_tot_mes!$B$1:$XFD$1, 0), 0)</f>
        <v>0.12446546284332144</v>
      </c>
      <c r="Q80" s="29">
        <f>VLOOKUP($B80, ind_mes!$B:$XFD, MATCH(gdp_ind_share!Q$1, ind_mes!$B$1:$XFD$1, 0), 0)/VLOOKUP($B80, gdp_tot_mes!$B:$XFD, MATCH(gdp_ind_share!Q$1, gdp_tot_mes!$B$1:$XFD$1, 0), 0)</f>
        <v>9.8256224049308227E-2</v>
      </c>
      <c r="R80" s="29">
        <f>VLOOKUP($B80, ind_mes!$B:$XFD, MATCH(gdp_ind_share!R$1, ind_mes!$B$1:$XFD$1, 0), 0)/VLOOKUP($B80, gdp_tot_mes!$B:$XFD, MATCH(gdp_ind_share!R$1, gdp_tot_mes!$B$1:$XFD$1, 0), 0)</f>
        <v>8.4647527998900782E-2</v>
      </c>
      <c r="S80" s="29">
        <f>VLOOKUP($B80, ind_mes!$B:$XFD, MATCH(gdp_ind_share!S$1, ind_mes!$B$1:$XFD$1, 0), 0)/VLOOKUP($B80, gdp_tot_mes!$B:$XFD, MATCH(gdp_ind_share!S$1, gdp_tot_mes!$B$1:$XFD$1, 0), 0)</f>
        <v>0.12065059093412775</v>
      </c>
      <c r="T80" s="29">
        <f>VLOOKUP($B80, ind_mes!$B:$XFD, MATCH(gdp_ind_share!T$1, ind_mes!$B$1:$XFD$1, 0), 0)/VLOOKUP($B80, gdp_tot_mes!$B:$XFD, MATCH(gdp_ind_share!T$1, gdp_tot_mes!$B$1:$XFD$1, 0), 0)</f>
        <v>9.6307804947975834E-2</v>
      </c>
      <c r="U80" s="29">
        <f>VLOOKUP($B80, ind_mes!$B:$XFD, MATCH(gdp_ind_share!U$1, ind_mes!$B$1:$XFD$1, 0), 0)/VLOOKUP($B80, gdp_tot_mes!$B:$XFD, MATCH(gdp_ind_share!U$1, gdp_tot_mes!$B$1:$XFD$1, 0), 0)</f>
        <v>0.12347197562874779</v>
      </c>
      <c r="V80" s="29">
        <f>VLOOKUP($B80, ind_mes!$B:$XFD, MATCH(gdp_ind_share!V$1, ind_mes!$B$1:$XFD$1, 0), 0)/VLOOKUP($B80, gdp_tot_mes!$B:$XFD, MATCH(gdp_ind_share!V$1, gdp_tot_mes!$B$1:$XFD$1, 0), 0)</f>
        <v>8.9189215266289701E-2</v>
      </c>
      <c r="W80" s="29">
        <f>VLOOKUP($B80, ind_mes!$B:$XFD, MATCH(gdp_ind_share!W$1, ind_mes!$B$1:$XFD$1, 0), 0)/VLOOKUP($B80, gdp_tot_mes!$B:$XFD, MATCH(gdp_ind_share!W$1, gdp_tot_mes!$B$1:$XFD$1, 0), 0)</f>
        <v>6.3195405253749434E-2</v>
      </c>
      <c r="X80" s="29">
        <f>VLOOKUP($B80, ind_mes!$B:$XFD, MATCH(gdp_ind_share!X$1, ind_mes!$B$1:$XFD$1, 0), 0)/VLOOKUP($B80, gdp_tot_mes!$B:$XFD, MATCH(gdp_ind_share!X$1, gdp_tot_mes!$B$1:$XFD$1, 0), 0)</f>
        <v>8.2024643073097259E-2</v>
      </c>
      <c r="Y80" s="29">
        <f>VLOOKUP($B80, ind_mes!$B:$XFD, MATCH(gdp_ind_share!Y$1, ind_mes!$B$1:$XFD$1, 0), 0)/VLOOKUP($B80, gdp_tot_mes!$B:$XFD, MATCH(gdp_ind_share!Y$1, gdp_tot_mes!$B$1:$XFD$1, 0), 0)</f>
        <v>0.15085280517782432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x14ac:dyDescent="0.25">
      <c r="A81" s="1" t="s">
        <v>191</v>
      </c>
      <c r="B81" s="1" t="s">
        <v>198</v>
      </c>
      <c r="C81" s="1" t="s">
        <v>199</v>
      </c>
      <c r="D81" s="29">
        <f>VLOOKUP($B81, ind_mes!$B:$XFD, MATCH(gdp_ind_share!D$1, ind_mes!$B$1:$XFD$1, 0), 0)/VLOOKUP($B81, gdp_tot_mes!$B:$XFD, MATCH(gdp_ind_share!D$1, gdp_tot_mes!$B$1:$XFD$1, 0), 0)</f>
        <v>4.0381072203338177E-2</v>
      </c>
      <c r="E81" s="29">
        <f>VLOOKUP($B81, ind_mes!$B:$XFD, MATCH(gdp_ind_share!E$1, ind_mes!$B$1:$XFD$1, 0), 0)/VLOOKUP($B81, gdp_tot_mes!$B:$XFD, MATCH(gdp_ind_share!E$1, gdp_tot_mes!$B$1:$XFD$1, 0), 0)</f>
        <v>1.1377696398009276E-2</v>
      </c>
      <c r="F81" s="29">
        <f>VLOOKUP($B81, ind_mes!$B:$XFD, MATCH(gdp_ind_share!F$1, ind_mes!$B$1:$XFD$1, 0), 0)/VLOOKUP($B81, gdp_tot_mes!$B:$XFD, MATCH(gdp_ind_share!F$1, gdp_tot_mes!$B$1:$XFD$1, 0), 0)</f>
        <v>1.3101897647145479E-2</v>
      </c>
      <c r="G81" s="29">
        <f>VLOOKUP($B81, ind_mes!$B:$XFD, MATCH(gdp_ind_share!G$1, ind_mes!$B$1:$XFD$1, 0), 0)/VLOOKUP($B81, gdp_tot_mes!$B:$XFD, MATCH(gdp_ind_share!G$1, gdp_tot_mes!$B$1:$XFD$1, 0), 0)</f>
        <v>4.961521961802004E-2</v>
      </c>
      <c r="H81" s="29">
        <f>VLOOKUP($B81, ind_mes!$B:$XFD, MATCH(gdp_ind_share!H$1, ind_mes!$B$1:$XFD$1, 0), 0)/VLOOKUP($B81, gdp_tot_mes!$B:$XFD, MATCH(gdp_ind_share!H$1, gdp_tot_mes!$B$1:$XFD$1, 0), 0)</f>
        <v>0.11486978477279813</v>
      </c>
      <c r="I81" s="29">
        <f>VLOOKUP($B81, ind_mes!$B:$XFD, MATCH(gdp_ind_share!I$1, ind_mes!$B$1:$XFD$1, 0), 0)/VLOOKUP($B81, gdp_tot_mes!$B:$XFD, MATCH(gdp_ind_share!I$1, gdp_tot_mes!$B$1:$XFD$1, 0), 0)</f>
        <v>0.13008019047511785</v>
      </c>
      <c r="J81" s="29">
        <f>VLOOKUP($B81, ind_mes!$B:$XFD, MATCH(gdp_ind_share!J$1, ind_mes!$B$1:$XFD$1, 0), 0)/VLOOKUP($B81, gdp_tot_mes!$B:$XFD, MATCH(gdp_ind_share!J$1, gdp_tot_mes!$B$1:$XFD$1, 0), 0)</f>
        <v>0.23230900901061985</v>
      </c>
      <c r="K81" s="29">
        <f>VLOOKUP($B81, ind_mes!$B:$XFD, MATCH(gdp_ind_share!K$1, ind_mes!$B$1:$XFD$1, 0), 0)/VLOOKUP($B81, gdp_tot_mes!$B:$XFD, MATCH(gdp_ind_share!K$1, gdp_tot_mes!$B$1:$XFD$1, 0), 0)</f>
        <v>0.1982003471141795</v>
      </c>
      <c r="L81" s="30">
        <f t="shared" si="1"/>
        <v>0.13060825487319197</v>
      </c>
      <c r="M81" s="29">
        <f>VLOOKUP($B81, ind_mes!$B:$XFD, MATCH(gdp_ind_share!M$1, ind_mes!$B$1:$XFD$1, 0), 0)/VLOOKUP($B81, gdp_tot_mes!$B:$XFD, MATCH(gdp_ind_share!M$1, gdp_tot_mes!$B$1:$XFD$1, 0), 0)</f>
        <v>4.9497744184006945E-2</v>
      </c>
      <c r="N81" s="29">
        <f>VLOOKUP($B81, ind_mes!$B:$XFD, MATCH(gdp_ind_share!N$1, ind_mes!$B$1:$XFD$1, 0), 0)/VLOOKUP($B81, gdp_tot_mes!$B:$XFD, MATCH(gdp_ind_share!N$1, gdp_tot_mes!$B$1:$XFD$1, 0), 0)</f>
        <v>7.9163602927441304E-2</v>
      </c>
      <c r="O81" s="29">
        <f>VLOOKUP($B81, ind_mes!$B:$XFD, MATCH(gdp_ind_share!O$1, ind_mes!$B$1:$XFD$1, 0), 0)/VLOOKUP($B81, gdp_tot_mes!$B:$XFD, MATCH(gdp_ind_share!O$1, gdp_tot_mes!$B$1:$XFD$1, 0), 0)</f>
        <v>7.4644077030218664E-2</v>
      </c>
      <c r="P81" s="29">
        <f>VLOOKUP($B81, ind_mes!$B:$XFD, MATCH(gdp_ind_share!P$1, ind_mes!$B$1:$XFD$1, 0), 0)/VLOOKUP($B81, gdp_tot_mes!$B:$XFD, MATCH(gdp_ind_share!P$1, gdp_tot_mes!$B$1:$XFD$1, 0), 0)</f>
        <v>9.6376055220042334E-2</v>
      </c>
      <c r="Q81" s="29">
        <f>VLOOKUP($B81, ind_mes!$B:$XFD, MATCH(gdp_ind_share!Q$1, ind_mes!$B$1:$XFD$1, 0), 0)/VLOOKUP($B81, gdp_tot_mes!$B:$XFD, MATCH(gdp_ind_share!Q$1, gdp_tot_mes!$B$1:$XFD$1, 0), 0)</f>
        <v>8.8501602639616817E-2</v>
      </c>
      <c r="R81" s="29">
        <f>VLOOKUP($B81, ind_mes!$B:$XFD, MATCH(gdp_ind_share!R$1, ind_mes!$B$1:$XFD$1, 0), 0)/VLOOKUP($B81, gdp_tot_mes!$B:$XFD, MATCH(gdp_ind_share!R$1, gdp_tot_mes!$B$1:$XFD$1, 0), 0)</f>
        <v>7.7850183951018392E-2</v>
      </c>
      <c r="S81" s="29">
        <f>VLOOKUP($B81, ind_mes!$B:$XFD, MATCH(gdp_ind_share!S$1, ind_mes!$B$1:$XFD$1, 0), 0)/VLOOKUP($B81, gdp_tot_mes!$B:$XFD, MATCH(gdp_ind_share!S$1, gdp_tot_mes!$B$1:$XFD$1, 0), 0)</f>
        <v>6.8643661043229789E-2</v>
      </c>
      <c r="T81" s="29">
        <f>VLOOKUP($B81, ind_mes!$B:$XFD, MATCH(gdp_ind_share!T$1, ind_mes!$B$1:$XFD$1, 0), 0)/VLOOKUP($B81, gdp_tot_mes!$B:$XFD, MATCH(gdp_ind_share!T$1, gdp_tot_mes!$B$1:$XFD$1, 0), 0)</f>
        <v>7.417178092886656E-2</v>
      </c>
      <c r="U81" s="29">
        <f>VLOOKUP($B81, ind_mes!$B:$XFD, MATCH(gdp_ind_share!U$1, ind_mes!$B$1:$XFD$1, 0), 0)/VLOOKUP($B81, gdp_tot_mes!$B:$XFD, MATCH(gdp_ind_share!U$1, gdp_tot_mes!$B$1:$XFD$1, 0), 0)</f>
        <v>0.11551265423378836</v>
      </c>
      <c r="V81" s="29">
        <f>VLOOKUP($B81, ind_mes!$B:$XFD, MATCH(gdp_ind_share!V$1, ind_mes!$B$1:$XFD$1, 0), 0)/VLOOKUP($B81, gdp_tot_mes!$B:$XFD, MATCH(gdp_ind_share!V$1, gdp_tot_mes!$B$1:$XFD$1, 0), 0)</f>
        <v>7.7484789183921737E-2</v>
      </c>
      <c r="W81" s="29">
        <f>VLOOKUP($B81, ind_mes!$B:$XFD, MATCH(gdp_ind_share!W$1, ind_mes!$B$1:$XFD$1, 0), 0)/VLOOKUP($B81, gdp_tot_mes!$B:$XFD, MATCH(gdp_ind_share!W$1, gdp_tot_mes!$B$1:$XFD$1, 0), 0)</f>
        <v>6.4484215906428582E-2</v>
      </c>
      <c r="X81" s="29">
        <f>VLOOKUP($B81, ind_mes!$B:$XFD, MATCH(gdp_ind_share!X$1, ind_mes!$B$1:$XFD$1, 0), 0)/VLOOKUP($B81, gdp_tot_mes!$B:$XFD, MATCH(gdp_ind_share!X$1, gdp_tot_mes!$B$1:$XFD$1, 0), 0)</f>
        <v>7.0902076625606533E-2</v>
      </c>
      <c r="Y81" s="29">
        <f>VLOOKUP($B81, ind_mes!$B:$XFD, MATCH(gdp_ind_share!Y$1, ind_mes!$B$1:$XFD$1, 0), 0)/VLOOKUP($B81, gdp_tot_mes!$B:$XFD, MATCH(gdp_ind_share!Y$1, gdp_tot_mes!$B$1:$XFD$1, 0), 0)</f>
        <v>0.11312196153162968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x14ac:dyDescent="0.25">
      <c r="A82" s="1" t="s">
        <v>200</v>
      </c>
      <c r="B82" s="1" t="s">
        <v>201</v>
      </c>
      <c r="C82" s="1" t="s">
        <v>202</v>
      </c>
      <c r="D82" s="29" t="e">
        <f>VLOOKUP($B82, ind_mes!$B:$XFD, MATCH(gdp_ind_share!D$1, ind_mes!$B$1:$XFD$1, 0), 0)/VLOOKUP($B82, gdp_tot_mes!$B:$XFD, MATCH(gdp_ind_share!D$1, gdp_tot_mes!$B$1:$XFD$1, 0), 0)</f>
        <v>#DIV/0!</v>
      </c>
      <c r="E82" s="29" t="e">
        <f>VLOOKUP($B82, ind_mes!$B:$XFD, MATCH(gdp_ind_share!E$1, ind_mes!$B$1:$XFD$1, 0), 0)/VLOOKUP($B82, gdp_tot_mes!$B:$XFD, MATCH(gdp_ind_share!E$1, gdp_tot_mes!$B$1:$XFD$1, 0), 0)</f>
        <v>#DIV/0!</v>
      </c>
      <c r="F82" s="29" t="e">
        <f>VLOOKUP($B82, ind_mes!$B:$XFD, MATCH(gdp_ind_share!F$1, ind_mes!$B$1:$XFD$1, 0), 0)/VLOOKUP($B82, gdp_tot_mes!$B:$XFD, MATCH(gdp_ind_share!F$1, gdp_tot_mes!$B$1:$XFD$1, 0), 0)</f>
        <v>#DIV/0!</v>
      </c>
      <c r="G82" s="29">
        <f>VLOOKUP($B82, ind_mes!$B:$XFD, MATCH(gdp_ind_share!G$1, ind_mes!$B$1:$XFD$1, 0), 0)/VLOOKUP($B82, gdp_tot_mes!$B:$XFD, MATCH(gdp_ind_share!G$1, gdp_tot_mes!$B$1:$XFD$1, 0), 0)</f>
        <v>0.10226508156488748</v>
      </c>
      <c r="H82" s="29">
        <f>VLOOKUP($B82, ind_mes!$B:$XFD, MATCH(gdp_ind_share!H$1, ind_mes!$B$1:$XFD$1, 0), 0)/VLOOKUP($B82, gdp_tot_mes!$B:$XFD, MATCH(gdp_ind_share!H$1, gdp_tot_mes!$B$1:$XFD$1, 0), 0)</f>
        <v>0.18946732058269813</v>
      </c>
      <c r="I82" s="29">
        <f>VLOOKUP($B82, ind_mes!$B:$XFD, MATCH(gdp_ind_share!I$1, ind_mes!$B$1:$XFD$1, 0), 0)/VLOOKUP($B82, gdp_tot_mes!$B:$XFD, MATCH(gdp_ind_share!I$1, gdp_tot_mes!$B$1:$XFD$1, 0), 0)</f>
        <v>0.15023459522139943</v>
      </c>
      <c r="J82" s="29">
        <f>VLOOKUP($B82, ind_mes!$B:$XFD, MATCH(gdp_ind_share!J$1, ind_mes!$B$1:$XFD$1, 0), 0)/VLOOKUP($B82, gdp_tot_mes!$B:$XFD, MATCH(gdp_ind_share!J$1, gdp_tot_mes!$B$1:$XFD$1, 0), 0)</f>
        <v>0.17119209682366043</v>
      </c>
      <c r="K82" s="29">
        <f>VLOOKUP($B82, ind_mes!$B:$XFD, MATCH(gdp_ind_share!K$1, ind_mes!$B$1:$XFD$1, 0), 0)/VLOOKUP($B82, gdp_tot_mes!$B:$XFD, MATCH(gdp_ind_share!K$1, gdp_tot_mes!$B$1:$XFD$1, 0), 0)</f>
        <v>0.17358719930933553</v>
      </c>
      <c r="L82" s="30">
        <f t="shared" si="1"/>
        <v>0.15633747315157542</v>
      </c>
      <c r="M82" s="29">
        <f>VLOOKUP($B82, ind_mes!$B:$XFD, MATCH(gdp_ind_share!M$1, ind_mes!$B$1:$XFD$1, 0), 0)/VLOOKUP($B82, gdp_tot_mes!$B:$XFD, MATCH(gdp_ind_share!M$1, gdp_tot_mes!$B$1:$XFD$1, 0), 0)</f>
        <v>0.13563780176226331</v>
      </c>
      <c r="N82" s="29">
        <f>VLOOKUP($B82, ind_mes!$B:$XFD, MATCH(gdp_ind_share!N$1, ind_mes!$B$1:$XFD$1, 0), 0)/VLOOKUP($B82, gdp_tot_mes!$B:$XFD, MATCH(gdp_ind_share!N$1, gdp_tot_mes!$B$1:$XFD$1, 0), 0)</f>
        <v>0.17454205090393868</v>
      </c>
      <c r="O82" s="29">
        <f>VLOOKUP($B82, ind_mes!$B:$XFD, MATCH(gdp_ind_share!O$1, ind_mes!$B$1:$XFD$1, 0), 0)/VLOOKUP($B82, gdp_tot_mes!$B:$XFD, MATCH(gdp_ind_share!O$1, gdp_tot_mes!$B$1:$XFD$1, 0), 0)</f>
        <v>0.17173033378652303</v>
      </c>
      <c r="P82" s="29">
        <f>VLOOKUP($B82, ind_mes!$B:$XFD, MATCH(gdp_ind_share!P$1, ind_mes!$B$1:$XFD$1, 0), 0)/VLOOKUP($B82, gdp_tot_mes!$B:$XFD, MATCH(gdp_ind_share!P$1, gdp_tot_mes!$B$1:$XFD$1, 0), 0)</f>
        <v>0.17801141301012893</v>
      </c>
      <c r="Q82" s="29">
        <f>VLOOKUP($B82, ind_mes!$B:$XFD, MATCH(gdp_ind_share!Q$1, ind_mes!$B$1:$XFD$1, 0), 0)/VLOOKUP($B82, gdp_tot_mes!$B:$XFD, MATCH(gdp_ind_share!Q$1, gdp_tot_mes!$B$1:$XFD$1, 0), 0)</f>
        <v>0.17416778132745694</v>
      </c>
      <c r="R82" s="29">
        <f>VLOOKUP($B82, ind_mes!$B:$XFD, MATCH(gdp_ind_share!R$1, ind_mes!$B$1:$XFD$1, 0), 0)/VLOOKUP($B82, gdp_tot_mes!$B:$XFD, MATCH(gdp_ind_share!R$1, gdp_tot_mes!$B$1:$XFD$1, 0), 0)</f>
        <v>0.16361047467131709</v>
      </c>
      <c r="S82" s="29">
        <f>VLOOKUP($B82, ind_mes!$B:$XFD, MATCH(gdp_ind_share!S$1, ind_mes!$B$1:$XFD$1, 0), 0)/VLOOKUP($B82, gdp_tot_mes!$B:$XFD, MATCH(gdp_ind_share!S$1, gdp_tot_mes!$B$1:$XFD$1, 0), 0)</f>
        <v>0.17255415943114907</v>
      </c>
      <c r="T82" s="29">
        <f>VLOOKUP($B82, ind_mes!$B:$XFD, MATCH(gdp_ind_share!T$1, ind_mes!$B$1:$XFD$1, 0), 0)/VLOOKUP($B82, gdp_tot_mes!$B:$XFD, MATCH(gdp_ind_share!T$1, gdp_tot_mes!$B$1:$XFD$1, 0), 0)</f>
        <v>0.17131524688216831</v>
      </c>
      <c r="U82" s="29">
        <f>VLOOKUP($B82, ind_mes!$B:$XFD, MATCH(gdp_ind_share!U$1, ind_mes!$B$1:$XFD$1, 0), 0)/VLOOKUP($B82, gdp_tot_mes!$B:$XFD, MATCH(gdp_ind_share!U$1, gdp_tot_mes!$B$1:$XFD$1, 0), 0)</f>
        <v>0.17412127155996873</v>
      </c>
      <c r="V82" s="29">
        <f>VLOOKUP($B82, ind_mes!$B:$XFD, MATCH(gdp_ind_share!V$1, ind_mes!$B$1:$XFD$1, 0), 0)/VLOOKUP($B82, gdp_tot_mes!$B:$XFD, MATCH(gdp_ind_share!V$1, gdp_tot_mes!$B$1:$XFD$1, 0), 0)</f>
        <v>0.16883376667765132</v>
      </c>
      <c r="W82" s="29">
        <f>VLOOKUP($B82, ind_mes!$B:$XFD, MATCH(gdp_ind_share!W$1, ind_mes!$B$1:$XFD$1, 0), 0)/VLOOKUP($B82, gdp_tot_mes!$B:$XFD, MATCH(gdp_ind_share!W$1, gdp_tot_mes!$B$1:$XFD$1, 0), 0)</f>
        <v>0.18005647683889531</v>
      </c>
      <c r="X82" s="29">
        <f>VLOOKUP($B82, ind_mes!$B:$XFD, MATCH(gdp_ind_share!X$1, ind_mes!$B$1:$XFD$1, 0), 0)/VLOOKUP($B82, gdp_tot_mes!$B:$XFD, MATCH(gdp_ind_share!X$1, gdp_tot_mes!$B$1:$XFD$1, 0), 0)</f>
        <v>0.19197012481186901</v>
      </c>
      <c r="Y82" s="29">
        <f>VLOOKUP($B82, ind_mes!$B:$XFD, MATCH(gdp_ind_share!Y$1, ind_mes!$B$1:$XFD$1, 0), 0)/VLOOKUP($B82, gdp_tot_mes!$B:$XFD, MATCH(gdp_ind_share!Y$1, gdp_tot_mes!$B$1:$XFD$1, 0), 0)</f>
        <v>0.19129815468437342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x14ac:dyDescent="0.25">
      <c r="A83" s="1" t="s">
        <v>200</v>
      </c>
      <c r="B83" s="1" t="s">
        <v>203</v>
      </c>
      <c r="C83" s="1" t="s">
        <v>204</v>
      </c>
      <c r="D83" s="29" t="e">
        <f>VLOOKUP($B83, ind_mes!$B:$XFD, MATCH(gdp_ind_share!D$1, ind_mes!$B$1:$XFD$1, 0), 0)/VLOOKUP($B83, gdp_tot_mes!$B:$XFD, MATCH(gdp_ind_share!D$1, gdp_tot_mes!$B$1:$XFD$1, 0), 0)</f>
        <v>#DIV/0!</v>
      </c>
      <c r="E83" s="29" t="e">
        <f>VLOOKUP($B83, ind_mes!$B:$XFD, MATCH(gdp_ind_share!E$1, ind_mes!$B$1:$XFD$1, 0), 0)/VLOOKUP($B83, gdp_tot_mes!$B:$XFD, MATCH(gdp_ind_share!E$1, gdp_tot_mes!$B$1:$XFD$1, 0), 0)</f>
        <v>#DIV/0!</v>
      </c>
      <c r="F83" s="29">
        <f>VLOOKUP($B83, ind_mes!$B:$XFD, MATCH(gdp_ind_share!F$1, ind_mes!$B$1:$XFD$1, 0), 0)/VLOOKUP($B83, gdp_tot_mes!$B:$XFD, MATCH(gdp_ind_share!F$1, gdp_tot_mes!$B$1:$XFD$1, 0), 0)</f>
        <v>3.0450991197715153E-2</v>
      </c>
      <c r="G83" s="29">
        <f>VLOOKUP($B83, ind_mes!$B:$XFD, MATCH(gdp_ind_share!G$1, ind_mes!$B$1:$XFD$1, 0), 0)/VLOOKUP($B83, gdp_tot_mes!$B:$XFD, MATCH(gdp_ind_share!G$1, gdp_tot_mes!$B$1:$XFD$1, 0), 0)</f>
        <v>0.16351086748911919</v>
      </c>
      <c r="H83" s="29">
        <f>VLOOKUP($B83, ind_mes!$B:$XFD, MATCH(gdp_ind_share!H$1, ind_mes!$B$1:$XFD$1, 0), 0)/VLOOKUP($B83, gdp_tot_mes!$B:$XFD, MATCH(gdp_ind_share!H$1, gdp_tot_mes!$B$1:$XFD$1, 0), 0)</f>
        <v>0.15947098997438031</v>
      </c>
      <c r="I83" s="29">
        <f>VLOOKUP($B83, ind_mes!$B:$XFD, MATCH(gdp_ind_share!I$1, ind_mes!$B$1:$XFD$1, 0), 0)/VLOOKUP($B83, gdp_tot_mes!$B:$XFD, MATCH(gdp_ind_share!I$1, gdp_tot_mes!$B$1:$XFD$1, 0), 0)</f>
        <v>0.1312498629495206</v>
      </c>
      <c r="J83" s="29">
        <f>VLOOKUP($B83, ind_mes!$B:$XFD, MATCH(gdp_ind_share!J$1, ind_mes!$B$1:$XFD$1, 0), 0)/VLOOKUP($B83, gdp_tot_mes!$B:$XFD, MATCH(gdp_ind_share!J$1, gdp_tot_mes!$B$1:$XFD$1, 0), 0)</f>
        <v>0.16710455145293407</v>
      </c>
      <c r="K83" s="29">
        <f>VLOOKUP($B83, ind_mes!$B:$XFD, MATCH(gdp_ind_share!K$1, ind_mes!$B$1:$XFD$1, 0), 0)/VLOOKUP($B83, gdp_tot_mes!$B:$XFD, MATCH(gdp_ind_share!K$1, gdp_tot_mes!$B$1:$XFD$1, 0), 0)</f>
        <v>0.16047614947830446</v>
      </c>
      <c r="L83" s="30">
        <f t="shared" si="1"/>
        <v>0.11746726014590918</v>
      </c>
      <c r="M83" s="29">
        <f>VLOOKUP($B83, ind_mes!$B:$XFD, MATCH(gdp_ind_share!M$1, ind_mes!$B$1:$XFD$1, 0), 0)/VLOOKUP($B83, gdp_tot_mes!$B:$XFD, MATCH(gdp_ind_share!M$1, gdp_tot_mes!$B$1:$XFD$1, 0), 0)</f>
        <v>6.5856592947034831E-2</v>
      </c>
      <c r="N83" s="29">
        <f>VLOOKUP($B83, ind_mes!$B:$XFD, MATCH(gdp_ind_share!N$1, ind_mes!$B$1:$XFD$1, 0), 0)/VLOOKUP($B83, gdp_tot_mes!$B:$XFD, MATCH(gdp_ind_share!N$1, gdp_tot_mes!$B$1:$XFD$1, 0), 0)</f>
        <v>0.13043833188548215</v>
      </c>
      <c r="O83" s="29">
        <f>VLOOKUP($B83, ind_mes!$B:$XFD, MATCH(gdp_ind_share!O$1, ind_mes!$B$1:$XFD$1, 0), 0)/VLOOKUP($B83, gdp_tot_mes!$B:$XFD, MATCH(gdp_ind_share!O$1, gdp_tot_mes!$B$1:$XFD$1, 0), 0)</f>
        <v>0.12403132282080477</v>
      </c>
      <c r="P83" s="29">
        <f>VLOOKUP($B83, ind_mes!$B:$XFD, MATCH(gdp_ind_share!P$1, ind_mes!$B$1:$XFD$1, 0), 0)/VLOOKUP($B83, gdp_tot_mes!$B:$XFD, MATCH(gdp_ind_share!P$1, gdp_tot_mes!$B$1:$XFD$1, 0), 0)</f>
        <v>0.135386959506962</v>
      </c>
      <c r="Q83" s="29">
        <f>VLOOKUP($B83, ind_mes!$B:$XFD, MATCH(gdp_ind_share!Q$1, ind_mes!$B$1:$XFD$1, 0), 0)/VLOOKUP($B83, gdp_tot_mes!$B:$XFD, MATCH(gdp_ind_share!Q$1, gdp_tot_mes!$B$1:$XFD$1, 0), 0)</f>
        <v>0.14233274043698374</v>
      </c>
      <c r="R83" s="29">
        <f>VLOOKUP($B83, ind_mes!$B:$XFD, MATCH(gdp_ind_share!R$1, ind_mes!$B$1:$XFD$1, 0), 0)/VLOOKUP($B83, gdp_tot_mes!$B:$XFD, MATCH(gdp_ind_share!R$1, gdp_tot_mes!$B$1:$XFD$1, 0), 0)</f>
        <v>0.11872310469637344</v>
      </c>
      <c r="S83" s="29">
        <f>VLOOKUP($B83, ind_mes!$B:$XFD, MATCH(gdp_ind_share!S$1, ind_mes!$B$1:$XFD$1, 0), 0)/VLOOKUP($B83, gdp_tot_mes!$B:$XFD, MATCH(gdp_ind_share!S$1, gdp_tot_mes!$B$1:$XFD$1, 0), 0)</f>
        <v>0.12145701567089122</v>
      </c>
      <c r="T83" s="29">
        <f>VLOOKUP($B83, ind_mes!$B:$XFD, MATCH(gdp_ind_share!T$1, ind_mes!$B$1:$XFD$1, 0), 0)/VLOOKUP($B83, gdp_tot_mes!$B:$XFD, MATCH(gdp_ind_share!T$1, gdp_tot_mes!$B$1:$XFD$1, 0), 0)</f>
        <v>0.12022024773753741</v>
      </c>
      <c r="U83" s="29">
        <f>VLOOKUP($B83, ind_mes!$B:$XFD, MATCH(gdp_ind_share!U$1, ind_mes!$B$1:$XFD$1, 0), 0)/VLOOKUP($B83, gdp_tot_mes!$B:$XFD, MATCH(gdp_ind_share!U$1, gdp_tot_mes!$B$1:$XFD$1, 0), 0)</f>
        <v>0.12131664510676635</v>
      </c>
      <c r="V83" s="29">
        <f>VLOOKUP($B83, ind_mes!$B:$XFD, MATCH(gdp_ind_share!V$1, ind_mes!$B$1:$XFD$1, 0), 0)/VLOOKUP($B83, gdp_tot_mes!$B:$XFD, MATCH(gdp_ind_share!V$1, gdp_tot_mes!$B$1:$XFD$1, 0), 0)</f>
        <v>0.12677539771496343</v>
      </c>
      <c r="W83" s="29">
        <f>VLOOKUP($B83, ind_mes!$B:$XFD, MATCH(gdp_ind_share!W$1, ind_mes!$B$1:$XFD$1, 0), 0)/VLOOKUP($B83, gdp_tot_mes!$B:$XFD, MATCH(gdp_ind_share!W$1, gdp_tot_mes!$B$1:$XFD$1, 0), 0)</f>
        <v>0.12524259039090602</v>
      </c>
      <c r="X83" s="29">
        <f>VLOOKUP($B83, ind_mes!$B:$XFD, MATCH(gdp_ind_share!X$1, ind_mes!$B$1:$XFD$1, 0), 0)/VLOOKUP($B83, gdp_tot_mes!$B:$XFD, MATCH(gdp_ind_share!X$1, gdp_tot_mes!$B$1:$XFD$1, 0), 0)</f>
        <v>0.14790705100479928</v>
      </c>
      <c r="Y83" s="29">
        <f>VLOOKUP($B83, ind_mes!$B:$XFD, MATCH(gdp_ind_share!Y$1, ind_mes!$B$1:$XFD$1, 0), 0)/VLOOKUP($B83, gdp_tot_mes!$B:$XFD, MATCH(gdp_ind_share!Y$1, gdp_tot_mes!$B$1:$XFD$1, 0), 0)</f>
        <v>0.13976549590655241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x14ac:dyDescent="0.25">
      <c r="A84" s="1" t="s">
        <v>200</v>
      </c>
      <c r="B84" s="1" t="s">
        <v>205</v>
      </c>
      <c r="C84" s="1" t="s">
        <v>206</v>
      </c>
      <c r="D84" s="29">
        <f>VLOOKUP($B84, ind_mes!$B:$XFD, MATCH(gdp_ind_share!D$1, ind_mes!$B$1:$XFD$1, 0), 0)/VLOOKUP($B84, gdp_tot_mes!$B:$XFD, MATCH(gdp_ind_share!D$1, gdp_tot_mes!$B$1:$XFD$1, 0), 0)</f>
        <v>0.31027020776200742</v>
      </c>
      <c r="E84" s="29">
        <f>VLOOKUP($B84, ind_mes!$B:$XFD, MATCH(gdp_ind_share!E$1, ind_mes!$B$1:$XFD$1, 0), 0)/VLOOKUP($B84, gdp_tot_mes!$B:$XFD, MATCH(gdp_ind_share!E$1, gdp_tot_mes!$B$1:$XFD$1, 0), 0)</f>
        <v>9.2794798012999669E-2</v>
      </c>
      <c r="F84" s="29">
        <f>VLOOKUP($B84, ind_mes!$B:$XFD, MATCH(gdp_ind_share!F$1, ind_mes!$B$1:$XFD$1, 0), 0)/VLOOKUP($B84, gdp_tot_mes!$B:$XFD, MATCH(gdp_ind_share!F$1, gdp_tot_mes!$B$1:$XFD$1, 0), 0)</f>
        <v>0.11783680223341024</v>
      </c>
      <c r="G84" s="29">
        <f>VLOOKUP($B84, ind_mes!$B:$XFD, MATCH(gdp_ind_share!G$1, ind_mes!$B$1:$XFD$1, 0), 0)/VLOOKUP($B84, gdp_tot_mes!$B:$XFD, MATCH(gdp_ind_share!G$1, gdp_tot_mes!$B$1:$XFD$1, 0), 0)</f>
        <v>0.18084403890993658</v>
      </c>
      <c r="H84" s="29">
        <f>VLOOKUP($B84, ind_mes!$B:$XFD, MATCH(gdp_ind_share!H$1, ind_mes!$B$1:$XFD$1, 0), 0)/VLOOKUP($B84, gdp_tot_mes!$B:$XFD, MATCH(gdp_ind_share!H$1, gdp_tot_mes!$B$1:$XFD$1, 0), 0)</f>
        <v>0.23842431897858835</v>
      </c>
      <c r="I84" s="29">
        <f>VLOOKUP($B84, ind_mes!$B:$XFD, MATCH(gdp_ind_share!I$1, ind_mes!$B$1:$XFD$1, 0), 0)/VLOOKUP($B84, gdp_tot_mes!$B:$XFD, MATCH(gdp_ind_share!I$1, gdp_tot_mes!$B$1:$XFD$1, 0), 0)</f>
        <v>0.25946633250028012</v>
      </c>
      <c r="J84" s="29">
        <f>VLOOKUP($B84, ind_mes!$B:$XFD, MATCH(gdp_ind_share!J$1, ind_mes!$B$1:$XFD$1, 0), 0)/VLOOKUP($B84, gdp_tot_mes!$B:$XFD, MATCH(gdp_ind_share!J$1, gdp_tot_mes!$B$1:$XFD$1, 0), 0)</f>
        <v>0.33615647774909496</v>
      </c>
      <c r="K84" s="29">
        <f>VLOOKUP($B84, ind_mes!$B:$XFD, MATCH(gdp_ind_share!K$1, ind_mes!$B$1:$XFD$1, 0), 0)/VLOOKUP($B84, gdp_tot_mes!$B:$XFD, MATCH(gdp_ind_share!K$1, gdp_tot_mes!$B$1:$XFD$1, 0), 0)</f>
        <v>0.30825820052621794</v>
      </c>
      <c r="L84" s="30">
        <f t="shared" si="1"/>
        <v>0.28599970629280957</v>
      </c>
      <c r="M84" s="29">
        <f>VLOOKUP($B84, ind_mes!$B:$XFD, MATCH(gdp_ind_share!M$1, ind_mes!$B$1:$XFD$1, 0), 0)/VLOOKUP($B84, gdp_tot_mes!$B:$XFD, MATCH(gdp_ind_share!M$1, gdp_tot_mes!$B$1:$XFD$1, 0), 0)</f>
        <v>0.25928951321271948</v>
      </c>
      <c r="N84" s="29">
        <f>VLOOKUP($B84, ind_mes!$B:$XFD, MATCH(gdp_ind_share!N$1, ind_mes!$B$1:$XFD$1, 0), 0)/VLOOKUP($B84, gdp_tot_mes!$B:$XFD, MATCH(gdp_ind_share!N$1, gdp_tot_mes!$B$1:$XFD$1, 0), 0)</f>
        <v>0.21735951014242635</v>
      </c>
      <c r="O84" s="29">
        <f>VLOOKUP($B84, ind_mes!$B:$XFD, MATCH(gdp_ind_share!O$1, ind_mes!$B$1:$XFD$1, 0), 0)/VLOOKUP($B84, gdp_tot_mes!$B:$XFD, MATCH(gdp_ind_share!O$1, gdp_tot_mes!$B$1:$XFD$1, 0), 0)</f>
        <v>0.21309119869763898</v>
      </c>
      <c r="P84" s="29">
        <f>VLOOKUP($B84, ind_mes!$B:$XFD, MATCH(gdp_ind_share!P$1, ind_mes!$B$1:$XFD$1, 0), 0)/VLOOKUP($B84, gdp_tot_mes!$B:$XFD, MATCH(gdp_ind_share!P$1, gdp_tot_mes!$B$1:$XFD$1, 0), 0)</f>
        <v>0.21131949269547107</v>
      </c>
      <c r="Q84" s="29">
        <f>VLOOKUP($B84, ind_mes!$B:$XFD, MATCH(gdp_ind_share!Q$1, ind_mes!$B$1:$XFD$1, 0), 0)/VLOOKUP($B84, gdp_tot_mes!$B:$XFD, MATCH(gdp_ind_share!Q$1, gdp_tot_mes!$B$1:$XFD$1, 0), 0)</f>
        <v>0.2231737291435873</v>
      </c>
      <c r="R84" s="29">
        <f>VLOOKUP($B84, ind_mes!$B:$XFD, MATCH(gdp_ind_share!R$1, ind_mes!$B$1:$XFD$1, 0), 0)/VLOOKUP($B84, gdp_tot_mes!$B:$XFD, MATCH(gdp_ind_share!R$1, gdp_tot_mes!$B$1:$XFD$1, 0), 0)</f>
        <v>0.22163012388285233</v>
      </c>
      <c r="S84" s="29">
        <f>VLOOKUP($B84, ind_mes!$B:$XFD, MATCH(gdp_ind_share!S$1, ind_mes!$B$1:$XFD$1, 0), 0)/VLOOKUP($B84, gdp_tot_mes!$B:$XFD, MATCH(gdp_ind_share!S$1, gdp_tot_mes!$B$1:$XFD$1, 0), 0)</f>
        <v>0.22836461702771874</v>
      </c>
      <c r="T84" s="29">
        <f>VLOOKUP($B84, ind_mes!$B:$XFD, MATCH(gdp_ind_share!T$1, ind_mes!$B$1:$XFD$1, 0), 0)/VLOOKUP($B84, gdp_tot_mes!$B:$XFD, MATCH(gdp_ind_share!T$1, gdp_tot_mes!$B$1:$XFD$1, 0), 0)</f>
        <v>0.22105059880212674</v>
      </c>
      <c r="U84" s="29">
        <f>VLOOKUP($B84, ind_mes!$B:$XFD, MATCH(gdp_ind_share!U$1, ind_mes!$B$1:$XFD$1, 0), 0)/VLOOKUP($B84, gdp_tot_mes!$B:$XFD, MATCH(gdp_ind_share!U$1, gdp_tot_mes!$B$1:$XFD$1, 0), 0)</f>
        <v>0.21631935207187469</v>
      </c>
      <c r="V84" s="29">
        <f>VLOOKUP($B84, ind_mes!$B:$XFD, MATCH(gdp_ind_share!V$1, ind_mes!$B$1:$XFD$1, 0), 0)/VLOOKUP($B84, gdp_tot_mes!$B:$XFD, MATCH(gdp_ind_share!V$1, gdp_tot_mes!$B$1:$XFD$1, 0), 0)</f>
        <v>0.20967436911028189</v>
      </c>
      <c r="W84" s="29">
        <f>VLOOKUP($B84, ind_mes!$B:$XFD, MATCH(gdp_ind_share!W$1, ind_mes!$B$1:$XFD$1, 0), 0)/VLOOKUP($B84, gdp_tot_mes!$B:$XFD, MATCH(gdp_ind_share!W$1, gdp_tot_mes!$B$1:$XFD$1, 0), 0)</f>
        <v>0.21595588986256598</v>
      </c>
      <c r="X84" s="29">
        <f>VLOOKUP($B84, ind_mes!$B:$XFD, MATCH(gdp_ind_share!X$1, ind_mes!$B$1:$XFD$1, 0), 0)/VLOOKUP($B84, gdp_tot_mes!$B:$XFD, MATCH(gdp_ind_share!X$1, gdp_tot_mes!$B$1:$XFD$1, 0), 0)</f>
        <v>0.21727311944504926</v>
      </c>
      <c r="Y84" s="29">
        <f>VLOOKUP($B84, ind_mes!$B:$XFD, MATCH(gdp_ind_share!Y$1, ind_mes!$B$1:$XFD$1, 0), 0)/VLOOKUP($B84, gdp_tot_mes!$B:$XFD, MATCH(gdp_ind_share!Y$1, gdp_tot_mes!$B$1:$XFD$1, 0), 0)</f>
        <v>0.21732555124933908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x14ac:dyDescent="0.25">
      <c r="A85" s="1" t="s">
        <v>200</v>
      </c>
      <c r="B85" s="1" t="s">
        <v>207</v>
      </c>
      <c r="C85" s="1" t="s">
        <v>208</v>
      </c>
      <c r="D85" s="29">
        <f>VLOOKUP($B85, ind_mes!$B:$XFD, MATCH(gdp_ind_share!D$1, ind_mes!$B$1:$XFD$1, 0), 0)/VLOOKUP($B85, gdp_tot_mes!$B:$XFD, MATCH(gdp_ind_share!D$1, gdp_tot_mes!$B$1:$XFD$1, 0), 0)</f>
        <v>0.10382738936469524</v>
      </c>
      <c r="E85" s="29">
        <f>VLOOKUP($B85, ind_mes!$B:$XFD, MATCH(gdp_ind_share!E$1, ind_mes!$B$1:$XFD$1, 0), 0)/VLOOKUP($B85, gdp_tot_mes!$B:$XFD, MATCH(gdp_ind_share!E$1, gdp_tot_mes!$B$1:$XFD$1, 0), 0)</f>
        <v>2.7464441703150603E-2</v>
      </c>
      <c r="F85" s="29">
        <f>VLOOKUP($B85, ind_mes!$B:$XFD, MATCH(gdp_ind_share!F$1, ind_mes!$B$1:$XFD$1, 0), 0)/VLOOKUP($B85, gdp_tot_mes!$B:$XFD, MATCH(gdp_ind_share!F$1, gdp_tot_mes!$B$1:$XFD$1, 0), 0)</f>
        <v>0.11404092975216483</v>
      </c>
      <c r="G85" s="29">
        <f>VLOOKUP($B85, ind_mes!$B:$XFD, MATCH(gdp_ind_share!G$1, ind_mes!$B$1:$XFD$1, 0), 0)/VLOOKUP($B85, gdp_tot_mes!$B:$XFD, MATCH(gdp_ind_share!G$1, gdp_tot_mes!$B$1:$XFD$1, 0), 0)</f>
        <v>0.10639274187396164</v>
      </c>
      <c r="H85" s="29">
        <f>VLOOKUP($B85, ind_mes!$B:$XFD, MATCH(gdp_ind_share!H$1, ind_mes!$B$1:$XFD$1, 0), 0)/VLOOKUP($B85, gdp_tot_mes!$B:$XFD, MATCH(gdp_ind_share!H$1, gdp_tot_mes!$B$1:$XFD$1, 0), 0)</f>
        <v>0.16991865733206854</v>
      </c>
      <c r="I85" s="29">
        <f>VLOOKUP($B85, ind_mes!$B:$XFD, MATCH(gdp_ind_share!I$1, ind_mes!$B$1:$XFD$1, 0), 0)/VLOOKUP($B85, gdp_tot_mes!$B:$XFD, MATCH(gdp_ind_share!I$1, gdp_tot_mes!$B$1:$XFD$1, 0), 0)</f>
        <v>0.21269909336614654</v>
      </c>
      <c r="J85" s="29">
        <f>VLOOKUP($B85, ind_mes!$B:$XFD, MATCH(gdp_ind_share!J$1, ind_mes!$B$1:$XFD$1, 0), 0)/VLOOKUP($B85, gdp_tot_mes!$B:$XFD, MATCH(gdp_ind_share!J$1, gdp_tot_mes!$B$1:$XFD$1, 0), 0)</f>
        <v>0.29469590233108706</v>
      </c>
      <c r="K85" s="29">
        <f>VLOOKUP($B85, ind_mes!$B:$XFD, MATCH(gdp_ind_share!K$1, ind_mes!$B$1:$XFD$1, 0), 0)/VLOOKUP($B85, gdp_tot_mes!$B:$XFD, MATCH(gdp_ind_share!K$1, gdp_tot_mes!$B$1:$XFD$1, 0), 0)</f>
        <v>0.25089955228453764</v>
      </c>
      <c r="L85" s="30">
        <f t="shared" si="1"/>
        <v>0.19939125719163397</v>
      </c>
      <c r="M85" s="29">
        <f>VLOOKUP($B85, ind_mes!$B:$XFD, MATCH(gdp_ind_share!M$1, ind_mes!$B$1:$XFD$1, 0), 0)/VLOOKUP($B85, gdp_tot_mes!$B:$XFD, MATCH(gdp_ind_share!M$1, gdp_tot_mes!$B$1:$XFD$1, 0), 0)</f>
        <v>0.13758130308014954</v>
      </c>
      <c r="N85" s="29">
        <f>VLOOKUP($B85, ind_mes!$B:$XFD, MATCH(gdp_ind_share!N$1, ind_mes!$B$1:$XFD$1, 0), 0)/VLOOKUP($B85, gdp_tot_mes!$B:$XFD, MATCH(gdp_ind_share!N$1, gdp_tot_mes!$B$1:$XFD$1, 0), 0)</f>
        <v>0.17168915042011326</v>
      </c>
      <c r="O85" s="29">
        <f>VLOOKUP($B85, ind_mes!$B:$XFD, MATCH(gdp_ind_share!O$1, ind_mes!$B$1:$XFD$1, 0), 0)/VLOOKUP($B85, gdp_tot_mes!$B:$XFD, MATCH(gdp_ind_share!O$1, gdp_tot_mes!$B$1:$XFD$1, 0), 0)</f>
        <v>0.18137602152378435</v>
      </c>
      <c r="P85" s="29">
        <f>VLOOKUP($B85, ind_mes!$B:$XFD, MATCH(gdp_ind_share!P$1, ind_mes!$B$1:$XFD$1, 0), 0)/VLOOKUP($B85, gdp_tot_mes!$B:$XFD, MATCH(gdp_ind_share!P$1, gdp_tot_mes!$B$1:$XFD$1, 0), 0)</f>
        <v>0.17430514064405811</v>
      </c>
      <c r="Q85" s="29">
        <f>VLOOKUP($B85, ind_mes!$B:$XFD, MATCH(gdp_ind_share!Q$1, ind_mes!$B$1:$XFD$1, 0), 0)/VLOOKUP($B85, gdp_tot_mes!$B:$XFD, MATCH(gdp_ind_share!Q$1, gdp_tot_mes!$B$1:$XFD$1, 0), 0)</f>
        <v>0.17289515823671092</v>
      </c>
      <c r="R85" s="29">
        <f>VLOOKUP($B85, ind_mes!$B:$XFD, MATCH(gdp_ind_share!R$1, ind_mes!$B$1:$XFD$1, 0), 0)/VLOOKUP($B85, gdp_tot_mes!$B:$XFD, MATCH(gdp_ind_share!R$1, gdp_tot_mes!$B$1:$XFD$1, 0), 0)</f>
        <v>0.1530074540850975</v>
      </c>
      <c r="S85" s="29">
        <f>VLOOKUP($B85, ind_mes!$B:$XFD, MATCH(gdp_ind_share!S$1, ind_mes!$B$1:$XFD$1, 0), 0)/VLOOKUP($B85, gdp_tot_mes!$B:$XFD, MATCH(gdp_ind_share!S$1, gdp_tot_mes!$B$1:$XFD$1, 0), 0)</f>
        <v>0.15733838724218083</v>
      </c>
      <c r="T85" s="29">
        <f>VLOOKUP($B85, ind_mes!$B:$XFD, MATCH(gdp_ind_share!T$1, ind_mes!$B$1:$XFD$1, 0), 0)/VLOOKUP($B85, gdp_tot_mes!$B:$XFD, MATCH(gdp_ind_share!T$1, gdp_tot_mes!$B$1:$XFD$1, 0), 0)</f>
        <v>0.16789939904180462</v>
      </c>
      <c r="U85" s="29">
        <f>VLOOKUP($B85, ind_mes!$B:$XFD, MATCH(gdp_ind_share!U$1, ind_mes!$B$1:$XFD$1, 0), 0)/VLOOKUP($B85, gdp_tot_mes!$B:$XFD, MATCH(gdp_ind_share!U$1, gdp_tot_mes!$B$1:$XFD$1, 0), 0)</f>
        <v>0.17742931819633195</v>
      </c>
      <c r="V85" s="29">
        <f>VLOOKUP($B85, ind_mes!$B:$XFD, MATCH(gdp_ind_share!V$1, ind_mes!$B$1:$XFD$1, 0), 0)/VLOOKUP($B85, gdp_tot_mes!$B:$XFD, MATCH(gdp_ind_share!V$1, gdp_tot_mes!$B$1:$XFD$1, 0), 0)</f>
        <v>0.16397132528771613</v>
      </c>
      <c r="W85" s="29">
        <f>VLOOKUP($B85, ind_mes!$B:$XFD, MATCH(gdp_ind_share!W$1, ind_mes!$B$1:$XFD$1, 0), 0)/VLOOKUP($B85, gdp_tot_mes!$B:$XFD, MATCH(gdp_ind_share!W$1, gdp_tot_mes!$B$1:$XFD$1, 0), 0)</f>
        <v>0.16359208082825319</v>
      </c>
      <c r="X85" s="29">
        <f>VLOOKUP($B85, ind_mes!$B:$XFD, MATCH(gdp_ind_share!X$1, ind_mes!$B$1:$XFD$1, 0), 0)/VLOOKUP($B85, gdp_tot_mes!$B:$XFD, MATCH(gdp_ind_share!X$1, gdp_tot_mes!$B$1:$XFD$1, 0), 0)</f>
        <v>0.16625944078688973</v>
      </c>
      <c r="Y85" s="29">
        <f>VLOOKUP($B85, ind_mes!$B:$XFD, MATCH(gdp_ind_share!Y$1, ind_mes!$B$1:$XFD$1, 0), 0)/VLOOKUP($B85, gdp_tot_mes!$B:$XFD, MATCH(gdp_ind_share!Y$1, gdp_tot_mes!$B$1:$XFD$1, 0), 0)</f>
        <v>0.16037607862526784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x14ac:dyDescent="0.25">
      <c r="A86" s="1" t="s">
        <v>200</v>
      </c>
      <c r="B86" s="1" t="s">
        <v>209</v>
      </c>
      <c r="C86" s="1" t="s">
        <v>210</v>
      </c>
      <c r="D86" s="29">
        <f>VLOOKUP($B86, ind_mes!$B:$XFD, MATCH(gdp_ind_share!D$1, ind_mes!$B$1:$XFD$1, 0), 0)/VLOOKUP($B86, gdp_tot_mes!$B:$XFD, MATCH(gdp_ind_share!D$1, gdp_tot_mes!$B$1:$XFD$1, 0), 0)</f>
        <v>0.26125309908194616</v>
      </c>
      <c r="E86" s="29">
        <f>VLOOKUP($B86, ind_mes!$B:$XFD, MATCH(gdp_ind_share!E$1, ind_mes!$B$1:$XFD$1, 0), 0)/VLOOKUP($B86, gdp_tot_mes!$B:$XFD, MATCH(gdp_ind_share!E$1, gdp_tot_mes!$B$1:$XFD$1, 0), 0)</f>
        <v>0.18091547883692832</v>
      </c>
      <c r="F86" s="29">
        <f>VLOOKUP($B86, ind_mes!$B:$XFD, MATCH(gdp_ind_share!F$1, ind_mes!$B$1:$XFD$1, 0), 0)/VLOOKUP($B86, gdp_tot_mes!$B:$XFD, MATCH(gdp_ind_share!F$1, gdp_tot_mes!$B$1:$XFD$1, 0), 0)</f>
        <v>0.32021194861107877</v>
      </c>
      <c r="G86" s="29">
        <f>VLOOKUP($B86, ind_mes!$B:$XFD, MATCH(gdp_ind_share!G$1, ind_mes!$B$1:$XFD$1, 0), 0)/VLOOKUP($B86, gdp_tot_mes!$B:$XFD, MATCH(gdp_ind_share!G$1, gdp_tot_mes!$B$1:$XFD$1, 0), 0)</f>
        <v>0.39200472936896036</v>
      </c>
      <c r="H86" s="29">
        <f>VLOOKUP($B86, ind_mes!$B:$XFD, MATCH(gdp_ind_share!H$1, ind_mes!$B$1:$XFD$1, 0), 0)/VLOOKUP($B86, gdp_tot_mes!$B:$XFD, MATCH(gdp_ind_share!H$1, gdp_tot_mes!$B$1:$XFD$1, 0), 0)</f>
        <v>0.38252369617823789</v>
      </c>
      <c r="I86" s="29">
        <f>VLOOKUP($B86, ind_mes!$B:$XFD, MATCH(gdp_ind_share!I$1, ind_mes!$B$1:$XFD$1, 0), 0)/VLOOKUP($B86, gdp_tot_mes!$B:$XFD, MATCH(gdp_ind_share!I$1, gdp_tot_mes!$B$1:$XFD$1, 0), 0)</f>
        <v>0.42829686372168135</v>
      </c>
      <c r="J86" s="29">
        <f>VLOOKUP($B86, ind_mes!$B:$XFD, MATCH(gdp_ind_share!J$1, ind_mes!$B$1:$XFD$1, 0), 0)/VLOOKUP($B86, gdp_tot_mes!$B:$XFD, MATCH(gdp_ind_share!J$1, gdp_tot_mes!$B$1:$XFD$1, 0), 0)</f>
        <v>0.51256834776937155</v>
      </c>
      <c r="K86" s="29">
        <f>VLOOKUP($B86, ind_mes!$B:$XFD, MATCH(gdp_ind_share!K$1, ind_mes!$B$1:$XFD$1, 0), 0)/VLOOKUP($B86, gdp_tot_mes!$B:$XFD, MATCH(gdp_ind_share!K$1, gdp_tot_mes!$B$1:$XFD$1, 0), 0)</f>
        <v>0.46822177930775255</v>
      </c>
      <c r="L86" s="30">
        <f t="shared" si="1"/>
        <v>0.42943418009191131</v>
      </c>
      <c r="M86" s="29">
        <f>VLOOKUP($B86, ind_mes!$B:$XFD, MATCH(gdp_ind_share!M$1, ind_mes!$B$1:$XFD$1, 0), 0)/VLOOKUP($B86, gdp_tot_mes!$B:$XFD, MATCH(gdp_ind_share!M$1, gdp_tot_mes!$B$1:$XFD$1, 0), 0)</f>
        <v>0.38288906103290182</v>
      </c>
      <c r="N86" s="29">
        <f>VLOOKUP($B86, ind_mes!$B:$XFD, MATCH(gdp_ind_share!N$1, ind_mes!$B$1:$XFD$1, 0), 0)/VLOOKUP($B86, gdp_tot_mes!$B:$XFD, MATCH(gdp_ind_share!N$1, gdp_tot_mes!$B$1:$XFD$1, 0), 0)</f>
        <v>0.30215144856424092</v>
      </c>
      <c r="O86" s="29">
        <f>VLOOKUP($B86, ind_mes!$B:$XFD, MATCH(gdp_ind_share!O$1, ind_mes!$B$1:$XFD$1, 0), 0)/VLOOKUP($B86, gdp_tot_mes!$B:$XFD, MATCH(gdp_ind_share!O$1, gdp_tot_mes!$B$1:$XFD$1, 0), 0)</f>
        <v>0.30728468006666937</v>
      </c>
      <c r="P86" s="29">
        <f>VLOOKUP($B86, ind_mes!$B:$XFD, MATCH(gdp_ind_share!P$1, ind_mes!$B$1:$XFD$1, 0), 0)/VLOOKUP($B86, gdp_tot_mes!$B:$XFD, MATCH(gdp_ind_share!P$1, gdp_tot_mes!$B$1:$XFD$1, 0), 0)</f>
        <v>0.32773980059477337</v>
      </c>
      <c r="Q86" s="29">
        <f>VLOOKUP($B86, ind_mes!$B:$XFD, MATCH(gdp_ind_share!Q$1, ind_mes!$B$1:$XFD$1, 0), 0)/VLOOKUP($B86, gdp_tot_mes!$B:$XFD, MATCH(gdp_ind_share!Q$1, gdp_tot_mes!$B$1:$XFD$1, 0), 0)</f>
        <v>0.34153670122896868</v>
      </c>
      <c r="R86" s="29">
        <f>VLOOKUP($B86, ind_mes!$B:$XFD, MATCH(gdp_ind_share!R$1, ind_mes!$B$1:$XFD$1, 0), 0)/VLOOKUP($B86, gdp_tot_mes!$B:$XFD, MATCH(gdp_ind_share!R$1, gdp_tot_mes!$B$1:$XFD$1, 0), 0)</f>
        <v>0.36777509786477769</v>
      </c>
      <c r="S86" s="29">
        <f>VLOOKUP($B86, ind_mes!$B:$XFD, MATCH(gdp_ind_share!S$1, ind_mes!$B$1:$XFD$1, 0), 0)/VLOOKUP($B86, gdp_tot_mes!$B:$XFD, MATCH(gdp_ind_share!S$1, gdp_tot_mes!$B$1:$XFD$1, 0), 0)</f>
        <v>0.37296942050077903</v>
      </c>
      <c r="T86" s="29">
        <f>VLOOKUP($B86, ind_mes!$B:$XFD, MATCH(gdp_ind_share!T$1, ind_mes!$B$1:$XFD$1, 0), 0)/VLOOKUP($B86, gdp_tot_mes!$B:$XFD, MATCH(gdp_ind_share!T$1, gdp_tot_mes!$B$1:$XFD$1, 0), 0)</f>
        <v>0.36726485654772306</v>
      </c>
      <c r="U86" s="29">
        <f>VLOOKUP($B86, ind_mes!$B:$XFD, MATCH(gdp_ind_share!U$1, ind_mes!$B$1:$XFD$1, 0), 0)/VLOOKUP($B86, gdp_tot_mes!$B:$XFD, MATCH(gdp_ind_share!U$1, gdp_tot_mes!$B$1:$XFD$1, 0), 0)</f>
        <v>0.33709690561231581</v>
      </c>
      <c r="V86" s="29">
        <f>VLOOKUP($B86, ind_mes!$B:$XFD, MATCH(gdp_ind_share!V$1, ind_mes!$B$1:$XFD$1, 0), 0)/VLOOKUP($B86, gdp_tot_mes!$B:$XFD, MATCH(gdp_ind_share!V$1, gdp_tot_mes!$B$1:$XFD$1, 0), 0)</f>
        <v>0.34268051609092104</v>
      </c>
      <c r="W86" s="29">
        <f>VLOOKUP($B86, ind_mes!$B:$XFD, MATCH(gdp_ind_share!W$1, ind_mes!$B$1:$XFD$1, 0), 0)/VLOOKUP($B86, gdp_tot_mes!$B:$XFD, MATCH(gdp_ind_share!W$1, gdp_tot_mes!$B$1:$XFD$1, 0), 0)</f>
        <v>0.33512189904666828</v>
      </c>
      <c r="X86" s="29">
        <f>VLOOKUP($B86, ind_mes!$B:$XFD, MATCH(gdp_ind_share!X$1, ind_mes!$B$1:$XFD$1, 0), 0)/VLOOKUP($B86, gdp_tot_mes!$B:$XFD, MATCH(gdp_ind_share!X$1, gdp_tot_mes!$B$1:$XFD$1, 0), 0)</f>
        <v>0.34031849746414788</v>
      </c>
      <c r="Y86" s="29">
        <f>VLOOKUP($B86, ind_mes!$B:$XFD, MATCH(gdp_ind_share!Y$1, ind_mes!$B$1:$XFD$1, 0), 0)/VLOOKUP($B86, gdp_tot_mes!$B:$XFD, MATCH(gdp_ind_share!Y$1, gdp_tot_mes!$B$1:$XFD$1, 0), 0)</f>
        <v>0.32899339027252589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x14ac:dyDescent="0.25">
      <c r="A87" s="1" t="s">
        <v>200</v>
      </c>
      <c r="B87" s="1" t="s">
        <v>211</v>
      </c>
      <c r="C87" s="1" t="s">
        <v>212</v>
      </c>
      <c r="D87" s="29">
        <f>VLOOKUP($B87, ind_mes!$B:$XFD, MATCH(gdp_ind_share!D$1, ind_mes!$B$1:$XFD$1, 0), 0)/VLOOKUP($B87, gdp_tot_mes!$B:$XFD, MATCH(gdp_ind_share!D$1, gdp_tot_mes!$B$1:$XFD$1, 0), 0)</f>
        <v>0.11764534683449153</v>
      </c>
      <c r="E87" s="29">
        <f>VLOOKUP($B87, ind_mes!$B:$XFD, MATCH(gdp_ind_share!E$1, ind_mes!$B$1:$XFD$1, 0), 0)/VLOOKUP($B87, gdp_tot_mes!$B:$XFD, MATCH(gdp_ind_share!E$1, gdp_tot_mes!$B$1:$XFD$1, 0), 0)</f>
        <v>4.8281784310563833E-2</v>
      </c>
      <c r="F87" s="29">
        <f>VLOOKUP($B87, ind_mes!$B:$XFD, MATCH(gdp_ind_share!F$1, ind_mes!$B$1:$XFD$1, 0), 0)/VLOOKUP($B87, gdp_tot_mes!$B:$XFD, MATCH(gdp_ind_share!F$1, gdp_tot_mes!$B$1:$XFD$1, 0), 0)</f>
        <v>0.33950118561571102</v>
      </c>
      <c r="G87" s="29">
        <f>VLOOKUP($B87, ind_mes!$B:$XFD, MATCH(gdp_ind_share!G$1, ind_mes!$B$1:$XFD$1, 0), 0)/VLOOKUP($B87, gdp_tot_mes!$B:$XFD, MATCH(gdp_ind_share!G$1, gdp_tot_mes!$B$1:$XFD$1, 0), 0)</f>
        <v>7.4217436425844385E-2</v>
      </c>
      <c r="H87" s="29">
        <f>VLOOKUP($B87, ind_mes!$B:$XFD, MATCH(gdp_ind_share!H$1, ind_mes!$B$1:$XFD$1, 0), 0)/VLOOKUP($B87, gdp_tot_mes!$B:$XFD, MATCH(gdp_ind_share!H$1, gdp_tot_mes!$B$1:$XFD$1, 0), 0)</f>
        <v>0.12650284254377667</v>
      </c>
      <c r="I87" s="29">
        <f>VLOOKUP($B87, ind_mes!$B:$XFD, MATCH(gdp_ind_share!I$1, ind_mes!$B$1:$XFD$1, 0), 0)/VLOOKUP($B87, gdp_tot_mes!$B:$XFD, MATCH(gdp_ind_share!I$1, gdp_tot_mes!$B$1:$XFD$1, 0), 0)</f>
        <v>0.16119096736864744</v>
      </c>
      <c r="J87" s="29">
        <f>VLOOKUP($B87, ind_mes!$B:$XFD, MATCH(gdp_ind_share!J$1, ind_mes!$B$1:$XFD$1, 0), 0)/VLOOKUP($B87, gdp_tot_mes!$B:$XFD, MATCH(gdp_ind_share!J$1, gdp_tot_mes!$B$1:$XFD$1, 0), 0)</f>
        <v>0.24166684670342503</v>
      </c>
      <c r="K87" s="29">
        <f>VLOOKUP($B87, ind_mes!$B:$XFD, MATCH(gdp_ind_share!K$1, ind_mes!$B$1:$XFD$1, 0), 0)/VLOOKUP($B87, gdp_tot_mes!$B:$XFD, MATCH(gdp_ind_share!K$1, gdp_tot_mes!$B$1:$XFD$1, 0), 0)</f>
        <v>0.20082137016393029</v>
      </c>
      <c r="L87" s="30">
        <f t="shared" si="1"/>
        <v>0.20166590334005044</v>
      </c>
      <c r="M87" s="29">
        <f>VLOOKUP($B87, ind_mes!$B:$XFD, MATCH(gdp_ind_share!M$1, ind_mes!$B$1:$XFD$1, 0), 0)/VLOOKUP($B87, gdp_tot_mes!$B:$XFD, MATCH(gdp_ind_share!M$1, gdp_tot_mes!$B$1:$XFD$1, 0), 0)</f>
        <v>0.20267934315139463</v>
      </c>
      <c r="N87" s="29">
        <f>VLOOKUP($B87, ind_mes!$B:$XFD, MATCH(gdp_ind_share!N$1, ind_mes!$B$1:$XFD$1, 0), 0)/VLOOKUP($B87, gdp_tot_mes!$B:$XFD, MATCH(gdp_ind_share!N$1, gdp_tot_mes!$B$1:$XFD$1, 0), 0)</f>
        <v>0.33184089232961289</v>
      </c>
      <c r="O87" s="29">
        <f>VLOOKUP($B87, ind_mes!$B:$XFD, MATCH(gdp_ind_share!O$1, ind_mes!$B$1:$XFD$1, 0), 0)/VLOOKUP($B87, gdp_tot_mes!$B:$XFD, MATCH(gdp_ind_share!O$1, gdp_tot_mes!$B$1:$XFD$1, 0), 0)</f>
        <v>0.36441185386101449</v>
      </c>
      <c r="P87" s="29">
        <f>VLOOKUP($B87, ind_mes!$B:$XFD, MATCH(gdp_ind_share!P$1, ind_mes!$B$1:$XFD$1, 0), 0)/VLOOKUP($B87, gdp_tot_mes!$B:$XFD, MATCH(gdp_ind_share!P$1, gdp_tot_mes!$B$1:$XFD$1, 0), 0)</f>
        <v>0.35896740777785963</v>
      </c>
      <c r="Q87" s="29">
        <f>VLOOKUP($B87, ind_mes!$B:$XFD, MATCH(gdp_ind_share!Q$1, ind_mes!$B$1:$XFD$1, 0), 0)/VLOOKUP($B87, gdp_tot_mes!$B:$XFD, MATCH(gdp_ind_share!Q$1, gdp_tot_mes!$B$1:$XFD$1, 0), 0)</f>
        <v>0.30856407365019767</v>
      </c>
      <c r="R87" s="29">
        <f>VLOOKUP($B87, ind_mes!$B:$XFD, MATCH(gdp_ind_share!R$1, ind_mes!$B$1:$XFD$1, 0), 0)/VLOOKUP($B87, gdp_tot_mes!$B:$XFD, MATCH(gdp_ind_share!R$1, gdp_tot_mes!$B$1:$XFD$1, 0), 0)</f>
        <v>0.26686892019521929</v>
      </c>
      <c r="S87" s="29">
        <f>VLOOKUP($B87, ind_mes!$B:$XFD, MATCH(gdp_ind_share!S$1, ind_mes!$B$1:$XFD$1, 0), 0)/VLOOKUP($B87, gdp_tot_mes!$B:$XFD, MATCH(gdp_ind_share!S$1, gdp_tot_mes!$B$1:$XFD$1, 0), 0)</f>
        <v>0.27760670576216279</v>
      </c>
      <c r="T87" s="29">
        <f>VLOOKUP($B87, ind_mes!$B:$XFD, MATCH(gdp_ind_share!T$1, ind_mes!$B$1:$XFD$1, 0), 0)/VLOOKUP($B87, gdp_tot_mes!$B:$XFD, MATCH(gdp_ind_share!T$1, gdp_tot_mes!$B$1:$XFD$1, 0), 0)</f>
        <v>0.28248461810373376</v>
      </c>
      <c r="U87" s="29">
        <f>VLOOKUP($B87, ind_mes!$B:$XFD, MATCH(gdp_ind_share!U$1, ind_mes!$B$1:$XFD$1, 0), 0)/VLOOKUP($B87, gdp_tot_mes!$B:$XFD, MATCH(gdp_ind_share!U$1, gdp_tot_mes!$B$1:$XFD$1, 0), 0)</f>
        <v>0.32341861626393642</v>
      </c>
      <c r="V87" s="29">
        <f>VLOOKUP($B87, ind_mes!$B:$XFD, MATCH(gdp_ind_share!V$1, ind_mes!$B$1:$XFD$1, 0), 0)/VLOOKUP($B87, gdp_tot_mes!$B:$XFD, MATCH(gdp_ind_share!V$1, gdp_tot_mes!$B$1:$XFD$1, 0), 0)</f>
        <v>0.29711929990809965</v>
      </c>
      <c r="W87" s="29">
        <f>VLOOKUP($B87, ind_mes!$B:$XFD, MATCH(gdp_ind_share!W$1, ind_mes!$B$1:$XFD$1, 0), 0)/VLOOKUP($B87, gdp_tot_mes!$B:$XFD, MATCH(gdp_ind_share!W$1, gdp_tot_mes!$B$1:$XFD$1, 0), 0)</f>
        <v>0.28388088796030625</v>
      </c>
      <c r="X87" s="29">
        <f>VLOOKUP($B87, ind_mes!$B:$XFD, MATCH(gdp_ind_share!X$1, ind_mes!$B$1:$XFD$1, 0), 0)/VLOOKUP($B87, gdp_tot_mes!$B:$XFD, MATCH(gdp_ind_share!X$1, gdp_tot_mes!$B$1:$XFD$1, 0), 0)</f>
        <v>0.29918272043234845</v>
      </c>
      <c r="Y87" s="29">
        <f>VLOOKUP($B87, ind_mes!$B:$XFD, MATCH(gdp_ind_share!Y$1, ind_mes!$B$1:$XFD$1, 0), 0)/VLOOKUP($B87, gdp_tot_mes!$B:$XFD, MATCH(gdp_ind_share!Y$1, gdp_tot_mes!$B$1:$XFD$1, 0), 0)</f>
        <v>0.27160577625223409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x14ac:dyDescent="0.25">
      <c r="A88" s="1" t="s">
        <v>200</v>
      </c>
      <c r="B88" s="1" t="s">
        <v>213</v>
      </c>
      <c r="C88" s="1" t="s">
        <v>214</v>
      </c>
      <c r="D88" s="29" t="e">
        <f>VLOOKUP($B88, ind_mes!$B:$XFD, MATCH(gdp_ind_share!D$1, ind_mes!$B$1:$XFD$1, 0), 0)/VLOOKUP($B88, gdp_tot_mes!$B:$XFD, MATCH(gdp_ind_share!D$1, gdp_tot_mes!$B$1:$XFD$1, 0), 0)</f>
        <v>#DIV/0!</v>
      </c>
      <c r="E88" s="29" t="e">
        <f>VLOOKUP($B88, ind_mes!$B:$XFD, MATCH(gdp_ind_share!E$1, ind_mes!$B$1:$XFD$1, 0), 0)/VLOOKUP($B88, gdp_tot_mes!$B:$XFD, MATCH(gdp_ind_share!E$1, gdp_tot_mes!$B$1:$XFD$1, 0), 0)</f>
        <v>#DIV/0!</v>
      </c>
      <c r="F88" s="29" t="e">
        <f>VLOOKUP($B88, ind_mes!$B:$XFD, MATCH(gdp_ind_share!F$1, ind_mes!$B$1:$XFD$1, 0), 0)/VLOOKUP($B88, gdp_tot_mes!$B:$XFD, MATCH(gdp_ind_share!F$1, gdp_tot_mes!$B$1:$XFD$1, 0), 0)</f>
        <v>#DIV/0!</v>
      </c>
      <c r="G88" s="29">
        <f>VLOOKUP($B88, ind_mes!$B:$XFD, MATCH(gdp_ind_share!G$1, ind_mes!$B$1:$XFD$1, 0), 0)/VLOOKUP($B88, gdp_tot_mes!$B:$XFD, MATCH(gdp_ind_share!G$1, gdp_tot_mes!$B$1:$XFD$1, 0), 0)</f>
        <v>0.14631151235583345</v>
      </c>
      <c r="H88" s="29">
        <f>VLOOKUP($B88, ind_mes!$B:$XFD, MATCH(gdp_ind_share!H$1, ind_mes!$B$1:$XFD$1, 0), 0)/VLOOKUP($B88, gdp_tot_mes!$B:$XFD, MATCH(gdp_ind_share!H$1, gdp_tot_mes!$B$1:$XFD$1, 0), 0)</f>
        <v>0.13301972995385164</v>
      </c>
      <c r="I88" s="29">
        <f>VLOOKUP($B88, ind_mes!$B:$XFD, MATCH(gdp_ind_share!I$1, ind_mes!$B$1:$XFD$1, 0), 0)/VLOOKUP($B88, gdp_tot_mes!$B:$XFD, MATCH(gdp_ind_share!I$1, gdp_tot_mes!$B$1:$XFD$1, 0), 0)</f>
        <v>0.16309797926178923</v>
      </c>
      <c r="J88" s="29">
        <f>VLOOKUP($B88, ind_mes!$B:$XFD, MATCH(gdp_ind_share!J$1, ind_mes!$B$1:$XFD$1, 0), 0)/VLOOKUP($B88, gdp_tot_mes!$B:$XFD, MATCH(gdp_ind_share!J$1, gdp_tot_mes!$B$1:$XFD$1, 0), 0)</f>
        <v>0.15397551204980586</v>
      </c>
      <c r="K88" s="29">
        <f>VLOOKUP($B88, ind_mes!$B:$XFD, MATCH(gdp_ind_share!K$1, ind_mes!$B$1:$XFD$1, 0), 0)/VLOOKUP($B88, gdp_tot_mes!$B:$XFD, MATCH(gdp_ind_share!K$1, gdp_tot_mes!$B$1:$XFD$1, 0), 0)</f>
        <v>0.18658062288681426</v>
      </c>
      <c r="L88" s="30">
        <f t="shared" si="1"/>
        <v>0.15766501241570016</v>
      </c>
      <c r="M88" s="29">
        <f>VLOOKUP($B88, ind_mes!$B:$XFD, MATCH(gdp_ind_share!M$1, ind_mes!$B$1:$XFD$1, 0), 0)/VLOOKUP($B88, gdp_tot_mes!$B:$XFD, MATCH(gdp_ind_share!M$1, gdp_tot_mes!$B$1:$XFD$1, 0), 0)</f>
        <v>0.12296627985036325</v>
      </c>
      <c r="N88" s="29">
        <f>VLOOKUP($B88, ind_mes!$B:$XFD, MATCH(gdp_ind_share!N$1, ind_mes!$B$1:$XFD$1, 0), 0)/VLOOKUP($B88, gdp_tot_mes!$B:$XFD, MATCH(gdp_ind_share!N$1, gdp_tot_mes!$B$1:$XFD$1, 0), 0)</f>
        <v>0.17478196710181532</v>
      </c>
      <c r="O88" s="29">
        <f>VLOOKUP($B88, ind_mes!$B:$XFD, MATCH(gdp_ind_share!O$1, ind_mes!$B$1:$XFD$1, 0), 0)/VLOOKUP($B88, gdp_tot_mes!$B:$XFD, MATCH(gdp_ind_share!O$1, gdp_tot_mes!$B$1:$XFD$1, 0), 0)</f>
        <v>0.16139420249868752</v>
      </c>
      <c r="P88" s="29">
        <f>VLOOKUP($B88, ind_mes!$B:$XFD, MATCH(gdp_ind_share!P$1, ind_mes!$B$1:$XFD$1, 0), 0)/VLOOKUP($B88, gdp_tot_mes!$B:$XFD, MATCH(gdp_ind_share!P$1, gdp_tot_mes!$B$1:$XFD$1, 0), 0)</f>
        <v>0.18439550176515182</v>
      </c>
      <c r="Q88" s="29">
        <f>VLOOKUP($B88, ind_mes!$B:$XFD, MATCH(gdp_ind_share!Q$1, ind_mes!$B$1:$XFD$1, 0), 0)/VLOOKUP($B88, gdp_tot_mes!$B:$XFD, MATCH(gdp_ind_share!Q$1, gdp_tot_mes!$B$1:$XFD$1, 0), 0)</f>
        <v>0.31364669041914678</v>
      </c>
      <c r="R88" s="29">
        <f>VLOOKUP($B88, ind_mes!$B:$XFD, MATCH(gdp_ind_share!R$1, ind_mes!$B$1:$XFD$1, 0), 0)/VLOOKUP($B88, gdp_tot_mes!$B:$XFD, MATCH(gdp_ind_share!R$1, gdp_tot_mes!$B$1:$XFD$1, 0), 0)</f>
        <v>0.24546851800940866</v>
      </c>
      <c r="S88" s="29">
        <f>VLOOKUP($B88, ind_mes!$B:$XFD, MATCH(gdp_ind_share!S$1, ind_mes!$B$1:$XFD$1, 0), 0)/VLOOKUP($B88, gdp_tot_mes!$B:$XFD, MATCH(gdp_ind_share!S$1, gdp_tot_mes!$B$1:$XFD$1, 0), 0)</f>
        <v>0.26337427918745465</v>
      </c>
      <c r="T88" s="29">
        <f>VLOOKUP($B88, ind_mes!$B:$XFD, MATCH(gdp_ind_share!T$1, ind_mes!$B$1:$XFD$1, 0), 0)/VLOOKUP($B88, gdp_tot_mes!$B:$XFD, MATCH(gdp_ind_share!T$1, gdp_tot_mes!$B$1:$XFD$1, 0), 0)</f>
        <v>0.27984590771625717</v>
      </c>
      <c r="U88" s="29">
        <f>VLOOKUP($B88, ind_mes!$B:$XFD, MATCH(gdp_ind_share!U$1, ind_mes!$B$1:$XFD$1, 0), 0)/VLOOKUP($B88, gdp_tot_mes!$B:$XFD, MATCH(gdp_ind_share!U$1, gdp_tot_mes!$B$1:$XFD$1, 0), 0)</f>
        <v>0.2457223133505162</v>
      </c>
      <c r="V88" s="29">
        <f>VLOOKUP($B88, ind_mes!$B:$XFD, MATCH(gdp_ind_share!V$1, ind_mes!$B$1:$XFD$1, 0), 0)/VLOOKUP($B88, gdp_tot_mes!$B:$XFD, MATCH(gdp_ind_share!V$1, gdp_tot_mes!$B$1:$XFD$1, 0), 0)</f>
        <v>0.28442204143229627</v>
      </c>
      <c r="W88" s="29">
        <f>VLOOKUP($B88, ind_mes!$B:$XFD, MATCH(gdp_ind_share!W$1, ind_mes!$B$1:$XFD$1, 0), 0)/VLOOKUP($B88, gdp_tot_mes!$B:$XFD, MATCH(gdp_ind_share!W$1, gdp_tot_mes!$B$1:$XFD$1, 0), 0)</f>
        <v>0.2627839645803326</v>
      </c>
      <c r="X88" s="29">
        <f>VLOOKUP($B88, ind_mes!$B:$XFD, MATCH(gdp_ind_share!X$1, ind_mes!$B$1:$XFD$1, 0), 0)/VLOOKUP($B88, gdp_tot_mes!$B:$XFD, MATCH(gdp_ind_share!X$1, gdp_tot_mes!$B$1:$XFD$1, 0), 0)</f>
        <v>0.26752760828110916</v>
      </c>
      <c r="Y88" s="29">
        <f>VLOOKUP($B88, ind_mes!$B:$XFD, MATCH(gdp_ind_share!Y$1, ind_mes!$B$1:$XFD$1, 0), 0)/VLOOKUP($B88, gdp_tot_mes!$B:$XFD, MATCH(gdp_ind_share!Y$1, gdp_tot_mes!$B$1:$XFD$1, 0), 0)</f>
        <v>0.27744397054806474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x14ac:dyDescent="0.25">
      <c r="A89" s="1" t="s">
        <v>200</v>
      </c>
      <c r="B89" s="1" t="s">
        <v>215</v>
      </c>
      <c r="C89" s="1" t="s">
        <v>216</v>
      </c>
      <c r="D89" s="29">
        <f>VLOOKUP($B89, ind_mes!$B:$XFD, MATCH(gdp_ind_share!D$1, ind_mes!$B$1:$XFD$1, 0), 0)/VLOOKUP($B89, gdp_tot_mes!$B:$XFD, MATCH(gdp_ind_share!D$1, gdp_tot_mes!$B$1:$XFD$1, 0), 0)</f>
        <v>6.5263713811726062E-2</v>
      </c>
      <c r="E89" s="29">
        <f>VLOOKUP($B89, ind_mes!$B:$XFD, MATCH(gdp_ind_share!E$1, ind_mes!$B$1:$XFD$1, 0), 0)/VLOOKUP($B89, gdp_tot_mes!$B:$XFD, MATCH(gdp_ind_share!E$1, gdp_tot_mes!$B$1:$XFD$1, 0), 0)</f>
        <v>1.7718325313275086E-2</v>
      </c>
      <c r="F89" s="29">
        <f>VLOOKUP($B89, ind_mes!$B:$XFD, MATCH(gdp_ind_share!F$1, ind_mes!$B$1:$XFD$1, 0), 0)/VLOOKUP($B89, gdp_tot_mes!$B:$XFD, MATCH(gdp_ind_share!F$1, gdp_tot_mes!$B$1:$XFD$1, 0), 0)</f>
        <v>0.17983129056526689</v>
      </c>
      <c r="G89" s="29">
        <f>VLOOKUP($B89, ind_mes!$B:$XFD, MATCH(gdp_ind_share!G$1, ind_mes!$B$1:$XFD$1, 0), 0)/VLOOKUP($B89, gdp_tot_mes!$B:$XFD, MATCH(gdp_ind_share!G$1, gdp_tot_mes!$B$1:$XFD$1, 0), 0)</f>
        <v>0.32003408536181094</v>
      </c>
      <c r="H89" s="29">
        <f>VLOOKUP($B89, ind_mes!$B:$XFD, MATCH(gdp_ind_share!H$1, ind_mes!$B$1:$XFD$1, 0), 0)/VLOOKUP($B89, gdp_tot_mes!$B:$XFD, MATCH(gdp_ind_share!H$1, gdp_tot_mes!$B$1:$XFD$1, 0), 0)</f>
        <v>0.22056016279849638</v>
      </c>
      <c r="I89" s="29">
        <f>VLOOKUP($B89, ind_mes!$B:$XFD, MATCH(gdp_ind_share!I$1, ind_mes!$B$1:$XFD$1, 0), 0)/VLOOKUP($B89, gdp_tot_mes!$B:$XFD, MATCH(gdp_ind_share!I$1, gdp_tot_mes!$B$1:$XFD$1, 0), 0)</f>
        <v>0.23603579085979998</v>
      </c>
      <c r="J89" s="29">
        <f>VLOOKUP($B89, ind_mes!$B:$XFD, MATCH(gdp_ind_share!J$1, ind_mes!$B$1:$XFD$1, 0), 0)/VLOOKUP($B89, gdp_tot_mes!$B:$XFD, MATCH(gdp_ind_share!J$1, gdp_tot_mes!$B$1:$XFD$1, 0), 0)</f>
        <v>0.37926578977802639</v>
      </c>
      <c r="K89" s="29">
        <f>VLOOKUP($B89, ind_mes!$B:$XFD, MATCH(gdp_ind_share!K$1, ind_mes!$B$1:$XFD$1, 0), 0)/VLOOKUP($B89, gdp_tot_mes!$B:$XFD, MATCH(gdp_ind_share!K$1, gdp_tot_mes!$B$1:$XFD$1, 0), 0)</f>
        <v>0.30308900810744055</v>
      </c>
      <c r="L89" s="30">
        <f t="shared" si="1"/>
        <v>0.24028945862772261</v>
      </c>
      <c r="M89" s="29">
        <f>VLOOKUP($B89, ind_mes!$B:$XFD, MATCH(gdp_ind_share!M$1, ind_mes!$B$1:$XFD$1, 0), 0)/VLOOKUP($B89, gdp_tot_mes!$B:$XFD, MATCH(gdp_ind_share!M$1, gdp_tot_mes!$B$1:$XFD$1, 0), 0)</f>
        <v>0.16492999925206103</v>
      </c>
      <c r="N89" s="29">
        <f>VLOOKUP($B89, ind_mes!$B:$XFD, MATCH(gdp_ind_share!N$1, ind_mes!$B$1:$XFD$1, 0), 0)/VLOOKUP($B89, gdp_tot_mes!$B:$XFD, MATCH(gdp_ind_share!N$1, gdp_tot_mes!$B$1:$XFD$1, 0), 0)</f>
        <v>0.297270770986241</v>
      </c>
      <c r="O89" s="29">
        <f>VLOOKUP($B89, ind_mes!$B:$XFD, MATCH(gdp_ind_share!O$1, ind_mes!$B$1:$XFD$1, 0), 0)/VLOOKUP($B89, gdp_tot_mes!$B:$XFD, MATCH(gdp_ind_share!O$1, gdp_tot_mes!$B$1:$XFD$1, 0), 0)</f>
        <v>0.27602630540648604</v>
      </c>
      <c r="P89" s="29">
        <f>VLOOKUP($B89, ind_mes!$B:$XFD, MATCH(gdp_ind_share!P$1, ind_mes!$B$1:$XFD$1, 0), 0)/VLOOKUP($B89, gdp_tot_mes!$B:$XFD, MATCH(gdp_ind_share!P$1, gdp_tot_mes!$B$1:$XFD$1, 0), 0)</f>
        <v>0.33386810600414618</v>
      </c>
      <c r="Q89" s="29">
        <f>VLOOKUP($B89, ind_mes!$B:$XFD, MATCH(gdp_ind_share!Q$1, ind_mes!$B$1:$XFD$1, 0), 0)/VLOOKUP($B89, gdp_tot_mes!$B:$XFD, MATCH(gdp_ind_share!Q$1, gdp_tot_mes!$B$1:$XFD$1, 0), 0)</f>
        <v>0.37044173938960806</v>
      </c>
      <c r="R89" s="29">
        <f>VLOOKUP($B89, ind_mes!$B:$XFD, MATCH(gdp_ind_share!R$1, ind_mes!$B$1:$XFD$1, 0), 0)/VLOOKUP($B89, gdp_tot_mes!$B:$XFD, MATCH(gdp_ind_share!R$1, gdp_tot_mes!$B$1:$XFD$1, 0), 0)</f>
        <v>0.30440543326563396</v>
      </c>
      <c r="S89" s="29">
        <f>VLOOKUP($B89, ind_mes!$B:$XFD, MATCH(gdp_ind_share!S$1, ind_mes!$B$1:$XFD$1, 0), 0)/VLOOKUP($B89, gdp_tot_mes!$B:$XFD, MATCH(gdp_ind_share!S$1, gdp_tot_mes!$B$1:$XFD$1, 0), 0)</f>
        <v>0.34588040384616947</v>
      </c>
      <c r="T89" s="29">
        <f>VLOOKUP($B89, ind_mes!$B:$XFD, MATCH(gdp_ind_share!T$1, ind_mes!$B$1:$XFD$1, 0), 0)/VLOOKUP($B89, gdp_tot_mes!$B:$XFD, MATCH(gdp_ind_share!T$1, gdp_tot_mes!$B$1:$XFD$1, 0), 0)</f>
        <v>0.33615272415875175</v>
      </c>
      <c r="U89" s="29">
        <f>VLOOKUP($B89, ind_mes!$B:$XFD, MATCH(gdp_ind_share!U$1, ind_mes!$B$1:$XFD$1, 0), 0)/VLOOKUP($B89, gdp_tot_mes!$B:$XFD, MATCH(gdp_ind_share!U$1, gdp_tot_mes!$B$1:$XFD$1, 0), 0)</f>
        <v>0.29317110326955315</v>
      </c>
      <c r="V89" s="29">
        <f>VLOOKUP($B89, ind_mes!$B:$XFD, MATCH(gdp_ind_share!V$1, ind_mes!$B$1:$XFD$1, 0), 0)/VLOOKUP($B89, gdp_tot_mes!$B:$XFD, MATCH(gdp_ind_share!V$1, gdp_tot_mes!$B$1:$XFD$1, 0), 0)</f>
        <v>0.34806361109976858</v>
      </c>
      <c r="W89" s="29">
        <f>VLOOKUP($B89, ind_mes!$B:$XFD, MATCH(gdp_ind_share!W$1, ind_mes!$B$1:$XFD$1, 0), 0)/VLOOKUP($B89, gdp_tot_mes!$B:$XFD, MATCH(gdp_ind_share!W$1, gdp_tot_mes!$B$1:$XFD$1, 0), 0)</f>
        <v>0.33569814216035326</v>
      </c>
      <c r="X89" s="29">
        <f>VLOOKUP($B89, ind_mes!$B:$XFD, MATCH(gdp_ind_share!X$1, ind_mes!$B$1:$XFD$1, 0), 0)/VLOOKUP($B89, gdp_tot_mes!$B:$XFD, MATCH(gdp_ind_share!X$1, gdp_tot_mes!$B$1:$XFD$1, 0), 0)</f>
        <v>0.32305369978048054</v>
      </c>
      <c r="Y89" s="29">
        <f>VLOOKUP($B89, ind_mes!$B:$XFD, MATCH(gdp_ind_share!Y$1, ind_mes!$B$1:$XFD$1, 0), 0)/VLOOKUP($B89, gdp_tot_mes!$B:$XFD, MATCH(gdp_ind_share!Y$1, gdp_tot_mes!$B$1:$XFD$1, 0), 0)</f>
        <v>0.34011011165030353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x14ac:dyDescent="0.25">
      <c r="A90" s="1" t="s">
        <v>200</v>
      </c>
      <c r="B90" s="1" t="s">
        <v>217</v>
      </c>
      <c r="C90" s="1" t="s">
        <v>218</v>
      </c>
      <c r="D90" s="29">
        <f>VLOOKUP($B90, ind_mes!$B:$XFD, MATCH(gdp_ind_share!D$1, ind_mes!$B$1:$XFD$1, 0), 0)/VLOOKUP($B90, gdp_tot_mes!$B:$XFD, MATCH(gdp_ind_share!D$1, gdp_tot_mes!$B$1:$XFD$1, 0), 0)</f>
        <v>0.19188574129606897</v>
      </c>
      <c r="E90" s="29">
        <f>VLOOKUP($B90, ind_mes!$B:$XFD, MATCH(gdp_ind_share!E$1, ind_mes!$B$1:$XFD$1, 0), 0)/VLOOKUP($B90, gdp_tot_mes!$B:$XFD, MATCH(gdp_ind_share!E$1, gdp_tot_mes!$B$1:$XFD$1, 0), 0)</f>
        <v>0.17116576504777128</v>
      </c>
      <c r="F90" s="29">
        <f>VLOOKUP($B90, ind_mes!$B:$XFD, MATCH(gdp_ind_share!F$1, ind_mes!$B$1:$XFD$1, 0), 0)/VLOOKUP($B90, gdp_tot_mes!$B:$XFD, MATCH(gdp_ind_share!F$1, gdp_tot_mes!$B$1:$XFD$1, 0), 0)</f>
        <v>0.27919316396103511</v>
      </c>
      <c r="G90" s="29">
        <f>VLOOKUP($B90, ind_mes!$B:$XFD, MATCH(gdp_ind_share!G$1, ind_mes!$B$1:$XFD$1, 0), 0)/VLOOKUP($B90, gdp_tot_mes!$B:$XFD, MATCH(gdp_ind_share!G$1, gdp_tot_mes!$B$1:$XFD$1, 0), 0)</f>
        <v>0.27146821446593666</v>
      </c>
      <c r="H90" s="29">
        <f>VLOOKUP($B90, ind_mes!$B:$XFD, MATCH(gdp_ind_share!H$1, ind_mes!$B$1:$XFD$1, 0), 0)/VLOOKUP($B90, gdp_tot_mes!$B:$XFD, MATCH(gdp_ind_share!H$1, gdp_tot_mes!$B$1:$XFD$1, 0), 0)</f>
        <v>0.15472707694801296</v>
      </c>
      <c r="I90" s="29">
        <f>VLOOKUP($B90, ind_mes!$B:$XFD, MATCH(gdp_ind_share!I$1, ind_mes!$B$1:$XFD$1, 0), 0)/VLOOKUP($B90, gdp_tot_mes!$B:$XFD, MATCH(gdp_ind_share!I$1, gdp_tot_mes!$B$1:$XFD$1, 0), 0)</f>
        <v>0.32420820561106051</v>
      </c>
      <c r="J90" s="29">
        <f>VLOOKUP($B90, ind_mes!$B:$XFD, MATCH(gdp_ind_share!J$1, ind_mes!$B$1:$XFD$1, 0), 0)/VLOOKUP($B90, gdp_tot_mes!$B:$XFD, MATCH(gdp_ind_share!J$1, gdp_tot_mes!$B$1:$XFD$1, 0), 0)</f>
        <v>0.36535075351133095</v>
      </c>
      <c r="K90" s="29">
        <f>VLOOKUP($B90, ind_mes!$B:$XFD, MATCH(gdp_ind_share!K$1, ind_mes!$B$1:$XFD$1, 0), 0)/VLOOKUP($B90, gdp_tot_mes!$B:$XFD, MATCH(gdp_ind_share!K$1, gdp_tot_mes!$B$1:$XFD$1, 0), 0)</f>
        <v>0.25135684489175841</v>
      </c>
      <c r="L90" s="30">
        <f t="shared" si="1"/>
        <v>0.22016127830442977</v>
      </c>
      <c r="M90" s="29">
        <f>VLOOKUP($B90, ind_mes!$B:$XFD, MATCH(gdp_ind_share!M$1, ind_mes!$B$1:$XFD$1, 0), 0)/VLOOKUP($B90, gdp_tot_mes!$B:$XFD, MATCH(gdp_ind_share!M$1, gdp_tot_mes!$B$1:$XFD$1, 0), 0)</f>
        <v>0.1827265983996354</v>
      </c>
      <c r="N90" s="29">
        <f>VLOOKUP($B90, ind_mes!$B:$XFD, MATCH(gdp_ind_share!N$1, ind_mes!$B$1:$XFD$1, 0), 0)/VLOOKUP($B90, gdp_tot_mes!$B:$XFD, MATCH(gdp_ind_share!N$1, gdp_tot_mes!$B$1:$XFD$1, 0), 0)</f>
        <v>0.19139110499151193</v>
      </c>
      <c r="O90" s="29">
        <f>VLOOKUP($B90, ind_mes!$B:$XFD, MATCH(gdp_ind_share!O$1, ind_mes!$B$1:$XFD$1, 0), 0)/VLOOKUP($B90, gdp_tot_mes!$B:$XFD, MATCH(gdp_ind_share!O$1, gdp_tot_mes!$B$1:$XFD$1, 0), 0)</f>
        <v>0.20379947828226752</v>
      </c>
      <c r="P90" s="29">
        <f>VLOOKUP($B90, ind_mes!$B:$XFD, MATCH(gdp_ind_share!P$1, ind_mes!$B$1:$XFD$1, 0), 0)/VLOOKUP($B90, gdp_tot_mes!$B:$XFD, MATCH(gdp_ind_share!P$1, gdp_tot_mes!$B$1:$XFD$1, 0), 0)</f>
        <v>0.19005875937744066</v>
      </c>
      <c r="Q90" s="29">
        <f>VLOOKUP($B90, ind_mes!$B:$XFD, MATCH(gdp_ind_share!Q$1, ind_mes!$B$1:$XFD$1, 0), 0)/VLOOKUP($B90, gdp_tot_mes!$B:$XFD, MATCH(gdp_ind_share!Q$1, gdp_tot_mes!$B$1:$XFD$1, 0), 0)</f>
        <v>0.21522040174277746</v>
      </c>
      <c r="R90" s="29">
        <f>VLOOKUP($B90, ind_mes!$B:$XFD, MATCH(gdp_ind_share!R$1, ind_mes!$B$1:$XFD$1, 0), 0)/VLOOKUP($B90, gdp_tot_mes!$B:$XFD, MATCH(gdp_ind_share!R$1, gdp_tot_mes!$B$1:$XFD$1, 0), 0)</f>
        <v>0.20143831457437961</v>
      </c>
      <c r="S90" s="29">
        <f>VLOOKUP($B90, ind_mes!$B:$XFD, MATCH(gdp_ind_share!S$1, ind_mes!$B$1:$XFD$1, 0), 0)/VLOOKUP($B90, gdp_tot_mes!$B:$XFD, MATCH(gdp_ind_share!S$1, gdp_tot_mes!$B$1:$XFD$1, 0), 0)</f>
        <v>0.224652032180849</v>
      </c>
      <c r="T90" s="29">
        <f>VLOOKUP($B90, ind_mes!$B:$XFD, MATCH(gdp_ind_share!T$1, ind_mes!$B$1:$XFD$1, 0), 0)/VLOOKUP($B90, gdp_tot_mes!$B:$XFD, MATCH(gdp_ind_share!T$1, gdp_tot_mes!$B$1:$XFD$1, 0), 0)</f>
        <v>0.20300836989345802</v>
      </c>
      <c r="U90" s="29">
        <f>VLOOKUP($B90, ind_mes!$B:$XFD, MATCH(gdp_ind_share!U$1, ind_mes!$B$1:$XFD$1, 0), 0)/VLOOKUP($B90, gdp_tot_mes!$B:$XFD, MATCH(gdp_ind_share!U$1, gdp_tot_mes!$B$1:$XFD$1, 0), 0)</f>
        <v>0.20868145941296065</v>
      </c>
      <c r="V90" s="29">
        <f>VLOOKUP($B90, ind_mes!$B:$XFD, MATCH(gdp_ind_share!V$1, ind_mes!$B$1:$XFD$1, 0), 0)/VLOOKUP($B90, gdp_tot_mes!$B:$XFD, MATCH(gdp_ind_share!V$1, gdp_tot_mes!$B$1:$XFD$1, 0), 0)</f>
        <v>0.21100652472052656</v>
      </c>
      <c r="W90" s="29">
        <f>VLOOKUP($B90, ind_mes!$B:$XFD, MATCH(gdp_ind_share!W$1, ind_mes!$B$1:$XFD$1, 0), 0)/VLOOKUP($B90, gdp_tot_mes!$B:$XFD, MATCH(gdp_ind_share!W$1, gdp_tot_mes!$B$1:$XFD$1, 0), 0)</f>
        <v>0.16540149520024428</v>
      </c>
      <c r="X90" s="29">
        <f>VLOOKUP($B90, ind_mes!$B:$XFD, MATCH(gdp_ind_share!X$1, ind_mes!$B$1:$XFD$1, 0), 0)/VLOOKUP($B90, gdp_tot_mes!$B:$XFD, MATCH(gdp_ind_share!X$1, gdp_tot_mes!$B$1:$XFD$1, 0), 0)</f>
        <v>0.18460293889332802</v>
      </c>
      <c r="Y90" s="29">
        <f>VLOOKUP($B90, ind_mes!$B:$XFD, MATCH(gdp_ind_share!Y$1, ind_mes!$B$1:$XFD$1, 0), 0)/VLOOKUP($B90, gdp_tot_mes!$B:$XFD, MATCH(gdp_ind_share!Y$1, gdp_tot_mes!$B$1:$XFD$1, 0), 0)</f>
        <v>0.16944990104044302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x14ac:dyDescent="0.25">
      <c r="A91" s="1" t="s">
        <v>200</v>
      </c>
      <c r="B91" s="1" t="s">
        <v>219</v>
      </c>
      <c r="C91" s="1" t="s">
        <v>220</v>
      </c>
      <c r="D91" s="29">
        <f>VLOOKUP($B91, ind_mes!$B:$XFD, MATCH(gdp_ind_share!D$1, ind_mes!$B$1:$XFD$1, 0), 0)/VLOOKUP($B91, gdp_tot_mes!$B:$XFD, MATCH(gdp_ind_share!D$1, gdp_tot_mes!$B$1:$XFD$1, 0), 0)</f>
        <v>0.31201788629952648</v>
      </c>
      <c r="E91" s="29">
        <f>VLOOKUP($B91, ind_mes!$B:$XFD, MATCH(gdp_ind_share!E$1, ind_mes!$B$1:$XFD$1, 0), 0)/VLOOKUP($B91, gdp_tot_mes!$B:$XFD, MATCH(gdp_ind_share!E$1, gdp_tot_mes!$B$1:$XFD$1, 0), 0)</f>
        <v>0.21030649158623382</v>
      </c>
      <c r="F91" s="29">
        <f>VLOOKUP($B91, ind_mes!$B:$XFD, MATCH(gdp_ind_share!F$1, ind_mes!$B$1:$XFD$1, 0), 0)/VLOOKUP($B91, gdp_tot_mes!$B:$XFD, MATCH(gdp_ind_share!F$1, gdp_tot_mes!$B$1:$XFD$1, 0), 0)</f>
        <v>0.28183446983757138</v>
      </c>
      <c r="G91" s="29">
        <f>VLOOKUP($B91, ind_mes!$B:$XFD, MATCH(gdp_ind_share!G$1, ind_mes!$B$1:$XFD$1, 0), 0)/VLOOKUP($B91, gdp_tot_mes!$B:$XFD, MATCH(gdp_ind_share!G$1, gdp_tot_mes!$B$1:$XFD$1, 0), 0)</f>
        <v>0.23104278666688338</v>
      </c>
      <c r="H91" s="29">
        <f>VLOOKUP($B91, ind_mes!$B:$XFD, MATCH(gdp_ind_share!H$1, ind_mes!$B$1:$XFD$1, 0), 0)/VLOOKUP($B91, gdp_tot_mes!$B:$XFD, MATCH(gdp_ind_share!H$1, gdp_tot_mes!$B$1:$XFD$1, 0), 0)</f>
        <v>0.29253524461590291</v>
      </c>
      <c r="I91" s="29">
        <f>VLOOKUP($B91, ind_mes!$B:$XFD, MATCH(gdp_ind_share!I$1, ind_mes!$B$1:$XFD$1, 0), 0)/VLOOKUP($B91, gdp_tot_mes!$B:$XFD, MATCH(gdp_ind_share!I$1, gdp_tot_mes!$B$1:$XFD$1, 0), 0)</f>
        <v>0.34098062510585236</v>
      </c>
      <c r="J91" s="29">
        <f>VLOOKUP($B91, ind_mes!$B:$XFD, MATCH(gdp_ind_share!J$1, ind_mes!$B$1:$XFD$1, 0), 0)/VLOOKUP($B91, gdp_tot_mes!$B:$XFD, MATCH(gdp_ind_share!J$1, gdp_tot_mes!$B$1:$XFD$1, 0), 0)</f>
        <v>0.41691925021500825</v>
      </c>
      <c r="K91" s="29">
        <f>VLOOKUP($B91, ind_mes!$B:$XFD, MATCH(gdp_ind_share!K$1, ind_mes!$B$1:$XFD$1, 0), 0)/VLOOKUP($B91, gdp_tot_mes!$B:$XFD, MATCH(gdp_ind_share!K$1, gdp_tot_mes!$B$1:$XFD$1, 0), 0)</f>
        <v>0.45080421521275099</v>
      </c>
      <c r="L91" s="30">
        <f t="shared" si="1"/>
        <v>0.41498434429981007</v>
      </c>
      <c r="M91" s="29">
        <f>VLOOKUP($B91, ind_mes!$B:$XFD, MATCH(gdp_ind_share!M$1, ind_mes!$B$1:$XFD$1, 0), 0)/VLOOKUP($B91, gdp_tot_mes!$B:$XFD, MATCH(gdp_ind_share!M$1, gdp_tot_mes!$B$1:$XFD$1, 0), 0)</f>
        <v>0.37200049920428097</v>
      </c>
      <c r="N91" s="29">
        <f>VLOOKUP($B91, ind_mes!$B:$XFD, MATCH(gdp_ind_share!N$1, ind_mes!$B$1:$XFD$1, 0), 0)/VLOOKUP($B91, gdp_tot_mes!$B:$XFD, MATCH(gdp_ind_share!N$1, gdp_tot_mes!$B$1:$XFD$1, 0), 0)</f>
        <v>0.25022441444104554</v>
      </c>
      <c r="O91" s="29">
        <f>VLOOKUP($B91, ind_mes!$B:$XFD, MATCH(gdp_ind_share!O$1, ind_mes!$B$1:$XFD$1, 0), 0)/VLOOKUP($B91, gdp_tot_mes!$B:$XFD, MATCH(gdp_ind_share!O$1, gdp_tot_mes!$B$1:$XFD$1, 0), 0)</f>
        <v>0.26494699134421718</v>
      </c>
      <c r="P91" s="29">
        <f>VLOOKUP($B91, ind_mes!$B:$XFD, MATCH(gdp_ind_share!P$1, ind_mes!$B$1:$XFD$1, 0), 0)/VLOOKUP($B91, gdp_tot_mes!$B:$XFD, MATCH(gdp_ind_share!P$1, gdp_tot_mes!$B$1:$XFD$1, 0), 0)</f>
        <v>0.27875125232918851</v>
      </c>
      <c r="Q91" s="29">
        <f>VLOOKUP($B91, ind_mes!$B:$XFD, MATCH(gdp_ind_share!Q$1, ind_mes!$B$1:$XFD$1, 0), 0)/VLOOKUP($B91, gdp_tot_mes!$B:$XFD, MATCH(gdp_ind_share!Q$1, gdp_tot_mes!$B$1:$XFD$1, 0), 0)</f>
        <v>0.2657054421433121</v>
      </c>
      <c r="R91" s="29">
        <f>VLOOKUP($B91, ind_mes!$B:$XFD, MATCH(gdp_ind_share!R$1, ind_mes!$B$1:$XFD$1, 0), 0)/VLOOKUP($B91, gdp_tot_mes!$B:$XFD, MATCH(gdp_ind_share!R$1, gdp_tot_mes!$B$1:$XFD$1, 0), 0)</f>
        <v>0.28179069889291941</v>
      </c>
      <c r="S91" s="29">
        <f>VLOOKUP($B91, ind_mes!$B:$XFD, MATCH(gdp_ind_share!S$1, ind_mes!$B$1:$XFD$1, 0), 0)/VLOOKUP($B91, gdp_tot_mes!$B:$XFD, MATCH(gdp_ind_share!S$1, gdp_tot_mes!$B$1:$XFD$1, 0), 0)</f>
        <v>0.29866037442802507</v>
      </c>
      <c r="T91" s="29">
        <f>VLOOKUP($B91, ind_mes!$B:$XFD, MATCH(gdp_ind_share!T$1, ind_mes!$B$1:$XFD$1, 0), 0)/VLOOKUP($B91, gdp_tot_mes!$B:$XFD, MATCH(gdp_ind_share!T$1, gdp_tot_mes!$B$1:$XFD$1, 0), 0)</f>
        <v>0.28521108992794919</v>
      </c>
      <c r="U91" s="29">
        <f>VLOOKUP($B91, ind_mes!$B:$XFD, MATCH(gdp_ind_share!U$1, ind_mes!$B$1:$XFD$1, 0), 0)/VLOOKUP($B91, gdp_tot_mes!$B:$XFD, MATCH(gdp_ind_share!U$1, gdp_tot_mes!$B$1:$XFD$1, 0), 0)</f>
        <v>0.27954137565988574</v>
      </c>
      <c r="V91" s="29">
        <f>VLOOKUP($B91, ind_mes!$B:$XFD, MATCH(gdp_ind_share!V$1, ind_mes!$B$1:$XFD$1, 0), 0)/VLOOKUP($B91, gdp_tot_mes!$B:$XFD, MATCH(gdp_ind_share!V$1, gdp_tot_mes!$B$1:$XFD$1, 0), 0)</f>
        <v>0.26213847026272996</v>
      </c>
      <c r="W91" s="29">
        <f>VLOOKUP($B91, ind_mes!$B:$XFD, MATCH(gdp_ind_share!W$1, ind_mes!$B$1:$XFD$1, 0), 0)/VLOOKUP($B91, gdp_tot_mes!$B:$XFD, MATCH(gdp_ind_share!W$1, gdp_tot_mes!$B$1:$XFD$1, 0), 0)</f>
        <v>0.25405948494744179</v>
      </c>
      <c r="X91" s="29">
        <f>VLOOKUP($B91, ind_mes!$B:$XFD, MATCH(gdp_ind_share!X$1, ind_mes!$B$1:$XFD$1, 0), 0)/VLOOKUP($B91, gdp_tot_mes!$B:$XFD, MATCH(gdp_ind_share!X$1, gdp_tot_mes!$B$1:$XFD$1, 0), 0)</f>
        <v>0.26084749924881473</v>
      </c>
      <c r="Y91" s="29">
        <f>VLOOKUP($B91, ind_mes!$B:$XFD, MATCH(gdp_ind_share!Y$1, ind_mes!$B$1:$XFD$1, 0), 0)/VLOOKUP($B91, gdp_tot_mes!$B:$XFD, MATCH(gdp_ind_share!Y$1, gdp_tot_mes!$B$1:$XFD$1, 0), 0)</f>
        <v>0.25696264597593466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x14ac:dyDescent="0.25">
      <c r="A92" s="1" t="s">
        <v>221</v>
      </c>
      <c r="B92" s="1" t="s">
        <v>222</v>
      </c>
      <c r="C92" s="1" t="s">
        <v>223</v>
      </c>
      <c r="D92" s="29">
        <f>VLOOKUP($B92, ind_mes!$B:$XFD, MATCH(gdp_ind_share!D$1, ind_mes!$B$1:$XFD$1, 0), 0)/VLOOKUP($B92, gdp_tot_mes!$B:$XFD, MATCH(gdp_ind_share!D$1, gdp_tot_mes!$B$1:$XFD$1, 0), 0)</f>
        <v>4.1408537189266667E-2</v>
      </c>
      <c r="E92" s="29">
        <f>VLOOKUP($B92, ind_mes!$B:$XFD, MATCH(gdp_ind_share!E$1, ind_mes!$B$1:$XFD$1, 0), 0)/VLOOKUP($B92, gdp_tot_mes!$B:$XFD, MATCH(gdp_ind_share!E$1, gdp_tot_mes!$B$1:$XFD$1, 0), 0)</f>
        <v>5.9749459950877888E-2</v>
      </c>
      <c r="F92" s="29">
        <f>VLOOKUP($B92, ind_mes!$B:$XFD, MATCH(gdp_ind_share!F$1, ind_mes!$B$1:$XFD$1, 0), 0)/VLOOKUP($B92, gdp_tot_mes!$B:$XFD, MATCH(gdp_ind_share!F$1, gdp_tot_mes!$B$1:$XFD$1, 0), 0)</f>
        <v>0.12418366912186096</v>
      </c>
      <c r="G92" s="29">
        <f>VLOOKUP($B92, ind_mes!$B:$XFD, MATCH(gdp_ind_share!G$1, ind_mes!$B$1:$XFD$1, 0), 0)/VLOOKUP($B92, gdp_tot_mes!$B:$XFD, MATCH(gdp_ind_share!G$1, gdp_tot_mes!$B$1:$XFD$1, 0), 0)</f>
        <v>0.12223104921865825</v>
      </c>
      <c r="H92" s="29">
        <f>VLOOKUP($B92, ind_mes!$B:$XFD, MATCH(gdp_ind_share!H$1, ind_mes!$B$1:$XFD$1, 0), 0)/VLOOKUP($B92, gdp_tot_mes!$B:$XFD, MATCH(gdp_ind_share!H$1, gdp_tot_mes!$B$1:$XFD$1, 0), 0)</f>
        <v>0.25309089763373555</v>
      </c>
      <c r="I92" s="29">
        <f>VLOOKUP($B92, ind_mes!$B:$XFD, MATCH(gdp_ind_share!I$1, ind_mes!$B$1:$XFD$1, 0), 0)/VLOOKUP($B92, gdp_tot_mes!$B:$XFD, MATCH(gdp_ind_share!I$1, gdp_tot_mes!$B$1:$XFD$1, 0), 0)</f>
        <v>0.26027978563223608</v>
      </c>
      <c r="J92" s="29">
        <f>VLOOKUP($B92, ind_mes!$B:$XFD, MATCH(gdp_ind_share!J$1, ind_mes!$B$1:$XFD$1, 0), 0)/VLOOKUP($B92, gdp_tot_mes!$B:$XFD, MATCH(gdp_ind_share!J$1, gdp_tot_mes!$B$1:$XFD$1, 0), 0)</f>
        <v>0.20387283492683067</v>
      </c>
      <c r="K92" s="29">
        <f>VLOOKUP($B92, ind_mes!$B:$XFD, MATCH(gdp_ind_share!K$1, ind_mes!$B$1:$XFD$1, 0), 0)/VLOOKUP($B92, gdp_tot_mes!$B:$XFD, MATCH(gdp_ind_share!K$1, gdp_tot_mes!$B$1:$XFD$1, 0), 0)</f>
        <v>0.27166897694255543</v>
      </c>
      <c r="L92" s="30">
        <f t="shared" si="1"/>
        <v>0.20349617007567916</v>
      </c>
      <c r="M92" s="29">
        <f>VLOOKUP($B92, ind_mes!$B:$XFD, MATCH(gdp_ind_share!M$1, ind_mes!$B$1:$XFD$1, 0), 0)/VLOOKUP($B92, gdp_tot_mes!$B:$XFD, MATCH(gdp_ind_share!M$1, gdp_tot_mes!$B$1:$XFD$1, 0), 0)</f>
        <v>0.12168880183542762</v>
      </c>
      <c r="N92" s="29">
        <f>VLOOKUP($B92, ind_mes!$B:$XFD, MATCH(gdp_ind_share!N$1, ind_mes!$B$1:$XFD$1, 0), 0)/VLOOKUP($B92, gdp_tot_mes!$B:$XFD, MATCH(gdp_ind_share!N$1, gdp_tot_mes!$B$1:$XFD$1, 0), 0)</f>
        <v>0.13606716777588548</v>
      </c>
      <c r="O92" s="29">
        <f>VLOOKUP($B92, ind_mes!$B:$XFD, MATCH(gdp_ind_share!O$1, ind_mes!$B$1:$XFD$1, 0), 0)/VLOOKUP($B92, gdp_tot_mes!$B:$XFD, MATCH(gdp_ind_share!O$1, gdp_tot_mes!$B$1:$XFD$1, 0), 0)</f>
        <v>0.13961812288349934</v>
      </c>
      <c r="P92" s="29">
        <f>VLOOKUP($B92, ind_mes!$B:$XFD, MATCH(gdp_ind_share!P$1, ind_mes!$B$1:$XFD$1, 0), 0)/VLOOKUP($B92, gdp_tot_mes!$B:$XFD, MATCH(gdp_ind_share!P$1, gdp_tot_mes!$B$1:$XFD$1, 0), 0)</f>
        <v>0.10547947148164172</v>
      </c>
      <c r="Q92" s="29">
        <f>VLOOKUP($B92, ind_mes!$B:$XFD, MATCH(gdp_ind_share!Q$1, ind_mes!$B$1:$XFD$1, 0), 0)/VLOOKUP($B92, gdp_tot_mes!$B:$XFD, MATCH(gdp_ind_share!Q$1, gdp_tot_mes!$B$1:$XFD$1, 0), 0)</f>
        <v>9.7705665740668884E-2</v>
      </c>
      <c r="R92" s="29">
        <f>VLOOKUP($B92, ind_mes!$B:$XFD, MATCH(gdp_ind_share!R$1, ind_mes!$B$1:$XFD$1, 0), 0)/VLOOKUP($B92, gdp_tot_mes!$B:$XFD, MATCH(gdp_ind_share!R$1, gdp_tot_mes!$B$1:$XFD$1, 0), 0)</f>
        <v>0.10639642903133938</v>
      </c>
      <c r="S92" s="29">
        <f>VLOOKUP($B92, ind_mes!$B:$XFD, MATCH(gdp_ind_share!S$1, ind_mes!$B$1:$XFD$1, 0), 0)/VLOOKUP($B92, gdp_tot_mes!$B:$XFD, MATCH(gdp_ind_share!S$1, gdp_tot_mes!$B$1:$XFD$1, 0), 0)</f>
        <v>9.6148183370508816E-2</v>
      </c>
      <c r="T92" s="29">
        <f>VLOOKUP($B92, ind_mes!$B:$XFD, MATCH(gdp_ind_share!T$1, ind_mes!$B$1:$XFD$1, 0), 0)/VLOOKUP($B92, gdp_tot_mes!$B:$XFD, MATCH(gdp_ind_share!T$1, gdp_tot_mes!$B$1:$XFD$1, 0), 0)</f>
        <v>0.1687088066845166</v>
      </c>
      <c r="U92" s="29">
        <f>VLOOKUP($B92, ind_mes!$B:$XFD, MATCH(gdp_ind_share!U$1, ind_mes!$B$1:$XFD$1, 0), 0)/VLOOKUP($B92, gdp_tot_mes!$B:$XFD, MATCH(gdp_ind_share!U$1, gdp_tot_mes!$B$1:$XFD$1, 0), 0)</f>
        <v>0.16040561206485043</v>
      </c>
      <c r="V92" s="29">
        <f>VLOOKUP($B92, ind_mes!$B:$XFD, MATCH(gdp_ind_share!V$1, ind_mes!$B$1:$XFD$1, 0), 0)/VLOOKUP($B92, gdp_tot_mes!$B:$XFD, MATCH(gdp_ind_share!V$1, gdp_tot_mes!$B$1:$XFD$1, 0), 0)</f>
        <v>9.7558166219522569E-2</v>
      </c>
      <c r="W92" s="29">
        <f>VLOOKUP($B92, ind_mes!$B:$XFD, MATCH(gdp_ind_share!W$1, ind_mes!$B$1:$XFD$1, 0), 0)/VLOOKUP($B92, gdp_tot_mes!$B:$XFD, MATCH(gdp_ind_share!W$1, gdp_tot_mes!$B$1:$XFD$1, 0), 0)</f>
        <v>0.14843340567875418</v>
      </c>
      <c r="X92" s="29">
        <f>VLOOKUP($B92, ind_mes!$B:$XFD, MATCH(gdp_ind_share!X$1, ind_mes!$B$1:$XFD$1, 0), 0)/VLOOKUP($B92, gdp_tot_mes!$B:$XFD, MATCH(gdp_ind_share!X$1, gdp_tot_mes!$B$1:$XFD$1, 0), 0)</f>
        <v>0.12285205073070865</v>
      </c>
      <c r="Y92" s="29">
        <f>VLOOKUP($B92, ind_mes!$B:$XFD, MATCH(gdp_ind_share!Y$1, ind_mes!$B$1:$XFD$1, 0), 0)/VLOOKUP($B92, gdp_tot_mes!$B:$XFD, MATCH(gdp_ind_share!Y$1, gdp_tot_mes!$B$1:$XFD$1, 0), 0)</f>
        <v>0.13248647069908207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x14ac:dyDescent="0.25">
      <c r="A93" s="1" t="s">
        <v>221</v>
      </c>
      <c r="B93" s="1" t="s">
        <v>224</v>
      </c>
      <c r="C93" s="1" t="s">
        <v>225</v>
      </c>
      <c r="D93" s="29">
        <f>VLOOKUP($B93, ind_mes!$B:$XFD, MATCH(gdp_ind_share!D$1, ind_mes!$B$1:$XFD$1, 0), 0)/VLOOKUP($B93, gdp_tot_mes!$B:$XFD, MATCH(gdp_ind_share!D$1, gdp_tot_mes!$B$1:$XFD$1, 0), 0)</f>
        <v>9.8673374872649489E-2</v>
      </c>
      <c r="E93" s="29">
        <f>VLOOKUP($B93, ind_mes!$B:$XFD, MATCH(gdp_ind_share!E$1, ind_mes!$B$1:$XFD$1, 0), 0)/VLOOKUP($B93, gdp_tot_mes!$B:$XFD, MATCH(gdp_ind_share!E$1, gdp_tot_mes!$B$1:$XFD$1, 0), 0)</f>
        <v>0.18595512395314487</v>
      </c>
      <c r="F93" s="29">
        <f>VLOOKUP($B93, ind_mes!$B:$XFD, MATCH(gdp_ind_share!F$1, ind_mes!$B$1:$XFD$1, 0), 0)/VLOOKUP($B93, gdp_tot_mes!$B:$XFD, MATCH(gdp_ind_share!F$1, gdp_tot_mes!$B$1:$XFD$1, 0), 0)</f>
        <v>0.28390082353377544</v>
      </c>
      <c r="G93" s="29">
        <f>VLOOKUP($B93, ind_mes!$B:$XFD, MATCH(gdp_ind_share!G$1, ind_mes!$B$1:$XFD$1, 0), 0)/VLOOKUP($B93, gdp_tot_mes!$B:$XFD, MATCH(gdp_ind_share!G$1, gdp_tot_mes!$B$1:$XFD$1, 0), 0)</f>
        <v>0.29532264937377656</v>
      </c>
      <c r="H93" s="29">
        <f>VLOOKUP($B93, ind_mes!$B:$XFD, MATCH(gdp_ind_share!H$1, ind_mes!$B$1:$XFD$1, 0), 0)/VLOOKUP($B93, gdp_tot_mes!$B:$XFD, MATCH(gdp_ind_share!H$1, gdp_tot_mes!$B$1:$XFD$1, 0), 0)</f>
        <v>0.30658374753436451</v>
      </c>
      <c r="I93" s="29">
        <f>VLOOKUP($B93, ind_mes!$B:$XFD, MATCH(gdp_ind_share!I$1, ind_mes!$B$1:$XFD$1, 0), 0)/VLOOKUP($B93, gdp_tot_mes!$B:$XFD, MATCH(gdp_ind_share!I$1, gdp_tot_mes!$B$1:$XFD$1, 0), 0)</f>
        <v>0.2845472596215034</v>
      </c>
      <c r="J93" s="29">
        <f>VLOOKUP($B93, ind_mes!$B:$XFD, MATCH(gdp_ind_share!J$1, ind_mes!$B$1:$XFD$1, 0), 0)/VLOOKUP($B93, gdp_tot_mes!$B:$XFD, MATCH(gdp_ind_share!J$1, gdp_tot_mes!$B$1:$XFD$1, 0), 0)</f>
        <v>0.29104551829411934</v>
      </c>
      <c r="K93" s="29">
        <f>VLOOKUP($B93, ind_mes!$B:$XFD, MATCH(gdp_ind_share!K$1, ind_mes!$B$1:$XFD$1, 0), 0)/VLOOKUP($B93, gdp_tot_mes!$B:$XFD, MATCH(gdp_ind_share!K$1, gdp_tot_mes!$B$1:$XFD$1, 0), 0)</f>
        <v>0.3104697629235853</v>
      </c>
      <c r="L93" s="30">
        <f t="shared" si="1"/>
        <v>0.43171542345967839</v>
      </c>
      <c r="M93" s="29">
        <f>VLOOKUP($B93, ind_mes!$B:$XFD, MATCH(gdp_ind_share!M$1, ind_mes!$B$1:$XFD$1, 0), 0)/VLOOKUP($B93, gdp_tot_mes!$B:$XFD, MATCH(gdp_ind_share!M$1, gdp_tot_mes!$B$1:$XFD$1, 0), 0)</f>
        <v>0.57721021610299006</v>
      </c>
      <c r="N93" s="29">
        <f>VLOOKUP($B93, ind_mes!$B:$XFD, MATCH(gdp_ind_share!N$1, ind_mes!$B$1:$XFD$1, 0), 0)/VLOOKUP($B93, gdp_tot_mes!$B:$XFD, MATCH(gdp_ind_share!N$1, gdp_tot_mes!$B$1:$XFD$1, 0), 0)</f>
        <v>0.45387931553493593</v>
      </c>
      <c r="O93" s="29">
        <f>VLOOKUP($B93, ind_mes!$B:$XFD, MATCH(gdp_ind_share!O$1, ind_mes!$B$1:$XFD$1, 0), 0)/VLOOKUP($B93, gdp_tot_mes!$B:$XFD, MATCH(gdp_ind_share!O$1, gdp_tot_mes!$B$1:$XFD$1, 0), 0)</f>
        <v>0.61023792281791045</v>
      </c>
      <c r="P93" s="29">
        <f>VLOOKUP($B93, ind_mes!$B:$XFD, MATCH(gdp_ind_share!P$1, ind_mes!$B$1:$XFD$1, 0), 0)/VLOOKUP($B93, gdp_tot_mes!$B:$XFD, MATCH(gdp_ind_share!P$1, gdp_tot_mes!$B$1:$XFD$1, 0), 0)</f>
        <v>0.58479646011814279</v>
      </c>
      <c r="Q93" s="29">
        <f>VLOOKUP($B93, ind_mes!$B:$XFD, MATCH(gdp_ind_share!Q$1, ind_mes!$B$1:$XFD$1, 0), 0)/VLOOKUP($B93, gdp_tot_mes!$B:$XFD, MATCH(gdp_ind_share!Q$1, gdp_tot_mes!$B$1:$XFD$1, 0), 0)</f>
        <v>0.90043002364285063</v>
      </c>
      <c r="R93" s="29">
        <f>VLOOKUP($B93, ind_mes!$B:$XFD, MATCH(gdp_ind_share!R$1, ind_mes!$B$1:$XFD$1, 0), 0)/VLOOKUP($B93, gdp_tot_mes!$B:$XFD, MATCH(gdp_ind_share!R$1, gdp_tot_mes!$B$1:$XFD$1, 0), 0)</f>
        <v>0.90460687604214529</v>
      </c>
      <c r="S93" s="29">
        <f>VLOOKUP($B93, ind_mes!$B:$XFD, MATCH(gdp_ind_share!S$1, ind_mes!$B$1:$XFD$1, 0), 0)/VLOOKUP($B93, gdp_tot_mes!$B:$XFD, MATCH(gdp_ind_share!S$1, gdp_tot_mes!$B$1:$XFD$1, 0), 0)</f>
        <v>0.93097971056345641</v>
      </c>
      <c r="T93" s="29">
        <f>VLOOKUP($B93, ind_mes!$B:$XFD, MATCH(gdp_ind_share!T$1, ind_mes!$B$1:$XFD$1, 0), 0)/VLOOKUP($B93, gdp_tot_mes!$B:$XFD, MATCH(gdp_ind_share!T$1, gdp_tot_mes!$B$1:$XFD$1, 0), 0)</f>
        <v>1.0189078409463994</v>
      </c>
      <c r="U93" s="29">
        <f>VLOOKUP($B93, ind_mes!$B:$XFD, MATCH(gdp_ind_share!U$1, ind_mes!$B$1:$XFD$1, 0), 0)/VLOOKUP($B93, gdp_tot_mes!$B:$XFD, MATCH(gdp_ind_share!U$1, gdp_tot_mes!$B$1:$XFD$1, 0), 0)</f>
        <v>1.0112240448975875</v>
      </c>
      <c r="V93" s="29">
        <f>VLOOKUP($B93, ind_mes!$B:$XFD, MATCH(gdp_ind_share!V$1, ind_mes!$B$1:$XFD$1, 0), 0)/VLOOKUP($B93, gdp_tot_mes!$B:$XFD, MATCH(gdp_ind_share!V$1, gdp_tot_mes!$B$1:$XFD$1, 0), 0)</f>
        <v>0.96435475837040763</v>
      </c>
      <c r="W93" s="29">
        <f>VLOOKUP($B93, ind_mes!$B:$XFD, MATCH(gdp_ind_share!W$1, ind_mes!$B$1:$XFD$1, 0), 0)/VLOOKUP($B93, gdp_tot_mes!$B:$XFD, MATCH(gdp_ind_share!W$1, gdp_tot_mes!$B$1:$XFD$1, 0), 0)</f>
        <v>0.94046652800462505</v>
      </c>
      <c r="X93" s="29">
        <f>VLOOKUP($B93, ind_mes!$B:$XFD, MATCH(gdp_ind_share!X$1, ind_mes!$B$1:$XFD$1, 0), 0)/VLOOKUP($B93, gdp_tot_mes!$B:$XFD, MATCH(gdp_ind_share!X$1, gdp_tot_mes!$B$1:$XFD$1, 0), 0)</f>
        <v>0.80801922528941406</v>
      </c>
      <c r="Y93" s="29">
        <f>VLOOKUP($B93, ind_mes!$B:$XFD, MATCH(gdp_ind_share!Y$1, ind_mes!$B$1:$XFD$1, 0), 0)/VLOOKUP($B93, gdp_tot_mes!$B:$XFD, MATCH(gdp_ind_share!Y$1, gdp_tot_mes!$B$1:$XFD$1, 0), 0)</f>
        <v>0.82645129495877767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x14ac:dyDescent="0.25">
      <c r="A94" s="1" t="s">
        <v>221</v>
      </c>
      <c r="B94" s="1" t="s">
        <v>226</v>
      </c>
      <c r="C94" s="1" t="s">
        <v>227</v>
      </c>
      <c r="D94" s="29">
        <f>VLOOKUP($B94, ind_mes!$B:$XFD, MATCH(gdp_ind_share!D$1, ind_mes!$B$1:$XFD$1, 0), 0)/VLOOKUP($B94, gdp_tot_mes!$B:$XFD, MATCH(gdp_ind_share!D$1, gdp_tot_mes!$B$1:$XFD$1, 0), 0)</f>
        <v>5.6797332465559743E-2</v>
      </c>
      <c r="E94" s="29">
        <f>VLOOKUP($B94, ind_mes!$B:$XFD, MATCH(gdp_ind_share!E$1, ind_mes!$B$1:$XFD$1, 0), 0)/VLOOKUP($B94, gdp_tot_mes!$B:$XFD, MATCH(gdp_ind_share!E$1, gdp_tot_mes!$B$1:$XFD$1, 0), 0)</f>
        <v>0.34899832280142196</v>
      </c>
      <c r="F94" s="29">
        <f>VLOOKUP($B94, ind_mes!$B:$XFD, MATCH(gdp_ind_share!F$1, ind_mes!$B$1:$XFD$1, 0), 0)/VLOOKUP($B94, gdp_tot_mes!$B:$XFD, MATCH(gdp_ind_share!F$1, gdp_tot_mes!$B$1:$XFD$1, 0), 0)</f>
        <v>0.24807175987155189</v>
      </c>
      <c r="G94" s="29">
        <f>VLOOKUP($B94, ind_mes!$B:$XFD, MATCH(gdp_ind_share!G$1, ind_mes!$B$1:$XFD$1, 0), 0)/VLOOKUP($B94, gdp_tot_mes!$B:$XFD, MATCH(gdp_ind_share!G$1, gdp_tot_mes!$B$1:$XFD$1, 0), 0)</f>
        <v>0.28888773440840315</v>
      </c>
      <c r="H94" s="29">
        <f>VLOOKUP($B94, ind_mes!$B:$XFD, MATCH(gdp_ind_share!H$1, ind_mes!$B$1:$XFD$1, 0), 0)/VLOOKUP($B94, gdp_tot_mes!$B:$XFD, MATCH(gdp_ind_share!H$1, gdp_tot_mes!$B$1:$XFD$1, 0), 0)</f>
        <v>0.39209655649339459</v>
      </c>
      <c r="I94" s="29">
        <f>VLOOKUP($B94, ind_mes!$B:$XFD, MATCH(gdp_ind_share!I$1, ind_mes!$B$1:$XFD$1, 0), 0)/VLOOKUP($B94, gdp_tot_mes!$B:$XFD, MATCH(gdp_ind_share!I$1, gdp_tot_mes!$B$1:$XFD$1, 0), 0)</f>
        <v>0.43443780787532443</v>
      </c>
      <c r="J94" s="29">
        <f>VLOOKUP($B94, ind_mes!$B:$XFD, MATCH(gdp_ind_share!J$1, ind_mes!$B$1:$XFD$1, 0), 0)/VLOOKUP($B94, gdp_tot_mes!$B:$XFD, MATCH(gdp_ind_share!J$1, gdp_tot_mes!$B$1:$XFD$1, 0), 0)</f>
        <v>0.50387145886913021</v>
      </c>
      <c r="K94" s="29">
        <f>VLOOKUP($B94, ind_mes!$B:$XFD, MATCH(gdp_ind_share!K$1, ind_mes!$B$1:$XFD$1, 0), 0)/VLOOKUP($B94, gdp_tot_mes!$B:$XFD, MATCH(gdp_ind_share!K$1, gdp_tot_mes!$B$1:$XFD$1, 0), 0)</f>
        <v>0.51800886045696537</v>
      </c>
      <c r="L94" s="30">
        <f t="shared" si="1"/>
        <v>0.4182214929091268</v>
      </c>
      <c r="M94" s="29">
        <f>VLOOKUP($B94, ind_mes!$B:$XFD, MATCH(gdp_ind_share!M$1, ind_mes!$B$1:$XFD$1, 0), 0)/VLOOKUP($B94, gdp_tot_mes!$B:$XFD, MATCH(gdp_ind_share!M$1, gdp_tot_mes!$B$1:$XFD$1, 0), 0)</f>
        <v>0.29847665185172051</v>
      </c>
      <c r="N94" s="29">
        <f>VLOOKUP($B94, ind_mes!$B:$XFD, MATCH(gdp_ind_share!N$1, ind_mes!$B$1:$XFD$1, 0), 0)/VLOOKUP($B94, gdp_tot_mes!$B:$XFD, MATCH(gdp_ind_share!N$1, gdp_tot_mes!$B$1:$XFD$1, 0), 0)</f>
        <v>0.18835969834995653</v>
      </c>
      <c r="O94" s="29">
        <f>VLOOKUP($B94, ind_mes!$B:$XFD, MATCH(gdp_ind_share!O$1, ind_mes!$B$1:$XFD$1, 0), 0)/VLOOKUP($B94, gdp_tot_mes!$B:$XFD, MATCH(gdp_ind_share!O$1, gdp_tot_mes!$B$1:$XFD$1, 0), 0)</f>
        <v>0.18893651975793641</v>
      </c>
      <c r="P94" s="29">
        <f>VLOOKUP($B94, ind_mes!$B:$XFD, MATCH(gdp_ind_share!P$1, ind_mes!$B$1:$XFD$1, 0), 0)/VLOOKUP($B94, gdp_tot_mes!$B:$XFD, MATCH(gdp_ind_share!P$1, gdp_tot_mes!$B$1:$XFD$1, 0), 0)</f>
        <v>0.16281636395672819</v>
      </c>
      <c r="Q94" s="29">
        <f>VLOOKUP($B94, ind_mes!$B:$XFD, MATCH(gdp_ind_share!Q$1, ind_mes!$B$1:$XFD$1, 0), 0)/VLOOKUP($B94, gdp_tot_mes!$B:$XFD, MATCH(gdp_ind_share!Q$1, gdp_tot_mes!$B$1:$XFD$1, 0), 0)</f>
        <v>0.20078943800390328</v>
      </c>
      <c r="R94" s="29">
        <f>VLOOKUP($B94, ind_mes!$B:$XFD, MATCH(gdp_ind_share!R$1, ind_mes!$B$1:$XFD$1, 0), 0)/VLOOKUP($B94, gdp_tot_mes!$B:$XFD, MATCH(gdp_ind_share!R$1, gdp_tot_mes!$B$1:$XFD$1, 0), 0)</f>
        <v>0.21170827833752734</v>
      </c>
      <c r="S94" s="29">
        <f>VLOOKUP($B94, ind_mes!$B:$XFD, MATCH(gdp_ind_share!S$1, ind_mes!$B$1:$XFD$1, 0), 0)/VLOOKUP($B94, gdp_tot_mes!$B:$XFD, MATCH(gdp_ind_share!S$1, gdp_tot_mes!$B$1:$XFD$1, 0), 0)</f>
        <v>0.20329878243547689</v>
      </c>
      <c r="T94" s="29">
        <f>VLOOKUP($B94, ind_mes!$B:$XFD, MATCH(gdp_ind_share!T$1, ind_mes!$B$1:$XFD$1, 0), 0)/VLOOKUP($B94, gdp_tot_mes!$B:$XFD, MATCH(gdp_ind_share!T$1, gdp_tot_mes!$B$1:$XFD$1, 0), 0)</f>
        <v>0.17267250872070056</v>
      </c>
      <c r="U94" s="29">
        <f>VLOOKUP($B94, ind_mes!$B:$XFD, MATCH(gdp_ind_share!U$1, ind_mes!$B$1:$XFD$1, 0), 0)/VLOOKUP($B94, gdp_tot_mes!$B:$XFD, MATCH(gdp_ind_share!U$1, gdp_tot_mes!$B$1:$XFD$1, 0), 0)</f>
        <v>0.17843263761117362</v>
      </c>
      <c r="V94" s="29">
        <f>VLOOKUP($B94, ind_mes!$B:$XFD, MATCH(gdp_ind_share!V$1, ind_mes!$B$1:$XFD$1, 0), 0)/VLOOKUP($B94, gdp_tot_mes!$B:$XFD, MATCH(gdp_ind_share!V$1, gdp_tot_mes!$B$1:$XFD$1, 0), 0)</f>
        <v>0.16680510864247944</v>
      </c>
      <c r="W94" s="29">
        <f>VLOOKUP($B94, ind_mes!$B:$XFD, MATCH(gdp_ind_share!W$1, ind_mes!$B$1:$XFD$1, 0), 0)/VLOOKUP($B94, gdp_tot_mes!$B:$XFD, MATCH(gdp_ind_share!W$1, gdp_tot_mes!$B$1:$XFD$1, 0), 0)</f>
        <v>0.19117634538116496</v>
      </c>
      <c r="X94" s="29">
        <f>VLOOKUP($B94, ind_mes!$B:$XFD, MATCH(gdp_ind_share!X$1, ind_mes!$B$1:$XFD$1, 0), 0)/VLOOKUP($B94, gdp_tot_mes!$B:$XFD, MATCH(gdp_ind_share!X$1, gdp_tot_mes!$B$1:$XFD$1, 0), 0)</f>
        <v>0.21256085828887442</v>
      </c>
      <c r="Y94" s="29">
        <f>VLOOKUP($B94, ind_mes!$B:$XFD, MATCH(gdp_ind_share!Y$1, ind_mes!$B$1:$XFD$1, 0), 0)/VLOOKUP($B94, gdp_tot_mes!$B:$XFD, MATCH(gdp_ind_share!Y$1, gdp_tot_mes!$B$1:$XFD$1, 0), 0)</f>
        <v>0.23356428622958053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x14ac:dyDescent="0.25">
      <c r="A95" s="1" t="s">
        <v>221</v>
      </c>
      <c r="B95" s="1" t="s">
        <v>228</v>
      </c>
      <c r="C95" s="1" t="s">
        <v>229</v>
      </c>
      <c r="D95" s="29">
        <f>VLOOKUP($B95, ind_mes!$B:$XFD, MATCH(gdp_ind_share!D$1, ind_mes!$B$1:$XFD$1, 0), 0)/VLOOKUP($B95, gdp_tot_mes!$B:$XFD, MATCH(gdp_ind_share!D$1, gdp_tot_mes!$B$1:$XFD$1, 0), 0)</f>
        <v>8.5506324232907882E-2</v>
      </c>
      <c r="E95" s="29">
        <f>VLOOKUP($B95, ind_mes!$B:$XFD, MATCH(gdp_ind_share!E$1, ind_mes!$B$1:$XFD$1, 0), 0)/VLOOKUP($B95, gdp_tot_mes!$B:$XFD, MATCH(gdp_ind_share!E$1, gdp_tot_mes!$B$1:$XFD$1, 0), 0)</f>
        <v>0.15744469367877867</v>
      </c>
      <c r="F95" s="29">
        <f>VLOOKUP($B95, ind_mes!$B:$XFD, MATCH(gdp_ind_share!F$1, ind_mes!$B$1:$XFD$1, 0), 0)/VLOOKUP($B95, gdp_tot_mes!$B:$XFD, MATCH(gdp_ind_share!F$1, gdp_tot_mes!$B$1:$XFD$1, 0), 0)</f>
        <v>0.20344867141332915</v>
      </c>
      <c r="G95" s="29">
        <f>VLOOKUP($B95, ind_mes!$B:$XFD, MATCH(gdp_ind_share!G$1, ind_mes!$B$1:$XFD$1, 0), 0)/VLOOKUP($B95, gdp_tot_mes!$B:$XFD, MATCH(gdp_ind_share!G$1, gdp_tot_mes!$B$1:$XFD$1, 0), 0)</f>
        <v>0.34147970895160074</v>
      </c>
      <c r="H95" s="29">
        <f>VLOOKUP($B95, ind_mes!$B:$XFD, MATCH(gdp_ind_share!H$1, ind_mes!$B$1:$XFD$1, 0), 0)/VLOOKUP($B95, gdp_tot_mes!$B:$XFD, MATCH(gdp_ind_share!H$1, gdp_tot_mes!$B$1:$XFD$1, 0), 0)</f>
        <v>0.46148968899653214</v>
      </c>
      <c r="I95" s="29">
        <f>VLOOKUP($B95, ind_mes!$B:$XFD, MATCH(gdp_ind_share!I$1, ind_mes!$B$1:$XFD$1, 0), 0)/VLOOKUP($B95, gdp_tot_mes!$B:$XFD, MATCH(gdp_ind_share!I$1, gdp_tot_mes!$B$1:$XFD$1, 0), 0)</f>
        <v>0.35538426787891048</v>
      </c>
      <c r="J95" s="29">
        <f>VLOOKUP($B95, ind_mes!$B:$XFD, MATCH(gdp_ind_share!J$1, ind_mes!$B$1:$XFD$1, 0), 0)/VLOOKUP($B95, gdp_tot_mes!$B:$XFD, MATCH(gdp_ind_share!J$1, gdp_tot_mes!$B$1:$XFD$1, 0), 0)</f>
        <v>0.367324293089063</v>
      </c>
      <c r="K95" s="29">
        <f>VLOOKUP($B95, ind_mes!$B:$XFD, MATCH(gdp_ind_share!K$1, ind_mes!$B$1:$XFD$1, 0), 0)/VLOOKUP($B95, gdp_tot_mes!$B:$XFD, MATCH(gdp_ind_share!K$1, gdp_tot_mes!$B$1:$XFD$1, 0), 0)</f>
        <v>0.37853834581348594</v>
      </c>
      <c r="L95" s="30">
        <f t="shared" si="1"/>
        <v>0.30408673147427789</v>
      </c>
      <c r="M95" s="29">
        <f>VLOOKUP($B95, ind_mes!$B:$XFD, MATCH(gdp_ind_share!M$1, ind_mes!$B$1:$XFD$1, 0), 0)/VLOOKUP($B95, gdp_tot_mes!$B:$XFD, MATCH(gdp_ind_share!M$1, gdp_tot_mes!$B$1:$XFD$1, 0), 0)</f>
        <v>0.21474479426722826</v>
      </c>
      <c r="N95" s="29">
        <f>VLOOKUP($B95, ind_mes!$B:$XFD, MATCH(gdp_ind_share!N$1, ind_mes!$B$1:$XFD$1, 0), 0)/VLOOKUP($B95, gdp_tot_mes!$B:$XFD, MATCH(gdp_ind_share!N$1, gdp_tot_mes!$B$1:$XFD$1, 0), 0)</f>
        <v>0.33038328923669419</v>
      </c>
      <c r="O95" s="29">
        <f>VLOOKUP($B95, ind_mes!$B:$XFD, MATCH(gdp_ind_share!O$1, ind_mes!$B$1:$XFD$1, 0), 0)/VLOOKUP($B95, gdp_tot_mes!$B:$XFD, MATCH(gdp_ind_share!O$1, gdp_tot_mes!$B$1:$XFD$1, 0), 0)</f>
        <v>0.48285390911675585</v>
      </c>
      <c r="P95" s="29">
        <f>VLOOKUP($B95, ind_mes!$B:$XFD, MATCH(gdp_ind_share!P$1, ind_mes!$B$1:$XFD$1, 0), 0)/VLOOKUP($B95, gdp_tot_mes!$B:$XFD, MATCH(gdp_ind_share!P$1, gdp_tot_mes!$B$1:$XFD$1, 0), 0)</f>
        <v>0.48552356264817198</v>
      </c>
      <c r="Q95" s="29">
        <f>VLOOKUP($B95, ind_mes!$B:$XFD, MATCH(gdp_ind_share!Q$1, ind_mes!$B$1:$XFD$1, 0), 0)/VLOOKUP($B95, gdp_tot_mes!$B:$XFD, MATCH(gdp_ind_share!Q$1, gdp_tot_mes!$B$1:$XFD$1, 0), 0)</f>
        <v>0.79643367620092143</v>
      </c>
      <c r="R95" s="29">
        <f>VLOOKUP($B95, ind_mes!$B:$XFD, MATCH(gdp_ind_share!R$1, ind_mes!$B$1:$XFD$1, 0), 0)/VLOOKUP($B95, gdp_tot_mes!$B:$XFD, MATCH(gdp_ind_share!R$1, gdp_tot_mes!$B$1:$XFD$1, 0), 0)</f>
        <v>0.80996517653988165</v>
      </c>
      <c r="S95" s="29">
        <f>VLOOKUP($B95, ind_mes!$B:$XFD, MATCH(gdp_ind_share!S$1, ind_mes!$B$1:$XFD$1, 0), 0)/VLOOKUP($B95, gdp_tot_mes!$B:$XFD, MATCH(gdp_ind_share!S$1, gdp_tot_mes!$B$1:$XFD$1, 0), 0)</f>
        <v>0.84856652141386368</v>
      </c>
      <c r="T95" s="29">
        <f>VLOOKUP($B95, ind_mes!$B:$XFD, MATCH(gdp_ind_share!T$1, ind_mes!$B$1:$XFD$1, 0), 0)/VLOOKUP($B95, gdp_tot_mes!$B:$XFD, MATCH(gdp_ind_share!T$1, gdp_tot_mes!$B$1:$XFD$1, 0), 0)</f>
        <v>1.0151970830219705</v>
      </c>
      <c r="U95" s="29">
        <f>VLOOKUP($B95, ind_mes!$B:$XFD, MATCH(gdp_ind_share!U$1, ind_mes!$B$1:$XFD$1, 0), 0)/VLOOKUP($B95, gdp_tot_mes!$B:$XFD, MATCH(gdp_ind_share!U$1, gdp_tot_mes!$B$1:$XFD$1, 0), 0)</f>
        <v>1.0125618786443333</v>
      </c>
      <c r="V95" s="29">
        <f>VLOOKUP($B95, ind_mes!$B:$XFD, MATCH(gdp_ind_share!V$1, ind_mes!$B$1:$XFD$1, 0), 0)/VLOOKUP($B95, gdp_tot_mes!$B:$XFD, MATCH(gdp_ind_share!V$1, gdp_tot_mes!$B$1:$XFD$1, 0), 0)</f>
        <v>0.94859872110594634</v>
      </c>
      <c r="W95" s="29">
        <f>VLOOKUP($B95, ind_mes!$B:$XFD, MATCH(gdp_ind_share!W$1, ind_mes!$B$1:$XFD$1, 0), 0)/VLOOKUP($B95, gdp_tot_mes!$B:$XFD, MATCH(gdp_ind_share!W$1, gdp_tot_mes!$B$1:$XFD$1, 0), 0)</f>
        <v>0.94964421962860768</v>
      </c>
      <c r="X95" s="29">
        <f>VLOOKUP($B95, ind_mes!$B:$XFD, MATCH(gdp_ind_share!X$1, ind_mes!$B$1:$XFD$1, 0), 0)/VLOOKUP($B95, gdp_tot_mes!$B:$XFD, MATCH(gdp_ind_share!X$1, gdp_tot_mes!$B$1:$XFD$1, 0), 0)</f>
        <v>0.69375611294959827</v>
      </c>
      <c r="Y95" s="29">
        <f>VLOOKUP($B95, ind_mes!$B:$XFD, MATCH(gdp_ind_share!Y$1, ind_mes!$B$1:$XFD$1, 0), 0)/VLOOKUP($B95, gdp_tot_mes!$B:$XFD, MATCH(gdp_ind_share!Y$1, gdp_tot_mes!$B$1:$XFD$1, 0), 0)</f>
        <v>0.70397570079587068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x14ac:dyDescent="0.25">
      <c r="A96" s="1" t="s">
        <v>221</v>
      </c>
      <c r="B96" s="1" t="s">
        <v>230</v>
      </c>
      <c r="C96" s="1" t="s">
        <v>231</v>
      </c>
      <c r="D96" s="29">
        <f>VLOOKUP($B96, ind_mes!$B:$XFD, MATCH(gdp_ind_share!D$1, ind_mes!$B$1:$XFD$1, 0), 0)/VLOOKUP($B96, gdp_tot_mes!$B:$XFD, MATCH(gdp_ind_share!D$1, gdp_tot_mes!$B$1:$XFD$1, 0), 0)</f>
        <v>0.11368938737349393</v>
      </c>
      <c r="E96" s="29">
        <f>VLOOKUP($B96, ind_mes!$B:$XFD, MATCH(gdp_ind_share!E$1, ind_mes!$B$1:$XFD$1, 0), 0)/VLOOKUP($B96, gdp_tot_mes!$B:$XFD, MATCH(gdp_ind_share!E$1, gdp_tot_mes!$B$1:$XFD$1, 0), 0)</f>
        <v>0.30346676166381681</v>
      </c>
      <c r="F96" s="29">
        <f>VLOOKUP($B96, ind_mes!$B:$XFD, MATCH(gdp_ind_share!F$1, ind_mes!$B$1:$XFD$1, 0), 0)/VLOOKUP($B96, gdp_tot_mes!$B:$XFD, MATCH(gdp_ind_share!F$1, gdp_tot_mes!$B$1:$XFD$1, 0), 0)</f>
        <v>0.52068182558991227</v>
      </c>
      <c r="G96" s="29">
        <f>VLOOKUP($B96, ind_mes!$B:$XFD, MATCH(gdp_ind_share!G$1, ind_mes!$B$1:$XFD$1, 0), 0)/VLOOKUP($B96, gdp_tot_mes!$B:$XFD, MATCH(gdp_ind_share!G$1, gdp_tot_mes!$B$1:$XFD$1, 0), 0)</f>
        <v>0.77635276872434122</v>
      </c>
      <c r="H96" s="29">
        <f>VLOOKUP($B96, ind_mes!$B:$XFD, MATCH(gdp_ind_share!H$1, ind_mes!$B$1:$XFD$1, 0), 0)/VLOOKUP($B96, gdp_tot_mes!$B:$XFD, MATCH(gdp_ind_share!H$1, gdp_tot_mes!$B$1:$XFD$1, 0), 0)</f>
        <v>0.66655253795187208</v>
      </c>
      <c r="I96" s="29">
        <f>VLOOKUP($B96, ind_mes!$B:$XFD, MATCH(gdp_ind_share!I$1, ind_mes!$B$1:$XFD$1, 0), 0)/VLOOKUP($B96, gdp_tot_mes!$B:$XFD, MATCH(gdp_ind_share!I$1, gdp_tot_mes!$B$1:$XFD$1, 0), 0)</f>
        <v>0.57094049963963978</v>
      </c>
      <c r="J96" s="29">
        <f>VLOOKUP($B96, ind_mes!$B:$XFD, MATCH(gdp_ind_share!J$1, ind_mes!$B$1:$XFD$1, 0), 0)/VLOOKUP($B96, gdp_tot_mes!$B:$XFD, MATCH(gdp_ind_share!J$1, gdp_tot_mes!$B$1:$XFD$1, 0), 0)</f>
        <v>0.65112744720865368</v>
      </c>
      <c r="K96" s="29">
        <f>VLOOKUP($B96, ind_mes!$B:$XFD, MATCH(gdp_ind_share!K$1, ind_mes!$B$1:$XFD$1, 0), 0)/VLOOKUP($B96, gdp_tot_mes!$B:$XFD, MATCH(gdp_ind_share!K$1, gdp_tot_mes!$B$1:$XFD$1, 0), 0)</f>
        <v>0.67817505026953318</v>
      </c>
      <c r="L96" s="30">
        <f t="shared" si="1"/>
        <v>0.64555410161005067</v>
      </c>
      <c r="M96" s="29">
        <f>VLOOKUP($B96, ind_mes!$B:$XFD, MATCH(gdp_ind_share!M$1, ind_mes!$B$1:$XFD$1, 0), 0)/VLOOKUP($B96, gdp_tot_mes!$B:$XFD, MATCH(gdp_ind_share!M$1, gdp_tot_mes!$B$1:$XFD$1, 0), 0)</f>
        <v>0.60640896321867177</v>
      </c>
      <c r="N96" s="29">
        <f>VLOOKUP($B96, ind_mes!$B:$XFD, MATCH(gdp_ind_share!N$1, ind_mes!$B$1:$XFD$1, 0), 0)/VLOOKUP($B96, gdp_tot_mes!$B:$XFD, MATCH(gdp_ind_share!N$1, gdp_tot_mes!$B$1:$XFD$1, 0), 0)</f>
        <v>0.3444767184218227</v>
      </c>
      <c r="O96" s="29">
        <f>VLOOKUP($B96, ind_mes!$B:$XFD, MATCH(gdp_ind_share!O$1, ind_mes!$B$1:$XFD$1, 0), 0)/VLOOKUP($B96, gdp_tot_mes!$B:$XFD, MATCH(gdp_ind_share!O$1, gdp_tot_mes!$B$1:$XFD$1, 0), 0)</f>
        <v>0.36031513339841448</v>
      </c>
      <c r="P96" s="29">
        <f>VLOOKUP($B96, ind_mes!$B:$XFD, MATCH(gdp_ind_share!P$1, ind_mes!$B$1:$XFD$1, 0), 0)/VLOOKUP($B96, gdp_tot_mes!$B:$XFD, MATCH(gdp_ind_share!P$1, gdp_tot_mes!$B$1:$XFD$1, 0), 0)</f>
        <v>0.35714945871749132</v>
      </c>
      <c r="Q96" s="29">
        <f>VLOOKUP($B96, ind_mes!$B:$XFD, MATCH(gdp_ind_share!Q$1, ind_mes!$B$1:$XFD$1, 0), 0)/VLOOKUP($B96, gdp_tot_mes!$B:$XFD, MATCH(gdp_ind_share!Q$1, gdp_tot_mes!$B$1:$XFD$1, 0), 0)</f>
        <v>0.34014525384857769</v>
      </c>
      <c r="R96" s="29">
        <f>VLOOKUP($B96, ind_mes!$B:$XFD, MATCH(gdp_ind_share!R$1, ind_mes!$B$1:$XFD$1, 0), 0)/VLOOKUP($B96, gdp_tot_mes!$B:$XFD, MATCH(gdp_ind_share!R$1, gdp_tot_mes!$B$1:$XFD$1, 0), 0)</f>
        <v>0.35558111561481875</v>
      </c>
      <c r="S96" s="29">
        <f>VLOOKUP($B96, ind_mes!$B:$XFD, MATCH(gdp_ind_share!S$1, ind_mes!$B$1:$XFD$1, 0), 0)/VLOOKUP($B96, gdp_tot_mes!$B:$XFD, MATCH(gdp_ind_share!S$1, gdp_tot_mes!$B$1:$XFD$1, 0), 0)</f>
        <v>0.38184222395882772</v>
      </c>
      <c r="T96" s="29">
        <f>VLOOKUP($B96, ind_mes!$B:$XFD, MATCH(gdp_ind_share!T$1, ind_mes!$B$1:$XFD$1, 0), 0)/VLOOKUP($B96, gdp_tot_mes!$B:$XFD, MATCH(gdp_ind_share!T$1, gdp_tot_mes!$B$1:$XFD$1, 0), 0)</f>
        <v>0.33216905013253517</v>
      </c>
      <c r="U96" s="29">
        <f>VLOOKUP($B96, ind_mes!$B:$XFD, MATCH(gdp_ind_share!U$1, ind_mes!$B$1:$XFD$1, 0), 0)/VLOOKUP($B96, gdp_tot_mes!$B:$XFD, MATCH(gdp_ind_share!U$1, gdp_tot_mes!$B$1:$XFD$1, 0), 0)</f>
        <v>0.34322247186059085</v>
      </c>
      <c r="V96" s="29">
        <f>VLOOKUP($B96, ind_mes!$B:$XFD, MATCH(gdp_ind_share!V$1, ind_mes!$B$1:$XFD$1, 0), 0)/VLOOKUP($B96, gdp_tot_mes!$B:$XFD, MATCH(gdp_ind_share!V$1, gdp_tot_mes!$B$1:$XFD$1, 0), 0)</f>
        <v>0.33322714688338551</v>
      </c>
      <c r="W96" s="29">
        <f>VLOOKUP($B96, ind_mes!$B:$XFD, MATCH(gdp_ind_share!W$1, ind_mes!$B$1:$XFD$1, 0), 0)/VLOOKUP($B96, gdp_tot_mes!$B:$XFD, MATCH(gdp_ind_share!W$1, gdp_tot_mes!$B$1:$XFD$1, 0), 0)</f>
        <v>0.34119842751806256</v>
      </c>
      <c r="X96" s="29">
        <f>VLOOKUP($B96, ind_mes!$B:$XFD, MATCH(gdp_ind_share!X$1, ind_mes!$B$1:$XFD$1, 0), 0)/VLOOKUP($B96, gdp_tot_mes!$B:$XFD, MATCH(gdp_ind_share!X$1, gdp_tot_mes!$B$1:$XFD$1, 0), 0)</f>
        <v>0.28034686354239341</v>
      </c>
      <c r="Y96" s="29">
        <f>VLOOKUP($B96, ind_mes!$B:$XFD, MATCH(gdp_ind_share!Y$1, ind_mes!$B$1:$XFD$1, 0), 0)/VLOOKUP($B96, gdp_tot_mes!$B:$XFD, MATCH(gdp_ind_share!Y$1, gdp_tot_mes!$B$1:$XFD$1, 0), 0)</f>
        <v>0.32772553039494706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x14ac:dyDescent="0.25">
      <c r="A97" s="1" t="s">
        <v>221</v>
      </c>
      <c r="B97" s="1" t="s">
        <v>232</v>
      </c>
      <c r="C97" s="1" t="s">
        <v>233</v>
      </c>
      <c r="D97" s="29">
        <f>VLOOKUP($B97, ind_mes!$B:$XFD, MATCH(gdp_ind_share!D$1, ind_mes!$B$1:$XFD$1, 0), 0)/VLOOKUP($B97, gdp_tot_mes!$B:$XFD, MATCH(gdp_ind_share!D$1, gdp_tot_mes!$B$1:$XFD$1, 0), 0)</f>
        <v>0.31567151240206615</v>
      </c>
      <c r="E97" s="29">
        <f>VLOOKUP($B97, ind_mes!$B:$XFD, MATCH(gdp_ind_share!E$1, ind_mes!$B$1:$XFD$1, 0), 0)/VLOOKUP($B97, gdp_tot_mes!$B:$XFD, MATCH(gdp_ind_share!E$1, gdp_tot_mes!$B$1:$XFD$1, 0), 0)</f>
        <v>0.25452987463436361</v>
      </c>
      <c r="F97" s="29">
        <f>VLOOKUP($B97, ind_mes!$B:$XFD, MATCH(gdp_ind_share!F$1, ind_mes!$B$1:$XFD$1, 0), 0)/VLOOKUP($B97, gdp_tot_mes!$B:$XFD, MATCH(gdp_ind_share!F$1, gdp_tot_mes!$B$1:$XFD$1, 0), 0)</f>
        <v>0.24916944848458616</v>
      </c>
      <c r="G97" s="29">
        <f>VLOOKUP($B97, ind_mes!$B:$XFD, MATCH(gdp_ind_share!G$1, ind_mes!$B$1:$XFD$1, 0), 0)/VLOOKUP($B97, gdp_tot_mes!$B:$XFD, MATCH(gdp_ind_share!G$1, gdp_tot_mes!$B$1:$XFD$1, 0), 0)</f>
        <v>0.26475641272664296</v>
      </c>
      <c r="H97" s="29">
        <f>VLOOKUP($B97, ind_mes!$B:$XFD, MATCH(gdp_ind_share!H$1, ind_mes!$B$1:$XFD$1, 0), 0)/VLOOKUP($B97, gdp_tot_mes!$B:$XFD, MATCH(gdp_ind_share!H$1, gdp_tot_mes!$B$1:$XFD$1, 0), 0)</f>
        <v>0.3141967711954709</v>
      </c>
      <c r="I97" s="29">
        <f>VLOOKUP($B97, ind_mes!$B:$XFD, MATCH(gdp_ind_share!I$1, ind_mes!$B$1:$XFD$1, 0), 0)/VLOOKUP($B97, gdp_tot_mes!$B:$XFD, MATCH(gdp_ind_share!I$1, gdp_tot_mes!$B$1:$XFD$1, 0), 0)</f>
        <v>0.32668614636813925</v>
      </c>
      <c r="J97" s="29">
        <f>VLOOKUP($B97, ind_mes!$B:$XFD, MATCH(gdp_ind_share!J$1, ind_mes!$B$1:$XFD$1, 0), 0)/VLOOKUP($B97, gdp_tot_mes!$B:$XFD, MATCH(gdp_ind_share!J$1, gdp_tot_mes!$B$1:$XFD$1, 0), 0)</f>
        <v>0.32881697452304531</v>
      </c>
      <c r="K97" s="29">
        <f>VLOOKUP($B97, ind_mes!$B:$XFD, MATCH(gdp_ind_share!K$1, ind_mes!$B$1:$XFD$1, 0), 0)/VLOOKUP($B97, gdp_tot_mes!$B:$XFD, MATCH(gdp_ind_share!K$1, gdp_tot_mes!$B$1:$XFD$1, 0), 0)</f>
        <v>0.40113997340293783</v>
      </c>
      <c r="L97" s="30">
        <f t="shared" si="1"/>
        <v>0.34690144074660267</v>
      </c>
      <c r="M97" s="29">
        <f>VLOOKUP($B97, ind_mes!$B:$XFD, MATCH(gdp_ind_share!M$1, ind_mes!$B$1:$XFD$1, 0), 0)/VLOOKUP($B97, gdp_tot_mes!$B:$XFD, MATCH(gdp_ind_share!M$1, gdp_tot_mes!$B$1:$XFD$1, 0), 0)</f>
        <v>0.28181520155900053</v>
      </c>
      <c r="N97" s="29">
        <f>VLOOKUP($B97, ind_mes!$B:$XFD, MATCH(gdp_ind_share!N$1, ind_mes!$B$1:$XFD$1, 0), 0)/VLOOKUP($B97, gdp_tot_mes!$B:$XFD, MATCH(gdp_ind_share!N$1, gdp_tot_mes!$B$1:$XFD$1, 0), 0)</f>
        <v>0.14599230132127722</v>
      </c>
      <c r="O97" s="29">
        <f>VLOOKUP($B97, ind_mes!$B:$XFD, MATCH(gdp_ind_share!O$1, ind_mes!$B$1:$XFD$1, 0), 0)/VLOOKUP($B97, gdp_tot_mes!$B:$XFD, MATCH(gdp_ind_share!O$1, gdp_tot_mes!$B$1:$XFD$1, 0), 0)</f>
        <v>0.14712026990539515</v>
      </c>
      <c r="P97" s="29">
        <f>VLOOKUP($B97, ind_mes!$B:$XFD, MATCH(gdp_ind_share!P$1, ind_mes!$B$1:$XFD$1, 0), 0)/VLOOKUP($B97, gdp_tot_mes!$B:$XFD, MATCH(gdp_ind_share!P$1, gdp_tot_mes!$B$1:$XFD$1, 0), 0)</f>
        <v>0.13798883975497278</v>
      </c>
      <c r="Q97" s="29">
        <f>VLOOKUP($B97, ind_mes!$B:$XFD, MATCH(gdp_ind_share!Q$1, ind_mes!$B$1:$XFD$1, 0), 0)/VLOOKUP($B97, gdp_tot_mes!$B:$XFD, MATCH(gdp_ind_share!Q$1, gdp_tot_mes!$B$1:$XFD$1, 0), 0)</f>
        <v>0.15950293908467386</v>
      </c>
      <c r="R97" s="29">
        <f>VLOOKUP($B97, ind_mes!$B:$XFD, MATCH(gdp_ind_share!R$1, ind_mes!$B$1:$XFD$1, 0), 0)/VLOOKUP($B97, gdp_tot_mes!$B:$XFD, MATCH(gdp_ind_share!R$1, gdp_tot_mes!$B$1:$XFD$1, 0), 0)</f>
        <v>0.16167855958040722</v>
      </c>
      <c r="S97" s="29">
        <f>VLOOKUP($B97, ind_mes!$B:$XFD, MATCH(gdp_ind_share!S$1, ind_mes!$B$1:$XFD$1, 0), 0)/VLOOKUP($B97, gdp_tot_mes!$B:$XFD, MATCH(gdp_ind_share!S$1, gdp_tot_mes!$B$1:$XFD$1, 0), 0)</f>
        <v>0.16197954961458261</v>
      </c>
      <c r="T97" s="29">
        <f>VLOOKUP($B97, ind_mes!$B:$XFD, MATCH(gdp_ind_share!T$1, ind_mes!$B$1:$XFD$1, 0), 0)/VLOOKUP($B97, gdp_tot_mes!$B:$XFD, MATCH(gdp_ind_share!T$1, gdp_tot_mes!$B$1:$XFD$1, 0), 0)</f>
        <v>0.15192627400520656</v>
      </c>
      <c r="U97" s="29">
        <f>VLOOKUP($B97, ind_mes!$B:$XFD, MATCH(gdp_ind_share!U$1, ind_mes!$B$1:$XFD$1, 0), 0)/VLOOKUP($B97, gdp_tot_mes!$B:$XFD, MATCH(gdp_ind_share!U$1, gdp_tot_mes!$B$1:$XFD$1, 0), 0)</f>
        <v>0.15213098515757495</v>
      </c>
      <c r="V97" s="29">
        <f>VLOOKUP($B97, ind_mes!$B:$XFD, MATCH(gdp_ind_share!V$1, ind_mes!$B$1:$XFD$1, 0), 0)/VLOOKUP($B97, gdp_tot_mes!$B:$XFD, MATCH(gdp_ind_share!V$1, gdp_tot_mes!$B$1:$XFD$1, 0), 0)</f>
        <v>0.15543459072765348</v>
      </c>
      <c r="W97" s="29">
        <f>VLOOKUP($B97, ind_mes!$B:$XFD, MATCH(gdp_ind_share!W$1, ind_mes!$B$1:$XFD$1, 0), 0)/VLOOKUP($B97, gdp_tot_mes!$B:$XFD, MATCH(gdp_ind_share!W$1, gdp_tot_mes!$B$1:$XFD$1, 0), 0)</f>
        <v>0.1339535576544775</v>
      </c>
      <c r="X97" s="29">
        <f>VLOOKUP($B97, ind_mes!$B:$XFD, MATCH(gdp_ind_share!X$1, ind_mes!$B$1:$XFD$1, 0), 0)/VLOOKUP($B97, gdp_tot_mes!$B:$XFD, MATCH(gdp_ind_share!X$1, gdp_tot_mes!$B$1:$XFD$1, 0), 0)</f>
        <v>0.16115397858056679</v>
      </c>
      <c r="Y97" s="29">
        <f>VLOOKUP($B97, ind_mes!$B:$XFD, MATCH(gdp_ind_share!Y$1, ind_mes!$B$1:$XFD$1, 0), 0)/VLOOKUP($B97, gdp_tot_mes!$B:$XFD, MATCH(gdp_ind_share!Y$1, gdp_tot_mes!$B$1:$XFD$1, 0), 0)</f>
        <v>0.1590785519424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x14ac:dyDescent="0.25">
      <c r="A98" s="1" t="s">
        <v>234</v>
      </c>
      <c r="B98" s="1" t="s">
        <v>235</v>
      </c>
      <c r="C98" s="1" t="s">
        <v>236</v>
      </c>
      <c r="D98" s="29">
        <f>VLOOKUP($B98, ind_mes!$B:$XFD, MATCH(gdp_ind_share!D$1, ind_mes!$B$1:$XFD$1, 0), 0)/VLOOKUP($B98, gdp_tot_mes!$B:$XFD, MATCH(gdp_ind_share!D$1, gdp_tot_mes!$B$1:$XFD$1, 0), 0)</f>
        <v>0.20515232806688113</v>
      </c>
      <c r="E98" s="29">
        <f>VLOOKUP($B98, ind_mes!$B:$XFD, MATCH(gdp_ind_share!E$1, ind_mes!$B$1:$XFD$1, 0), 0)/VLOOKUP($B98, gdp_tot_mes!$B:$XFD, MATCH(gdp_ind_share!E$1, gdp_tot_mes!$B$1:$XFD$1, 0), 0)</f>
        <v>0.14491674775230251</v>
      </c>
      <c r="F98" s="29">
        <f>VLOOKUP($B98, ind_mes!$B:$XFD, MATCH(gdp_ind_share!F$1, ind_mes!$B$1:$XFD$1, 0), 0)/VLOOKUP($B98, gdp_tot_mes!$B:$XFD, MATCH(gdp_ind_share!F$1, gdp_tot_mes!$B$1:$XFD$1, 0), 0)</f>
        <v>0.14037667469571863</v>
      </c>
      <c r="G98" s="29">
        <f>VLOOKUP($B98, ind_mes!$B:$XFD, MATCH(gdp_ind_share!G$1, ind_mes!$B$1:$XFD$1, 0), 0)/VLOOKUP($B98, gdp_tot_mes!$B:$XFD, MATCH(gdp_ind_share!G$1, gdp_tot_mes!$B$1:$XFD$1, 0), 0)</f>
        <v>0.18909852021471057</v>
      </c>
      <c r="H98" s="29">
        <f>VLOOKUP($B98, ind_mes!$B:$XFD, MATCH(gdp_ind_share!H$1, ind_mes!$B$1:$XFD$1, 0), 0)/VLOOKUP($B98, gdp_tot_mes!$B:$XFD, MATCH(gdp_ind_share!H$1, gdp_tot_mes!$B$1:$XFD$1, 0), 0)</f>
        <v>0.2452649838491274</v>
      </c>
      <c r="I98" s="29">
        <f>VLOOKUP($B98, ind_mes!$B:$XFD, MATCH(gdp_ind_share!I$1, ind_mes!$B$1:$XFD$1, 0), 0)/VLOOKUP($B98, gdp_tot_mes!$B:$XFD, MATCH(gdp_ind_share!I$1, gdp_tot_mes!$B$1:$XFD$1, 0), 0)</f>
        <v>0.34388424673509882</v>
      </c>
      <c r="J98" s="29">
        <f>VLOOKUP($B98, ind_mes!$B:$XFD, MATCH(gdp_ind_share!J$1, ind_mes!$B$1:$XFD$1, 0), 0)/VLOOKUP($B98, gdp_tot_mes!$B:$XFD, MATCH(gdp_ind_share!J$1, gdp_tot_mes!$B$1:$XFD$1, 0), 0)</f>
        <v>0.3610294398275094</v>
      </c>
      <c r="K98" s="29">
        <f>VLOOKUP($B98, ind_mes!$B:$XFD, MATCH(gdp_ind_share!K$1, ind_mes!$B$1:$XFD$1, 0), 0)/VLOOKUP($B98, gdp_tot_mes!$B:$XFD, MATCH(gdp_ind_share!K$1, gdp_tot_mes!$B$1:$XFD$1, 0), 0)</f>
        <v>0.52181608906064036</v>
      </c>
      <c r="L98" s="30">
        <f t="shared" si="1"/>
        <v>0.37747024389524275</v>
      </c>
      <c r="M98" s="29">
        <f>VLOOKUP($B98, ind_mes!$B:$XFD, MATCH(gdp_ind_share!M$1, ind_mes!$B$1:$XFD$1, 0), 0)/VLOOKUP($B98, gdp_tot_mes!$B:$XFD, MATCH(gdp_ind_share!M$1, gdp_tot_mes!$B$1:$XFD$1, 0), 0)</f>
        <v>0.20425522969676566</v>
      </c>
      <c r="N98" s="29">
        <f>VLOOKUP($B98, ind_mes!$B:$XFD, MATCH(gdp_ind_share!N$1, ind_mes!$B$1:$XFD$1, 0), 0)/VLOOKUP($B98, gdp_tot_mes!$B:$XFD, MATCH(gdp_ind_share!N$1, gdp_tot_mes!$B$1:$XFD$1, 0), 0)</f>
        <v>0.29961085846196023</v>
      </c>
      <c r="O98" s="29">
        <f>VLOOKUP($B98, ind_mes!$B:$XFD, MATCH(gdp_ind_share!O$1, ind_mes!$B$1:$XFD$1, 0), 0)/VLOOKUP($B98, gdp_tot_mes!$B:$XFD, MATCH(gdp_ind_share!O$1, gdp_tot_mes!$B$1:$XFD$1, 0), 0)</f>
        <v>0.3874451973582933</v>
      </c>
      <c r="P98" s="29">
        <f>VLOOKUP($B98, ind_mes!$B:$XFD, MATCH(gdp_ind_share!P$1, ind_mes!$B$1:$XFD$1, 0), 0)/VLOOKUP($B98, gdp_tot_mes!$B:$XFD, MATCH(gdp_ind_share!P$1, gdp_tot_mes!$B$1:$XFD$1, 0), 0)</f>
        <v>0.35210028335808752</v>
      </c>
      <c r="Q98" s="29">
        <f>VLOOKUP($B98, ind_mes!$B:$XFD, MATCH(gdp_ind_share!Q$1, ind_mes!$B$1:$XFD$1, 0), 0)/VLOOKUP($B98, gdp_tot_mes!$B:$XFD, MATCH(gdp_ind_share!Q$1, gdp_tot_mes!$B$1:$XFD$1, 0), 0)</f>
        <v>0.48351560039607383</v>
      </c>
      <c r="R98" s="29">
        <f>VLOOKUP($B98, ind_mes!$B:$XFD, MATCH(gdp_ind_share!R$1, ind_mes!$B$1:$XFD$1, 0), 0)/VLOOKUP($B98, gdp_tot_mes!$B:$XFD, MATCH(gdp_ind_share!R$1, gdp_tot_mes!$B$1:$XFD$1, 0), 0)</f>
        <v>0.45213994312822253</v>
      </c>
      <c r="S98" s="29">
        <f>VLOOKUP($B98, ind_mes!$B:$XFD, MATCH(gdp_ind_share!S$1, ind_mes!$B$1:$XFD$1, 0), 0)/VLOOKUP($B98, gdp_tot_mes!$B:$XFD, MATCH(gdp_ind_share!S$1, gdp_tot_mes!$B$1:$XFD$1, 0), 0)</f>
        <v>0.47741687697786506</v>
      </c>
      <c r="T98" s="29">
        <f>VLOOKUP($B98, ind_mes!$B:$XFD, MATCH(gdp_ind_share!T$1, ind_mes!$B$1:$XFD$1, 0), 0)/VLOOKUP($B98, gdp_tot_mes!$B:$XFD, MATCH(gdp_ind_share!T$1, gdp_tot_mes!$B$1:$XFD$1, 0), 0)</f>
        <v>0.54767142031630656</v>
      </c>
      <c r="U98" s="29">
        <f>VLOOKUP($B98, ind_mes!$B:$XFD, MATCH(gdp_ind_share!U$1, ind_mes!$B$1:$XFD$1, 0), 0)/VLOOKUP($B98, gdp_tot_mes!$B:$XFD, MATCH(gdp_ind_share!U$1, gdp_tot_mes!$B$1:$XFD$1, 0), 0)</f>
        <v>0.50161987106489558</v>
      </c>
      <c r="V98" s="29">
        <f>VLOOKUP($B98, ind_mes!$B:$XFD, MATCH(gdp_ind_share!V$1, ind_mes!$B$1:$XFD$1, 0), 0)/VLOOKUP($B98, gdp_tot_mes!$B:$XFD, MATCH(gdp_ind_share!V$1, gdp_tot_mes!$B$1:$XFD$1, 0), 0)</f>
        <v>0.45439141112414522</v>
      </c>
      <c r="W98" s="29">
        <f>VLOOKUP($B98, ind_mes!$B:$XFD, MATCH(gdp_ind_share!W$1, ind_mes!$B$1:$XFD$1, 0), 0)/VLOOKUP($B98, gdp_tot_mes!$B:$XFD, MATCH(gdp_ind_share!W$1, gdp_tot_mes!$B$1:$XFD$1, 0), 0)</f>
        <v>0.49968132150607575</v>
      </c>
      <c r="X98" s="29">
        <f>VLOOKUP($B98, ind_mes!$B:$XFD, MATCH(gdp_ind_share!X$1, ind_mes!$B$1:$XFD$1, 0), 0)/VLOOKUP($B98, gdp_tot_mes!$B:$XFD, MATCH(gdp_ind_share!X$1, gdp_tot_mes!$B$1:$XFD$1, 0), 0)</f>
        <v>0.32189328820226049</v>
      </c>
      <c r="Y98" s="29">
        <f>VLOOKUP($B98, ind_mes!$B:$XFD, MATCH(gdp_ind_share!Y$1, ind_mes!$B$1:$XFD$1, 0), 0)/VLOOKUP($B98, gdp_tot_mes!$B:$XFD, MATCH(gdp_ind_share!Y$1, gdp_tot_mes!$B$1:$XFD$1, 0), 0)</f>
        <v>0.37003439372341868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x14ac:dyDescent="0.25">
      <c r="A99" s="1" t="s">
        <v>234</v>
      </c>
      <c r="B99" s="1" t="s">
        <v>237</v>
      </c>
      <c r="C99" s="1" t="s">
        <v>238</v>
      </c>
      <c r="D99" s="29">
        <f>VLOOKUP($B99, ind_mes!$B:$XFD, MATCH(gdp_ind_share!D$1, ind_mes!$B$1:$XFD$1, 0), 0)/VLOOKUP($B99, gdp_tot_mes!$B:$XFD, MATCH(gdp_ind_share!D$1, gdp_tot_mes!$B$1:$XFD$1, 0), 0)</f>
        <v>0.12314228557785759</v>
      </c>
      <c r="E99" s="29">
        <f>VLOOKUP($B99, ind_mes!$B:$XFD, MATCH(gdp_ind_share!E$1, ind_mes!$B$1:$XFD$1, 0), 0)/VLOOKUP($B99, gdp_tot_mes!$B:$XFD, MATCH(gdp_ind_share!E$1, gdp_tot_mes!$B$1:$XFD$1, 0), 0)</f>
        <v>0.16627730338387145</v>
      </c>
      <c r="F99" s="29">
        <f>VLOOKUP($B99, ind_mes!$B:$XFD, MATCH(gdp_ind_share!F$1, ind_mes!$B$1:$XFD$1, 0), 0)/VLOOKUP($B99, gdp_tot_mes!$B:$XFD, MATCH(gdp_ind_share!F$1, gdp_tot_mes!$B$1:$XFD$1, 0), 0)</f>
        <v>0.18225152853677135</v>
      </c>
      <c r="G99" s="29">
        <f>VLOOKUP($B99, ind_mes!$B:$XFD, MATCH(gdp_ind_share!G$1, ind_mes!$B$1:$XFD$1, 0), 0)/VLOOKUP($B99, gdp_tot_mes!$B:$XFD, MATCH(gdp_ind_share!G$1, gdp_tot_mes!$B$1:$XFD$1, 0), 0)</f>
        <v>0.24272913542533539</v>
      </c>
      <c r="H99" s="29">
        <f>VLOOKUP($B99, ind_mes!$B:$XFD, MATCH(gdp_ind_share!H$1, ind_mes!$B$1:$XFD$1, 0), 0)/VLOOKUP($B99, gdp_tot_mes!$B:$XFD, MATCH(gdp_ind_share!H$1, gdp_tot_mes!$B$1:$XFD$1, 0), 0)</f>
        <v>0.32895092367494239</v>
      </c>
      <c r="I99" s="29">
        <f>VLOOKUP($B99, ind_mes!$B:$XFD, MATCH(gdp_ind_share!I$1, ind_mes!$B$1:$XFD$1, 0), 0)/VLOOKUP($B99, gdp_tot_mes!$B:$XFD, MATCH(gdp_ind_share!I$1, gdp_tot_mes!$B$1:$XFD$1, 0), 0)</f>
        <v>0.45601083038381451</v>
      </c>
      <c r="J99" s="29">
        <f>VLOOKUP($B99, ind_mes!$B:$XFD, MATCH(gdp_ind_share!J$1, ind_mes!$B$1:$XFD$1, 0), 0)/VLOOKUP($B99, gdp_tot_mes!$B:$XFD, MATCH(gdp_ind_share!J$1, gdp_tot_mes!$B$1:$XFD$1, 0), 0)</f>
        <v>0.44314547929019815</v>
      </c>
      <c r="K99" s="29">
        <f>VLOOKUP($B99, ind_mes!$B:$XFD, MATCH(gdp_ind_share!K$1, ind_mes!$B$1:$XFD$1, 0), 0)/VLOOKUP($B99, gdp_tot_mes!$B:$XFD, MATCH(gdp_ind_share!K$1, gdp_tot_mes!$B$1:$XFD$1, 0), 0)</f>
        <v>0.51561876690357034</v>
      </c>
      <c r="L99" s="30">
        <f t="shared" si="1"/>
        <v>0.33567283060355591</v>
      </c>
      <c r="M99" s="29">
        <f>VLOOKUP($B99, ind_mes!$B:$XFD, MATCH(gdp_ind_share!M$1, ind_mes!$B$1:$XFD$1, 0), 0)/VLOOKUP($B99, gdp_tot_mes!$B:$XFD, MATCH(gdp_ind_share!M$1, gdp_tot_mes!$B$1:$XFD$1, 0), 0)</f>
        <v>0.11973770704353845</v>
      </c>
      <c r="N99" s="29">
        <f>VLOOKUP($B99, ind_mes!$B:$XFD, MATCH(gdp_ind_share!N$1, ind_mes!$B$1:$XFD$1, 0), 0)/VLOOKUP($B99, gdp_tot_mes!$B:$XFD, MATCH(gdp_ind_share!N$1, gdp_tot_mes!$B$1:$XFD$1, 0), 0)</f>
        <v>0.19176058540802016</v>
      </c>
      <c r="O99" s="29">
        <f>VLOOKUP($B99, ind_mes!$B:$XFD, MATCH(gdp_ind_share!O$1, ind_mes!$B$1:$XFD$1, 0), 0)/VLOOKUP($B99, gdp_tot_mes!$B:$XFD, MATCH(gdp_ind_share!O$1, gdp_tot_mes!$B$1:$XFD$1, 0), 0)</f>
        <v>0.24502108604107764</v>
      </c>
      <c r="P99" s="29">
        <f>VLOOKUP($B99, ind_mes!$B:$XFD, MATCH(gdp_ind_share!P$1, ind_mes!$B$1:$XFD$1, 0), 0)/VLOOKUP($B99, gdp_tot_mes!$B:$XFD, MATCH(gdp_ind_share!P$1, gdp_tot_mes!$B$1:$XFD$1, 0), 0)</f>
        <v>0.23739143574307175</v>
      </c>
      <c r="Q99" s="29">
        <f>VLOOKUP($B99, ind_mes!$B:$XFD, MATCH(gdp_ind_share!Q$1, ind_mes!$B$1:$XFD$1, 0), 0)/VLOOKUP($B99, gdp_tot_mes!$B:$XFD, MATCH(gdp_ind_share!Q$1, gdp_tot_mes!$B$1:$XFD$1, 0), 0)</f>
        <v>0.27018911635715659</v>
      </c>
      <c r="R99" s="29">
        <f>VLOOKUP($B99, ind_mes!$B:$XFD, MATCH(gdp_ind_share!R$1, ind_mes!$B$1:$XFD$1, 0), 0)/VLOOKUP($B99, gdp_tot_mes!$B:$XFD, MATCH(gdp_ind_share!R$1, gdp_tot_mes!$B$1:$XFD$1, 0), 0)</f>
        <v>0.24884338014536972</v>
      </c>
      <c r="S99" s="29">
        <f>VLOOKUP($B99, ind_mes!$B:$XFD, MATCH(gdp_ind_share!S$1, ind_mes!$B$1:$XFD$1, 0), 0)/VLOOKUP($B99, gdp_tot_mes!$B:$XFD, MATCH(gdp_ind_share!S$1, gdp_tot_mes!$B$1:$XFD$1, 0), 0)</f>
        <v>0.30065146356946282</v>
      </c>
      <c r="T99" s="29">
        <f>VLOOKUP($B99, ind_mes!$B:$XFD, MATCH(gdp_ind_share!T$1, ind_mes!$B$1:$XFD$1, 0), 0)/VLOOKUP($B99, gdp_tot_mes!$B:$XFD, MATCH(gdp_ind_share!T$1, gdp_tot_mes!$B$1:$XFD$1, 0), 0)</f>
        <v>0.28965451286434918</v>
      </c>
      <c r="U99" s="29">
        <f>VLOOKUP($B99, ind_mes!$B:$XFD, MATCH(gdp_ind_share!U$1, ind_mes!$B$1:$XFD$1, 0), 0)/VLOOKUP($B99, gdp_tot_mes!$B:$XFD, MATCH(gdp_ind_share!U$1, gdp_tot_mes!$B$1:$XFD$1, 0), 0)</f>
        <v>0.29695842438388526</v>
      </c>
      <c r="V99" s="29">
        <f>VLOOKUP($B99, ind_mes!$B:$XFD, MATCH(gdp_ind_share!V$1, ind_mes!$B$1:$XFD$1, 0), 0)/VLOOKUP($B99, gdp_tot_mes!$B:$XFD, MATCH(gdp_ind_share!V$1, gdp_tot_mes!$B$1:$XFD$1, 0), 0)</f>
        <v>0.2755311202667769</v>
      </c>
      <c r="W99" s="29">
        <f>VLOOKUP($B99, ind_mes!$B:$XFD, MATCH(gdp_ind_share!W$1, ind_mes!$B$1:$XFD$1, 0), 0)/VLOOKUP($B99, gdp_tot_mes!$B:$XFD, MATCH(gdp_ind_share!W$1, gdp_tot_mes!$B$1:$XFD$1, 0), 0)</f>
        <v>0.29023482029056885</v>
      </c>
      <c r="X99" s="29">
        <f>VLOOKUP($B99, ind_mes!$B:$XFD, MATCH(gdp_ind_share!X$1, ind_mes!$B$1:$XFD$1, 0), 0)/VLOOKUP($B99, gdp_tot_mes!$B:$XFD, MATCH(gdp_ind_share!X$1, gdp_tot_mes!$B$1:$XFD$1, 0), 0)</f>
        <v>0.2090098590202393</v>
      </c>
      <c r="Y99" s="29">
        <f>VLOOKUP($B99, ind_mes!$B:$XFD, MATCH(gdp_ind_share!Y$1, ind_mes!$B$1:$XFD$1, 0), 0)/VLOOKUP($B99, gdp_tot_mes!$B:$XFD, MATCH(gdp_ind_share!Y$1, gdp_tot_mes!$B$1:$XFD$1, 0), 0)</f>
        <v>0.24228236841474271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x14ac:dyDescent="0.25">
      <c r="A100" s="1" t="s">
        <v>234</v>
      </c>
      <c r="B100" s="1" t="s">
        <v>239</v>
      </c>
      <c r="C100" s="1" t="s">
        <v>240</v>
      </c>
      <c r="D100" s="29">
        <f>VLOOKUP($B100, ind_mes!$B:$XFD, MATCH(gdp_ind_share!D$1, ind_mes!$B$1:$XFD$1, 0), 0)/VLOOKUP($B100, gdp_tot_mes!$B:$XFD, MATCH(gdp_ind_share!D$1, gdp_tot_mes!$B$1:$XFD$1, 0), 0)</f>
        <v>5.0489178235406273E-2</v>
      </c>
      <c r="E100" s="29">
        <f>VLOOKUP($B100, ind_mes!$B:$XFD, MATCH(gdp_ind_share!E$1, ind_mes!$B$1:$XFD$1, 0), 0)/VLOOKUP($B100, gdp_tot_mes!$B:$XFD, MATCH(gdp_ind_share!E$1, gdp_tot_mes!$B$1:$XFD$1, 0), 0)</f>
        <v>0.12870434523257573</v>
      </c>
      <c r="F100" s="29">
        <f>VLOOKUP($B100, ind_mes!$B:$XFD, MATCH(gdp_ind_share!F$1, ind_mes!$B$1:$XFD$1, 0), 0)/VLOOKUP($B100, gdp_tot_mes!$B:$XFD, MATCH(gdp_ind_share!F$1, gdp_tot_mes!$B$1:$XFD$1, 0), 0)</f>
        <v>0.16778410518925924</v>
      </c>
      <c r="G100" s="29">
        <f>VLOOKUP($B100, ind_mes!$B:$XFD, MATCH(gdp_ind_share!G$1, ind_mes!$B$1:$XFD$1, 0), 0)/VLOOKUP($B100, gdp_tot_mes!$B:$XFD, MATCH(gdp_ind_share!G$1, gdp_tot_mes!$B$1:$XFD$1, 0), 0)</f>
        <v>0.13874373863640319</v>
      </c>
      <c r="H100" s="29">
        <f>VLOOKUP($B100, ind_mes!$B:$XFD, MATCH(gdp_ind_share!H$1, ind_mes!$B$1:$XFD$1, 0), 0)/VLOOKUP($B100, gdp_tot_mes!$B:$XFD, MATCH(gdp_ind_share!H$1, gdp_tot_mes!$B$1:$XFD$1, 0), 0)</f>
        <v>0.15493403196847516</v>
      </c>
      <c r="I100" s="29">
        <f>VLOOKUP($B100, ind_mes!$B:$XFD, MATCH(gdp_ind_share!I$1, ind_mes!$B$1:$XFD$1, 0), 0)/VLOOKUP($B100, gdp_tot_mes!$B:$XFD, MATCH(gdp_ind_share!I$1, gdp_tot_mes!$B$1:$XFD$1, 0), 0)</f>
        <v>0.18520878646662511</v>
      </c>
      <c r="J100" s="29">
        <f>VLOOKUP($B100, ind_mes!$B:$XFD, MATCH(gdp_ind_share!J$1, ind_mes!$B$1:$XFD$1, 0), 0)/VLOOKUP($B100, gdp_tot_mes!$B:$XFD, MATCH(gdp_ind_share!J$1, gdp_tot_mes!$B$1:$XFD$1, 0), 0)</f>
        <v>0.1819871699088367</v>
      </c>
      <c r="K100" s="29">
        <f>VLOOKUP($B100, ind_mes!$B:$XFD, MATCH(gdp_ind_share!K$1, ind_mes!$B$1:$XFD$1, 0), 0)/VLOOKUP($B100, gdp_tot_mes!$B:$XFD, MATCH(gdp_ind_share!K$1, gdp_tot_mes!$B$1:$XFD$1, 0), 0)</f>
        <v>0.21990295144143376</v>
      </c>
      <c r="L100" s="30">
        <f t="shared" si="1"/>
        <v>0.12475079250538863</v>
      </c>
      <c r="M100" s="29">
        <f>VLOOKUP($B100, ind_mes!$B:$XFD, MATCH(gdp_ind_share!M$1, ind_mes!$B$1:$XFD$1, 0), 0)/VLOOKUP($B100, gdp_tot_mes!$B:$XFD, MATCH(gdp_ind_share!M$1, gdp_tot_mes!$B$1:$XFD$1, 0), 0)</f>
        <v>1.0568201782134459E-2</v>
      </c>
      <c r="N100" s="29">
        <f>VLOOKUP($B100, ind_mes!$B:$XFD, MATCH(gdp_ind_share!N$1, ind_mes!$B$1:$XFD$1, 0), 0)/VLOOKUP($B100, gdp_tot_mes!$B:$XFD, MATCH(gdp_ind_share!N$1, gdp_tot_mes!$B$1:$XFD$1, 0), 0)</f>
        <v>9.1958443174941201E-2</v>
      </c>
      <c r="O100" s="29">
        <f>VLOOKUP($B100, ind_mes!$B:$XFD, MATCH(gdp_ind_share!O$1, ind_mes!$B$1:$XFD$1, 0), 0)/VLOOKUP($B100, gdp_tot_mes!$B:$XFD, MATCH(gdp_ind_share!O$1, gdp_tot_mes!$B$1:$XFD$1, 0), 0)</f>
        <v>0.10163498483421254</v>
      </c>
      <c r="P100" s="29">
        <f>VLOOKUP($B100, ind_mes!$B:$XFD, MATCH(gdp_ind_share!P$1, ind_mes!$B$1:$XFD$1, 0), 0)/VLOOKUP($B100, gdp_tot_mes!$B:$XFD, MATCH(gdp_ind_share!P$1, gdp_tot_mes!$B$1:$XFD$1, 0), 0)</f>
        <v>9.9955936513271615E-2</v>
      </c>
      <c r="Q100" s="29">
        <f>VLOOKUP($B100, ind_mes!$B:$XFD, MATCH(gdp_ind_share!Q$1, ind_mes!$B$1:$XFD$1, 0), 0)/VLOOKUP($B100, gdp_tot_mes!$B:$XFD, MATCH(gdp_ind_share!Q$1, gdp_tot_mes!$B$1:$XFD$1, 0), 0)</f>
        <v>8.3921748684695624E-2</v>
      </c>
      <c r="R100" s="29">
        <f>VLOOKUP($B100, ind_mes!$B:$XFD, MATCH(gdp_ind_share!R$1, ind_mes!$B$1:$XFD$1, 0), 0)/VLOOKUP($B100, gdp_tot_mes!$B:$XFD, MATCH(gdp_ind_share!R$1, gdp_tot_mes!$B$1:$XFD$1, 0), 0)</f>
        <v>6.2107185627325465E-2</v>
      </c>
      <c r="S100" s="29">
        <f>VLOOKUP($B100, ind_mes!$B:$XFD, MATCH(gdp_ind_share!S$1, ind_mes!$B$1:$XFD$1, 0), 0)/VLOOKUP($B100, gdp_tot_mes!$B:$XFD, MATCH(gdp_ind_share!S$1, gdp_tot_mes!$B$1:$XFD$1, 0), 0)</f>
        <v>6.6812780849527673E-2</v>
      </c>
      <c r="T100" s="29">
        <f>VLOOKUP($B100, ind_mes!$B:$XFD, MATCH(gdp_ind_share!T$1, ind_mes!$B$1:$XFD$1, 0), 0)/VLOOKUP($B100, gdp_tot_mes!$B:$XFD, MATCH(gdp_ind_share!T$1, gdp_tot_mes!$B$1:$XFD$1, 0), 0)</f>
        <v>6.787595097238143E-2</v>
      </c>
      <c r="U100" s="29">
        <f>VLOOKUP($B100, ind_mes!$B:$XFD, MATCH(gdp_ind_share!U$1, ind_mes!$B$1:$XFD$1, 0), 0)/VLOOKUP($B100, gdp_tot_mes!$B:$XFD, MATCH(gdp_ind_share!U$1, gdp_tot_mes!$B$1:$XFD$1, 0), 0)</f>
        <v>6.1170512500617828E-2</v>
      </c>
      <c r="V100" s="29">
        <f>VLOOKUP($B100, ind_mes!$B:$XFD, MATCH(gdp_ind_share!V$1, ind_mes!$B$1:$XFD$1, 0), 0)/VLOOKUP($B100, gdp_tot_mes!$B:$XFD, MATCH(gdp_ind_share!V$1, gdp_tot_mes!$B$1:$XFD$1, 0), 0)</f>
        <v>6.8081748500969083E-2</v>
      </c>
      <c r="W100" s="29">
        <f>VLOOKUP($B100, ind_mes!$B:$XFD, MATCH(gdp_ind_share!W$1, ind_mes!$B$1:$XFD$1, 0), 0)/VLOOKUP($B100, gdp_tot_mes!$B:$XFD, MATCH(gdp_ind_share!W$1, gdp_tot_mes!$B$1:$XFD$1, 0), 0)</f>
        <v>6.0361861832751142E-2</v>
      </c>
      <c r="X100" s="29">
        <f>VLOOKUP($B100, ind_mes!$B:$XFD, MATCH(gdp_ind_share!X$1, ind_mes!$B$1:$XFD$1, 0), 0)/VLOOKUP($B100, gdp_tot_mes!$B:$XFD, MATCH(gdp_ind_share!X$1, gdp_tot_mes!$B$1:$XFD$1, 0), 0)</f>
        <v>5.7890502559549709E-2</v>
      </c>
      <c r="Y100" s="29">
        <f>VLOOKUP($B100, ind_mes!$B:$XFD, MATCH(gdp_ind_share!Y$1, ind_mes!$B$1:$XFD$1, 0), 0)/VLOOKUP($B100, gdp_tot_mes!$B:$XFD, MATCH(gdp_ind_share!Y$1, gdp_tot_mes!$B$1:$XFD$1, 0), 0)</f>
        <v>6.9746186176012373E-2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x14ac:dyDescent="0.25">
      <c r="A101" s="1" t="s">
        <v>234</v>
      </c>
      <c r="B101" s="1" t="s">
        <v>241</v>
      </c>
      <c r="C101" s="1" t="s">
        <v>242</v>
      </c>
      <c r="D101" s="29">
        <f>VLOOKUP($B101, ind_mes!$B:$XFD, MATCH(gdp_ind_share!D$1, ind_mes!$B$1:$XFD$1, 0), 0)/VLOOKUP($B101, gdp_tot_mes!$B:$XFD, MATCH(gdp_ind_share!D$1, gdp_tot_mes!$B$1:$XFD$1, 0), 0)</f>
        <v>0.10933862316071676</v>
      </c>
      <c r="E101" s="29">
        <f>VLOOKUP($B101, ind_mes!$B:$XFD, MATCH(gdp_ind_share!E$1, ind_mes!$B$1:$XFD$1, 0), 0)/VLOOKUP($B101, gdp_tot_mes!$B:$XFD, MATCH(gdp_ind_share!E$1, gdp_tot_mes!$B$1:$XFD$1, 0), 0)</f>
        <v>7.5467213334955763E-2</v>
      </c>
      <c r="F101" s="29">
        <f>VLOOKUP($B101, ind_mes!$B:$XFD, MATCH(gdp_ind_share!F$1, ind_mes!$B$1:$XFD$1, 0), 0)/VLOOKUP($B101, gdp_tot_mes!$B:$XFD, MATCH(gdp_ind_share!F$1, gdp_tot_mes!$B$1:$XFD$1, 0), 0)</f>
        <v>8.298098244560817E-2</v>
      </c>
      <c r="G101" s="29">
        <f>VLOOKUP($B101, ind_mes!$B:$XFD, MATCH(gdp_ind_share!G$1, ind_mes!$B$1:$XFD$1, 0), 0)/VLOOKUP($B101, gdp_tot_mes!$B:$XFD, MATCH(gdp_ind_share!G$1, gdp_tot_mes!$B$1:$XFD$1, 0), 0)</f>
        <v>0.15532216696551709</v>
      </c>
      <c r="H101" s="29">
        <f>VLOOKUP($B101, ind_mes!$B:$XFD, MATCH(gdp_ind_share!H$1, ind_mes!$B$1:$XFD$1, 0), 0)/VLOOKUP($B101, gdp_tot_mes!$B:$XFD, MATCH(gdp_ind_share!H$1, gdp_tot_mes!$B$1:$XFD$1, 0), 0)</f>
        <v>0.20913972683668353</v>
      </c>
      <c r="I101" s="29">
        <f>VLOOKUP($B101, ind_mes!$B:$XFD, MATCH(gdp_ind_share!I$1, ind_mes!$B$1:$XFD$1, 0), 0)/VLOOKUP($B101, gdp_tot_mes!$B:$XFD, MATCH(gdp_ind_share!I$1, gdp_tot_mes!$B$1:$XFD$1, 0), 0)</f>
        <v>0.28724387628184</v>
      </c>
      <c r="J101" s="29">
        <f>VLOOKUP($B101, ind_mes!$B:$XFD, MATCH(gdp_ind_share!J$1, ind_mes!$B$1:$XFD$1, 0), 0)/VLOOKUP($B101, gdp_tot_mes!$B:$XFD, MATCH(gdp_ind_share!J$1, gdp_tot_mes!$B$1:$XFD$1, 0), 0)</f>
        <v>0.34784847325744556</v>
      </c>
      <c r="K101" s="29">
        <f>VLOOKUP($B101, ind_mes!$B:$XFD, MATCH(gdp_ind_share!K$1, ind_mes!$B$1:$XFD$1, 0), 0)/VLOOKUP($B101, gdp_tot_mes!$B:$XFD, MATCH(gdp_ind_share!K$1, gdp_tot_mes!$B$1:$XFD$1, 0), 0)</f>
        <v>0.42941746437166672</v>
      </c>
      <c r="L101" s="30">
        <f t="shared" si="1"/>
        <v>0.3489359518896229</v>
      </c>
      <c r="M101" s="29">
        <f>VLOOKUP($B101, ind_mes!$B:$XFD, MATCH(gdp_ind_share!M$1, ind_mes!$B$1:$XFD$1, 0), 0)/VLOOKUP($B101, gdp_tot_mes!$B:$XFD, MATCH(gdp_ind_share!M$1, gdp_tot_mes!$B$1:$XFD$1, 0), 0)</f>
        <v>0.25235813691117032</v>
      </c>
      <c r="N101" s="29">
        <f>VLOOKUP($B101, ind_mes!$B:$XFD, MATCH(gdp_ind_share!N$1, ind_mes!$B$1:$XFD$1, 0), 0)/VLOOKUP($B101, gdp_tot_mes!$B:$XFD, MATCH(gdp_ind_share!N$1, gdp_tot_mes!$B$1:$XFD$1, 0), 0)</f>
        <v>0.18254859124768627</v>
      </c>
      <c r="O101" s="29">
        <f>VLOOKUP($B101, ind_mes!$B:$XFD, MATCH(gdp_ind_share!O$1, ind_mes!$B$1:$XFD$1, 0), 0)/VLOOKUP($B101, gdp_tot_mes!$B:$XFD, MATCH(gdp_ind_share!O$1, gdp_tot_mes!$B$1:$XFD$1, 0), 0)</f>
        <v>0.18089588061639741</v>
      </c>
      <c r="P101" s="29">
        <f>VLOOKUP($B101, ind_mes!$B:$XFD, MATCH(gdp_ind_share!P$1, ind_mes!$B$1:$XFD$1, 0), 0)/VLOOKUP($B101, gdp_tot_mes!$B:$XFD, MATCH(gdp_ind_share!P$1, gdp_tot_mes!$B$1:$XFD$1, 0), 0)</f>
        <v>0.17460092002938832</v>
      </c>
      <c r="Q101" s="29">
        <f>VLOOKUP($B101, ind_mes!$B:$XFD, MATCH(gdp_ind_share!Q$1, ind_mes!$B$1:$XFD$1, 0), 0)/VLOOKUP($B101, gdp_tot_mes!$B:$XFD, MATCH(gdp_ind_share!Q$1, gdp_tot_mes!$B$1:$XFD$1, 0), 0)</f>
        <v>0.23424262909205804</v>
      </c>
      <c r="R101" s="29">
        <f>VLOOKUP($B101, ind_mes!$B:$XFD, MATCH(gdp_ind_share!R$1, ind_mes!$B$1:$XFD$1, 0), 0)/VLOOKUP($B101, gdp_tot_mes!$B:$XFD, MATCH(gdp_ind_share!R$1, gdp_tot_mes!$B$1:$XFD$1, 0), 0)</f>
        <v>0.17739068849487991</v>
      </c>
      <c r="S101" s="29">
        <f>VLOOKUP($B101, ind_mes!$B:$XFD, MATCH(gdp_ind_share!S$1, ind_mes!$B$1:$XFD$1, 0), 0)/VLOOKUP($B101, gdp_tot_mes!$B:$XFD, MATCH(gdp_ind_share!S$1, gdp_tot_mes!$B$1:$XFD$1, 0), 0)</f>
        <v>0.18655585869568694</v>
      </c>
      <c r="T101" s="29">
        <f>VLOOKUP($B101, ind_mes!$B:$XFD, MATCH(gdp_ind_share!T$1, ind_mes!$B$1:$XFD$1, 0), 0)/VLOOKUP($B101, gdp_tot_mes!$B:$XFD, MATCH(gdp_ind_share!T$1, gdp_tot_mes!$B$1:$XFD$1, 0), 0)</f>
        <v>0.18916122557241735</v>
      </c>
      <c r="U101" s="29">
        <f>VLOOKUP($B101, ind_mes!$B:$XFD, MATCH(gdp_ind_share!U$1, ind_mes!$B$1:$XFD$1, 0), 0)/VLOOKUP($B101, gdp_tot_mes!$B:$XFD, MATCH(gdp_ind_share!U$1, gdp_tot_mes!$B$1:$XFD$1, 0), 0)</f>
        <v>0.19163379982146064</v>
      </c>
      <c r="V101" s="29">
        <f>VLOOKUP($B101, ind_mes!$B:$XFD, MATCH(gdp_ind_share!V$1, ind_mes!$B$1:$XFD$1, 0), 0)/VLOOKUP($B101, gdp_tot_mes!$B:$XFD, MATCH(gdp_ind_share!V$1, gdp_tot_mes!$B$1:$XFD$1, 0), 0)</f>
        <v>0.24489964277682208</v>
      </c>
      <c r="W101" s="29">
        <f>VLOOKUP($B101, ind_mes!$B:$XFD, MATCH(gdp_ind_share!W$1, ind_mes!$B$1:$XFD$1, 0), 0)/VLOOKUP($B101, gdp_tot_mes!$B:$XFD, MATCH(gdp_ind_share!W$1, gdp_tot_mes!$B$1:$XFD$1, 0), 0)</f>
        <v>0.213587932166206</v>
      </c>
      <c r="X101" s="29">
        <f>VLOOKUP($B101, ind_mes!$B:$XFD, MATCH(gdp_ind_share!X$1, ind_mes!$B$1:$XFD$1, 0), 0)/VLOOKUP($B101, gdp_tot_mes!$B:$XFD, MATCH(gdp_ind_share!X$1, gdp_tot_mes!$B$1:$XFD$1, 0), 0)</f>
        <v>0.18139192954613376</v>
      </c>
      <c r="Y101" s="29">
        <f>VLOOKUP($B101, ind_mes!$B:$XFD, MATCH(gdp_ind_share!Y$1, ind_mes!$B$1:$XFD$1, 0), 0)/VLOOKUP($B101, gdp_tot_mes!$B:$XFD, MATCH(gdp_ind_share!Y$1, gdp_tot_mes!$B$1:$XFD$1, 0), 0)</f>
        <v>0.20033447271180055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x14ac:dyDescent="0.25">
      <c r="A102" s="1" t="s">
        <v>243</v>
      </c>
      <c r="B102" s="1" t="s">
        <v>244</v>
      </c>
      <c r="C102" s="1" t="s">
        <v>245</v>
      </c>
      <c r="D102" s="29">
        <f>VLOOKUP($B102, ind_mes!$B:$XFD, MATCH(gdp_ind_share!D$1, ind_mes!$B$1:$XFD$1, 0), 0)/VLOOKUP($B102, gdp_tot_mes!$B:$XFD, MATCH(gdp_ind_share!D$1, gdp_tot_mes!$B$1:$XFD$1, 0), 0)</f>
        <v>7.6190903720237291E-2</v>
      </c>
      <c r="E102" s="29">
        <f>VLOOKUP($B102, ind_mes!$B:$XFD, MATCH(gdp_ind_share!E$1, ind_mes!$B$1:$XFD$1, 0), 0)/VLOOKUP($B102, gdp_tot_mes!$B:$XFD, MATCH(gdp_ind_share!E$1, gdp_tot_mes!$B$1:$XFD$1, 0), 0)</f>
        <v>0.14825525636478282</v>
      </c>
      <c r="F102" s="29">
        <f>VLOOKUP($B102, ind_mes!$B:$XFD, MATCH(gdp_ind_share!F$1, ind_mes!$B$1:$XFD$1, 0), 0)/VLOOKUP($B102, gdp_tot_mes!$B:$XFD, MATCH(gdp_ind_share!F$1, gdp_tot_mes!$B$1:$XFD$1, 0), 0)</f>
        <v>6.7334403695124279E-2</v>
      </c>
      <c r="G102" s="29">
        <f>VLOOKUP($B102, ind_mes!$B:$XFD, MATCH(gdp_ind_share!G$1, ind_mes!$B$1:$XFD$1, 0), 0)/VLOOKUP($B102, gdp_tot_mes!$B:$XFD, MATCH(gdp_ind_share!G$1, gdp_tot_mes!$B$1:$XFD$1, 0), 0)</f>
        <v>0.16533617159910799</v>
      </c>
      <c r="H102" s="29">
        <f>VLOOKUP($B102, ind_mes!$B:$XFD, MATCH(gdp_ind_share!H$1, ind_mes!$B$1:$XFD$1, 0), 0)/VLOOKUP($B102, gdp_tot_mes!$B:$XFD, MATCH(gdp_ind_share!H$1, gdp_tot_mes!$B$1:$XFD$1, 0), 0)</f>
        <v>0.19186227451864241</v>
      </c>
      <c r="I102" s="29">
        <f>VLOOKUP($B102, ind_mes!$B:$XFD, MATCH(gdp_ind_share!I$1, ind_mes!$B$1:$XFD$1, 0), 0)/VLOOKUP($B102, gdp_tot_mes!$B:$XFD, MATCH(gdp_ind_share!I$1, gdp_tot_mes!$B$1:$XFD$1, 0), 0)</f>
        <v>0.19766295994836389</v>
      </c>
      <c r="J102" s="29">
        <f>VLOOKUP($B102, ind_mes!$B:$XFD, MATCH(gdp_ind_share!J$1, ind_mes!$B$1:$XFD$1, 0), 0)/VLOOKUP($B102, gdp_tot_mes!$B:$XFD, MATCH(gdp_ind_share!J$1, gdp_tot_mes!$B$1:$XFD$1, 0), 0)</f>
        <v>0.43549593127030528</v>
      </c>
      <c r="K102" s="29">
        <f>VLOOKUP($B102, ind_mes!$B:$XFD, MATCH(gdp_ind_share!K$1, ind_mes!$B$1:$XFD$1, 0), 0)/VLOOKUP($B102, gdp_tot_mes!$B:$XFD, MATCH(gdp_ind_share!K$1, gdp_tot_mes!$B$1:$XFD$1, 0), 0)</f>
        <v>0.27584908799758812</v>
      </c>
      <c r="L102" s="30">
        <f t="shared" si="1"/>
        <v>0.20925242481084705</v>
      </c>
      <c r="M102" s="29">
        <f>VLOOKUP($B102, ind_mes!$B:$XFD, MATCH(gdp_ind_share!M$1, ind_mes!$B$1:$XFD$1, 0), 0)/VLOOKUP($B102, gdp_tot_mes!$B:$XFD, MATCH(gdp_ind_share!M$1, gdp_tot_mes!$B$1:$XFD$1, 0), 0)</f>
        <v>0.12933642898675773</v>
      </c>
      <c r="N102" s="29">
        <f>VLOOKUP($B102, ind_mes!$B:$XFD, MATCH(gdp_ind_share!N$1, ind_mes!$B$1:$XFD$1, 0), 0)/VLOOKUP($B102, gdp_tot_mes!$B:$XFD, MATCH(gdp_ind_share!N$1, gdp_tot_mes!$B$1:$XFD$1, 0), 0)</f>
        <v>8.0526966609031025E-2</v>
      </c>
      <c r="O102" s="29">
        <f>VLOOKUP($B102, ind_mes!$B:$XFD, MATCH(gdp_ind_share!O$1, ind_mes!$B$1:$XFD$1, 0), 0)/VLOOKUP($B102, gdp_tot_mes!$B:$XFD, MATCH(gdp_ind_share!O$1, gdp_tot_mes!$B$1:$XFD$1, 0), 0)</f>
        <v>8.6979238881165197E-2</v>
      </c>
      <c r="P102" s="29">
        <f>VLOOKUP($B102, ind_mes!$B:$XFD, MATCH(gdp_ind_share!P$1, ind_mes!$B$1:$XFD$1, 0), 0)/VLOOKUP($B102, gdp_tot_mes!$B:$XFD, MATCH(gdp_ind_share!P$1, gdp_tot_mes!$B$1:$XFD$1, 0), 0)</f>
        <v>9.6372273988092283E-2</v>
      </c>
      <c r="Q102" s="29">
        <f>VLOOKUP($B102, ind_mes!$B:$XFD, MATCH(gdp_ind_share!Q$1, ind_mes!$B$1:$XFD$1, 0), 0)/VLOOKUP($B102, gdp_tot_mes!$B:$XFD, MATCH(gdp_ind_share!Q$1, gdp_tot_mes!$B$1:$XFD$1, 0), 0)</f>
        <v>0.18495972056863733</v>
      </c>
      <c r="R102" s="29">
        <f>VLOOKUP($B102, ind_mes!$B:$XFD, MATCH(gdp_ind_share!R$1, ind_mes!$B$1:$XFD$1, 0), 0)/VLOOKUP($B102, gdp_tot_mes!$B:$XFD, MATCH(gdp_ind_share!R$1, gdp_tot_mes!$B$1:$XFD$1, 0), 0)</f>
        <v>0.13160779602506048</v>
      </c>
      <c r="S102" s="29">
        <f>VLOOKUP($B102, ind_mes!$B:$XFD, MATCH(gdp_ind_share!S$1, ind_mes!$B$1:$XFD$1, 0), 0)/VLOOKUP($B102, gdp_tot_mes!$B:$XFD, MATCH(gdp_ind_share!S$1, gdp_tot_mes!$B$1:$XFD$1, 0), 0)</f>
        <v>0.16987948962614421</v>
      </c>
      <c r="T102" s="29">
        <f>VLOOKUP($B102, ind_mes!$B:$XFD, MATCH(gdp_ind_share!T$1, ind_mes!$B$1:$XFD$1, 0), 0)/VLOOKUP($B102, gdp_tot_mes!$B:$XFD, MATCH(gdp_ind_share!T$1, gdp_tot_mes!$B$1:$XFD$1, 0), 0)</f>
        <v>0.13439951166631658</v>
      </c>
      <c r="U102" s="29">
        <f>VLOOKUP($B102, ind_mes!$B:$XFD, MATCH(gdp_ind_share!U$1, ind_mes!$B$1:$XFD$1, 0), 0)/VLOOKUP($B102, gdp_tot_mes!$B:$XFD, MATCH(gdp_ind_share!U$1, gdp_tot_mes!$B$1:$XFD$1, 0), 0)</f>
        <v>0.17609520150900446</v>
      </c>
      <c r="V102" s="29">
        <f>VLOOKUP($B102, ind_mes!$B:$XFD, MATCH(gdp_ind_share!V$1, ind_mes!$B$1:$XFD$1, 0), 0)/VLOOKUP($B102, gdp_tot_mes!$B:$XFD, MATCH(gdp_ind_share!V$1, gdp_tot_mes!$B$1:$XFD$1, 0), 0)</f>
        <v>0.14332044907809277</v>
      </c>
      <c r="W102" s="29">
        <f>VLOOKUP($B102, ind_mes!$B:$XFD, MATCH(gdp_ind_share!W$1, ind_mes!$B$1:$XFD$1, 0), 0)/VLOOKUP($B102, gdp_tot_mes!$B:$XFD, MATCH(gdp_ind_share!W$1, gdp_tot_mes!$B$1:$XFD$1, 0), 0)</f>
        <v>0.14625462932499392</v>
      </c>
      <c r="X102" s="29">
        <f>VLOOKUP($B102, ind_mes!$B:$XFD, MATCH(gdp_ind_share!X$1, ind_mes!$B$1:$XFD$1, 0), 0)/VLOOKUP($B102, gdp_tot_mes!$B:$XFD, MATCH(gdp_ind_share!X$1, gdp_tot_mes!$B$1:$XFD$1, 0), 0)</f>
        <v>0.20797298608530773</v>
      </c>
      <c r="Y102" s="29">
        <f>VLOOKUP($B102, ind_mes!$B:$XFD, MATCH(gdp_ind_share!Y$1, ind_mes!$B$1:$XFD$1, 0), 0)/VLOOKUP($B102, gdp_tot_mes!$B:$XFD, MATCH(gdp_ind_share!Y$1, gdp_tot_mes!$B$1:$XFD$1, 0), 0)</f>
        <v>0.29645833667553217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x14ac:dyDescent="0.25">
      <c r="A103" s="1" t="s">
        <v>243</v>
      </c>
      <c r="B103" s="1" t="s">
        <v>246</v>
      </c>
      <c r="C103" s="1" t="s">
        <v>247</v>
      </c>
      <c r="D103" s="29" t="e">
        <f>VLOOKUP($B103, ind_mes!$B:$XFD, MATCH(gdp_ind_share!D$1, ind_mes!$B$1:$XFD$1, 0), 0)/VLOOKUP($B103, gdp_tot_mes!$B:$XFD, MATCH(gdp_ind_share!D$1, gdp_tot_mes!$B$1:$XFD$1, 0), 0)</f>
        <v>#DIV/0!</v>
      </c>
      <c r="E103" s="29" t="e">
        <f>VLOOKUP($B103, ind_mes!$B:$XFD, MATCH(gdp_ind_share!E$1, ind_mes!$B$1:$XFD$1, 0), 0)/VLOOKUP($B103, gdp_tot_mes!$B:$XFD, MATCH(gdp_ind_share!E$1, gdp_tot_mes!$B$1:$XFD$1, 0), 0)</f>
        <v>#DIV/0!</v>
      </c>
      <c r="F103" s="29" t="e">
        <f>VLOOKUP($B103, ind_mes!$B:$XFD, MATCH(gdp_ind_share!F$1, ind_mes!$B$1:$XFD$1, 0), 0)/VLOOKUP($B103, gdp_tot_mes!$B:$XFD, MATCH(gdp_ind_share!F$1, gdp_tot_mes!$B$1:$XFD$1, 0), 0)</f>
        <v>#DIV/0!</v>
      </c>
      <c r="G103" s="29" t="e">
        <f>VLOOKUP($B103, ind_mes!$B:$XFD, MATCH(gdp_ind_share!G$1, ind_mes!$B$1:$XFD$1, 0), 0)/VLOOKUP($B103, gdp_tot_mes!$B:$XFD, MATCH(gdp_ind_share!G$1, gdp_tot_mes!$B$1:$XFD$1, 0), 0)</f>
        <v>#DIV/0!</v>
      </c>
      <c r="H103" s="29" t="e">
        <f>VLOOKUP($B103, ind_mes!$B:$XFD, MATCH(gdp_ind_share!H$1, ind_mes!$B$1:$XFD$1, 0), 0)/VLOOKUP($B103, gdp_tot_mes!$B:$XFD, MATCH(gdp_ind_share!H$1, gdp_tot_mes!$B$1:$XFD$1, 0), 0)</f>
        <v>#DIV/0!</v>
      </c>
      <c r="I103" s="29" t="e">
        <f>VLOOKUP($B103, ind_mes!$B:$XFD, MATCH(gdp_ind_share!I$1, ind_mes!$B$1:$XFD$1, 0), 0)/VLOOKUP($B103, gdp_tot_mes!$B:$XFD, MATCH(gdp_ind_share!I$1, gdp_tot_mes!$B$1:$XFD$1, 0), 0)</f>
        <v>#DIV/0!</v>
      </c>
      <c r="J103" s="29">
        <f>VLOOKUP($B103, ind_mes!$B:$XFD, MATCH(gdp_ind_share!J$1, ind_mes!$B$1:$XFD$1, 0), 0)/VLOOKUP($B103, gdp_tot_mes!$B:$XFD, MATCH(gdp_ind_share!J$1, gdp_tot_mes!$B$1:$XFD$1, 0), 0)</f>
        <v>0.25198357333967608</v>
      </c>
      <c r="K103" s="29">
        <f>VLOOKUP($B103, ind_mes!$B:$XFD, MATCH(gdp_ind_share!K$1, ind_mes!$B$1:$XFD$1, 0), 0)/VLOOKUP($B103, gdp_tot_mes!$B:$XFD, MATCH(gdp_ind_share!K$1, gdp_tot_mes!$B$1:$XFD$1, 0), 0)</f>
        <v>0.22781016480752658</v>
      </c>
      <c r="L103" s="30">
        <f t="shared" si="1"/>
        <v>0.19378211970058373</v>
      </c>
      <c r="M103" s="29">
        <f>VLOOKUP($B103, ind_mes!$B:$XFD, MATCH(gdp_ind_share!M$1, ind_mes!$B$1:$XFD$1, 0), 0)/VLOOKUP($B103, gdp_tot_mes!$B:$XFD, MATCH(gdp_ind_share!M$1, gdp_tot_mes!$B$1:$XFD$1, 0), 0)</f>
        <v>0.15294846557225233</v>
      </c>
      <c r="N103" s="29">
        <f>VLOOKUP($B103, ind_mes!$B:$XFD, MATCH(gdp_ind_share!N$1, ind_mes!$B$1:$XFD$1, 0), 0)/VLOOKUP($B103, gdp_tot_mes!$B:$XFD, MATCH(gdp_ind_share!N$1, gdp_tot_mes!$B$1:$XFD$1, 0), 0)</f>
        <v>0.10145805873022876</v>
      </c>
      <c r="O103" s="29">
        <f>VLOOKUP($B103, ind_mes!$B:$XFD, MATCH(gdp_ind_share!O$1, ind_mes!$B$1:$XFD$1, 0), 0)/VLOOKUP($B103, gdp_tot_mes!$B:$XFD, MATCH(gdp_ind_share!O$1, gdp_tot_mes!$B$1:$XFD$1, 0), 0)</f>
        <v>0.11486236107675719</v>
      </c>
      <c r="P103" s="29">
        <f>VLOOKUP($B103, ind_mes!$B:$XFD, MATCH(gdp_ind_share!P$1, ind_mes!$B$1:$XFD$1, 0), 0)/VLOOKUP($B103, gdp_tot_mes!$B:$XFD, MATCH(gdp_ind_share!P$1, gdp_tot_mes!$B$1:$XFD$1, 0), 0)</f>
        <v>0.12842147759085679</v>
      </c>
      <c r="Q103" s="29">
        <f>VLOOKUP($B103, ind_mes!$B:$XFD, MATCH(gdp_ind_share!Q$1, ind_mes!$B$1:$XFD$1, 0), 0)/VLOOKUP($B103, gdp_tot_mes!$B:$XFD, MATCH(gdp_ind_share!Q$1, gdp_tot_mes!$B$1:$XFD$1, 0), 0)</f>
        <v>0.13538872632195673</v>
      </c>
      <c r="R103" s="29">
        <f>VLOOKUP($B103, ind_mes!$B:$XFD, MATCH(gdp_ind_share!R$1, ind_mes!$B$1:$XFD$1, 0), 0)/VLOOKUP($B103, gdp_tot_mes!$B:$XFD, MATCH(gdp_ind_share!R$1, gdp_tot_mes!$B$1:$XFD$1, 0), 0)</f>
        <v>0.12092089240790552</v>
      </c>
      <c r="S103" s="29">
        <f>VLOOKUP($B103, ind_mes!$B:$XFD, MATCH(gdp_ind_share!S$1, ind_mes!$B$1:$XFD$1, 0), 0)/VLOOKUP($B103, gdp_tot_mes!$B:$XFD, MATCH(gdp_ind_share!S$1, gdp_tot_mes!$B$1:$XFD$1, 0), 0)</f>
        <v>0.1361958111342676</v>
      </c>
      <c r="T103" s="29">
        <f>VLOOKUP($B103, ind_mes!$B:$XFD, MATCH(gdp_ind_share!T$1, ind_mes!$B$1:$XFD$1, 0), 0)/VLOOKUP($B103, gdp_tot_mes!$B:$XFD, MATCH(gdp_ind_share!T$1, gdp_tot_mes!$B$1:$XFD$1, 0), 0)</f>
        <v>0.1538884392379446</v>
      </c>
      <c r="U103" s="29">
        <f>VLOOKUP($B103, ind_mes!$B:$XFD, MATCH(gdp_ind_share!U$1, ind_mes!$B$1:$XFD$1, 0), 0)/VLOOKUP($B103, gdp_tot_mes!$B:$XFD, MATCH(gdp_ind_share!U$1, gdp_tot_mes!$B$1:$XFD$1, 0), 0)</f>
        <v>0.16880148857149921</v>
      </c>
      <c r="V103" s="29">
        <f>VLOOKUP($B103, ind_mes!$B:$XFD, MATCH(gdp_ind_share!V$1, ind_mes!$B$1:$XFD$1, 0), 0)/VLOOKUP($B103, gdp_tot_mes!$B:$XFD, MATCH(gdp_ind_share!V$1, gdp_tot_mes!$B$1:$XFD$1, 0), 0)</f>
        <v>0.14875384417225951</v>
      </c>
      <c r="W103" s="29">
        <f>VLOOKUP($B103, ind_mes!$B:$XFD, MATCH(gdp_ind_share!W$1, ind_mes!$B$1:$XFD$1, 0), 0)/VLOOKUP($B103, gdp_tot_mes!$B:$XFD, MATCH(gdp_ind_share!W$1, gdp_tot_mes!$B$1:$XFD$1, 0), 0)</f>
        <v>0.1323859768260697</v>
      </c>
      <c r="X103" s="29">
        <f>VLOOKUP($B103, ind_mes!$B:$XFD, MATCH(gdp_ind_share!X$1, ind_mes!$B$1:$XFD$1, 0), 0)/VLOOKUP($B103, gdp_tot_mes!$B:$XFD, MATCH(gdp_ind_share!X$1, gdp_tot_mes!$B$1:$XFD$1, 0), 0)</f>
        <v>0.1224583634718108</v>
      </c>
      <c r="Y103" s="29">
        <f>VLOOKUP($B103, ind_mes!$B:$XFD, MATCH(gdp_ind_share!Y$1, ind_mes!$B$1:$XFD$1, 0), 0)/VLOOKUP($B103, gdp_tot_mes!$B:$XFD, MATCH(gdp_ind_share!Y$1, gdp_tot_mes!$B$1:$XFD$1, 0), 0)</f>
        <v>0.13541752819818842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x14ac:dyDescent="0.25">
      <c r="A104" s="1" t="s">
        <v>248</v>
      </c>
      <c r="B104" s="1" t="s">
        <v>249</v>
      </c>
      <c r="C104" s="1" t="s">
        <v>250</v>
      </c>
      <c r="D104" s="29">
        <f>VLOOKUP($B104, ind_mes!$B:$XFD, MATCH(gdp_ind_share!D$1, ind_mes!$B$1:$XFD$1, 0), 0)/VLOOKUP($B104, gdp_tot_mes!$B:$XFD, MATCH(gdp_ind_share!D$1, gdp_tot_mes!$B$1:$XFD$1, 0), 0)</f>
        <v>1.3875357475560008E-2</v>
      </c>
      <c r="E104" s="29">
        <f>VLOOKUP($B104, ind_mes!$B:$XFD, MATCH(gdp_ind_share!E$1, ind_mes!$B$1:$XFD$1, 0), 0)/VLOOKUP($B104, gdp_tot_mes!$B:$XFD, MATCH(gdp_ind_share!E$1, gdp_tot_mes!$B$1:$XFD$1, 0), 0)</f>
        <v>0</v>
      </c>
      <c r="F104" s="29">
        <f>VLOOKUP($B104, ind_mes!$B:$XFD, MATCH(gdp_ind_share!F$1, ind_mes!$B$1:$XFD$1, 0), 0)/VLOOKUP($B104, gdp_tot_mes!$B:$XFD, MATCH(gdp_ind_share!F$1, gdp_tot_mes!$B$1:$XFD$1, 0), 0)</f>
        <v>7.0769857686261262E-2</v>
      </c>
      <c r="G104" s="29">
        <f>VLOOKUP($B104, ind_mes!$B:$XFD, MATCH(gdp_ind_share!G$1, ind_mes!$B$1:$XFD$1, 0), 0)/VLOOKUP($B104, gdp_tot_mes!$B:$XFD, MATCH(gdp_ind_share!G$1, gdp_tot_mes!$B$1:$XFD$1, 0), 0)</f>
        <v>1.0966883509761612E-2</v>
      </c>
      <c r="H104" s="29">
        <f>VLOOKUP($B104, ind_mes!$B:$XFD, MATCH(gdp_ind_share!H$1, ind_mes!$B$1:$XFD$1, 0), 0)/VLOOKUP($B104, gdp_tot_mes!$B:$XFD, MATCH(gdp_ind_share!H$1, gdp_tot_mes!$B$1:$XFD$1, 0), 0)</f>
        <v>0.11434305091793155</v>
      </c>
      <c r="I104" s="29">
        <f>VLOOKUP($B104, ind_mes!$B:$XFD, MATCH(gdp_ind_share!I$1, ind_mes!$B$1:$XFD$1, 0), 0)/VLOOKUP($B104, gdp_tot_mes!$B:$XFD, MATCH(gdp_ind_share!I$1, gdp_tot_mes!$B$1:$XFD$1, 0), 0)</f>
        <v>8.1491803295939469E-2</v>
      </c>
      <c r="J104" s="29">
        <f>VLOOKUP($B104, ind_mes!$B:$XFD, MATCH(gdp_ind_share!J$1, ind_mes!$B$1:$XFD$1, 0), 0)/VLOOKUP($B104, gdp_tot_mes!$B:$XFD, MATCH(gdp_ind_share!J$1, gdp_tot_mes!$B$1:$XFD$1, 0), 0)</f>
        <v>0.16035027231553489</v>
      </c>
      <c r="K104" s="29">
        <f>VLOOKUP($B104, ind_mes!$B:$XFD, MATCH(gdp_ind_share!K$1, ind_mes!$B$1:$XFD$1, 0), 0)/VLOOKUP($B104, gdp_tot_mes!$B:$XFD, MATCH(gdp_ind_share!K$1, gdp_tot_mes!$B$1:$XFD$1, 0), 0)</f>
        <v>0.20986716154030635</v>
      </c>
      <c r="L104" s="30">
        <f t="shared" si="1"/>
        <v>0.15406970333715442</v>
      </c>
      <c r="M104" s="29">
        <f>VLOOKUP($B104, ind_mes!$B:$XFD, MATCH(gdp_ind_share!M$1, ind_mes!$B$1:$XFD$1, 0), 0)/VLOOKUP($B104, gdp_tot_mes!$B:$XFD, MATCH(gdp_ind_share!M$1, gdp_tot_mes!$B$1:$XFD$1, 0), 0)</f>
        <v>8.7112753493372108E-2</v>
      </c>
      <c r="N104" s="29">
        <f>VLOOKUP($B104, ind_mes!$B:$XFD, MATCH(gdp_ind_share!N$1, ind_mes!$B$1:$XFD$1, 0), 0)/VLOOKUP($B104, gdp_tot_mes!$B:$XFD, MATCH(gdp_ind_share!N$1, gdp_tot_mes!$B$1:$XFD$1, 0), 0)</f>
        <v>0.12838718656982834</v>
      </c>
      <c r="O104" s="29">
        <f>VLOOKUP($B104, ind_mes!$B:$XFD, MATCH(gdp_ind_share!O$1, ind_mes!$B$1:$XFD$1, 0), 0)/VLOOKUP($B104, gdp_tot_mes!$B:$XFD, MATCH(gdp_ind_share!O$1, gdp_tot_mes!$B$1:$XFD$1, 0), 0)</f>
        <v>9.6712430995761683E-2</v>
      </c>
      <c r="P104" s="29">
        <f>VLOOKUP($B104, ind_mes!$B:$XFD, MATCH(gdp_ind_share!P$1, ind_mes!$B$1:$XFD$1, 0), 0)/VLOOKUP($B104, gdp_tot_mes!$B:$XFD, MATCH(gdp_ind_share!P$1, gdp_tot_mes!$B$1:$XFD$1, 0), 0)</f>
        <v>9.8695689879787579E-2</v>
      </c>
      <c r="Q104" s="29">
        <f>VLOOKUP($B104, ind_mes!$B:$XFD, MATCH(gdp_ind_share!Q$1, ind_mes!$B$1:$XFD$1, 0), 0)/VLOOKUP($B104, gdp_tot_mes!$B:$XFD, MATCH(gdp_ind_share!Q$1, gdp_tot_mes!$B$1:$XFD$1, 0), 0)</f>
        <v>0.16090638875510765</v>
      </c>
      <c r="R104" s="29">
        <f>VLOOKUP($B104, ind_mes!$B:$XFD, MATCH(gdp_ind_share!R$1, ind_mes!$B$1:$XFD$1, 0), 0)/VLOOKUP($B104, gdp_tot_mes!$B:$XFD, MATCH(gdp_ind_share!R$1, gdp_tot_mes!$B$1:$XFD$1, 0), 0)</f>
        <v>9.1933938352394592E-2</v>
      </c>
      <c r="S104" s="29">
        <f>VLOOKUP($B104, ind_mes!$B:$XFD, MATCH(gdp_ind_share!S$1, ind_mes!$B$1:$XFD$1, 0), 0)/VLOOKUP($B104, gdp_tot_mes!$B:$XFD, MATCH(gdp_ind_share!S$1, gdp_tot_mes!$B$1:$XFD$1, 0), 0)</f>
        <v>0.11123765560009109</v>
      </c>
      <c r="T104" s="29">
        <f>VLOOKUP($B104, ind_mes!$B:$XFD, MATCH(gdp_ind_share!T$1, ind_mes!$B$1:$XFD$1, 0), 0)/VLOOKUP($B104, gdp_tot_mes!$B:$XFD, MATCH(gdp_ind_share!T$1, gdp_tot_mes!$B$1:$XFD$1, 0), 0)</f>
        <v>0.10625004213913219</v>
      </c>
      <c r="U104" s="29">
        <f>VLOOKUP($B104, ind_mes!$B:$XFD, MATCH(gdp_ind_share!U$1, ind_mes!$B$1:$XFD$1, 0), 0)/VLOOKUP($B104, gdp_tot_mes!$B:$XFD, MATCH(gdp_ind_share!U$1, gdp_tot_mes!$B$1:$XFD$1, 0), 0)</f>
        <v>0.14654954007039067</v>
      </c>
      <c r="V104" s="29">
        <f>VLOOKUP($B104, ind_mes!$B:$XFD, MATCH(gdp_ind_share!V$1, ind_mes!$B$1:$XFD$1, 0), 0)/VLOOKUP($B104, gdp_tot_mes!$B:$XFD, MATCH(gdp_ind_share!V$1, gdp_tot_mes!$B$1:$XFD$1, 0), 0)</f>
        <v>9.3762939204372772E-2</v>
      </c>
      <c r="W104" s="29">
        <f>VLOOKUP($B104, ind_mes!$B:$XFD, MATCH(gdp_ind_share!W$1, ind_mes!$B$1:$XFD$1, 0), 0)/VLOOKUP($B104, gdp_tot_mes!$B:$XFD, MATCH(gdp_ind_share!W$1, gdp_tot_mes!$B$1:$XFD$1, 0), 0)</f>
        <v>9.5920289951386004E-2</v>
      </c>
      <c r="X104" s="29">
        <f>VLOOKUP($B104, ind_mes!$B:$XFD, MATCH(gdp_ind_share!X$1, ind_mes!$B$1:$XFD$1, 0), 0)/VLOOKUP($B104, gdp_tot_mes!$B:$XFD, MATCH(gdp_ind_share!X$1, gdp_tot_mes!$B$1:$XFD$1, 0), 0)</f>
        <v>0.10890939339643524</v>
      </c>
      <c r="Y104" s="29">
        <f>VLOOKUP($B104, ind_mes!$B:$XFD, MATCH(gdp_ind_share!Y$1, ind_mes!$B$1:$XFD$1, 0), 0)/VLOOKUP($B104, gdp_tot_mes!$B:$XFD, MATCH(gdp_ind_share!Y$1, gdp_tot_mes!$B$1:$XFD$1, 0), 0)</f>
        <v>0.14051082307579926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x14ac:dyDescent="0.25">
      <c r="A105" s="1" t="s">
        <v>248</v>
      </c>
      <c r="B105" s="1" t="s">
        <v>251</v>
      </c>
      <c r="C105" s="1" t="s">
        <v>252</v>
      </c>
      <c r="D105" s="29">
        <f>VLOOKUP($B105, ind_mes!$B:$XFD, MATCH(gdp_ind_share!D$1, ind_mes!$B$1:$XFD$1, 0), 0)/VLOOKUP($B105, gdp_tot_mes!$B:$XFD, MATCH(gdp_ind_share!D$1, gdp_tot_mes!$B$1:$XFD$1, 0), 0)</f>
        <v>4.0541804576905864E-2</v>
      </c>
      <c r="E105" s="29">
        <f>VLOOKUP($B105, ind_mes!$B:$XFD, MATCH(gdp_ind_share!E$1, ind_mes!$B$1:$XFD$1, 0), 0)/VLOOKUP($B105, gdp_tot_mes!$B:$XFD, MATCH(gdp_ind_share!E$1, gdp_tot_mes!$B$1:$XFD$1, 0), 0)</f>
        <v>0</v>
      </c>
      <c r="F105" s="29">
        <f>VLOOKUP($B105, ind_mes!$B:$XFD, MATCH(gdp_ind_share!F$1, ind_mes!$B$1:$XFD$1, 0), 0)/VLOOKUP($B105, gdp_tot_mes!$B:$XFD, MATCH(gdp_ind_share!F$1, gdp_tot_mes!$B$1:$XFD$1, 0), 0)</f>
        <v>0</v>
      </c>
      <c r="G105" s="29">
        <f>VLOOKUP($B105, ind_mes!$B:$XFD, MATCH(gdp_ind_share!G$1, ind_mes!$B$1:$XFD$1, 0), 0)/VLOOKUP($B105, gdp_tot_mes!$B:$XFD, MATCH(gdp_ind_share!G$1, gdp_tot_mes!$B$1:$XFD$1, 0), 0)</f>
        <v>0</v>
      </c>
      <c r="H105" s="29">
        <f>VLOOKUP($B105, ind_mes!$B:$XFD, MATCH(gdp_ind_share!H$1, ind_mes!$B$1:$XFD$1, 0), 0)/VLOOKUP($B105, gdp_tot_mes!$B:$XFD, MATCH(gdp_ind_share!H$1, gdp_tot_mes!$B$1:$XFD$1, 0), 0)</f>
        <v>8.1367478846711597E-2</v>
      </c>
      <c r="I105" s="29">
        <f>VLOOKUP($B105, ind_mes!$B:$XFD, MATCH(gdp_ind_share!I$1, ind_mes!$B$1:$XFD$1, 0), 0)/VLOOKUP($B105, gdp_tot_mes!$B:$XFD, MATCH(gdp_ind_share!I$1, gdp_tot_mes!$B$1:$XFD$1, 0), 0)</f>
        <v>9.5933733621373363E-2</v>
      </c>
      <c r="J105" s="29">
        <f>VLOOKUP($B105, ind_mes!$B:$XFD, MATCH(gdp_ind_share!J$1, ind_mes!$B$1:$XFD$1, 0), 0)/VLOOKUP($B105, gdp_tot_mes!$B:$XFD, MATCH(gdp_ind_share!J$1, gdp_tot_mes!$B$1:$XFD$1, 0), 0)</f>
        <v>0.21501237444850682</v>
      </c>
      <c r="K105" s="29">
        <f>VLOOKUP($B105, ind_mes!$B:$XFD, MATCH(gdp_ind_share!K$1, ind_mes!$B$1:$XFD$1, 0), 0)/VLOOKUP($B105, gdp_tot_mes!$B:$XFD, MATCH(gdp_ind_share!K$1, gdp_tot_mes!$B$1:$XFD$1, 0), 0)</f>
        <v>0.24633157883630677</v>
      </c>
      <c r="L105" s="30">
        <f t="shared" si="1"/>
        <v>0.15723119158045867</v>
      </c>
      <c r="M105" s="29">
        <f>VLOOKUP($B105, ind_mes!$B:$XFD, MATCH(gdp_ind_share!M$1, ind_mes!$B$1:$XFD$1, 0), 0)/VLOOKUP($B105, gdp_tot_mes!$B:$XFD, MATCH(gdp_ind_share!M$1, gdp_tot_mes!$B$1:$XFD$1, 0), 0)</f>
        <v>5.0310726873440979E-2</v>
      </c>
      <c r="N105" s="29">
        <f>VLOOKUP($B105, ind_mes!$B:$XFD, MATCH(gdp_ind_share!N$1, ind_mes!$B$1:$XFD$1, 0), 0)/VLOOKUP($B105, gdp_tot_mes!$B:$XFD, MATCH(gdp_ind_share!N$1, gdp_tot_mes!$B$1:$XFD$1, 0), 0)</f>
        <v>0.10331539757387256</v>
      </c>
      <c r="O105" s="29">
        <f>VLOOKUP($B105, ind_mes!$B:$XFD, MATCH(gdp_ind_share!O$1, ind_mes!$B$1:$XFD$1, 0), 0)/VLOOKUP($B105, gdp_tot_mes!$B:$XFD, MATCH(gdp_ind_share!O$1, gdp_tot_mes!$B$1:$XFD$1, 0), 0)</f>
        <v>8.9209006128307289E-2</v>
      </c>
      <c r="P105" s="29">
        <f>VLOOKUP($B105, ind_mes!$B:$XFD, MATCH(gdp_ind_share!P$1, ind_mes!$B$1:$XFD$1, 0), 0)/VLOOKUP($B105, gdp_tot_mes!$B:$XFD, MATCH(gdp_ind_share!P$1, gdp_tot_mes!$B$1:$XFD$1, 0), 0)</f>
        <v>8.4309208061941823E-2</v>
      </c>
      <c r="Q105" s="29">
        <f>VLOOKUP($B105, ind_mes!$B:$XFD, MATCH(gdp_ind_share!Q$1, ind_mes!$B$1:$XFD$1, 0), 0)/VLOOKUP($B105, gdp_tot_mes!$B:$XFD, MATCH(gdp_ind_share!Q$1, gdp_tot_mes!$B$1:$XFD$1, 0), 0)</f>
        <v>6.0467287526391904E-2</v>
      </c>
      <c r="R105" s="29">
        <f>VLOOKUP($B105, ind_mes!$B:$XFD, MATCH(gdp_ind_share!R$1, ind_mes!$B$1:$XFD$1, 0), 0)/VLOOKUP($B105, gdp_tot_mes!$B:$XFD, MATCH(gdp_ind_share!R$1, gdp_tot_mes!$B$1:$XFD$1, 0), 0)</f>
        <v>3.1153357475781598E-2</v>
      </c>
      <c r="S105" s="29">
        <f>VLOOKUP($B105, ind_mes!$B:$XFD, MATCH(gdp_ind_share!S$1, ind_mes!$B$1:$XFD$1, 0), 0)/VLOOKUP($B105, gdp_tot_mes!$B:$XFD, MATCH(gdp_ind_share!S$1, gdp_tot_mes!$B$1:$XFD$1, 0), 0)</f>
        <v>4.2460971520270854E-2</v>
      </c>
      <c r="T105" s="29">
        <f>VLOOKUP($B105, ind_mes!$B:$XFD, MATCH(gdp_ind_share!T$1, ind_mes!$B$1:$XFD$1, 0), 0)/VLOOKUP($B105, gdp_tot_mes!$B:$XFD, MATCH(gdp_ind_share!T$1, gdp_tot_mes!$B$1:$XFD$1, 0), 0)</f>
        <v>4.6061034995487492E-2</v>
      </c>
      <c r="U105" s="29">
        <f>VLOOKUP($B105, ind_mes!$B:$XFD, MATCH(gdp_ind_share!U$1, ind_mes!$B$1:$XFD$1, 0), 0)/VLOOKUP($B105, gdp_tot_mes!$B:$XFD, MATCH(gdp_ind_share!U$1, gdp_tot_mes!$B$1:$XFD$1, 0), 0)</f>
        <v>6.2434532178827704E-2</v>
      </c>
      <c r="V105" s="29">
        <f>VLOOKUP($B105, ind_mes!$B:$XFD, MATCH(gdp_ind_share!V$1, ind_mes!$B$1:$XFD$1, 0), 0)/VLOOKUP($B105, gdp_tot_mes!$B:$XFD, MATCH(gdp_ind_share!V$1, gdp_tot_mes!$B$1:$XFD$1, 0), 0)</f>
        <v>4.005121736922123E-2</v>
      </c>
      <c r="W105" s="29">
        <f>VLOOKUP($B105, ind_mes!$B:$XFD, MATCH(gdp_ind_share!W$1, ind_mes!$B$1:$XFD$1, 0), 0)/VLOOKUP($B105, gdp_tot_mes!$B:$XFD, MATCH(gdp_ind_share!W$1, gdp_tot_mes!$B$1:$XFD$1, 0), 0)</f>
        <v>5.6061406520514744E-2</v>
      </c>
      <c r="X105" s="29">
        <f>VLOOKUP($B105, ind_mes!$B:$XFD, MATCH(gdp_ind_share!X$1, ind_mes!$B$1:$XFD$1, 0), 0)/VLOOKUP($B105, gdp_tot_mes!$B:$XFD, MATCH(gdp_ind_share!X$1, gdp_tot_mes!$B$1:$XFD$1, 0), 0)</f>
        <v>6.1100728746271094E-2</v>
      </c>
      <c r="Y105" s="29">
        <f>VLOOKUP($B105, ind_mes!$B:$XFD, MATCH(gdp_ind_share!Y$1, ind_mes!$B$1:$XFD$1, 0), 0)/VLOOKUP($B105, gdp_tot_mes!$B:$XFD, MATCH(gdp_ind_share!Y$1, gdp_tot_mes!$B$1:$XFD$1, 0), 0)</f>
        <v>5.8786331393739302E-2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x14ac:dyDescent="0.25">
      <c r="A106" s="1" t="s">
        <v>253</v>
      </c>
      <c r="B106" s="1" t="s">
        <v>254</v>
      </c>
      <c r="C106" s="1" t="s">
        <v>255</v>
      </c>
      <c r="D106" s="29">
        <f>VLOOKUP($B106, ind_mes!$B:$XFD, MATCH(gdp_ind_share!D$1, ind_mes!$B$1:$XFD$1, 0), 0)/VLOOKUP($B106, gdp_tot_mes!$B:$XFD, MATCH(gdp_ind_share!D$1, gdp_tot_mes!$B$1:$XFD$1, 0), 0)</f>
        <v>0.11944700199597293</v>
      </c>
      <c r="E106" s="29">
        <f>VLOOKUP($B106, ind_mes!$B:$XFD, MATCH(gdp_ind_share!E$1, ind_mes!$B$1:$XFD$1, 0), 0)/VLOOKUP($B106, gdp_tot_mes!$B:$XFD, MATCH(gdp_ind_share!E$1, gdp_tot_mes!$B$1:$XFD$1, 0), 0)</f>
        <v>0.10791142831215966</v>
      </c>
      <c r="F106" s="29">
        <f>VLOOKUP($B106, ind_mes!$B:$XFD, MATCH(gdp_ind_share!F$1, ind_mes!$B$1:$XFD$1, 0), 0)/VLOOKUP($B106, gdp_tot_mes!$B:$XFD, MATCH(gdp_ind_share!F$1, gdp_tot_mes!$B$1:$XFD$1, 0), 0)</f>
        <v>0.12227418691452963</v>
      </c>
      <c r="G106" s="29">
        <f>VLOOKUP($B106, ind_mes!$B:$XFD, MATCH(gdp_ind_share!G$1, ind_mes!$B$1:$XFD$1, 0), 0)/VLOOKUP($B106, gdp_tot_mes!$B:$XFD, MATCH(gdp_ind_share!G$1, gdp_tot_mes!$B$1:$XFD$1, 0), 0)</f>
        <v>0.13766553960348449</v>
      </c>
      <c r="H106" s="29">
        <f>VLOOKUP($B106, ind_mes!$B:$XFD, MATCH(gdp_ind_share!H$1, ind_mes!$B$1:$XFD$1, 0), 0)/VLOOKUP($B106, gdp_tot_mes!$B:$XFD, MATCH(gdp_ind_share!H$1, gdp_tot_mes!$B$1:$XFD$1, 0), 0)</f>
        <v>0.14686706027883831</v>
      </c>
      <c r="I106" s="29">
        <f>VLOOKUP($B106, ind_mes!$B:$XFD, MATCH(gdp_ind_share!I$1, ind_mes!$B$1:$XFD$1, 0), 0)/VLOOKUP($B106, gdp_tot_mes!$B:$XFD, MATCH(gdp_ind_share!I$1, gdp_tot_mes!$B$1:$XFD$1, 0), 0)</f>
        <v>0.19375126881142321</v>
      </c>
      <c r="J106" s="29">
        <f>VLOOKUP($B106, ind_mes!$B:$XFD, MATCH(gdp_ind_share!J$1, ind_mes!$B$1:$XFD$1, 0), 0)/VLOOKUP($B106, gdp_tot_mes!$B:$XFD, MATCH(gdp_ind_share!J$1, gdp_tot_mes!$B$1:$XFD$1, 0), 0)</f>
        <v>0.20160412652281637</v>
      </c>
      <c r="K106" s="29">
        <f>VLOOKUP($B106, ind_mes!$B:$XFD, MATCH(gdp_ind_share!K$1, ind_mes!$B$1:$XFD$1, 0), 0)/VLOOKUP($B106, gdp_tot_mes!$B:$XFD, MATCH(gdp_ind_share!K$1, gdp_tot_mes!$B$1:$XFD$1, 0), 0)</f>
        <v>0.16414115691247916</v>
      </c>
      <c r="L106" s="30">
        <f t="shared" si="1"/>
        <v>0.18390829818947796</v>
      </c>
      <c r="M106" s="29">
        <f>VLOOKUP($B106, ind_mes!$B:$XFD, MATCH(gdp_ind_share!M$1, ind_mes!$B$1:$XFD$1, 0), 0)/VLOOKUP($B106, gdp_tot_mes!$B:$XFD, MATCH(gdp_ind_share!M$1, gdp_tot_mes!$B$1:$XFD$1, 0), 0)</f>
        <v>0.2076288677218765</v>
      </c>
      <c r="N106" s="29">
        <f>VLOOKUP($B106, ind_mes!$B:$XFD, MATCH(gdp_ind_share!N$1, ind_mes!$B$1:$XFD$1, 0), 0)/VLOOKUP($B106, gdp_tot_mes!$B:$XFD, MATCH(gdp_ind_share!N$1, gdp_tot_mes!$B$1:$XFD$1, 0), 0)</f>
        <v>0.16351375108758751</v>
      </c>
      <c r="O106" s="29">
        <f>VLOOKUP($B106, ind_mes!$B:$XFD, MATCH(gdp_ind_share!O$1, ind_mes!$B$1:$XFD$1, 0), 0)/VLOOKUP($B106, gdp_tot_mes!$B:$XFD, MATCH(gdp_ind_share!O$1, gdp_tot_mes!$B$1:$XFD$1, 0), 0)</f>
        <v>0.17618178034067608</v>
      </c>
      <c r="P106" s="29">
        <f>VLOOKUP($B106, ind_mes!$B:$XFD, MATCH(gdp_ind_share!P$1, ind_mes!$B$1:$XFD$1, 0), 0)/VLOOKUP($B106, gdp_tot_mes!$B:$XFD, MATCH(gdp_ind_share!P$1, gdp_tot_mes!$B$1:$XFD$1, 0), 0)</f>
        <v>0.16034547203404967</v>
      </c>
      <c r="Q106" s="29">
        <f>VLOOKUP($B106, ind_mes!$B:$XFD, MATCH(gdp_ind_share!Q$1, ind_mes!$B$1:$XFD$1, 0), 0)/VLOOKUP($B106, gdp_tot_mes!$B:$XFD, MATCH(gdp_ind_share!Q$1, gdp_tot_mes!$B$1:$XFD$1, 0), 0)</f>
        <v>0.16102712570769065</v>
      </c>
      <c r="R106" s="29">
        <f>VLOOKUP($B106, ind_mes!$B:$XFD, MATCH(gdp_ind_share!R$1, ind_mes!$B$1:$XFD$1, 0), 0)/VLOOKUP($B106, gdp_tot_mes!$B:$XFD, MATCH(gdp_ind_share!R$1, gdp_tot_mes!$B$1:$XFD$1, 0), 0)</f>
        <v>0.15173983723548445</v>
      </c>
      <c r="S106" s="29">
        <f>VLOOKUP($B106, ind_mes!$B:$XFD, MATCH(gdp_ind_share!S$1, ind_mes!$B$1:$XFD$1, 0), 0)/VLOOKUP($B106, gdp_tot_mes!$B:$XFD, MATCH(gdp_ind_share!S$1, gdp_tot_mes!$B$1:$XFD$1, 0), 0)</f>
        <v>0.18442501653150797</v>
      </c>
      <c r="T106" s="29">
        <f>VLOOKUP($B106, ind_mes!$B:$XFD, MATCH(gdp_ind_share!T$1, ind_mes!$B$1:$XFD$1, 0), 0)/VLOOKUP($B106, gdp_tot_mes!$B:$XFD, MATCH(gdp_ind_share!T$1, gdp_tot_mes!$B$1:$XFD$1, 0), 0)</f>
        <v>0.17592225842025816</v>
      </c>
      <c r="U106" s="29">
        <f>VLOOKUP($B106, ind_mes!$B:$XFD, MATCH(gdp_ind_share!U$1, ind_mes!$B$1:$XFD$1, 0), 0)/VLOOKUP($B106, gdp_tot_mes!$B:$XFD, MATCH(gdp_ind_share!U$1, gdp_tot_mes!$B$1:$XFD$1, 0), 0)</f>
        <v>0.16274206966266452</v>
      </c>
      <c r="V106" s="29">
        <f>VLOOKUP($B106, ind_mes!$B:$XFD, MATCH(gdp_ind_share!V$1, ind_mes!$B$1:$XFD$1, 0), 0)/VLOOKUP($B106, gdp_tot_mes!$B:$XFD, MATCH(gdp_ind_share!V$1, gdp_tot_mes!$B$1:$XFD$1, 0), 0)</f>
        <v>0.14420235545977717</v>
      </c>
      <c r="W106" s="29">
        <f>VLOOKUP($B106, ind_mes!$B:$XFD, MATCH(gdp_ind_share!W$1, ind_mes!$B$1:$XFD$1, 0), 0)/VLOOKUP($B106, gdp_tot_mes!$B:$XFD, MATCH(gdp_ind_share!W$1, gdp_tot_mes!$B$1:$XFD$1, 0), 0)</f>
        <v>0.15800335371074795</v>
      </c>
      <c r="X106" s="29">
        <f>VLOOKUP($B106, ind_mes!$B:$XFD, MATCH(gdp_ind_share!X$1, ind_mes!$B$1:$XFD$1, 0), 0)/VLOOKUP($B106, gdp_tot_mes!$B:$XFD, MATCH(gdp_ind_share!X$1, gdp_tot_mes!$B$1:$XFD$1, 0), 0)</f>
        <v>0.16154257325337007</v>
      </c>
      <c r="Y106" s="29">
        <f>VLOOKUP($B106, ind_mes!$B:$XFD, MATCH(gdp_ind_share!Y$1, ind_mes!$B$1:$XFD$1, 0), 0)/VLOOKUP($B106, gdp_tot_mes!$B:$XFD, MATCH(gdp_ind_share!Y$1, gdp_tot_mes!$B$1:$XFD$1, 0), 0)</f>
        <v>0.18193100231224402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x14ac:dyDescent="0.25">
      <c r="A107" s="1" t="s">
        <v>253</v>
      </c>
      <c r="B107" s="1" t="s">
        <v>256</v>
      </c>
      <c r="C107" s="1" t="s">
        <v>257</v>
      </c>
      <c r="D107" s="29">
        <f>VLOOKUP($B107, ind_mes!$B:$XFD, MATCH(gdp_ind_share!D$1, ind_mes!$B$1:$XFD$1, 0), 0)/VLOOKUP($B107, gdp_tot_mes!$B:$XFD, MATCH(gdp_ind_share!D$1, gdp_tot_mes!$B$1:$XFD$1, 0), 0)</f>
        <v>0.12138551557668541</v>
      </c>
      <c r="E107" s="29">
        <f>VLOOKUP($B107, ind_mes!$B:$XFD, MATCH(gdp_ind_share!E$1, ind_mes!$B$1:$XFD$1, 0), 0)/VLOOKUP($B107, gdp_tot_mes!$B:$XFD, MATCH(gdp_ind_share!E$1, gdp_tot_mes!$B$1:$XFD$1, 0), 0)</f>
        <v>0.23150510692024925</v>
      </c>
      <c r="F107" s="29">
        <f>VLOOKUP($B107, ind_mes!$B:$XFD, MATCH(gdp_ind_share!F$1, ind_mes!$B$1:$XFD$1, 0), 0)/VLOOKUP($B107, gdp_tot_mes!$B:$XFD, MATCH(gdp_ind_share!F$1, gdp_tot_mes!$B$1:$XFD$1, 0), 0)</f>
        <v>0.28018638998708301</v>
      </c>
      <c r="G107" s="29">
        <f>VLOOKUP($B107, ind_mes!$B:$XFD, MATCH(gdp_ind_share!G$1, ind_mes!$B$1:$XFD$1, 0), 0)/VLOOKUP($B107, gdp_tot_mes!$B:$XFD, MATCH(gdp_ind_share!G$1, gdp_tot_mes!$B$1:$XFD$1, 0), 0)</f>
        <v>0.3806692011654827</v>
      </c>
      <c r="H107" s="29">
        <f>VLOOKUP($B107, ind_mes!$B:$XFD, MATCH(gdp_ind_share!H$1, ind_mes!$B$1:$XFD$1, 0), 0)/VLOOKUP($B107, gdp_tot_mes!$B:$XFD, MATCH(gdp_ind_share!H$1, gdp_tot_mes!$B$1:$XFD$1, 0), 0)</f>
        <v>0.38836364729627537</v>
      </c>
      <c r="I107" s="29">
        <f>VLOOKUP($B107, ind_mes!$B:$XFD, MATCH(gdp_ind_share!I$1, ind_mes!$B$1:$XFD$1, 0), 0)/VLOOKUP($B107, gdp_tot_mes!$B:$XFD, MATCH(gdp_ind_share!I$1, gdp_tot_mes!$B$1:$XFD$1, 0), 0)</f>
        <v>0.53169274394169019</v>
      </c>
      <c r="J107" s="29">
        <f>VLOOKUP($B107, ind_mes!$B:$XFD, MATCH(gdp_ind_share!J$1, ind_mes!$B$1:$XFD$1, 0), 0)/VLOOKUP($B107, gdp_tot_mes!$B:$XFD, MATCH(gdp_ind_share!J$1, gdp_tot_mes!$B$1:$XFD$1, 0), 0)</f>
        <v>0.51966183946892575</v>
      </c>
      <c r="K107" s="29">
        <f>VLOOKUP($B107, ind_mes!$B:$XFD, MATCH(gdp_ind_share!K$1, ind_mes!$B$1:$XFD$1, 0), 0)/VLOOKUP($B107, gdp_tot_mes!$B:$XFD, MATCH(gdp_ind_share!K$1, gdp_tot_mes!$B$1:$XFD$1, 0), 0)</f>
        <v>0.47937339547334384</v>
      </c>
      <c r="L107" s="30">
        <f t="shared" si="1"/>
        <v>0.48464545442465412</v>
      </c>
      <c r="M107" s="29">
        <f>VLOOKUP($B107, ind_mes!$B:$XFD, MATCH(gdp_ind_share!M$1, ind_mes!$B$1:$XFD$1, 0), 0)/VLOOKUP($B107, gdp_tot_mes!$B:$XFD, MATCH(gdp_ind_share!M$1, gdp_tot_mes!$B$1:$XFD$1, 0), 0)</f>
        <v>0.4909719251662264</v>
      </c>
      <c r="N107" s="29">
        <f>VLOOKUP($B107, ind_mes!$B:$XFD, MATCH(gdp_ind_share!N$1, ind_mes!$B$1:$XFD$1, 0), 0)/VLOOKUP($B107, gdp_tot_mes!$B:$XFD, MATCH(gdp_ind_share!N$1, gdp_tot_mes!$B$1:$XFD$1, 0), 0)</f>
        <v>0.31251978242506462</v>
      </c>
      <c r="O107" s="29">
        <f>VLOOKUP($B107, ind_mes!$B:$XFD, MATCH(gdp_ind_share!O$1, ind_mes!$B$1:$XFD$1, 0), 0)/VLOOKUP($B107, gdp_tot_mes!$B:$XFD, MATCH(gdp_ind_share!O$1, gdp_tot_mes!$B$1:$XFD$1, 0), 0)</f>
        <v>0.33146172185119432</v>
      </c>
      <c r="P107" s="29">
        <f>VLOOKUP($B107, ind_mes!$B:$XFD, MATCH(gdp_ind_share!P$1, ind_mes!$B$1:$XFD$1, 0), 0)/VLOOKUP($B107, gdp_tot_mes!$B:$XFD, MATCH(gdp_ind_share!P$1, gdp_tot_mes!$B$1:$XFD$1, 0), 0)</f>
        <v>0.30701637293247702</v>
      </c>
      <c r="Q107" s="29">
        <f>VLOOKUP($B107, ind_mes!$B:$XFD, MATCH(gdp_ind_share!Q$1, ind_mes!$B$1:$XFD$1, 0), 0)/VLOOKUP($B107, gdp_tot_mes!$B:$XFD, MATCH(gdp_ind_share!Q$1, gdp_tot_mes!$B$1:$XFD$1, 0), 0)</f>
        <v>0.3126178072348485</v>
      </c>
      <c r="R107" s="29">
        <f>VLOOKUP($B107, ind_mes!$B:$XFD, MATCH(gdp_ind_share!R$1, ind_mes!$B$1:$XFD$1, 0), 0)/VLOOKUP($B107, gdp_tot_mes!$B:$XFD, MATCH(gdp_ind_share!R$1, gdp_tot_mes!$B$1:$XFD$1, 0), 0)</f>
        <v>0.31731724164954495</v>
      </c>
      <c r="S107" s="29">
        <f>VLOOKUP($B107, ind_mes!$B:$XFD, MATCH(gdp_ind_share!S$1, ind_mes!$B$1:$XFD$1, 0), 0)/VLOOKUP($B107, gdp_tot_mes!$B:$XFD, MATCH(gdp_ind_share!S$1, gdp_tot_mes!$B$1:$XFD$1, 0), 0)</f>
        <v>0.36675809416234689</v>
      </c>
      <c r="T107" s="29">
        <f>VLOOKUP($B107, ind_mes!$B:$XFD, MATCH(gdp_ind_share!T$1, ind_mes!$B$1:$XFD$1, 0), 0)/VLOOKUP($B107, gdp_tot_mes!$B:$XFD, MATCH(gdp_ind_share!T$1, gdp_tot_mes!$B$1:$XFD$1, 0), 0)</f>
        <v>0.34911727624046851</v>
      </c>
      <c r="U107" s="29">
        <f>VLOOKUP($B107, ind_mes!$B:$XFD, MATCH(gdp_ind_share!U$1, ind_mes!$B$1:$XFD$1, 0), 0)/VLOOKUP($B107, gdp_tot_mes!$B:$XFD, MATCH(gdp_ind_share!U$1, gdp_tot_mes!$B$1:$XFD$1, 0), 0)</f>
        <v>0.33912842816660971</v>
      </c>
      <c r="V107" s="29">
        <f>VLOOKUP($B107, ind_mes!$B:$XFD, MATCH(gdp_ind_share!V$1, ind_mes!$B$1:$XFD$1, 0), 0)/VLOOKUP($B107, gdp_tot_mes!$B:$XFD, MATCH(gdp_ind_share!V$1, gdp_tot_mes!$B$1:$XFD$1, 0), 0)</f>
        <v>0.32504356503816811</v>
      </c>
      <c r="W107" s="29">
        <f>VLOOKUP($B107, ind_mes!$B:$XFD, MATCH(gdp_ind_share!W$1, ind_mes!$B$1:$XFD$1, 0), 0)/VLOOKUP($B107, gdp_tot_mes!$B:$XFD, MATCH(gdp_ind_share!W$1, gdp_tot_mes!$B$1:$XFD$1, 0), 0)</f>
        <v>0.34205431512817602</v>
      </c>
      <c r="X107" s="29">
        <f>VLOOKUP($B107, ind_mes!$B:$XFD, MATCH(gdp_ind_share!X$1, ind_mes!$B$1:$XFD$1, 0), 0)/VLOOKUP($B107, gdp_tot_mes!$B:$XFD, MATCH(gdp_ind_share!X$1, gdp_tot_mes!$B$1:$XFD$1, 0), 0)</f>
        <v>0.32683636586611142</v>
      </c>
      <c r="Y107" s="29">
        <f>VLOOKUP($B107, ind_mes!$B:$XFD, MATCH(gdp_ind_share!Y$1, ind_mes!$B$1:$XFD$1, 0), 0)/VLOOKUP($B107, gdp_tot_mes!$B:$XFD, MATCH(gdp_ind_share!Y$1, gdp_tot_mes!$B$1:$XFD$1, 0), 0)</f>
        <v>0.35403604808703987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x14ac:dyDescent="0.25">
      <c r="A108" s="1" t="s">
        <v>253</v>
      </c>
      <c r="B108" s="1" t="s">
        <v>258</v>
      </c>
      <c r="C108" s="1" t="s">
        <v>259</v>
      </c>
      <c r="D108" s="29">
        <f>VLOOKUP($B108, ind_mes!$B:$XFD, MATCH(gdp_ind_share!D$1, ind_mes!$B$1:$XFD$1, 0), 0)/VLOOKUP($B108, gdp_tot_mes!$B:$XFD, MATCH(gdp_ind_share!D$1, gdp_tot_mes!$B$1:$XFD$1, 0), 0)</f>
        <v>0.16051970394171719</v>
      </c>
      <c r="E108" s="29">
        <f>VLOOKUP($B108, ind_mes!$B:$XFD, MATCH(gdp_ind_share!E$1, ind_mes!$B$1:$XFD$1, 0), 0)/VLOOKUP($B108, gdp_tot_mes!$B:$XFD, MATCH(gdp_ind_share!E$1, gdp_tot_mes!$B$1:$XFD$1, 0), 0)</f>
        <v>8.9229707889578805E-2</v>
      </c>
      <c r="F108" s="29">
        <f>VLOOKUP($B108, ind_mes!$B:$XFD, MATCH(gdp_ind_share!F$1, ind_mes!$B$1:$XFD$1, 0), 0)/VLOOKUP($B108, gdp_tot_mes!$B:$XFD, MATCH(gdp_ind_share!F$1, gdp_tot_mes!$B$1:$XFD$1, 0), 0)</f>
        <v>0.11495848674074161</v>
      </c>
      <c r="G108" s="29">
        <f>VLOOKUP($B108, ind_mes!$B:$XFD, MATCH(gdp_ind_share!G$1, ind_mes!$B$1:$XFD$1, 0), 0)/VLOOKUP($B108, gdp_tot_mes!$B:$XFD, MATCH(gdp_ind_share!G$1, gdp_tot_mes!$B$1:$XFD$1, 0), 0)</f>
        <v>0.11004392738742161</v>
      </c>
      <c r="H108" s="29">
        <f>VLOOKUP($B108, ind_mes!$B:$XFD, MATCH(gdp_ind_share!H$1, ind_mes!$B$1:$XFD$1, 0), 0)/VLOOKUP($B108, gdp_tot_mes!$B:$XFD, MATCH(gdp_ind_share!H$1, gdp_tot_mes!$B$1:$XFD$1, 0), 0)</f>
        <v>0.12882800377931089</v>
      </c>
      <c r="I108" s="29">
        <f>VLOOKUP($B108, ind_mes!$B:$XFD, MATCH(gdp_ind_share!I$1, ind_mes!$B$1:$XFD$1, 0), 0)/VLOOKUP($B108, gdp_tot_mes!$B:$XFD, MATCH(gdp_ind_share!I$1, gdp_tot_mes!$B$1:$XFD$1, 0), 0)</f>
        <v>0.16973593589489669</v>
      </c>
      <c r="J108" s="29">
        <f>VLOOKUP($B108, ind_mes!$B:$XFD, MATCH(gdp_ind_share!J$1, ind_mes!$B$1:$XFD$1, 0), 0)/VLOOKUP($B108, gdp_tot_mes!$B:$XFD, MATCH(gdp_ind_share!J$1, gdp_tot_mes!$B$1:$XFD$1, 0), 0)</f>
        <v>0.16638728002919645</v>
      </c>
      <c r="K108" s="29">
        <f>VLOOKUP($B108, ind_mes!$B:$XFD, MATCH(gdp_ind_share!K$1, ind_mes!$B$1:$XFD$1, 0), 0)/VLOOKUP($B108, gdp_tot_mes!$B:$XFD, MATCH(gdp_ind_share!K$1, gdp_tot_mes!$B$1:$XFD$1, 0), 0)</f>
        <v>0.13657014833142894</v>
      </c>
      <c r="L108" s="30">
        <f t="shared" si="1"/>
        <v>0.12189439297703965</v>
      </c>
      <c r="M108" s="29">
        <f>VLOOKUP($B108, ind_mes!$B:$XFD, MATCH(gdp_ind_share!M$1, ind_mes!$B$1:$XFD$1, 0), 0)/VLOOKUP($B108, gdp_tot_mes!$B:$XFD, MATCH(gdp_ind_share!M$1, gdp_tot_mes!$B$1:$XFD$1, 0), 0)</f>
        <v>0.1042834865517725</v>
      </c>
      <c r="N108" s="29">
        <f>VLOOKUP($B108, ind_mes!$B:$XFD, MATCH(gdp_ind_share!N$1, ind_mes!$B$1:$XFD$1, 0), 0)/VLOOKUP($B108, gdp_tot_mes!$B:$XFD, MATCH(gdp_ind_share!N$1, gdp_tot_mes!$B$1:$XFD$1, 0), 0)</f>
        <v>0.1272697581282172</v>
      </c>
      <c r="O108" s="29">
        <f>VLOOKUP($B108, ind_mes!$B:$XFD, MATCH(gdp_ind_share!O$1, ind_mes!$B$1:$XFD$1, 0), 0)/VLOOKUP($B108, gdp_tot_mes!$B:$XFD, MATCH(gdp_ind_share!O$1, gdp_tot_mes!$B$1:$XFD$1, 0), 0)</f>
        <v>0.14267896432289515</v>
      </c>
      <c r="P108" s="29">
        <f>VLOOKUP($B108, ind_mes!$B:$XFD, MATCH(gdp_ind_share!P$1, ind_mes!$B$1:$XFD$1, 0), 0)/VLOOKUP($B108, gdp_tot_mes!$B:$XFD, MATCH(gdp_ind_share!P$1, gdp_tot_mes!$B$1:$XFD$1, 0), 0)</f>
        <v>0.1313454127186709</v>
      </c>
      <c r="Q108" s="29">
        <f>VLOOKUP($B108, ind_mes!$B:$XFD, MATCH(gdp_ind_share!Q$1, ind_mes!$B$1:$XFD$1, 0), 0)/VLOOKUP($B108, gdp_tot_mes!$B:$XFD, MATCH(gdp_ind_share!Q$1, gdp_tot_mes!$B$1:$XFD$1, 0), 0)</f>
        <v>0.15374052365609583</v>
      </c>
      <c r="R108" s="29">
        <f>VLOOKUP($B108, ind_mes!$B:$XFD, MATCH(gdp_ind_share!R$1, ind_mes!$B$1:$XFD$1, 0), 0)/VLOOKUP($B108, gdp_tot_mes!$B:$XFD, MATCH(gdp_ind_share!R$1, gdp_tot_mes!$B$1:$XFD$1, 0), 0)</f>
        <v>0.12827533505532171</v>
      </c>
      <c r="S108" s="29">
        <f>VLOOKUP($B108, ind_mes!$B:$XFD, MATCH(gdp_ind_share!S$1, ind_mes!$B$1:$XFD$1, 0), 0)/VLOOKUP($B108, gdp_tot_mes!$B:$XFD, MATCH(gdp_ind_share!S$1, gdp_tot_mes!$B$1:$XFD$1, 0), 0)</f>
        <v>0.1361281207164983</v>
      </c>
      <c r="T108" s="29">
        <f>VLOOKUP($B108, ind_mes!$B:$XFD, MATCH(gdp_ind_share!T$1, ind_mes!$B$1:$XFD$1, 0), 0)/VLOOKUP($B108, gdp_tot_mes!$B:$XFD, MATCH(gdp_ind_share!T$1, gdp_tot_mes!$B$1:$XFD$1, 0), 0)</f>
        <v>0.13440303376546667</v>
      </c>
      <c r="U108" s="29">
        <f>VLOOKUP($B108, ind_mes!$B:$XFD, MATCH(gdp_ind_share!U$1, ind_mes!$B$1:$XFD$1, 0), 0)/VLOOKUP($B108, gdp_tot_mes!$B:$XFD, MATCH(gdp_ind_share!U$1, gdp_tot_mes!$B$1:$XFD$1, 0), 0)</f>
        <v>0.12893321457081031</v>
      </c>
      <c r="V108" s="29">
        <f>VLOOKUP($B108, ind_mes!$B:$XFD, MATCH(gdp_ind_share!V$1, ind_mes!$B$1:$XFD$1, 0), 0)/VLOOKUP($B108, gdp_tot_mes!$B:$XFD, MATCH(gdp_ind_share!V$1, gdp_tot_mes!$B$1:$XFD$1, 0), 0)</f>
        <v>0.13108656436810917</v>
      </c>
      <c r="W108" s="29">
        <f>VLOOKUP($B108, ind_mes!$B:$XFD, MATCH(gdp_ind_share!W$1, ind_mes!$B$1:$XFD$1, 0), 0)/VLOOKUP($B108, gdp_tot_mes!$B:$XFD, MATCH(gdp_ind_share!W$1, gdp_tot_mes!$B$1:$XFD$1, 0), 0)</f>
        <v>0.13102414981587468</v>
      </c>
      <c r="X108" s="29">
        <f>VLOOKUP($B108, ind_mes!$B:$XFD, MATCH(gdp_ind_share!X$1, ind_mes!$B$1:$XFD$1, 0), 0)/VLOOKUP($B108, gdp_tot_mes!$B:$XFD, MATCH(gdp_ind_share!X$1, gdp_tot_mes!$B$1:$XFD$1, 0), 0)</f>
        <v>0.1374906529301933</v>
      </c>
      <c r="Y108" s="29">
        <f>VLOOKUP($B108, ind_mes!$B:$XFD, MATCH(gdp_ind_share!Y$1, ind_mes!$B$1:$XFD$1, 0), 0)/VLOOKUP($B108, gdp_tot_mes!$B:$XFD, MATCH(gdp_ind_share!Y$1, gdp_tot_mes!$B$1:$XFD$1, 0), 0)</f>
        <v>0.13259707937332038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x14ac:dyDescent="0.25">
      <c r="A109" s="1" t="s">
        <v>253</v>
      </c>
      <c r="B109" s="1" t="s">
        <v>260</v>
      </c>
      <c r="C109" s="1" t="s">
        <v>261</v>
      </c>
      <c r="D109" s="29">
        <f>VLOOKUP($B109, ind_mes!$B:$XFD, MATCH(gdp_ind_share!D$1, ind_mes!$B$1:$XFD$1, 0), 0)/VLOOKUP($B109, gdp_tot_mes!$B:$XFD, MATCH(gdp_ind_share!D$1, gdp_tot_mes!$B$1:$XFD$1, 0), 0)</f>
        <v>8.7384380442613707E-2</v>
      </c>
      <c r="E109" s="29">
        <f>VLOOKUP($B109, ind_mes!$B:$XFD, MATCH(gdp_ind_share!E$1, ind_mes!$B$1:$XFD$1, 0), 0)/VLOOKUP($B109, gdp_tot_mes!$B:$XFD, MATCH(gdp_ind_share!E$1, gdp_tot_mes!$B$1:$XFD$1, 0), 0)</f>
        <v>0.11214950581543023</v>
      </c>
      <c r="F109" s="29">
        <f>VLOOKUP($B109, ind_mes!$B:$XFD, MATCH(gdp_ind_share!F$1, ind_mes!$B$1:$XFD$1, 0), 0)/VLOOKUP($B109, gdp_tot_mes!$B:$XFD, MATCH(gdp_ind_share!F$1, gdp_tot_mes!$B$1:$XFD$1, 0), 0)</f>
        <v>0.14404955023129007</v>
      </c>
      <c r="G109" s="29">
        <f>VLOOKUP($B109, ind_mes!$B:$XFD, MATCH(gdp_ind_share!G$1, ind_mes!$B$1:$XFD$1, 0), 0)/VLOOKUP($B109, gdp_tot_mes!$B:$XFD, MATCH(gdp_ind_share!G$1, gdp_tot_mes!$B$1:$XFD$1, 0), 0)</f>
        <v>0.21580567634872869</v>
      </c>
      <c r="H109" s="29">
        <f>VLOOKUP($B109, ind_mes!$B:$XFD, MATCH(gdp_ind_share!H$1, ind_mes!$B$1:$XFD$1, 0), 0)/VLOOKUP($B109, gdp_tot_mes!$B:$XFD, MATCH(gdp_ind_share!H$1, gdp_tot_mes!$B$1:$XFD$1, 0), 0)</f>
        <v>0.21190745736549249</v>
      </c>
      <c r="I109" s="29">
        <f>VLOOKUP($B109, ind_mes!$B:$XFD, MATCH(gdp_ind_share!I$1, ind_mes!$B$1:$XFD$1, 0), 0)/VLOOKUP($B109, gdp_tot_mes!$B:$XFD, MATCH(gdp_ind_share!I$1, gdp_tot_mes!$B$1:$XFD$1, 0), 0)</f>
        <v>0.37548087070210467</v>
      </c>
      <c r="J109" s="29">
        <f>VLOOKUP($B109, ind_mes!$B:$XFD, MATCH(gdp_ind_share!J$1, ind_mes!$B$1:$XFD$1, 0), 0)/VLOOKUP($B109, gdp_tot_mes!$B:$XFD, MATCH(gdp_ind_share!J$1, gdp_tot_mes!$B$1:$XFD$1, 0), 0)</f>
        <v>0.43258705466779485</v>
      </c>
      <c r="K109" s="29">
        <f>VLOOKUP($B109, ind_mes!$B:$XFD, MATCH(gdp_ind_share!K$1, ind_mes!$B$1:$XFD$1, 0), 0)/VLOOKUP($B109, gdp_tot_mes!$B:$XFD, MATCH(gdp_ind_share!K$1, gdp_tot_mes!$B$1:$XFD$1, 0), 0)</f>
        <v>0.41003431176256239</v>
      </c>
      <c r="L109" s="30">
        <f t="shared" si="1"/>
        <v>0.40560308687069241</v>
      </c>
      <c r="M109" s="29">
        <f>VLOOKUP($B109, ind_mes!$B:$XFD, MATCH(gdp_ind_share!M$1, ind_mes!$B$1:$XFD$1, 0), 0)/VLOOKUP($B109, gdp_tot_mes!$B:$XFD, MATCH(gdp_ind_share!M$1, gdp_tot_mes!$B$1:$XFD$1, 0), 0)</f>
        <v>0.4002856170004484</v>
      </c>
      <c r="N109" s="29">
        <f>VLOOKUP($B109, ind_mes!$B:$XFD, MATCH(gdp_ind_share!N$1, ind_mes!$B$1:$XFD$1, 0), 0)/VLOOKUP($B109, gdp_tot_mes!$B:$XFD, MATCH(gdp_ind_share!N$1, gdp_tot_mes!$B$1:$XFD$1, 0), 0)</f>
        <v>0.32785342509640536</v>
      </c>
      <c r="O109" s="29">
        <f>VLOOKUP($B109, ind_mes!$B:$XFD, MATCH(gdp_ind_share!O$1, ind_mes!$B$1:$XFD$1, 0), 0)/VLOOKUP($B109, gdp_tot_mes!$B:$XFD, MATCH(gdp_ind_share!O$1, gdp_tot_mes!$B$1:$XFD$1, 0), 0)</f>
        <v>0.33355541062187466</v>
      </c>
      <c r="P109" s="29">
        <f>VLOOKUP($B109, ind_mes!$B:$XFD, MATCH(gdp_ind_share!P$1, ind_mes!$B$1:$XFD$1, 0), 0)/VLOOKUP($B109, gdp_tot_mes!$B:$XFD, MATCH(gdp_ind_share!P$1, gdp_tot_mes!$B$1:$XFD$1, 0), 0)</f>
        <v>0.31145177896519605</v>
      </c>
      <c r="Q109" s="29">
        <f>VLOOKUP($B109, ind_mes!$B:$XFD, MATCH(gdp_ind_share!Q$1, ind_mes!$B$1:$XFD$1, 0), 0)/VLOOKUP($B109, gdp_tot_mes!$B:$XFD, MATCH(gdp_ind_share!Q$1, gdp_tot_mes!$B$1:$XFD$1, 0), 0)</f>
        <v>0.31607029127806352</v>
      </c>
      <c r="R109" s="29">
        <f>VLOOKUP($B109, ind_mes!$B:$XFD, MATCH(gdp_ind_share!R$1, ind_mes!$B$1:$XFD$1, 0), 0)/VLOOKUP($B109, gdp_tot_mes!$B:$XFD, MATCH(gdp_ind_share!R$1, gdp_tot_mes!$B$1:$XFD$1, 0), 0)</f>
        <v>0.26126338994332382</v>
      </c>
      <c r="S109" s="29">
        <f>VLOOKUP($B109, ind_mes!$B:$XFD, MATCH(gdp_ind_share!S$1, ind_mes!$B$1:$XFD$1, 0), 0)/VLOOKUP($B109, gdp_tot_mes!$B:$XFD, MATCH(gdp_ind_share!S$1, gdp_tot_mes!$B$1:$XFD$1, 0), 0)</f>
        <v>0.25894852618759318</v>
      </c>
      <c r="T109" s="29">
        <f>VLOOKUP($B109, ind_mes!$B:$XFD, MATCH(gdp_ind_share!T$1, ind_mes!$B$1:$XFD$1, 0), 0)/VLOOKUP($B109, gdp_tot_mes!$B:$XFD, MATCH(gdp_ind_share!T$1, gdp_tot_mes!$B$1:$XFD$1, 0), 0)</f>
        <v>0.2347240448878701</v>
      </c>
      <c r="U109" s="29">
        <f>VLOOKUP($B109, ind_mes!$B:$XFD, MATCH(gdp_ind_share!U$1, ind_mes!$B$1:$XFD$1, 0), 0)/VLOOKUP($B109, gdp_tot_mes!$B:$XFD, MATCH(gdp_ind_share!U$1, gdp_tot_mes!$B$1:$XFD$1, 0), 0)</f>
        <v>0.23316637037495697</v>
      </c>
      <c r="V109" s="29">
        <f>VLOOKUP($B109, ind_mes!$B:$XFD, MATCH(gdp_ind_share!V$1, ind_mes!$B$1:$XFD$1, 0), 0)/VLOOKUP($B109, gdp_tot_mes!$B:$XFD, MATCH(gdp_ind_share!V$1, gdp_tot_mes!$B$1:$XFD$1, 0), 0)</f>
        <v>0.20203666424481925</v>
      </c>
      <c r="W109" s="29">
        <f>VLOOKUP($B109, ind_mes!$B:$XFD, MATCH(gdp_ind_share!W$1, ind_mes!$B$1:$XFD$1, 0), 0)/VLOOKUP($B109, gdp_tot_mes!$B:$XFD, MATCH(gdp_ind_share!W$1, gdp_tot_mes!$B$1:$XFD$1, 0), 0)</f>
        <v>0.22274591091959905</v>
      </c>
      <c r="X109" s="29">
        <f>VLOOKUP($B109, ind_mes!$B:$XFD, MATCH(gdp_ind_share!X$1, ind_mes!$B$1:$XFD$1, 0), 0)/VLOOKUP($B109, gdp_tot_mes!$B:$XFD, MATCH(gdp_ind_share!X$1, gdp_tot_mes!$B$1:$XFD$1, 0), 0)</f>
        <v>0.20290812188731261</v>
      </c>
      <c r="Y109" s="29">
        <f>VLOOKUP($B109, ind_mes!$B:$XFD, MATCH(gdp_ind_share!Y$1, ind_mes!$B$1:$XFD$1, 0), 0)/VLOOKUP($B109, gdp_tot_mes!$B:$XFD, MATCH(gdp_ind_share!Y$1, gdp_tot_mes!$B$1:$XFD$1, 0), 0)</f>
        <v>0.22479935795900513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x14ac:dyDescent="0.25">
      <c r="A110" s="1" t="s">
        <v>253</v>
      </c>
      <c r="B110" s="1" t="s">
        <v>262</v>
      </c>
      <c r="C110" s="1" t="s">
        <v>263</v>
      </c>
      <c r="D110" s="29">
        <f>VLOOKUP($B110, ind_mes!$B:$XFD, MATCH(gdp_ind_share!D$1, ind_mes!$B$1:$XFD$1, 0), 0)/VLOOKUP($B110, gdp_tot_mes!$B:$XFD, MATCH(gdp_ind_share!D$1, gdp_tot_mes!$B$1:$XFD$1, 0), 0)</f>
        <v>0.22521529959992162</v>
      </c>
      <c r="E110" s="29">
        <f>VLOOKUP($B110, ind_mes!$B:$XFD, MATCH(gdp_ind_share!E$1, ind_mes!$B$1:$XFD$1, 0), 0)/VLOOKUP($B110, gdp_tot_mes!$B:$XFD, MATCH(gdp_ind_share!E$1, gdp_tot_mes!$B$1:$XFD$1, 0), 0)</f>
        <v>0.21637418229482694</v>
      </c>
      <c r="F110" s="29">
        <f>VLOOKUP($B110, ind_mes!$B:$XFD, MATCH(gdp_ind_share!F$1, ind_mes!$B$1:$XFD$1, 0), 0)/VLOOKUP($B110, gdp_tot_mes!$B:$XFD, MATCH(gdp_ind_share!F$1, gdp_tot_mes!$B$1:$XFD$1, 0), 0)</f>
        <v>0.27094842246058592</v>
      </c>
      <c r="G110" s="29">
        <f>VLOOKUP($B110, ind_mes!$B:$XFD, MATCH(gdp_ind_share!G$1, ind_mes!$B$1:$XFD$1, 0), 0)/VLOOKUP($B110, gdp_tot_mes!$B:$XFD, MATCH(gdp_ind_share!G$1, gdp_tot_mes!$B$1:$XFD$1, 0), 0)</f>
        <v>0.33579061637440788</v>
      </c>
      <c r="H110" s="29">
        <f>VLOOKUP($B110, ind_mes!$B:$XFD, MATCH(gdp_ind_share!H$1, ind_mes!$B$1:$XFD$1, 0), 0)/VLOOKUP($B110, gdp_tot_mes!$B:$XFD, MATCH(gdp_ind_share!H$1, gdp_tot_mes!$B$1:$XFD$1, 0), 0)</f>
        <v>0.37607766135397397</v>
      </c>
      <c r="I110" s="29">
        <f>VLOOKUP($B110, ind_mes!$B:$XFD, MATCH(gdp_ind_share!I$1, ind_mes!$B$1:$XFD$1, 0), 0)/VLOOKUP($B110, gdp_tot_mes!$B:$XFD, MATCH(gdp_ind_share!I$1, gdp_tot_mes!$B$1:$XFD$1, 0), 0)</f>
        <v>0.44694558845598092</v>
      </c>
      <c r="J110" s="29">
        <f>VLOOKUP($B110, ind_mes!$B:$XFD, MATCH(gdp_ind_share!J$1, ind_mes!$B$1:$XFD$1, 0), 0)/VLOOKUP($B110, gdp_tot_mes!$B:$XFD, MATCH(gdp_ind_share!J$1, gdp_tot_mes!$B$1:$XFD$1, 0), 0)</f>
        <v>0.43190316338134649</v>
      </c>
      <c r="K110" s="29">
        <f>VLOOKUP($B110, ind_mes!$B:$XFD, MATCH(gdp_ind_share!K$1, ind_mes!$B$1:$XFD$1, 0), 0)/VLOOKUP($B110, gdp_tot_mes!$B:$XFD, MATCH(gdp_ind_share!K$1, gdp_tot_mes!$B$1:$XFD$1, 0), 0)</f>
        <v>0.42259754983426934</v>
      </c>
      <c r="L110" s="30">
        <f t="shared" si="1"/>
        <v>0.39812801456656915</v>
      </c>
      <c r="M110" s="29">
        <f>VLOOKUP($B110, ind_mes!$B:$XFD, MATCH(gdp_ind_share!M$1, ind_mes!$B$1:$XFD$1, 0), 0)/VLOOKUP($B110, gdp_tot_mes!$B:$XFD, MATCH(gdp_ind_share!M$1, gdp_tot_mes!$B$1:$XFD$1, 0), 0)</f>
        <v>0.36876457224532894</v>
      </c>
      <c r="N110" s="29">
        <f>VLOOKUP($B110, ind_mes!$B:$XFD, MATCH(gdp_ind_share!N$1, ind_mes!$B$1:$XFD$1, 0), 0)/VLOOKUP($B110, gdp_tot_mes!$B:$XFD, MATCH(gdp_ind_share!N$1, gdp_tot_mes!$B$1:$XFD$1, 0), 0)</f>
        <v>0.25208738442813627</v>
      </c>
      <c r="O110" s="29">
        <f>VLOOKUP($B110, ind_mes!$B:$XFD, MATCH(gdp_ind_share!O$1, ind_mes!$B$1:$XFD$1, 0), 0)/VLOOKUP($B110, gdp_tot_mes!$B:$XFD, MATCH(gdp_ind_share!O$1, gdp_tot_mes!$B$1:$XFD$1, 0), 0)</f>
        <v>0.28209078704070212</v>
      </c>
      <c r="P110" s="29">
        <f>VLOOKUP($B110, ind_mes!$B:$XFD, MATCH(gdp_ind_share!P$1, ind_mes!$B$1:$XFD$1, 0), 0)/VLOOKUP($B110, gdp_tot_mes!$B:$XFD, MATCH(gdp_ind_share!P$1, gdp_tot_mes!$B$1:$XFD$1, 0), 0)</f>
        <v>0.2671728237686618</v>
      </c>
      <c r="Q110" s="29">
        <f>VLOOKUP($B110, ind_mes!$B:$XFD, MATCH(gdp_ind_share!Q$1, ind_mes!$B$1:$XFD$1, 0), 0)/VLOOKUP($B110, gdp_tot_mes!$B:$XFD, MATCH(gdp_ind_share!Q$1, gdp_tot_mes!$B$1:$XFD$1, 0), 0)</f>
        <v>0.2157294612034765</v>
      </c>
      <c r="R110" s="29">
        <f>VLOOKUP($B110, ind_mes!$B:$XFD, MATCH(gdp_ind_share!R$1, ind_mes!$B$1:$XFD$1, 0), 0)/VLOOKUP($B110, gdp_tot_mes!$B:$XFD, MATCH(gdp_ind_share!R$1, gdp_tot_mes!$B$1:$XFD$1, 0), 0)</f>
        <v>0.24226365244622944</v>
      </c>
      <c r="S110" s="29">
        <f>VLOOKUP($B110, ind_mes!$B:$XFD, MATCH(gdp_ind_share!S$1, ind_mes!$B$1:$XFD$1, 0), 0)/VLOOKUP($B110, gdp_tot_mes!$B:$XFD, MATCH(gdp_ind_share!S$1, gdp_tot_mes!$B$1:$XFD$1, 0), 0)</f>
        <v>0.25067657812809768</v>
      </c>
      <c r="T110" s="29">
        <f>VLOOKUP($B110, ind_mes!$B:$XFD, MATCH(gdp_ind_share!T$1, ind_mes!$B$1:$XFD$1, 0), 0)/VLOOKUP($B110, gdp_tot_mes!$B:$XFD, MATCH(gdp_ind_share!T$1, gdp_tot_mes!$B$1:$XFD$1, 0), 0)</f>
        <v>0.23966694572357053</v>
      </c>
      <c r="U110" s="29">
        <f>VLOOKUP($B110, ind_mes!$B:$XFD, MATCH(gdp_ind_share!U$1, ind_mes!$B$1:$XFD$1, 0), 0)/VLOOKUP($B110, gdp_tot_mes!$B:$XFD, MATCH(gdp_ind_share!U$1, gdp_tot_mes!$B$1:$XFD$1, 0), 0)</f>
        <v>0.22622423601426062</v>
      </c>
      <c r="V110" s="29">
        <f>VLOOKUP($B110, ind_mes!$B:$XFD, MATCH(gdp_ind_share!V$1, ind_mes!$B$1:$XFD$1, 0), 0)/VLOOKUP($B110, gdp_tot_mes!$B:$XFD, MATCH(gdp_ind_share!V$1, gdp_tot_mes!$B$1:$XFD$1, 0), 0)</f>
        <v>0.2224917527019751</v>
      </c>
      <c r="W110" s="29">
        <f>VLOOKUP($B110, ind_mes!$B:$XFD, MATCH(gdp_ind_share!W$1, ind_mes!$B$1:$XFD$1, 0), 0)/VLOOKUP($B110, gdp_tot_mes!$B:$XFD, MATCH(gdp_ind_share!W$1, gdp_tot_mes!$B$1:$XFD$1, 0), 0)</f>
        <v>0.21729056069312724</v>
      </c>
      <c r="X110" s="29">
        <f>VLOOKUP($B110, ind_mes!$B:$XFD, MATCH(gdp_ind_share!X$1, ind_mes!$B$1:$XFD$1, 0), 0)/VLOOKUP($B110, gdp_tot_mes!$B:$XFD, MATCH(gdp_ind_share!X$1, gdp_tot_mes!$B$1:$XFD$1, 0), 0)</f>
        <v>0.25419375952921919</v>
      </c>
      <c r="Y110" s="29">
        <f>VLOOKUP($B110, ind_mes!$B:$XFD, MATCH(gdp_ind_share!Y$1, ind_mes!$B$1:$XFD$1, 0), 0)/VLOOKUP($B110, gdp_tot_mes!$B:$XFD, MATCH(gdp_ind_share!Y$1, gdp_tot_mes!$B$1:$XFD$1, 0), 0)</f>
        <v>0.24585360690396701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x14ac:dyDescent="0.25">
      <c r="A111" s="1" t="s">
        <v>253</v>
      </c>
      <c r="B111" s="1" t="s">
        <v>264</v>
      </c>
      <c r="C111" s="1" t="s">
        <v>265</v>
      </c>
      <c r="D111" s="29">
        <f>VLOOKUP($B111, ind_mes!$B:$XFD, MATCH(gdp_ind_share!D$1, ind_mes!$B$1:$XFD$1, 0), 0)/VLOOKUP($B111, gdp_tot_mes!$B:$XFD, MATCH(gdp_ind_share!D$1, gdp_tot_mes!$B$1:$XFD$1, 0), 0)</f>
        <v>0.204905056403761</v>
      </c>
      <c r="E111" s="29">
        <f>VLOOKUP($B111, ind_mes!$B:$XFD, MATCH(gdp_ind_share!E$1, ind_mes!$B$1:$XFD$1, 0), 0)/VLOOKUP($B111, gdp_tot_mes!$B:$XFD, MATCH(gdp_ind_share!E$1, gdp_tot_mes!$B$1:$XFD$1, 0), 0)</f>
        <v>0.11697951776044622</v>
      </c>
      <c r="F111" s="29">
        <f>VLOOKUP($B111, ind_mes!$B:$XFD, MATCH(gdp_ind_share!F$1, ind_mes!$B$1:$XFD$1, 0), 0)/VLOOKUP($B111, gdp_tot_mes!$B:$XFD, MATCH(gdp_ind_share!F$1, gdp_tot_mes!$B$1:$XFD$1, 0), 0)</f>
        <v>0.15946668165795577</v>
      </c>
      <c r="G111" s="29">
        <f>VLOOKUP($B111, ind_mes!$B:$XFD, MATCH(gdp_ind_share!G$1, ind_mes!$B$1:$XFD$1, 0), 0)/VLOOKUP($B111, gdp_tot_mes!$B:$XFD, MATCH(gdp_ind_share!G$1, gdp_tot_mes!$B$1:$XFD$1, 0), 0)</f>
        <v>0.19571181802238466</v>
      </c>
      <c r="H111" s="29">
        <f>VLOOKUP($B111, ind_mes!$B:$XFD, MATCH(gdp_ind_share!H$1, ind_mes!$B$1:$XFD$1, 0), 0)/VLOOKUP($B111, gdp_tot_mes!$B:$XFD, MATCH(gdp_ind_share!H$1, gdp_tot_mes!$B$1:$XFD$1, 0), 0)</f>
        <v>0.13974965873057585</v>
      </c>
      <c r="I111" s="29">
        <f>VLOOKUP($B111, ind_mes!$B:$XFD, MATCH(gdp_ind_share!I$1, ind_mes!$B$1:$XFD$1, 0), 0)/VLOOKUP($B111, gdp_tot_mes!$B:$XFD, MATCH(gdp_ind_share!I$1, gdp_tot_mes!$B$1:$XFD$1, 0), 0)</f>
        <v>0.21143256497310101</v>
      </c>
      <c r="J111" s="29">
        <f>VLOOKUP($B111, ind_mes!$B:$XFD, MATCH(gdp_ind_share!J$1, ind_mes!$B$1:$XFD$1, 0), 0)/VLOOKUP($B111, gdp_tot_mes!$B:$XFD, MATCH(gdp_ind_share!J$1, gdp_tot_mes!$B$1:$XFD$1, 0), 0)</f>
        <v>0.20375028919043559</v>
      </c>
      <c r="K111" s="29">
        <f>VLOOKUP($B111, ind_mes!$B:$XFD, MATCH(gdp_ind_share!K$1, ind_mes!$B$1:$XFD$1, 0), 0)/VLOOKUP($B111, gdp_tot_mes!$B:$XFD, MATCH(gdp_ind_share!K$1, gdp_tot_mes!$B$1:$XFD$1, 0), 0)</f>
        <v>0.21499579506907596</v>
      </c>
      <c r="L111" s="30">
        <f t="shared" si="1"/>
        <v>0.17036810015898923</v>
      </c>
      <c r="M111" s="29">
        <f>VLOOKUP($B111, ind_mes!$B:$XFD, MATCH(gdp_ind_share!M$1, ind_mes!$B$1:$XFD$1, 0), 0)/VLOOKUP($B111, gdp_tot_mes!$B:$XFD, MATCH(gdp_ind_share!M$1, gdp_tot_mes!$B$1:$XFD$1, 0), 0)</f>
        <v>0.11681486626688513</v>
      </c>
      <c r="N111" s="29">
        <f>VLOOKUP($B111, ind_mes!$B:$XFD, MATCH(gdp_ind_share!N$1, ind_mes!$B$1:$XFD$1, 0), 0)/VLOOKUP($B111, gdp_tot_mes!$B:$XFD, MATCH(gdp_ind_share!N$1, gdp_tot_mes!$B$1:$XFD$1, 0), 0)</f>
        <v>0.15135299312891848</v>
      </c>
      <c r="O111" s="29">
        <f>VLOOKUP($B111, ind_mes!$B:$XFD, MATCH(gdp_ind_share!O$1, ind_mes!$B$1:$XFD$1, 0), 0)/VLOOKUP($B111, gdp_tot_mes!$B:$XFD, MATCH(gdp_ind_share!O$1, gdp_tot_mes!$B$1:$XFD$1, 0), 0)</f>
        <v>0.15843725269990333</v>
      </c>
      <c r="P111" s="29">
        <f>VLOOKUP($B111, ind_mes!$B:$XFD, MATCH(gdp_ind_share!P$1, ind_mes!$B$1:$XFD$1, 0), 0)/VLOOKUP($B111, gdp_tot_mes!$B:$XFD, MATCH(gdp_ind_share!P$1, gdp_tot_mes!$B$1:$XFD$1, 0), 0)</f>
        <v>0.15402231506287081</v>
      </c>
      <c r="Q111" s="29">
        <f>VLOOKUP($B111, ind_mes!$B:$XFD, MATCH(gdp_ind_share!Q$1, ind_mes!$B$1:$XFD$1, 0), 0)/VLOOKUP($B111, gdp_tot_mes!$B:$XFD, MATCH(gdp_ind_share!Q$1, gdp_tot_mes!$B$1:$XFD$1, 0), 0)</f>
        <v>9.6828625556929268E-2</v>
      </c>
      <c r="R111" s="29">
        <f>VLOOKUP($B111, ind_mes!$B:$XFD, MATCH(gdp_ind_share!R$1, ind_mes!$B$1:$XFD$1, 0), 0)/VLOOKUP($B111, gdp_tot_mes!$B:$XFD, MATCH(gdp_ind_share!R$1, gdp_tot_mes!$B$1:$XFD$1, 0), 0)</f>
        <v>9.5615383451304298E-2</v>
      </c>
      <c r="S111" s="29">
        <f>VLOOKUP($B111, ind_mes!$B:$XFD, MATCH(gdp_ind_share!S$1, ind_mes!$B$1:$XFD$1, 0), 0)/VLOOKUP($B111, gdp_tot_mes!$B:$XFD, MATCH(gdp_ind_share!S$1, gdp_tot_mes!$B$1:$XFD$1, 0), 0)</f>
        <v>9.5916800982434852E-2</v>
      </c>
      <c r="T111" s="29">
        <f>VLOOKUP($B111, ind_mes!$B:$XFD, MATCH(gdp_ind_share!T$1, ind_mes!$B$1:$XFD$1, 0), 0)/VLOOKUP($B111, gdp_tot_mes!$B:$XFD, MATCH(gdp_ind_share!T$1, gdp_tot_mes!$B$1:$XFD$1, 0), 0)</f>
        <v>9.4601147438848288E-2</v>
      </c>
      <c r="U111" s="29">
        <f>VLOOKUP($B111, ind_mes!$B:$XFD, MATCH(gdp_ind_share!U$1, ind_mes!$B$1:$XFD$1, 0), 0)/VLOOKUP($B111, gdp_tot_mes!$B:$XFD, MATCH(gdp_ind_share!U$1, gdp_tot_mes!$B$1:$XFD$1, 0), 0)</f>
        <v>8.0164292005477228E-2</v>
      </c>
      <c r="V111" s="29">
        <f>VLOOKUP($B111, ind_mes!$B:$XFD, MATCH(gdp_ind_share!V$1, ind_mes!$B$1:$XFD$1, 0), 0)/VLOOKUP($B111, gdp_tot_mes!$B:$XFD, MATCH(gdp_ind_share!V$1, gdp_tot_mes!$B$1:$XFD$1, 0), 0)</f>
        <v>7.4319978912821702E-2</v>
      </c>
      <c r="W111" s="29">
        <f>VLOOKUP($B111, ind_mes!$B:$XFD, MATCH(gdp_ind_share!W$1, ind_mes!$B$1:$XFD$1, 0), 0)/VLOOKUP($B111, gdp_tot_mes!$B:$XFD, MATCH(gdp_ind_share!W$1, gdp_tot_mes!$B$1:$XFD$1, 0), 0)</f>
        <v>8.1306634210846648E-2</v>
      </c>
      <c r="X111" s="29">
        <f>VLOOKUP($B111, ind_mes!$B:$XFD, MATCH(gdp_ind_share!X$1, ind_mes!$B$1:$XFD$1, 0), 0)/VLOOKUP($B111, gdp_tot_mes!$B:$XFD, MATCH(gdp_ind_share!X$1, gdp_tot_mes!$B$1:$XFD$1, 0), 0)</f>
        <v>8.6803651951064681E-2</v>
      </c>
      <c r="Y111" s="29">
        <f>VLOOKUP($B111, ind_mes!$B:$XFD, MATCH(gdp_ind_share!Y$1, ind_mes!$B$1:$XFD$1, 0), 0)/VLOOKUP($B111, gdp_tot_mes!$B:$XFD, MATCH(gdp_ind_share!Y$1, gdp_tot_mes!$B$1:$XFD$1, 0), 0)</f>
        <v>8.2330376124030338E-2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x14ac:dyDescent="0.25">
      <c r="A112" s="1" t="s">
        <v>253</v>
      </c>
      <c r="B112" s="1" t="s">
        <v>266</v>
      </c>
      <c r="C112" s="1" t="s">
        <v>267</v>
      </c>
      <c r="D112" s="29">
        <f>VLOOKUP($B112, ind_mes!$B:$XFD, MATCH(gdp_ind_share!D$1, ind_mes!$B$1:$XFD$1, 0), 0)/VLOOKUP($B112, gdp_tot_mes!$B:$XFD, MATCH(gdp_ind_share!D$1, gdp_tot_mes!$B$1:$XFD$1, 0), 0)</f>
        <v>0.26239063315865746</v>
      </c>
      <c r="E112" s="29">
        <f>VLOOKUP($B112, ind_mes!$B:$XFD, MATCH(gdp_ind_share!E$1, ind_mes!$B$1:$XFD$1, 0), 0)/VLOOKUP($B112, gdp_tot_mes!$B:$XFD, MATCH(gdp_ind_share!E$1, gdp_tot_mes!$B$1:$XFD$1, 0), 0)</f>
        <v>0.17879902693601119</v>
      </c>
      <c r="F112" s="29">
        <f>VLOOKUP($B112, ind_mes!$B:$XFD, MATCH(gdp_ind_share!F$1, ind_mes!$B$1:$XFD$1, 0), 0)/VLOOKUP($B112, gdp_tot_mes!$B:$XFD, MATCH(gdp_ind_share!F$1, gdp_tot_mes!$B$1:$XFD$1, 0), 0)</f>
        <v>0.251764218368832</v>
      </c>
      <c r="G112" s="29">
        <f>VLOOKUP($B112, ind_mes!$B:$XFD, MATCH(gdp_ind_share!G$1, ind_mes!$B$1:$XFD$1, 0), 0)/VLOOKUP($B112, gdp_tot_mes!$B:$XFD, MATCH(gdp_ind_share!G$1, gdp_tot_mes!$B$1:$XFD$1, 0), 0)</f>
        <v>0.33713401089328193</v>
      </c>
      <c r="H112" s="29">
        <f>VLOOKUP($B112, ind_mes!$B:$XFD, MATCH(gdp_ind_share!H$1, ind_mes!$B$1:$XFD$1, 0), 0)/VLOOKUP($B112, gdp_tot_mes!$B:$XFD, MATCH(gdp_ind_share!H$1, gdp_tot_mes!$B$1:$XFD$1, 0), 0)</f>
        <v>0.26648455983378289</v>
      </c>
      <c r="I112" s="29">
        <f>VLOOKUP($B112, ind_mes!$B:$XFD, MATCH(gdp_ind_share!I$1, ind_mes!$B$1:$XFD$1, 0), 0)/VLOOKUP($B112, gdp_tot_mes!$B:$XFD, MATCH(gdp_ind_share!I$1, gdp_tot_mes!$B$1:$XFD$1, 0), 0)</f>
        <v>0.37645483809669072</v>
      </c>
      <c r="J112" s="29">
        <f>VLOOKUP($B112, ind_mes!$B:$XFD, MATCH(gdp_ind_share!J$1, ind_mes!$B$1:$XFD$1, 0), 0)/VLOOKUP($B112, gdp_tot_mes!$B:$XFD, MATCH(gdp_ind_share!J$1, gdp_tot_mes!$B$1:$XFD$1, 0), 0)</f>
        <v>0.41304161922606458</v>
      </c>
      <c r="K112" s="29">
        <f>VLOOKUP($B112, ind_mes!$B:$XFD, MATCH(gdp_ind_share!K$1, ind_mes!$B$1:$XFD$1, 0), 0)/VLOOKUP($B112, gdp_tot_mes!$B:$XFD, MATCH(gdp_ind_share!K$1, gdp_tot_mes!$B$1:$XFD$1, 0), 0)</f>
        <v>0.30276688669494162</v>
      </c>
      <c r="L112" s="30">
        <f t="shared" si="1"/>
        <v>0.27664960140334027</v>
      </c>
      <c r="M112" s="29">
        <f>VLOOKUP($B112, ind_mes!$B:$XFD, MATCH(gdp_ind_share!M$1, ind_mes!$B$1:$XFD$1, 0), 0)/VLOOKUP($B112, gdp_tot_mes!$B:$XFD, MATCH(gdp_ind_share!M$1, gdp_tot_mes!$B$1:$XFD$1, 0), 0)</f>
        <v>0.24530885905341862</v>
      </c>
      <c r="N112" s="29">
        <f>VLOOKUP($B112, ind_mes!$B:$XFD, MATCH(gdp_ind_share!N$1, ind_mes!$B$1:$XFD$1, 0), 0)/VLOOKUP($B112, gdp_tot_mes!$B:$XFD, MATCH(gdp_ind_share!N$1, gdp_tot_mes!$B$1:$XFD$1, 0), 0)</f>
        <v>0.20993684540467442</v>
      </c>
      <c r="O112" s="29">
        <f>VLOOKUP($B112, ind_mes!$B:$XFD, MATCH(gdp_ind_share!O$1, ind_mes!$B$1:$XFD$1, 0), 0)/VLOOKUP($B112, gdp_tot_mes!$B:$XFD, MATCH(gdp_ind_share!O$1, gdp_tot_mes!$B$1:$XFD$1, 0), 0)</f>
        <v>0.23181487013339389</v>
      </c>
      <c r="P112" s="29">
        <f>VLOOKUP($B112, ind_mes!$B:$XFD, MATCH(gdp_ind_share!P$1, ind_mes!$B$1:$XFD$1, 0), 0)/VLOOKUP($B112, gdp_tot_mes!$B:$XFD, MATCH(gdp_ind_share!P$1, gdp_tot_mes!$B$1:$XFD$1, 0), 0)</f>
        <v>0.22969873781937228</v>
      </c>
      <c r="Q112" s="29">
        <f>VLOOKUP($B112, ind_mes!$B:$XFD, MATCH(gdp_ind_share!Q$1, ind_mes!$B$1:$XFD$1, 0), 0)/VLOOKUP($B112, gdp_tot_mes!$B:$XFD, MATCH(gdp_ind_share!Q$1, gdp_tot_mes!$B$1:$XFD$1, 0), 0)</f>
        <v>0.14157274725594737</v>
      </c>
      <c r="R112" s="29">
        <f>VLOOKUP($B112, ind_mes!$B:$XFD, MATCH(gdp_ind_share!R$1, ind_mes!$B$1:$XFD$1, 0), 0)/VLOOKUP($B112, gdp_tot_mes!$B:$XFD, MATCH(gdp_ind_share!R$1, gdp_tot_mes!$B$1:$XFD$1, 0), 0)</f>
        <v>0.17191320994823572</v>
      </c>
      <c r="S112" s="29">
        <f>VLOOKUP($B112, ind_mes!$B:$XFD, MATCH(gdp_ind_share!S$1, ind_mes!$B$1:$XFD$1, 0), 0)/VLOOKUP($B112, gdp_tot_mes!$B:$XFD, MATCH(gdp_ind_share!S$1, gdp_tot_mes!$B$1:$XFD$1, 0), 0)</f>
        <v>0.15336578043115942</v>
      </c>
      <c r="T112" s="29">
        <f>VLOOKUP($B112, ind_mes!$B:$XFD, MATCH(gdp_ind_share!T$1, ind_mes!$B$1:$XFD$1, 0), 0)/VLOOKUP($B112, gdp_tot_mes!$B:$XFD, MATCH(gdp_ind_share!T$1, gdp_tot_mes!$B$1:$XFD$1, 0), 0)</f>
        <v>0.1334617790798201</v>
      </c>
      <c r="U112" s="29">
        <f>VLOOKUP($B112, ind_mes!$B:$XFD, MATCH(gdp_ind_share!U$1, ind_mes!$B$1:$XFD$1, 0), 0)/VLOOKUP($B112, gdp_tot_mes!$B:$XFD, MATCH(gdp_ind_share!U$1, gdp_tot_mes!$B$1:$XFD$1, 0), 0)</f>
        <v>0.1374638453766292</v>
      </c>
      <c r="V112" s="29">
        <f>VLOOKUP($B112, ind_mes!$B:$XFD, MATCH(gdp_ind_share!V$1, ind_mes!$B$1:$XFD$1, 0), 0)/VLOOKUP($B112, gdp_tot_mes!$B:$XFD, MATCH(gdp_ind_share!V$1, gdp_tot_mes!$B$1:$XFD$1, 0), 0)</f>
        <v>0.13847749262786055</v>
      </c>
      <c r="W112" s="29">
        <f>VLOOKUP($B112, ind_mes!$B:$XFD, MATCH(gdp_ind_share!W$1, ind_mes!$B$1:$XFD$1, 0), 0)/VLOOKUP($B112, gdp_tot_mes!$B:$XFD, MATCH(gdp_ind_share!W$1, gdp_tot_mes!$B$1:$XFD$1, 0), 0)</f>
        <v>0.12791952684443983</v>
      </c>
      <c r="X112" s="29">
        <f>VLOOKUP($B112, ind_mes!$B:$XFD, MATCH(gdp_ind_share!X$1, ind_mes!$B$1:$XFD$1, 0), 0)/VLOOKUP($B112, gdp_tot_mes!$B:$XFD, MATCH(gdp_ind_share!X$1, gdp_tot_mes!$B$1:$XFD$1, 0), 0)</f>
        <v>0.13508679421478631</v>
      </c>
      <c r="Y112" s="29">
        <f>VLOOKUP($B112, ind_mes!$B:$XFD, MATCH(gdp_ind_share!Y$1, ind_mes!$B$1:$XFD$1, 0), 0)/VLOOKUP($B112, gdp_tot_mes!$B:$XFD, MATCH(gdp_ind_share!Y$1, gdp_tot_mes!$B$1:$XFD$1, 0), 0)</f>
        <v>0.13418953301246153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x14ac:dyDescent="0.25">
      <c r="A113" s="1" t="s">
        <v>268</v>
      </c>
      <c r="B113" s="1" t="s">
        <v>269</v>
      </c>
      <c r="C113" s="1" t="s">
        <v>270</v>
      </c>
      <c r="D113" s="29">
        <f>VLOOKUP($B113, ind_mes!$B:$XFD, MATCH(gdp_ind_share!D$1, ind_mes!$B$1:$XFD$1, 0), 0)/VLOOKUP($B113, gdp_tot_mes!$B:$XFD, MATCH(gdp_ind_share!D$1, gdp_tot_mes!$B$1:$XFD$1, 0), 0)</f>
        <v>0.27569046233934286</v>
      </c>
      <c r="E113" s="29">
        <f>VLOOKUP($B113, ind_mes!$B:$XFD, MATCH(gdp_ind_share!E$1, ind_mes!$B$1:$XFD$1, 0), 0)/VLOOKUP($B113, gdp_tot_mes!$B:$XFD, MATCH(gdp_ind_share!E$1, gdp_tot_mes!$B$1:$XFD$1, 0), 0)</f>
        <v>7.9600288805788746E-2</v>
      </c>
      <c r="F113" s="29">
        <f>VLOOKUP($B113, ind_mes!$B:$XFD, MATCH(gdp_ind_share!F$1, ind_mes!$B$1:$XFD$1, 0), 0)/VLOOKUP($B113, gdp_tot_mes!$B:$XFD, MATCH(gdp_ind_share!F$1, gdp_tot_mes!$B$1:$XFD$1, 0), 0)</f>
        <v>0.15112905337988711</v>
      </c>
      <c r="G113" s="29">
        <f>VLOOKUP($B113, ind_mes!$B:$XFD, MATCH(gdp_ind_share!G$1, ind_mes!$B$1:$XFD$1, 0), 0)/VLOOKUP($B113, gdp_tot_mes!$B:$XFD, MATCH(gdp_ind_share!G$1, gdp_tot_mes!$B$1:$XFD$1, 0), 0)</f>
        <v>0.20877405001061017</v>
      </c>
      <c r="H113" s="29">
        <f>VLOOKUP($B113, ind_mes!$B:$XFD, MATCH(gdp_ind_share!H$1, ind_mes!$B$1:$XFD$1, 0), 0)/VLOOKUP($B113, gdp_tot_mes!$B:$XFD, MATCH(gdp_ind_share!H$1, gdp_tot_mes!$B$1:$XFD$1, 0), 0)</f>
        <v>0.23370961229337908</v>
      </c>
      <c r="I113" s="29">
        <f>VLOOKUP($B113, ind_mes!$B:$XFD, MATCH(gdp_ind_share!I$1, ind_mes!$B$1:$XFD$1, 0), 0)/VLOOKUP($B113, gdp_tot_mes!$B:$XFD, MATCH(gdp_ind_share!I$1, gdp_tot_mes!$B$1:$XFD$1, 0), 0)</f>
        <v>0.30114539281949038</v>
      </c>
      <c r="J113" s="29">
        <f>VLOOKUP($B113, ind_mes!$B:$XFD, MATCH(gdp_ind_share!J$1, ind_mes!$B$1:$XFD$1, 0), 0)/VLOOKUP($B113, gdp_tot_mes!$B:$XFD, MATCH(gdp_ind_share!J$1, gdp_tot_mes!$B$1:$XFD$1, 0), 0)</f>
        <v>0.32690248892969165</v>
      </c>
      <c r="K113" s="29">
        <f>VLOOKUP($B113, ind_mes!$B:$XFD, MATCH(gdp_ind_share!K$1, ind_mes!$B$1:$XFD$1, 0), 0)/VLOOKUP($B113, gdp_tot_mes!$B:$XFD, MATCH(gdp_ind_share!K$1, gdp_tot_mes!$B$1:$XFD$1, 0), 0)</f>
        <v>0.32953326436667524</v>
      </c>
      <c r="L113" s="30">
        <f t="shared" si="1"/>
        <v>0.43357807979231383</v>
      </c>
      <c r="M113" s="29">
        <f>VLOOKUP($B113, ind_mes!$B:$XFD, MATCH(gdp_ind_share!M$1, ind_mes!$B$1:$XFD$1, 0), 0)/VLOOKUP($B113, gdp_tot_mes!$B:$XFD, MATCH(gdp_ind_share!M$1, gdp_tot_mes!$B$1:$XFD$1, 0), 0)</f>
        <v>0.55843185830308018</v>
      </c>
      <c r="N113" s="29">
        <f>VLOOKUP($B113, ind_mes!$B:$XFD, MATCH(gdp_ind_share!N$1, ind_mes!$B$1:$XFD$1, 0), 0)/VLOOKUP($B113, gdp_tot_mes!$B:$XFD, MATCH(gdp_ind_share!N$1, gdp_tot_mes!$B$1:$XFD$1, 0), 0)</f>
        <v>0.33584587239499081</v>
      </c>
      <c r="O113" s="29">
        <f>VLOOKUP($B113, ind_mes!$B:$XFD, MATCH(gdp_ind_share!O$1, ind_mes!$B$1:$XFD$1, 0), 0)/VLOOKUP($B113, gdp_tot_mes!$B:$XFD, MATCH(gdp_ind_share!O$1, gdp_tot_mes!$B$1:$XFD$1, 0), 0)</f>
        <v>0.33205757412125719</v>
      </c>
      <c r="P113" s="29">
        <f>VLOOKUP($B113, ind_mes!$B:$XFD, MATCH(gdp_ind_share!P$1, ind_mes!$B$1:$XFD$1, 0), 0)/VLOOKUP($B113, gdp_tot_mes!$B:$XFD, MATCH(gdp_ind_share!P$1, gdp_tot_mes!$B$1:$XFD$1, 0), 0)</f>
        <v>0.33990536734849097</v>
      </c>
      <c r="Q113" s="29">
        <f>VLOOKUP($B113, ind_mes!$B:$XFD, MATCH(gdp_ind_share!Q$1, ind_mes!$B$1:$XFD$1, 0), 0)/VLOOKUP($B113, gdp_tot_mes!$B:$XFD, MATCH(gdp_ind_share!Q$1, gdp_tot_mes!$B$1:$XFD$1, 0), 0)</f>
        <v>0.21282870935577036</v>
      </c>
      <c r="R113" s="29">
        <f>VLOOKUP($B113, ind_mes!$B:$XFD, MATCH(gdp_ind_share!R$1, ind_mes!$B$1:$XFD$1, 0), 0)/VLOOKUP($B113, gdp_tot_mes!$B:$XFD, MATCH(gdp_ind_share!R$1, gdp_tot_mes!$B$1:$XFD$1, 0), 0)</f>
        <v>0.20342108274092324</v>
      </c>
      <c r="S113" s="29">
        <f>VLOOKUP($B113, ind_mes!$B:$XFD, MATCH(gdp_ind_share!S$1, ind_mes!$B$1:$XFD$1, 0), 0)/VLOOKUP($B113, gdp_tot_mes!$B:$XFD, MATCH(gdp_ind_share!S$1, gdp_tot_mes!$B$1:$XFD$1, 0), 0)</f>
        <v>0.21870546354433923</v>
      </c>
      <c r="T113" s="29">
        <f>VLOOKUP($B113, ind_mes!$B:$XFD, MATCH(gdp_ind_share!T$1, ind_mes!$B$1:$XFD$1, 0), 0)/VLOOKUP($B113, gdp_tot_mes!$B:$XFD, MATCH(gdp_ind_share!T$1, gdp_tot_mes!$B$1:$XFD$1, 0), 0)</f>
        <v>0.21619435919199331</v>
      </c>
      <c r="U113" s="29">
        <f>VLOOKUP($B113, ind_mes!$B:$XFD, MATCH(gdp_ind_share!U$1, ind_mes!$B$1:$XFD$1, 0), 0)/VLOOKUP($B113, gdp_tot_mes!$B:$XFD, MATCH(gdp_ind_share!U$1, gdp_tot_mes!$B$1:$XFD$1, 0), 0)</f>
        <v>0.23824140489511586</v>
      </c>
      <c r="V113" s="29">
        <f>VLOOKUP($B113, ind_mes!$B:$XFD, MATCH(gdp_ind_share!V$1, ind_mes!$B$1:$XFD$1, 0), 0)/VLOOKUP($B113, gdp_tot_mes!$B:$XFD, MATCH(gdp_ind_share!V$1, gdp_tot_mes!$B$1:$XFD$1, 0), 0)</f>
        <v>0.25565235185835161</v>
      </c>
      <c r="W113" s="29">
        <f>VLOOKUP($B113, ind_mes!$B:$XFD, MATCH(gdp_ind_share!W$1, ind_mes!$B$1:$XFD$1, 0), 0)/VLOOKUP($B113, gdp_tot_mes!$B:$XFD, MATCH(gdp_ind_share!W$1, gdp_tot_mes!$B$1:$XFD$1, 0), 0)</f>
        <v>0.22699679931529065</v>
      </c>
      <c r="X113" s="29">
        <f>VLOOKUP($B113, ind_mes!$B:$XFD, MATCH(gdp_ind_share!X$1, ind_mes!$B$1:$XFD$1, 0), 0)/VLOOKUP($B113, gdp_tot_mes!$B:$XFD, MATCH(gdp_ind_share!X$1, gdp_tot_mes!$B$1:$XFD$1, 0), 0)</f>
        <v>0.22973889262527314</v>
      </c>
      <c r="Y113" s="29">
        <f>VLOOKUP($B113, ind_mes!$B:$XFD, MATCH(gdp_ind_share!Y$1, ind_mes!$B$1:$XFD$1, 0), 0)/VLOOKUP($B113, gdp_tot_mes!$B:$XFD, MATCH(gdp_ind_share!Y$1, gdp_tot_mes!$B$1:$XFD$1, 0), 0)</f>
        <v>0.27321949708649268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x14ac:dyDescent="0.25">
      <c r="A114" s="1" t="s">
        <v>268</v>
      </c>
      <c r="B114" s="1" t="s">
        <v>271</v>
      </c>
      <c r="C114" s="1" t="s">
        <v>272</v>
      </c>
      <c r="D114" s="29">
        <f>VLOOKUP($B114, ind_mes!$B:$XFD, MATCH(gdp_ind_share!D$1, ind_mes!$B$1:$XFD$1, 0), 0)/VLOOKUP($B114, gdp_tot_mes!$B:$XFD, MATCH(gdp_ind_share!D$1, gdp_tot_mes!$B$1:$XFD$1, 0), 0)</f>
        <v>0.24288832827305923</v>
      </c>
      <c r="E114" s="29">
        <f>VLOOKUP($B114, ind_mes!$B:$XFD, MATCH(gdp_ind_share!E$1, ind_mes!$B$1:$XFD$1, 0), 0)/VLOOKUP($B114, gdp_tot_mes!$B:$XFD, MATCH(gdp_ind_share!E$1, gdp_tot_mes!$B$1:$XFD$1, 0), 0)</f>
        <v>0.29086471188775442</v>
      </c>
      <c r="F114" s="29">
        <f>VLOOKUP($B114, ind_mes!$B:$XFD, MATCH(gdp_ind_share!F$1, ind_mes!$B$1:$XFD$1, 0), 0)/VLOOKUP($B114, gdp_tot_mes!$B:$XFD, MATCH(gdp_ind_share!F$1, gdp_tot_mes!$B$1:$XFD$1, 0), 0)</f>
        <v>0.31414984948817121</v>
      </c>
      <c r="G114" s="29">
        <f>VLOOKUP($B114, ind_mes!$B:$XFD, MATCH(gdp_ind_share!G$1, ind_mes!$B$1:$XFD$1, 0), 0)/VLOOKUP($B114, gdp_tot_mes!$B:$XFD, MATCH(gdp_ind_share!G$1, gdp_tot_mes!$B$1:$XFD$1, 0), 0)</f>
        <v>0.41988905576554159</v>
      </c>
      <c r="H114" s="29">
        <f>VLOOKUP($B114, ind_mes!$B:$XFD, MATCH(gdp_ind_share!H$1, ind_mes!$B$1:$XFD$1, 0), 0)/VLOOKUP($B114, gdp_tot_mes!$B:$XFD, MATCH(gdp_ind_share!H$1, gdp_tot_mes!$B$1:$XFD$1, 0), 0)</f>
        <v>0.50776955671830315</v>
      </c>
      <c r="I114" s="29">
        <f>VLOOKUP($B114, ind_mes!$B:$XFD, MATCH(gdp_ind_share!I$1, ind_mes!$B$1:$XFD$1, 0), 0)/VLOOKUP($B114, gdp_tot_mes!$B:$XFD, MATCH(gdp_ind_share!I$1, gdp_tot_mes!$B$1:$XFD$1, 0), 0)</f>
        <v>0.66041533557410492</v>
      </c>
      <c r="J114" s="29">
        <f>VLOOKUP($B114, ind_mes!$B:$XFD, MATCH(gdp_ind_share!J$1, ind_mes!$B$1:$XFD$1, 0), 0)/VLOOKUP($B114, gdp_tot_mes!$B:$XFD, MATCH(gdp_ind_share!J$1, gdp_tot_mes!$B$1:$XFD$1, 0), 0)</f>
        <v>0.65819864576818155</v>
      </c>
      <c r="K114" s="29">
        <f>VLOOKUP($B114, ind_mes!$B:$XFD, MATCH(gdp_ind_share!K$1, ind_mes!$B$1:$XFD$1, 0), 0)/VLOOKUP($B114, gdp_tot_mes!$B:$XFD, MATCH(gdp_ind_share!K$1, gdp_tot_mes!$B$1:$XFD$1, 0), 0)</f>
        <v>0.63235010908111022</v>
      </c>
      <c r="L114" s="30">
        <f t="shared" si="1"/>
        <v>0.61504784503951027</v>
      </c>
      <c r="M114" s="29">
        <f>VLOOKUP($B114, ind_mes!$B:$XFD, MATCH(gdp_ind_share!M$1, ind_mes!$B$1:$XFD$1, 0), 0)/VLOOKUP($B114, gdp_tot_mes!$B:$XFD, MATCH(gdp_ind_share!M$1, gdp_tot_mes!$B$1:$XFD$1, 0), 0)</f>
        <v>0.59428512818959023</v>
      </c>
      <c r="N114" s="29">
        <f>VLOOKUP($B114, ind_mes!$B:$XFD, MATCH(gdp_ind_share!N$1, ind_mes!$B$1:$XFD$1, 0), 0)/VLOOKUP($B114, gdp_tot_mes!$B:$XFD, MATCH(gdp_ind_share!N$1, gdp_tot_mes!$B$1:$XFD$1, 0), 0)</f>
        <v>0.36584123573768473</v>
      </c>
      <c r="O114" s="29">
        <f>VLOOKUP($B114, ind_mes!$B:$XFD, MATCH(gdp_ind_share!O$1, ind_mes!$B$1:$XFD$1, 0), 0)/VLOOKUP($B114, gdp_tot_mes!$B:$XFD, MATCH(gdp_ind_share!O$1, gdp_tot_mes!$B$1:$XFD$1, 0), 0)</f>
        <v>0.39564563355270005</v>
      </c>
      <c r="P114" s="29">
        <f>VLOOKUP($B114, ind_mes!$B:$XFD, MATCH(gdp_ind_share!P$1, ind_mes!$B$1:$XFD$1, 0), 0)/VLOOKUP($B114, gdp_tot_mes!$B:$XFD, MATCH(gdp_ind_share!P$1, gdp_tot_mes!$B$1:$XFD$1, 0), 0)</f>
        <v>0.3855967430769468</v>
      </c>
      <c r="Q114" s="29">
        <f>VLOOKUP($B114, ind_mes!$B:$XFD, MATCH(gdp_ind_share!Q$1, ind_mes!$B$1:$XFD$1, 0), 0)/VLOOKUP($B114, gdp_tot_mes!$B:$XFD, MATCH(gdp_ind_share!Q$1, gdp_tot_mes!$B$1:$XFD$1, 0), 0)</f>
        <v>0.38136952029965615</v>
      </c>
      <c r="R114" s="29">
        <f>VLOOKUP($B114, ind_mes!$B:$XFD, MATCH(gdp_ind_share!R$1, ind_mes!$B$1:$XFD$1, 0), 0)/VLOOKUP($B114, gdp_tot_mes!$B:$XFD, MATCH(gdp_ind_share!R$1, gdp_tot_mes!$B$1:$XFD$1, 0), 0)</f>
        <v>0.38362224585021498</v>
      </c>
      <c r="S114" s="29">
        <f>VLOOKUP($B114, ind_mes!$B:$XFD, MATCH(gdp_ind_share!S$1, ind_mes!$B$1:$XFD$1, 0), 0)/VLOOKUP($B114, gdp_tot_mes!$B:$XFD, MATCH(gdp_ind_share!S$1, gdp_tot_mes!$B$1:$XFD$1, 0), 0)</f>
        <v>0.40826153862735209</v>
      </c>
      <c r="T114" s="29">
        <f>VLOOKUP($B114, ind_mes!$B:$XFD, MATCH(gdp_ind_share!T$1, ind_mes!$B$1:$XFD$1, 0), 0)/VLOOKUP($B114, gdp_tot_mes!$B:$XFD, MATCH(gdp_ind_share!T$1, gdp_tot_mes!$B$1:$XFD$1, 0), 0)</f>
        <v>0.37290522514757252</v>
      </c>
      <c r="U114" s="29">
        <f>VLOOKUP($B114, ind_mes!$B:$XFD, MATCH(gdp_ind_share!U$1, ind_mes!$B$1:$XFD$1, 0), 0)/VLOOKUP($B114, gdp_tot_mes!$B:$XFD, MATCH(gdp_ind_share!U$1, gdp_tot_mes!$B$1:$XFD$1, 0), 0)</f>
        <v>0.38762592582372907</v>
      </c>
      <c r="V114" s="29">
        <f>VLOOKUP($B114, ind_mes!$B:$XFD, MATCH(gdp_ind_share!V$1, ind_mes!$B$1:$XFD$1, 0), 0)/VLOOKUP($B114, gdp_tot_mes!$B:$XFD, MATCH(gdp_ind_share!V$1, gdp_tot_mes!$B$1:$XFD$1, 0), 0)</f>
        <v>0.40108018847310828</v>
      </c>
      <c r="W114" s="29">
        <f>VLOOKUP($B114, ind_mes!$B:$XFD, MATCH(gdp_ind_share!W$1, ind_mes!$B$1:$XFD$1, 0), 0)/VLOOKUP($B114, gdp_tot_mes!$B:$XFD, MATCH(gdp_ind_share!W$1, gdp_tot_mes!$B$1:$XFD$1, 0), 0)</f>
        <v>0.38810280000671327</v>
      </c>
      <c r="X114" s="29">
        <f>VLOOKUP($B114, ind_mes!$B:$XFD, MATCH(gdp_ind_share!X$1, ind_mes!$B$1:$XFD$1, 0), 0)/VLOOKUP($B114, gdp_tot_mes!$B:$XFD, MATCH(gdp_ind_share!X$1, gdp_tot_mes!$B$1:$XFD$1, 0), 0)</f>
        <v>0.37359353072465912</v>
      </c>
      <c r="Y114" s="29">
        <f>VLOOKUP($B114, ind_mes!$B:$XFD, MATCH(gdp_ind_share!Y$1, ind_mes!$B$1:$XFD$1, 0), 0)/VLOOKUP($B114, gdp_tot_mes!$B:$XFD, MATCH(gdp_ind_share!Y$1, gdp_tot_mes!$B$1:$XFD$1, 0), 0)</f>
        <v>0.36166717326552889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x14ac:dyDescent="0.25">
      <c r="A115" s="1" t="s">
        <v>268</v>
      </c>
      <c r="B115" s="1" t="s">
        <v>273</v>
      </c>
      <c r="C115" s="1" t="s">
        <v>274</v>
      </c>
      <c r="D115" s="29">
        <f>VLOOKUP($B115, ind_mes!$B:$XFD, MATCH(gdp_ind_share!D$1, ind_mes!$B$1:$XFD$1, 0), 0)/VLOOKUP($B115, gdp_tot_mes!$B:$XFD, MATCH(gdp_ind_share!D$1, gdp_tot_mes!$B$1:$XFD$1, 0), 0)</f>
        <v>7.5319201527855484E-2</v>
      </c>
      <c r="E115" s="29">
        <f>VLOOKUP($B115, ind_mes!$B:$XFD, MATCH(gdp_ind_share!E$1, ind_mes!$B$1:$XFD$1, 0), 0)/VLOOKUP($B115, gdp_tot_mes!$B:$XFD, MATCH(gdp_ind_share!E$1, gdp_tot_mes!$B$1:$XFD$1, 0), 0)</f>
        <v>8.7926683429521438E-2</v>
      </c>
      <c r="F115" s="29">
        <f>VLOOKUP($B115, ind_mes!$B:$XFD, MATCH(gdp_ind_share!F$1, ind_mes!$B$1:$XFD$1, 0), 0)/VLOOKUP($B115, gdp_tot_mes!$B:$XFD, MATCH(gdp_ind_share!F$1, gdp_tot_mes!$B$1:$XFD$1, 0), 0)</f>
        <v>0.16137952065774736</v>
      </c>
      <c r="G115" s="29">
        <f>VLOOKUP($B115, ind_mes!$B:$XFD, MATCH(gdp_ind_share!G$1, ind_mes!$B$1:$XFD$1, 0), 0)/VLOOKUP($B115, gdp_tot_mes!$B:$XFD, MATCH(gdp_ind_share!G$1, gdp_tot_mes!$B$1:$XFD$1, 0), 0)</f>
        <v>0.40431716981118554</v>
      </c>
      <c r="H115" s="29">
        <f>VLOOKUP($B115, ind_mes!$B:$XFD, MATCH(gdp_ind_share!H$1, ind_mes!$B$1:$XFD$1, 0), 0)/VLOOKUP($B115, gdp_tot_mes!$B:$XFD, MATCH(gdp_ind_share!H$1, gdp_tot_mes!$B$1:$XFD$1, 0), 0)</f>
        <v>0.39312078154448599</v>
      </c>
      <c r="I115" s="29">
        <f>VLOOKUP($B115, ind_mes!$B:$XFD, MATCH(gdp_ind_share!I$1, ind_mes!$B$1:$XFD$1, 0), 0)/VLOOKUP($B115, gdp_tot_mes!$B:$XFD, MATCH(gdp_ind_share!I$1, gdp_tot_mes!$B$1:$XFD$1, 0), 0)</f>
        <v>0.47686751422810347</v>
      </c>
      <c r="J115" s="29">
        <f>VLOOKUP($B115, ind_mes!$B:$XFD, MATCH(gdp_ind_share!J$1, ind_mes!$B$1:$XFD$1, 0), 0)/VLOOKUP($B115, gdp_tot_mes!$B:$XFD, MATCH(gdp_ind_share!J$1, gdp_tot_mes!$B$1:$XFD$1, 0), 0)</f>
        <v>0.42623272407813034</v>
      </c>
      <c r="K115" s="29">
        <f>VLOOKUP($B115, ind_mes!$B:$XFD, MATCH(gdp_ind_share!K$1, ind_mes!$B$1:$XFD$1, 0), 0)/VLOOKUP($B115, gdp_tot_mes!$B:$XFD, MATCH(gdp_ind_share!K$1, gdp_tot_mes!$B$1:$XFD$1, 0), 0)</f>
        <v>0.35790582751094208</v>
      </c>
      <c r="L115" s="30">
        <f t="shared" si="1"/>
        <v>0.31532492457445432</v>
      </c>
      <c r="M115" s="29">
        <f>VLOOKUP($B115, ind_mes!$B:$XFD, MATCH(gdp_ind_share!M$1, ind_mes!$B$1:$XFD$1, 0), 0)/VLOOKUP($B115, gdp_tot_mes!$B:$XFD, MATCH(gdp_ind_share!M$1, gdp_tot_mes!$B$1:$XFD$1, 0), 0)</f>
        <v>0.26422784105066904</v>
      </c>
      <c r="N115" s="29">
        <f>VLOOKUP($B115, ind_mes!$B:$XFD, MATCH(gdp_ind_share!N$1, ind_mes!$B$1:$XFD$1, 0), 0)/VLOOKUP($B115, gdp_tot_mes!$B:$XFD, MATCH(gdp_ind_share!N$1, gdp_tot_mes!$B$1:$XFD$1, 0), 0)</f>
        <v>0.23039363412673552</v>
      </c>
      <c r="O115" s="29">
        <f>VLOOKUP($B115, ind_mes!$B:$XFD, MATCH(gdp_ind_share!O$1, ind_mes!$B$1:$XFD$1, 0), 0)/VLOOKUP($B115, gdp_tot_mes!$B:$XFD, MATCH(gdp_ind_share!O$1, gdp_tot_mes!$B$1:$XFD$1, 0), 0)</f>
        <v>0.25682474364527519</v>
      </c>
      <c r="P115" s="29">
        <f>VLOOKUP($B115, ind_mes!$B:$XFD, MATCH(gdp_ind_share!P$1, ind_mes!$B$1:$XFD$1, 0), 0)/VLOOKUP($B115, gdp_tot_mes!$B:$XFD, MATCH(gdp_ind_share!P$1, gdp_tot_mes!$B$1:$XFD$1, 0), 0)</f>
        <v>0.24138523416124427</v>
      </c>
      <c r="Q115" s="29">
        <f>VLOOKUP($B115, ind_mes!$B:$XFD, MATCH(gdp_ind_share!Q$1, ind_mes!$B$1:$XFD$1, 0), 0)/VLOOKUP($B115, gdp_tot_mes!$B:$XFD, MATCH(gdp_ind_share!Q$1, gdp_tot_mes!$B$1:$XFD$1, 0), 0)</f>
        <v>0.22597571591303642</v>
      </c>
      <c r="R115" s="29">
        <f>VLOOKUP($B115, ind_mes!$B:$XFD, MATCH(gdp_ind_share!R$1, ind_mes!$B$1:$XFD$1, 0), 0)/VLOOKUP($B115, gdp_tot_mes!$B:$XFD, MATCH(gdp_ind_share!R$1, gdp_tot_mes!$B$1:$XFD$1, 0), 0)</f>
        <v>0.21088886263085482</v>
      </c>
      <c r="S115" s="29">
        <f>VLOOKUP($B115, ind_mes!$B:$XFD, MATCH(gdp_ind_share!S$1, ind_mes!$B$1:$XFD$1, 0), 0)/VLOOKUP($B115, gdp_tot_mes!$B:$XFD, MATCH(gdp_ind_share!S$1, gdp_tot_mes!$B$1:$XFD$1, 0), 0)</f>
        <v>0.2355105298613433</v>
      </c>
      <c r="T115" s="29">
        <f>VLOOKUP($B115, ind_mes!$B:$XFD, MATCH(gdp_ind_share!T$1, ind_mes!$B$1:$XFD$1, 0), 0)/VLOOKUP($B115, gdp_tot_mes!$B:$XFD, MATCH(gdp_ind_share!T$1, gdp_tot_mes!$B$1:$XFD$1, 0), 0)</f>
        <v>0.22358476354767468</v>
      </c>
      <c r="U115" s="29">
        <f>VLOOKUP($B115, ind_mes!$B:$XFD, MATCH(gdp_ind_share!U$1, ind_mes!$B$1:$XFD$1, 0), 0)/VLOOKUP($B115, gdp_tot_mes!$B:$XFD, MATCH(gdp_ind_share!U$1, gdp_tot_mes!$B$1:$XFD$1, 0), 0)</f>
        <v>0.22648012922081287</v>
      </c>
      <c r="V115" s="29">
        <f>VLOOKUP($B115, ind_mes!$B:$XFD, MATCH(gdp_ind_share!V$1, ind_mes!$B$1:$XFD$1, 0), 0)/VLOOKUP($B115, gdp_tot_mes!$B:$XFD, MATCH(gdp_ind_share!V$1, gdp_tot_mes!$B$1:$XFD$1, 0), 0)</f>
        <v>0.29705105921437169</v>
      </c>
      <c r="W115" s="29">
        <f>VLOOKUP($B115, ind_mes!$B:$XFD, MATCH(gdp_ind_share!W$1, ind_mes!$B$1:$XFD$1, 0), 0)/VLOOKUP($B115, gdp_tot_mes!$B:$XFD, MATCH(gdp_ind_share!W$1, gdp_tot_mes!$B$1:$XFD$1, 0), 0)</f>
        <v>0.28783516604416998</v>
      </c>
      <c r="X115" s="29">
        <f>VLOOKUP($B115, ind_mes!$B:$XFD, MATCH(gdp_ind_share!X$1, ind_mes!$B$1:$XFD$1, 0), 0)/VLOOKUP($B115, gdp_tot_mes!$B:$XFD, MATCH(gdp_ind_share!X$1, gdp_tot_mes!$B$1:$XFD$1, 0), 0)</f>
        <v>0.24409715410325045</v>
      </c>
      <c r="Y115" s="29">
        <f>VLOOKUP($B115, ind_mes!$B:$XFD, MATCH(gdp_ind_share!Y$1, ind_mes!$B$1:$XFD$1, 0), 0)/VLOOKUP($B115, gdp_tot_mes!$B:$XFD, MATCH(gdp_ind_share!Y$1, gdp_tot_mes!$B$1:$XFD$1, 0), 0)</f>
        <v>0.29183309373699123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x14ac:dyDescent="0.25">
      <c r="A116" s="1" t="s">
        <v>268</v>
      </c>
      <c r="B116" s="1" t="s">
        <v>275</v>
      </c>
      <c r="C116" s="1" t="s">
        <v>276</v>
      </c>
      <c r="D116" s="29">
        <f>VLOOKUP($B116, ind_mes!$B:$XFD, MATCH(gdp_ind_share!D$1, ind_mes!$B$1:$XFD$1, 0), 0)/VLOOKUP($B116, gdp_tot_mes!$B:$XFD, MATCH(gdp_ind_share!D$1, gdp_tot_mes!$B$1:$XFD$1, 0), 0)</f>
        <v>0.18588974572034217</v>
      </c>
      <c r="E116" s="29">
        <f>VLOOKUP($B116, ind_mes!$B:$XFD, MATCH(gdp_ind_share!E$1, ind_mes!$B$1:$XFD$1, 0), 0)/VLOOKUP($B116, gdp_tot_mes!$B:$XFD, MATCH(gdp_ind_share!E$1, gdp_tot_mes!$B$1:$XFD$1, 0), 0)</f>
        <v>0.25309137399521497</v>
      </c>
      <c r="F116" s="29">
        <f>VLOOKUP($B116, ind_mes!$B:$XFD, MATCH(gdp_ind_share!F$1, ind_mes!$B$1:$XFD$1, 0), 0)/VLOOKUP($B116, gdp_tot_mes!$B:$XFD, MATCH(gdp_ind_share!F$1, gdp_tot_mes!$B$1:$XFD$1, 0), 0)</f>
        <v>0.30917275852630965</v>
      </c>
      <c r="G116" s="29">
        <f>VLOOKUP($B116, ind_mes!$B:$XFD, MATCH(gdp_ind_share!G$1, ind_mes!$B$1:$XFD$1, 0), 0)/VLOOKUP($B116, gdp_tot_mes!$B:$XFD, MATCH(gdp_ind_share!G$1, gdp_tot_mes!$B$1:$XFD$1, 0), 0)</f>
        <v>0.37327158250915937</v>
      </c>
      <c r="H116" s="29">
        <f>VLOOKUP($B116, ind_mes!$B:$XFD, MATCH(gdp_ind_share!H$1, ind_mes!$B$1:$XFD$1, 0), 0)/VLOOKUP($B116, gdp_tot_mes!$B:$XFD, MATCH(gdp_ind_share!H$1, gdp_tot_mes!$B$1:$XFD$1, 0), 0)</f>
        <v>0.40496581953928645</v>
      </c>
      <c r="I116" s="29">
        <f>VLOOKUP($B116, ind_mes!$B:$XFD, MATCH(gdp_ind_share!I$1, ind_mes!$B$1:$XFD$1, 0), 0)/VLOOKUP($B116, gdp_tot_mes!$B:$XFD, MATCH(gdp_ind_share!I$1, gdp_tot_mes!$B$1:$XFD$1, 0), 0)</f>
        <v>0.54618402274129352</v>
      </c>
      <c r="J116" s="29">
        <f>VLOOKUP($B116, ind_mes!$B:$XFD, MATCH(gdp_ind_share!J$1, ind_mes!$B$1:$XFD$1, 0), 0)/VLOOKUP($B116, gdp_tot_mes!$B:$XFD, MATCH(gdp_ind_share!J$1, gdp_tot_mes!$B$1:$XFD$1, 0), 0)</f>
        <v>0.58705729248025751</v>
      </c>
      <c r="K116" s="29">
        <f>VLOOKUP($B116, ind_mes!$B:$XFD, MATCH(gdp_ind_share!K$1, ind_mes!$B$1:$XFD$1, 0), 0)/VLOOKUP($B116, gdp_tot_mes!$B:$XFD, MATCH(gdp_ind_share!K$1, gdp_tot_mes!$B$1:$XFD$1, 0), 0)</f>
        <v>0.57311539805298073</v>
      </c>
      <c r="L116" s="30">
        <f t="shared" si="1"/>
        <v>0.52797292199239609</v>
      </c>
      <c r="M116" s="29">
        <f>VLOOKUP($B116, ind_mes!$B:$XFD, MATCH(gdp_ind_share!M$1, ind_mes!$B$1:$XFD$1, 0), 0)/VLOOKUP($B116, gdp_tot_mes!$B:$XFD, MATCH(gdp_ind_share!M$1, gdp_tot_mes!$B$1:$XFD$1, 0), 0)</f>
        <v>0.47380195071969461</v>
      </c>
      <c r="N116" s="29">
        <f>VLOOKUP($B116, ind_mes!$B:$XFD, MATCH(gdp_ind_share!N$1, ind_mes!$B$1:$XFD$1, 0), 0)/VLOOKUP($B116, gdp_tot_mes!$B:$XFD, MATCH(gdp_ind_share!N$1, gdp_tot_mes!$B$1:$XFD$1, 0), 0)</f>
        <v>0.29407407599859181</v>
      </c>
      <c r="O116" s="29">
        <f>VLOOKUP($B116, ind_mes!$B:$XFD, MATCH(gdp_ind_share!O$1, ind_mes!$B$1:$XFD$1, 0), 0)/VLOOKUP($B116, gdp_tot_mes!$B:$XFD, MATCH(gdp_ind_share!O$1, gdp_tot_mes!$B$1:$XFD$1, 0), 0)</f>
        <v>0.3068396201674225</v>
      </c>
      <c r="P116" s="29">
        <f>VLOOKUP($B116, ind_mes!$B:$XFD, MATCH(gdp_ind_share!P$1, ind_mes!$B$1:$XFD$1, 0), 0)/VLOOKUP($B116, gdp_tot_mes!$B:$XFD, MATCH(gdp_ind_share!P$1, gdp_tot_mes!$B$1:$XFD$1, 0), 0)</f>
        <v>0.29709524313550828</v>
      </c>
      <c r="Q116" s="29">
        <f>VLOOKUP($B116, ind_mes!$B:$XFD, MATCH(gdp_ind_share!Q$1, ind_mes!$B$1:$XFD$1, 0), 0)/VLOOKUP($B116, gdp_tot_mes!$B:$XFD, MATCH(gdp_ind_share!Q$1, gdp_tot_mes!$B$1:$XFD$1, 0), 0)</f>
        <v>0.26544855711541471</v>
      </c>
      <c r="R116" s="29">
        <f>VLOOKUP($B116, ind_mes!$B:$XFD, MATCH(gdp_ind_share!R$1, ind_mes!$B$1:$XFD$1, 0), 0)/VLOOKUP($B116, gdp_tot_mes!$B:$XFD, MATCH(gdp_ind_share!R$1, gdp_tot_mes!$B$1:$XFD$1, 0), 0)</f>
        <v>0.25996915378169949</v>
      </c>
      <c r="S116" s="29">
        <f>VLOOKUP($B116, ind_mes!$B:$XFD, MATCH(gdp_ind_share!S$1, ind_mes!$B$1:$XFD$1, 0), 0)/VLOOKUP($B116, gdp_tot_mes!$B:$XFD, MATCH(gdp_ind_share!S$1, gdp_tot_mes!$B$1:$XFD$1, 0), 0)</f>
        <v>0.26994902799649673</v>
      </c>
      <c r="T116" s="29">
        <f>VLOOKUP($B116, ind_mes!$B:$XFD, MATCH(gdp_ind_share!T$1, ind_mes!$B$1:$XFD$1, 0), 0)/VLOOKUP($B116, gdp_tot_mes!$B:$XFD, MATCH(gdp_ind_share!T$1, gdp_tot_mes!$B$1:$XFD$1, 0), 0)</f>
        <v>0.26184111608596872</v>
      </c>
      <c r="U116" s="29">
        <f>VLOOKUP($B116, ind_mes!$B:$XFD, MATCH(gdp_ind_share!U$1, ind_mes!$B$1:$XFD$1, 0), 0)/VLOOKUP($B116, gdp_tot_mes!$B:$XFD, MATCH(gdp_ind_share!U$1, gdp_tot_mes!$B$1:$XFD$1, 0), 0)</f>
        <v>0.27670391229325886</v>
      </c>
      <c r="V116" s="29">
        <f>VLOOKUP($B116, ind_mes!$B:$XFD, MATCH(gdp_ind_share!V$1, ind_mes!$B$1:$XFD$1, 0), 0)/VLOOKUP($B116, gdp_tot_mes!$B:$XFD, MATCH(gdp_ind_share!V$1, gdp_tot_mes!$B$1:$XFD$1, 0), 0)</f>
        <v>0.28327848943621231</v>
      </c>
      <c r="W116" s="29">
        <f>VLOOKUP($B116, ind_mes!$B:$XFD, MATCH(gdp_ind_share!W$1, ind_mes!$B$1:$XFD$1, 0), 0)/VLOOKUP($B116, gdp_tot_mes!$B:$XFD, MATCH(gdp_ind_share!W$1, gdp_tot_mes!$B$1:$XFD$1, 0), 0)</f>
        <v>0.26505379975631665</v>
      </c>
      <c r="X116" s="29">
        <f>VLOOKUP($B116, ind_mes!$B:$XFD, MATCH(gdp_ind_share!X$1, ind_mes!$B$1:$XFD$1, 0), 0)/VLOOKUP($B116, gdp_tot_mes!$B:$XFD, MATCH(gdp_ind_share!X$1, gdp_tot_mes!$B$1:$XFD$1, 0), 0)</f>
        <v>0.25118572611822443</v>
      </c>
      <c r="Y116" s="29">
        <f>VLOOKUP($B116, ind_mes!$B:$XFD, MATCH(gdp_ind_share!Y$1, ind_mes!$B$1:$XFD$1, 0), 0)/VLOOKUP($B116, gdp_tot_mes!$B:$XFD, MATCH(gdp_ind_share!Y$1, gdp_tot_mes!$B$1:$XFD$1, 0), 0)</f>
        <v>0.24833532748857676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x14ac:dyDescent="0.25">
      <c r="A117" s="1" t="s">
        <v>268</v>
      </c>
      <c r="B117" s="1" t="s">
        <v>277</v>
      </c>
      <c r="C117" s="1" t="s">
        <v>278</v>
      </c>
      <c r="D117" s="29">
        <f>VLOOKUP($B117, ind_mes!$B:$XFD, MATCH(gdp_ind_share!D$1, ind_mes!$B$1:$XFD$1, 0), 0)/VLOOKUP($B117, gdp_tot_mes!$B:$XFD, MATCH(gdp_ind_share!D$1, gdp_tot_mes!$B$1:$XFD$1, 0), 0)</f>
        <v>0.25354171970197076</v>
      </c>
      <c r="E117" s="29">
        <f>VLOOKUP($B117, ind_mes!$B:$XFD, MATCH(gdp_ind_share!E$1, ind_mes!$B$1:$XFD$1, 0), 0)/VLOOKUP($B117, gdp_tot_mes!$B:$XFD, MATCH(gdp_ind_share!E$1, gdp_tot_mes!$B$1:$XFD$1, 0), 0)</f>
        <v>5.5630039910854613E-2</v>
      </c>
      <c r="F117" s="29">
        <f>VLOOKUP($B117, ind_mes!$B:$XFD, MATCH(gdp_ind_share!F$1, ind_mes!$B$1:$XFD$1, 0), 0)/VLOOKUP($B117, gdp_tot_mes!$B:$XFD, MATCH(gdp_ind_share!F$1, gdp_tot_mes!$B$1:$XFD$1, 0), 0)</f>
        <v>0.11491292156331548</v>
      </c>
      <c r="G117" s="29">
        <f>VLOOKUP($B117, ind_mes!$B:$XFD, MATCH(gdp_ind_share!G$1, ind_mes!$B$1:$XFD$1, 0), 0)/VLOOKUP($B117, gdp_tot_mes!$B:$XFD, MATCH(gdp_ind_share!G$1, gdp_tot_mes!$B$1:$XFD$1, 0), 0)</f>
        <v>0.18967440906100658</v>
      </c>
      <c r="H117" s="29">
        <f>VLOOKUP($B117, ind_mes!$B:$XFD, MATCH(gdp_ind_share!H$1, ind_mes!$B$1:$XFD$1, 0), 0)/VLOOKUP($B117, gdp_tot_mes!$B:$XFD, MATCH(gdp_ind_share!H$1, gdp_tot_mes!$B$1:$XFD$1, 0), 0)</f>
        <v>0.21098431760192979</v>
      </c>
      <c r="I117" s="29">
        <f>VLOOKUP($B117, ind_mes!$B:$XFD, MATCH(gdp_ind_share!I$1, ind_mes!$B$1:$XFD$1, 0), 0)/VLOOKUP($B117, gdp_tot_mes!$B:$XFD, MATCH(gdp_ind_share!I$1, gdp_tot_mes!$B$1:$XFD$1, 0), 0)</f>
        <v>0.29578333673054741</v>
      </c>
      <c r="J117" s="29">
        <f>VLOOKUP($B117, ind_mes!$B:$XFD, MATCH(gdp_ind_share!J$1, ind_mes!$B$1:$XFD$1, 0), 0)/VLOOKUP($B117, gdp_tot_mes!$B:$XFD, MATCH(gdp_ind_share!J$1, gdp_tot_mes!$B$1:$XFD$1, 0), 0)</f>
        <v>0.29499731351042252</v>
      </c>
      <c r="K117" s="29">
        <f>VLOOKUP($B117, ind_mes!$B:$XFD, MATCH(gdp_ind_share!K$1, ind_mes!$B$1:$XFD$1, 0), 0)/VLOOKUP($B117, gdp_tot_mes!$B:$XFD, MATCH(gdp_ind_share!K$1, gdp_tot_mes!$B$1:$XFD$1, 0), 0)</f>
        <v>0.18632964512931835</v>
      </c>
      <c r="L117" s="30">
        <f t="shared" si="1"/>
        <v>0.177307605553953</v>
      </c>
      <c r="M117" s="29">
        <f>VLOOKUP($B117, ind_mes!$B:$XFD, MATCH(gdp_ind_share!M$1, ind_mes!$B$1:$XFD$1, 0), 0)/VLOOKUP($B117, gdp_tot_mes!$B:$XFD, MATCH(gdp_ind_share!M$1, gdp_tot_mes!$B$1:$XFD$1, 0), 0)</f>
        <v>0.16648115806351457</v>
      </c>
      <c r="N117" s="29">
        <f>VLOOKUP($B117, ind_mes!$B:$XFD, MATCH(gdp_ind_share!N$1, ind_mes!$B$1:$XFD$1, 0), 0)/VLOOKUP($B117, gdp_tot_mes!$B:$XFD, MATCH(gdp_ind_share!N$1, gdp_tot_mes!$B$1:$XFD$1, 0), 0)</f>
        <v>0.1421933490841103</v>
      </c>
      <c r="O117" s="29">
        <f>VLOOKUP($B117, ind_mes!$B:$XFD, MATCH(gdp_ind_share!O$1, ind_mes!$B$1:$XFD$1, 0), 0)/VLOOKUP($B117, gdp_tot_mes!$B:$XFD, MATCH(gdp_ind_share!O$1, gdp_tot_mes!$B$1:$XFD$1, 0), 0)</f>
        <v>0.15803631453275255</v>
      </c>
      <c r="P117" s="29">
        <f>VLOOKUP($B117, ind_mes!$B:$XFD, MATCH(gdp_ind_share!P$1, ind_mes!$B$1:$XFD$1, 0), 0)/VLOOKUP($B117, gdp_tot_mes!$B:$XFD, MATCH(gdp_ind_share!P$1, gdp_tot_mes!$B$1:$XFD$1, 0), 0)</f>
        <v>0.14732987836163283</v>
      </c>
      <c r="Q117" s="29">
        <f>VLOOKUP($B117, ind_mes!$B:$XFD, MATCH(gdp_ind_share!Q$1, ind_mes!$B$1:$XFD$1, 0), 0)/VLOOKUP($B117, gdp_tot_mes!$B:$XFD, MATCH(gdp_ind_share!Q$1, gdp_tot_mes!$B$1:$XFD$1, 0), 0)</f>
        <v>0.1510462002442568</v>
      </c>
      <c r="R117" s="29">
        <f>VLOOKUP($B117, ind_mes!$B:$XFD, MATCH(gdp_ind_share!R$1, ind_mes!$B$1:$XFD$1, 0), 0)/VLOOKUP($B117, gdp_tot_mes!$B:$XFD, MATCH(gdp_ind_share!R$1, gdp_tot_mes!$B$1:$XFD$1, 0), 0)</f>
        <v>0.14451146629779801</v>
      </c>
      <c r="S117" s="29">
        <f>VLOOKUP($B117, ind_mes!$B:$XFD, MATCH(gdp_ind_share!S$1, ind_mes!$B$1:$XFD$1, 0), 0)/VLOOKUP($B117, gdp_tot_mes!$B:$XFD, MATCH(gdp_ind_share!S$1, gdp_tot_mes!$B$1:$XFD$1, 0), 0)</f>
        <v>0.15442745967003832</v>
      </c>
      <c r="T117" s="29">
        <f>VLOOKUP($B117, ind_mes!$B:$XFD, MATCH(gdp_ind_share!T$1, ind_mes!$B$1:$XFD$1, 0), 0)/VLOOKUP($B117, gdp_tot_mes!$B:$XFD, MATCH(gdp_ind_share!T$1, gdp_tot_mes!$B$1:$XFD$1, 0), 0)</f>
        <v>0.14282974739898857</v>
      </c>
      <c r="U117" s="29">
        <f>VLOOKUP($B117, ind_mes!$B:$XFD, MATCH(gdp_ind_share!U$1, ind_mes!$B$1:$XFD$1, 0), 0)/VLOOKUP($B117, gdp_tot_mes!$B:$XFD, MATCH(gdp_ind_share!U$1, gdp_tot_mes!$B$1:$XFD$1, 0), 0)</f>
        <v>0.14710667594553609</v>
      </c>
      <c r="V117" s="29">
        <f>VLOOKUP($B117, ind_mes!$B:$XFD, MATCH(gdp_ind_share!V$1, ind_mes!$B$1:$XFD$1, 0), 0)/VLOOKUP($B117, gdp_tot_mes!$B:$XFD, MATCH(gdp_ind_share!V$1, gdp_tot_mes!$B$1:$XFD$1, 0), 0)</f>
        <v>0.18232141084152445</v>
      </c>
      <c r="W117" s="29">
        <f>VLOOKUP($B117, ind_mes!$B:$XFD, MATCH(gdp_ind_share!W$1, ind_mes!$B$1:$XFD$1, 0), 0)/VLOOKUP($B117, gdp_tot_mes!$B:$XFD, MATCH(gdp_ind_share!W$1, gdp_tot_mes!$B$1:$XFD$1, 0), 0)</f>
        <v>0.15645629380048673</v>
      </c>
      <c r="X117" s="29">
        <f>VLOOKUP($B117, ind_mes!$B:$XFD, MATCH(gdp_ind_share!X$1, ind_mes!$B$1:$XFD$1, 0), 0)/VLOOKUP($B117, gdp_tot_mes!$B:$XFD, MATCH(gdp_ind_share!X$1, gdp_tot_mes!$B$1:$XFD$1, 0), 0)</f>
        <v>0.17012251745002333</v>
      </c>
      <c r="Y117" s="29">
        <f>VLOOKUP($B117, ind_mes!$B:$XFD, MATCH(gdp_ind_share!Y$1, ind_mes!$B$1:$XFD$1, 0), 0)/VLOOKUP($B117, gdp_tot_mes!$B:$XFD, MATCH(gdp_ind_share!Y$1, gdp_tot_mes!$B$1:$XFD$1, 0), 0)</f>
        <v>0.18754331152886961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x14ac:dyDescent="0.25">
      <c r="A118" s="1" t="s">
        <v>268</v>
      </c>
      <c r="B118" s="1" t="s">
        <v>279</v>
      </c>
      <c r="C118" s="1" t="s">
        <v>280</v>
      </c>
      <c r="D118" s="29">
        <f>VLOOKUP($B118, ind_mes!$B:$XFD, MATCH(gdp_ind_share!D$1, ind_mes!$B$1:$XFD$1, 0), 0)/VLOOKUP($B118, gdp_tot_mes!$B:$XFD, MATCH(gdp_ind_share!D$1, gdp_tot_mes!$B$1:$XFD$1, 0), 0)</f>
        <v>0.12791694230873363</v>
      </c>
      <c r="E118" s="29">
        <f>VLOOKUP($B118, ind_mes!$B:$XFD, MATCH(gdp_ind_share!E$1, ind_mes!$B$1:$XFD$1, 0), 0)/VLOOKUP($B118, gdp_tot_mes!$B:$XFD, MATCH(gdp_ind_share!E$1, gdp_tot_mes!$B$1:$XFD$1, 0), 0)</f>
        <v>0.11493673630959506</v>
      </c>
      <c r="F118" s="29">
        <f>VLOOKUP($B118, ind_mes!$B:$XFD, MATCH(gdp_ind_share!F$1, ind_mes!$B$1:$XFD$1, 0), 0)/VLOOKUP($B118, gdp_tot_mes!$B:$XFD, MATCH(gdp_ind_share!F$1, gdp_tot_mes!$B$1:$XFD$1, 0), 0)</f>
        <v>0.33712472272886118</v>
      </c>
      <c r="G118" s="29">
        <f>VLOOKUP($B118, ind_mes!$B:$XFD, MATCH(gdp_ind_share!G$1, ind_mes!$B$1:$XFD$1, 0), 0)/VLOOKUP($B118, gdp_tot_mes!$B:$XFD, MATCH(gdp_ind_share!G$1, gdp_tot_mes!$B$1:$XFD$1, 0), 0)</f>
        <v>0.27733993594868572</v>
      </c>
      <c r="H118" s="29">
        <f>VLOOKUP($B118, ind_mes!$B:$XFD, MATCH(gdp_ind_share!H$1, ind_mes!$B$1:$XFD$1, 0), 0)/VLOOKUP($B118, gdp_tot_mes!$B:$XFD, MATCH(gdp_ind_share!H$1, gdp_tot_mes!$B$1:$XFD$1, 0), 0)</f>
        <v>0.3298286171474259</v>
      </c>
      <c r="I118" s="29">
        <f>VLOOKUP($B118, ind_mes!$B:$XFD, MATCH(gdp_ind_share!I$1, ind_mes!$B$1:$XFD$1, 0), 0)/VLOOKUP($B118, gdp_tot_mes!$B:$XFD, MATCH(gdp_ind_share!I$1, gdp_tot_mes!$B$1:$XFD$1, 0), 0)</f>
        <v>0.49196608797970931</v>
      </c>
      <c r="J118" s="29">
        <f>VLOOKUP($B118, ind_mes!$B:$XFD, MATCH(gdp_ind_share!J$1, ind_mes!$B$1:$XFD$1, 0), 0)/VLOOKUP($B118, gdp_tot_mes!$B:$XFD, MATCH(gdp_ind_share!J$1, gdp_tot_mes!$B$1:$XFD$1, 0), 0)</f>
        <v>0.53609093339919556</v>
      </c>
      <c r="K118" s="29">
        <f>VLOOKUP($B118, ind_mes!$B:$XFD, MATCH(gdp_ind_share!K$1, ind_mes!$B$1:$XFD$1, 0), 0)/VLOOKUP($B118, gdp_tot_mes!$B:$XFD, MATCH(gdp_ind_share!K$1, gdp_tot_mes!$B$1:$XFD$1, 0), 0)</f>
        <v>0.43928677893311902</v>
      </c>
      <c r="L118" s="30">
        <f t="shared" si="1"/>
        <v>0.41135492608837482</v>
      </c>
      <c r="M118" s="29">
        <f>VLOOKUP($B118, ind_mes!$B:$XFD, MATCH(gdp_ind_share!M$1, ind_mes!$B$1:$XFD$1, 0), 0)/VLOOKUP($B118, gdp_tot_mes!$B:$XFD, MATCH(gdp_ind_share!M$1, gdp_tot_mes!$B$1:$XFD$1, 0), 0)</f>
        <v>0.37783670267468178</v>
      </c>
      <c r="N118" s="29">
        <f>VLOOKUP($B118, ind_mes!$B:$XFD, MATCH(gdp_ind_share!N$1, ind_mes!$B$1:$XFD$1, 0), 0)/VLOOKUP($B118, gdp_tot_mes!$B:$XFD, MATCH(gdp_ind_share!N$1, gdp_tot_mes!$B$1:$XFD$1, 0), 0)</f>
        <v>0.31380294206185605</v>
      </c>
      <c r="O118" s="29">
        <f>VLOOKUP($B118, ind_mes!$B:$XFD, MATCH(gdp_ind_share!O$1, ind_mes!$B$1:$XFD$1, 0), 0)/VLOOKUP($B118, gdp_tot_mes!$B:$XFD, MATCH(gdp_ind_share!O$1, gdp_tot_mes!$B$1:$XFD$1, 0), 0)</f>
        <v>0.37012028682540532</v>
      </c>
      <c r="P118" s="29">
        <f>VLOOKUP($B118, ind_mes!$B:$XFD, MATCH(gdp_ind_share!P$1, ind_mes!$B$1:$XFD$1, 0), 0)/VLOOKUP($B118, gdp_tot_mes!$B:$XFD, MATCH(gdp_ind_share!P$1, gdp_tot_mes!$B$1:$XFD$1, 0), 0)</f>
        <v>0.34507554308441613</v>
      </c>
      <c r="Q118" s="29">
        <f>VLOOKUP($B118, ind_mes!$B:$XFD, MATCH(gdp_ind_share!Q$1, ind_mes!$B$1:$XFD$1, 0), 0)/VLOOKUP($B118, gdp_tot_mes!$B:$XFD, MATCH(gdp_ind_share!Q$1, gdp_tot_mes!$B$1:$XFD$1, 0), 0)</f>
        <v>0.27096662280080441</v>
      </c>
      <c r="R118" s="29">
        <f>VLOOKUP($B118, ind_mes!$B:$XFD, MATCH(gdp_ind_share!R$1, ind_mes!$B$1:$XFD$1, 0), 0)/VLOOKUP($B118, gdp_tot_mes!$B:$XFD, MATCH(gdp_ind_share!R$1, gdp_tot_mes!$B$1:$XFD$1, 0), 0)</f>
        <v>0.25479559577295108</v>
      </c>
      <c r="S118" s="29">
        <f>VLOOKUP($B118, ind_mes!$B:$XFD, MATCH(gdp_ind_share!S$1, ind_mes!$B$1:$XFD$1, 0), 0)/VLOOKUP($B118, gdp_tot_mes!$B:$XFD, MATCH(gdp_ind_share!S$1, gdp_tot_mes!$B$1:$XFD$1, 0), 0)</f>
        <v>0.26358771104914513</v>
      </c>
      <c r="T118" s="29">
        <f>VLOOKUP($B118, ind_mes!$B:$XFD, MATCH(gdp_ind_share!T$1, ind_mes!$B$1:$XFD$1, 0), 0)/VLOOKUP($B118, gdp_tot_mes!$B:$XFD, MATCH(gdp_ind_share!T$1, gdp_tot_mes!$B$1:$XFD$1, 0), 0)</f>
        <v>0.26003326485435219</v>
      </c>
      <c r="U118" s="29">
        <f>VLOOKUP($B118, ind_mes!$B:$XFD, MATCH(gdp_ind_share!U$1, ind_mes!$B$1:$XFD$1, 0), 0)/VLOOKUP($B118, gdp_tot_mes!$B:$XFD, MATCH(gdp_ind_share!U$1, gdp_tot_mes!$B$1:$XFD$1, 0), 0)</f>
        <v>0.28760436017494018</v>
      </c>
      <c r="V118" s="29">
        <f>VLOOKUP($B118, ind_mes!$B:$XFD, MATCH(gdp_ind_share!V$1, ind_mes!$B$1:$XFD$1, 0), 0)/VLOOKUP($B118, gdp_tot_mes!$B:$XFD, MATCH(gdp_ind_share!V$1, gdp_tot_mes!$B$1:$XFD$1, 0), 0)</f>
        <v>0.30508645794774558</v>
      </c>
      <c r="W118" s="29">
        <f>VLOOKUP($B118, ind_mes!$B:$XFD, MATCH(gdp_ind_share!W$1, ind_mes!$B$1:$XFD$1, 0), 0)/VLOOKUP($B118, gdp_tot_mes!$B:$XFD, MATCH(gdp_ind_share!W$1, gdp_tot_mes!$B$1:$XFD$1, 0), 0)</f>
        <v>0.28882540951864422</v>
      </c>
      <c r="X118" s="29">
        <f>VLOOKUP($B118, ind_mes!$B:$XFD, MATCH(gdp_ind_share!X$1, ind_mes!$B$1:$XFD$1, 0), 0)/VLOOKUP($B118, gdp_tot_mes!$B:$XFD, MATCH(gdp_ind_share!X$1, gdp_tot_mes!$B$1:$XFD$1, 0), 0)</f>
        <v>0.26016689391800335</v>
      </c>
      <c r="Y118" s="29">
        <f>VLOOKUP($B118, ind_mes!$B:$XFD, MATCH(gdp_ind_share!Y$1, ind_mes!$B$1:$XFD$1, 0), 0)/VLOOKUP($B118, gdp_tot_mes!$B:$XFD, MATCH(gdp_ind_share!Y$1, gdp_tot_mes!$B$1:$XFD$1, 0), 0)</f>
        <v>0.29524594119687581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x14ac:dyDescent="0.25">
      <c r="A119" s="1" t="s">
        <v>281</v>
      </c>
      <c r="B119" s="1" t="s">
        <v>282</v>
      </c>
      <c r="C119" s="1" t="s">
        <v>283</v>
      </c>
      <c r="D119" s="29">
        <f>VLOOKUP($B119, ind_mes!$B:$XFD, MATCH(gdp_ind_share!D$1, ind_mes!$B$1:$XFD$1, 0), 0)/VLOOKUP($B119, gdp_tot_mes!$B:$XFD, MATCH(gdp_ind_share!D$1, gdp_tot_mes!$B$1:$XFD$1, 0), 0)</f>
        <v>4.950505813137944E-2</v>
      </c>
      <c r="E119" s="29">
        <f>VLOOKUP($B119, ind_mes!$B:$XFD, MATCH(gdp_ind_share!E$1, ind_mes!$B$1:$XFD$1, 0), 0)/VLOOKUP($B119, gdp_tot_mes!$B:$XFD, MATCH(gdp_ind_share!E$1, gdp_tot_mes!$B$1:$XFD$1, 0), 0)</f>
        <v>3.9384143436847954E-3</v>
      </c>
      <c r="F119" s="29">
        <f>VLOOKUP($B119, ind_mes!$B:$XFD, MATCH(gdp_ind_share!F$1, ind_mes!$B$1:$XFD$1, 0), 0)/VLOOKUP($B119, gdp_tot_mes!$B:$XFD, MATCH(gdp_ind_share!F$1, gdp_tot_mes!$B$1:$XFD$1, 0), 0)</f>
        <v>2.6351690450897611E-2</v>
      </c>
      <c r="G119" s="29">
        <f>VLOOKUP($B119, ind_mes!$B:$XFD, MATCH(gdp_ind_share!G$1, ind_mes!$B$1:$XFD$1, 0), 0)/VLOOKUP($B119, gdp_tot_mes!$B:$XFD, MATCH(gdp_ind_share!G$1, gdp_tot_mes!$B$1:$XFD$1, 0), 0)</f>
        <v>5.0051525959004167E-2</v>
      </c>
      <c r="H119" s="29">
        <f>VLOOKUP($B119, ind_mes!$B:$XFD, MATCH(gdp_ind_share!H$1, ind_mes!$B$1:$XFD$1, 0), 0)/VLOOKUP($B119, gdp_tot_mes!$B:$XFD, MATCH(gdp_ind_share!H$1, gdp_tot_mes!$B$1:$XFD$1, 0), 0)</f>
        <v>8.7137459445259829E-2</v>
      </c>
      <c r="I119" s="29">
        <f>VLOOKUP($B119, ind_mes!$B:$XFD, MATCH(gdp_ind_share!I$1, ind_mes!$B$1:$XFD$1, 0), 0)/VLOOKUP($B119, gdp_tot_mes!$B:$XFD, MATCH(gdp_ind_share!I$1, gdp_tot_mes!$B$1:$XFD$1, 0), 0)</f>
        <v>0.12051719646210164</v>
      </c>
      <c r="J119" s="29">
        <f>VLOOKUP($B119, ind_mes!$B:$XFD, MATCH(gdp_ind_share!J$1, ind_mes!$B$1:$XFD$1, 0), 0)/VLOOKUP($B119, gdp_tot_mes!$B:$XFD, MATCH(gdp_ind_share!J$1, gdp_tot_mes!$B$1:$XFD$1, 0), 0)</f>
        <v>9.4636189543611068E-2</v>
      </c>
      <c r="K119" s="29">
        <f>VLOOKUP($B119, ind_mes!$B:$XFD, MATCH(gdp_ind_share!K$1, ind_mes!$B$1:$XFD$1, 0), 0)/VLOOKUP($B119, gdp_tot_mes!$B:$XFD, MATCH(gdp_ind_share!K$1, gdp_tot_mes!$B$1:$XFD$1, 0), 0)</f>
        <v>0.25806170216295454</v>
      </c>
      <c r="L119" s="30">
        <f t="shared" si="1"/>
        <v>0.27309916010547797</v>
      </c>
      <c r="M119" s="29">
        <f>VLOOKUP($B119, ind_mes!$B:$XFD, MATCH(gdp_ind_share!M$1, ind_mes!$B$1:$XFD$1, 0), 0)/VLOOKUP($B119, gdp_tot_mes!$B:$XFD, MATCH(gdp_ind_share!M$1, gdp_tot_mes!$B$1:$XFD$1, 0), 0)</f>
        <v>0.29114410963650611</v>
      </c>
      <c r="N119" s="29">
        <f>VLOOKUP($B119, ind_mes!$B:$XFD, MATCH(gdp_ind_share!N$1, ind_mes!$B$1:$XFD$1, 0), 0)/VLOOKUP($B119, gdp_tot_mes!$B:$XFD, MATCH(gdp_ind_share!N$1, gdp_tot_mes!$B$1:$XFD$1, 0), 0)</f>
        <v>0.20689063515506817</v>
      </c>
      <c r="O119" s="29">
        <f>VLOOKUP($B119, ind_mes!$B:$XFD, MATCH(gdp_ind_share!O$1, ind_mes!$B$1:$XFD$1, 0), 0)/VLOOKUP($B119, gdp_tot_mes!$B:$XFD, MATCH(gdp_ind_share!O$1, gdp_tot_mes!$B$1:$XFD$1, 0), 0)</f>
        <v>0.20387009235421708</v>
      </c>
      <c r="P119" s="29">
        <f>VLOOKUP($B119, ind_mes!$B:$XFD, MATCH(gdp_ind_share!P$1, ind_mes!$B$1:$XFD$1, 0), 0)/VLOOKUP($B119, gdp_tot_mes!$B:$XFD, MATCH(gdp_ind_share!P$1, gdp_tot_mes!$B$1:$XFD$1, 0), 0)</f>
        <v>0.59841890879538506</v>
      </c>
      <c r="Q119" s="29">
        <f>VLOOKUP($B119, ind_mes!$B:$XFD, MATCH(gdp_ind_share!Q$1, ind_mes!$B$1:$XFD$1, 0), 0)/VLOOKUP($B119, gdp_tot_mes!$B:$XFD, MATCH(gdp_ind_share!Q$1, gdp_tot_mes!$B$1:$XFD$1, 0), 0)</f>
        <v>0.73676359885340814</v>
      </c>
      <c r="R119" s="29">
        <f>VLOOKUP($B119, ind_mes!$B:$XFD, MATCH(gdp_ind_share!R$1, ind_mes!$B$1:$XFD$1, 0), 0)/VLOOKUP($B119, gdp_tot_mes!$B:$XFD, MATCH(gdp_ind_share!R$1, gdp_tot_mes!$B$1:$XFD$1, 0), 0)</f>
        <v>0.74532166885158246</v>
      </c>
      <c r="S119" s="29">
        <f>VLOOKUP($B119, ind_mes!$B:$XFD, MATCH(gdp_ind_share!S$1, ind_mes!$B$1:$XFD$1, 0), 0)/VLOOKUP($B119, gdp_tot_mes!$B:$XFD, MATCH(gdp_ind_share!S$1, gdp_tot_mes!$B$1:$XFD$1, 0), 0)</f>
        <v>0.74848108364456867</v>
      </c>
      <c r="T119" s="29">
        <f>VLOOKUP($B119, ind_mes!$B:$XFD, MATCH(gdp_ind_share!T$1, ind_mes!$B$1:$XFD$1, 0), 0)/VLOOKUP($B119, gdp_tot_mes!$B:$XFD, MATCH(gdp_ind_share!T$1, gdp_tot_mes!$B$1:$XFD$1, 0), 0)</f>
        <v>0.70164164434380005</v>
      </c>
      <c r="U119" s="29">
        <f>VLOOKUP($B119, ind_mes!$B:$XFD, MATCH(gdp_ind_share!U$1, ind_mes!$B$1:$XFD$1, 0), 0)/VLOOKUP($B119, gdp_tot_mes!$B:$XFD, MATCH(gdp_ind_share!U$1, gdp_tot_mes!$B$1:$XFD$1, 0), 0)</f>
        <v>0.61645116927437815</v>
      </c>
      <c r="V119" s="29">
        <f>VLOOKUP($B119, ind_mes!$B:$XFD, MATCH(gdp_ind_share!V$1, ind_mes!$B$1:$XFD$1, 0), 0)/VLOOKUP($B119, gdp_tot_mes!$B:$XFD, MATCH(gdp_ind_share!V$1, gdp_tot_mes!$B$1:$XFD$1, 0), 0)</f>
        <v>0.60305273584298724</v>
      </c>
      <c r="W119" s="29">
        <f>VLOOKUP($B119, ind_mes!$B:$XFD, MATCH(gdp_ind_share!W$1, ind_mes!$B$1:$XFD$1, 0), 0)/VLOOKUP($B119, gdp_tot_mes!$B:$XFD, MATCH(gdp_ind_share!W$1, gdp_tot_mes!$B$1:$XFD$1, 0), 0)</f>
        <v>0.60888468353058467</v>
      </c>
      <c r="X119" s="29">
        <f>VLOOKUP($B119, ind_mes!$B:$XFD, MATCH(gdp_ind_share!X$1, ind_mes!$B$1:$XFD$1, 0), 0)/VLOOKUP($B119, gdp_tot_mes!$B:$XFD, MATCH(gdp_ind_share!X$1, gdp_tot_mes!$B$1:$XFD$1, 0), 0)</f>
        <v>0.54463946737194646</v>
      </c>
      <c r="Y119" s="29">
        <f>VLOOKUP($B119, ind_mes!$B:$XFD, MATCH(gdp_ind_share!Y$1, ind_mes!$B$1:$XFD$1, 0), 0)/VLOOKUP($B119, gdp_tot_mes!$B:$XFD, MATCH(gdp_ind_share!Y$1, gdp_tot_mes!$B$1:$XFD$1, 0), 0)</f>
        <v>0.60660281752849987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x14ac:dyDescent="0.25">
      <c r="A120" s="1" t="s">
        <v>281</v>
      </c>
      <c r="B120" s="1" t="s">
        <v>284</v>
      </c>
      <c r="C120" s="1" t="s">
        <v>285</v>
      </c>
      <c r="D120" s="29">
        <f>VLOOKUP($B120, ind_mes!$B:$XFD, MATCH(gdp_ind_share!D$1, ind_mes!$B$1:$XFD$1, 0), 0)/VLOOKUP($B120, gdp_tot_mes!$B:$XFD, MATCH(gdp_ind_share!D$1, gdp_tot_mes!$B$1:$XFD$1, 0), 0)</f>
        <v>0.15056710024519415</v>
      </c>
      <c r="E120" s="29">
        <f>VLOOKUP($B120, ind_mes!$B:$XFD, MATCH(gdp_ind_share!E$1, ind_mes!$B$1:$XFD$1, 0), 0)/VLOOKUP($B120, gdp_tot_mes!$B:$XFD, MATCH(gdp_ind_share!E$1, gdp_tot_mes!$B$1:$XFD$1, 0), 0)</f>
        <v>3.188903538129504E-2</v>
      </c>
      <c r="F120" s="29">
        <f>VLOOKUP($B120, ind_mes!$B:$XFD, MATCH(gdp_ind_share!F$1, ind_mes!$B$1:$XFD$1, 0), 0)/VLOOKUP($B120, gdp_tot_mes!$B:$XFD, MATCH(gdp_ind_share!F$1, gdp_tot_mes!$B$1:$XFD$1, 0), 0)</f>
        <v>5.3300154587665759E-2</v>
      </c>
      <c r="G120" s="29">
        <f>VLOOKUP($B120, ind_mes!$B:$XFD, MATCH(gdp_ind_share!G$1, ind_mes!$B$1:$XFD$1, 0), 0)/VLOOKUP($B120, gdp_tot_mes!$B:$XFD, MATCH(gdp_ind_share!G$1, gdp_tot_mes!$B$1:$XFD$1, 0), 0)</f>
        <v>0.12614536509867127</v>
      </c>
      <c r="H120" s="29">
        <f>VLOOKUP($B120, ind_mes!$B:$XFD, MATCH(gdp_ind_share!H$1, ind_mes!$B$1:$XFD$1, 0), 0)/VLOOKUP($B120, gdp_tot_mes!$B:$XFD, MATCH(gdp_ind_share!H$1, gdp_tot_mes!$B$1:$XFD$1, 0), 0)</f>
        <v>0.13698282324035016</v>
      </c>
      <c r="I120" s="29">
        <f>VLOOKUP($B120, ind_mes!$B:$XFD, MATCH(gdp_ind_share!I$1, ind_mes!$B$1:$XFD$1, 0), 0)/VLOOKUP($B120, gdp_tot_mes!$B:$XFD, MATCH(gdp_ind_share!I$1, gdp_tot_mes!$B$1:$XFD$1, 0), 0)</f>
        <v>0.16861863305707861</v>
      </c>
      <c r="J120" s="29">
        <f>VLOOKUP($B120, ind_mes!$B:$XFD, MATCH(gdp_ind_share!J$1, ind_mes!$B$1:$XFD$1, 0), 0)/VLOOKUP($B120, gdp_tot_mes!$B:$XFD, MATCH(gdp_ind_share!J$1, gdp_tot_mes!$B$1:$XFD$1, 0), 0)</f>
        <v>0.15743324488813834</v>
      </c>
      <c r="K120" s="29">
        <f>VLOOKUP($B120, ind_mes!$B:$XFD, MATCH(gdp_ind_share!K$1, ind_mes!$B$1:$XFD$1, 0), 0)/VLOOKUP($B120, gdp_tot_mes!$B:$XFD, MATCH(gdp_ind_share!K$1, gdp_tot_mes!$B$1:$XFD$1, 0), 0)</f>
        <v>0.32694822721893863</v>
      </c>
      <c r="L120" s="30">
        <f t="shared" si="1"/>
        <v>0.24927202700959228</v>
      </c>
      <c r="M120" s="29">
        <f>VLOOKUP($B120, ind_mes!$B:$XFD, MATCH(gdp_ind_share!M$1, ind_mes!$B$1:$XFD$1, 0), 0)/VLOOKUP($B120, gdp_tot_mes!$B:$XFD, MATCH(gdp_ind_share!M$1, gdp_tot_mes!$B$1:$XFD$1, 0), 0)</f>
        <v>0.15606058675837667</v>
      </c>
      <c r="N120" s="29">
        <f>VLOOKUP($B120, ind_mes!$B:$XFD, MATCH(gdp_ind_share!N$1, ind_mes!$B$1:$XFD$1, 0), 0)/VLOOKUP($B120, gdp_tot_mes!$B:$XFD, MATCH(gdp_ind_share!N$1, gdp_tot_mes!$B$1:$XFD$1, 0), 0)</f>
        <v>0.11741295518035016</v>
      </c>
      <c r="O120" s="29">
        <f>VLOOKUP($B120, ind_mes!$B:$XFD, MATCH(gdp_ind_share!O$1, ind_mes!$B$1:$XFD$1, 0), 0)/VLOOKUP($B120, gdp_tot_mes!$B:$XFD, MATCH(gdp_ind_share!O$1, gdp_tot_mes!$B$1:$XFD$1, 0), 0)</f>
        <v>0.11833299478170556</v>
      </c>
      <c r="P120" s="29">
        <f>VLOOKUP($B120, ind_mes!$B:$XFD, MATCH(gdp_ind_share!P$1, ind_mes!$B$1:$XFD$1, 0), 0)/VLOOKUP($B120, gdp_tot_mes!$B:$XFD, MATCH(gdp_ind_share!P$1, gdp_tot_mes!$B$1:$XFD$1, 0), 0)</f>
        <v>0.11712803059471778</v>
      </c>
      <c r="Q120" s="29">
        <f>VLOOKUP($B120, ind_mes!$B:$XFD, MATCH(gdp_ind_share!Q$1, ind_mes!$B$1:$XFD$1, 0), 0)/VLOOKUP($B120, gdp_tot_mes!$B:$XFD, MATCH(gdp_ind_share!Q$1, gdp_tot_mes!$B$1:$XFD$1, 0), 0)</f>
        <v>0.10216334831867847</v>
      </c>
      <c r="R120" s="29">
        <f>VLOOKUP($B120, ind_mes!$B:$XFD, MATCH(gdp_ind_share!R$1, ind_mes!$B$1:$XFD$1, 0), 0)/VLOOKUP($B120, gdp_tot_mes!$B:$XFD, MATCH(gdp_ind_share!R$1, gdp_tot_mes!$B$1:$XFD$1, 0), 0)</f>
        <v>9.3675922088337721E-2</v>
      </c>
      <c r="S120" s="29">
        <f>VLOOKUP($B120, ind_mes!$B:$XFD, MATCH(gdp_ind_share!S$1, ind_mes!$B$1:$XFD$1, 0), 0)/VLOOKUP($B120, gdp_tot_mes!$B:$XFD, MATCH(gdp_ind_share!S$1, gdp_tot_mes!$B$1:$XFD$1, 0), 0)</f>
        <v>0.10017875639748672</v>
      </c>
      <c r="T120" s="29">
        <f>VLOOKUP($B120, ind_mes!$B:$XFD, MATCH(gdp_ind_share!T$1, ind_mes!$B$1:$XFD$1, 0), 0)/VLOOKUP($B120, gdp_tot_mes!$B:$XFD, MATCH(gdp_ind_share!T$1, gdp_tot_mes!$B$1:$XFD$1, 0), 0)</f>
        <v>7.6579223542893066E-2</v>
      </c>
      <c r="U120" s="29">
        <f>VLOOKUP($B120, ind_mes!$B:$XFD, MATCH(gdp_ind_share!U$1, ind_mes!$B$1:$XFD$1, 0), 0)/VLOOKUP($B120, gdp_tot_mes!$B:$XFD, MATCH(gdp_ind_share!U$1, gdp_tot_mes!$B$1:$XFD$1, 0), 0)</f>
        <v>7.9855150428336977E-2</v>
      </c>
      <c r="V120" s="29">
        <f>VLOOKUP($B120, ind_mes!$B:$XFD, MATCH(gdp_ind_share!V$1, ind_mes!$B$1:$XFD$1, 0), 0)/VLOOKUP($B120, gdp_tot_mes!$B:$XFD, MATCH(gdp_ind_share!V$1, gdp_tot_mes!$B$1:$XFD$1, 0), 0)</f>
        <v>8.9325390513742484E-2</v>
      </c>
      <c r="W120" s="29">
        <f>VLOOKUP($B120, ind_mes!$B:$XFD, MATCH(gdp_ind_share!W$1, ind_mes!$B$1:$XFD$1, 0), 0)/VLOOKUP($B120, gdp_tot_mes!$B:$XFD, MATCH(gdp_ind_share!W$1, gdp_tot_mes!$B$1:$XFD$1, 0), 0)</f>
        <v>9.9719321405349545E-2</v>
      </c>
      <c r="X120" s="29">
        <f>VLOOKUP($B120, ind_mes!$B:$XFD, MATCH(gdp_ind_share!X$1, ind_mes!$B$1:$XFD$1, 0), 0)/VLOOKUP($B120, gdp_tot_mes!$B:$XFD, MATCH(gdp_ind_share!X$1, gdp_tot_mes!$B$1:$XFD$1, 0), 0)</f>
        <v>9.0319495560117646E-2</v>
      </c>
      <c r="Y120" s="29">
        <f>VLOOKUP($B120, ind_mes!$B:$XFD, MATCH(gdp_ind_share!Y$1, ind_mes!$B$1:$XFD$1, 0), 0)/VLOOKUP($B120, gdp_tot_mes!$B:$XFD, MATCH(gdp_ind_share!Y$1, gdp_tot_mes!$B$1:$XFD$1, 0), 0)</f>
        <v>9.922951349533661E-2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x14ac:dyDescent="0.25">
      <c r="A121" s="1" t="s">
        <v>281</v>
      </c>
      <c r="B121" s="1" t="s">
        <v>286</v>
      </c>
      <c r="C121" s="1" t="s">
        <v>287</v>
      </c>
      <c r="D121" s="29">
        <f>VLOOKUP($B121, ind_mes!$B:$XFD, MATCH(gdp_ind_share!D$1, ind_mes!$B$1:$XFD$1, 0), 0)/VLOOKUP($B121, gdp_tot_mes!$B:$XFD, MATCH(gdp_ind_share!D$1, gdp_tot_mes!$B$1:$XFD$1, 0), 0)</f>
        <v>0.20243855937837268</v>
      </c>
      <c r="E121" s="29">
        <f>VLOOKUP($B121, ind_mes!$B:$XFD, MATCH(gdp_ind_share!E$1, ind_mes!$B$1:$XFD$1, 0), 0)/VLOOKUP($B121, gdp_tot_mes!$B:$XFD, MATCH(gdp_ind_share!E$1, gdp_tot_mes!$B$1:$XFD$1, 0), 0)</f>
        <v>0.2144320216150907</v>
      </c>
      <c r="F121" s="29">
        <f>VLOOKUP($B121, ind_mes!$B:$XFD, MATCH(gdp_ind_share!F$1, ind_mes!$B$1:$XFD$1, 0), 0)/VLOOKUP($B121, gdp_tot_mes!$B:$XFD, MATCH(gdp_ind_share!F$1, gdp_tot_mes!$B$1:$XFD$1, 0), 0)</f>
        <v>0.26488701377361756</v>
      </c>
      <c r="G121" s="29">
        <f>VLOOKUP($B121, ind_mes!$B:$XFD, MATCH(gdp_ind_share!G$1, ind_mes!$B$1:$XFD$1, 0), 0)/VLOOKUP($B121, gdp_tot_mes!$B:$XFD, MATCH(gdp_ind_share!G$1, gdp_tot_mes!$B$1:$XFD$1, 0), 0)</f>
        <v>0.22005231457657487</v>
      </c>
      <c r="H121" s="29">
        <f>VLOOKUP($B121, ind_mes!$B:$XFD, MATCH(gdp_ind_share!H$1, ind_mes!$B$1:$XFD$1, 0), 0)/VLOOKUP($B121, gdp_tot_mes!$B:$XFD, MATCH(gdp_ind_share!H$1, gdp_tot_mes!$B$1:$XFD$1, 0), 0)</f>
        <v>0.37141731372140524</v>
      </c>
      <c r="I121" s="29">
        <f>VLOOKUP($B121, ind_mes!$B:$XFD, MATCH(gdp_ind_share!I$1, ind_mes!$B$1:$XFD$1, 0), 0)/VLOOKUP($B121, gdp_tot_mes!$B:$XFD, MATCH(gdp_ind_share!I$1, gdp_tot_mes!$B$1:$XFD$1, 0), 0)</f>
        <v>0.43714598777048358</v>
      </c>
      <c r="J121" s="29">
        <f>VLOOKUP($B121, ind_mes!$B:$XFD, MATCH(gdp_ind_share!J$1, ind_mes!$B$1:$XFD$1, 0), 0)/VLOOKUP($B121, gdp_tot_mes!$B:$XFD, MATCH(gdp_ind_share!J$1, gdp_tot_mes!$B$1:$XFD$1, 0), 0)</f>
        <v>0.32983492945900106</v>
      </c>
      <c r="K121" s="29">
        <f>VLOOKUP($B121, ind_mes!$B:$XFD, MATCH(gdp_ind_share!K$1, ind_mes!$B$1:$XFD$1, 0), 0)/VLOOKUP($B121, gdp_tot_mes!$B:$XFD, MATCH(gdp_ind_share!K$1, gdp_tot_mes!$B$1:$XFD$1, 0), 0)</f>
        <v>0.53155053278500231</v>
      </c>
      <c r="L121" s="30">
        <f t="shared" si="1"/>
        <v>0.43458747559905347</v>
      </c>
      <c r="M121" s="29">
        <f>VLOOKUP($B121, ind_mes!$B:$XFD, MATCH(gdp_ind_share!M$1, ind_mes!$B$1:$XFD$1, 0), 0)/VLOOKUP($B121, gdp_tot_mes!$B:$XFD, MATCH(gdp_ind_share!M$1, gdp_tot_mes!$B$1:$XFD$1, 0), 0)</f>
        <v>0.31823180697591491</v>
      </c>
      <c r="N121" s="29">
        <f>VLOOKUP($B121, ind_mes!$B:$XFD, MATCH(gdp_ind_share!N$1, ind_mes!$B$1:$XFD$1, 0), 0)/VLOOKUP($B121, gdp_tot_mes!$B:$XFD, MATCH(gdp_ind_share!N$1, gdp_tot_mes!$B$1:$XFD$1, 0), 0)</f>
        <v>0.24801322765553885</v>
      </c>
      <c r="O121" s="29">
        <f>VLOOKUP($B121, ind_mes!$B:$XFD, MATCH(gdp_ind_share!O$1, ind_mes!$B$1:$XFD$1, 0), 0)/VLOOKUP($B121, gdp_tot_mes!$B:$XFD, MATCH(gdp_ind_share!O$1, gdp_tot_mes!$B$1:$XFD$1, 0), 0)</f>
        <v>0.24039427381415537</v>
      </c>
      <c r="P121" s="29">
        <f>VLOOKUP($B121, ind_mes!$B:$XFD, MATCH(gdp_ind_share!P$1, ind_mes!$B$1:$XFD$1, 0), 0)/VLOOKUP($B121, gdp_tot_mes!$B:$XFD, MATCH(gdp_ind_share!P$1, gdp_tot_mes!$B$1:$XFD$1, 0), 0)</f>
        <v>0.25564960933814751</v>
      </c>
      <c r="Q121" s="29">
        <f>VLOOKUP($B121, ind_mes!$B:$XFD, MATCH(gdp_ind_share!Q$1, ind_mes!$B$1:$XFD$1, 0), 0)/VLOOKUP($B121, gdp_tot_mes!$B:$XFD, MATCH(gdp_ind_share!Q$1, gdp_tot_mes!$B$1:$XFD$1, 0), 0)</f>
        <v>0.27959351234064161</v>
      </c>
      <c r="R121" s="29">
        <f>VLOOKUP($B121, ind_mes!$B:$XFD, MATCH(gdp_ind_share!R$1, ind_mes!$B$1:$XFD$1, 0), 0)/VLOOKUP($B121, gdp_tot_mes!$B:$XFD, MATCH(gdp_ind_share!R$1, gdp_tot_mes!$B$1:$XFD$1, 0), 0)</f>
        <v>0.28747451283345937</v>
      </c>
      <c r="S121" s="29">
        <f>VLOOKUP($B121, ind_mes!$B:$XFD, MATCH(gdp_ind_share!S$1, ind_mes!$B$1:$XFD$1, 0), 0)/VLOOKUP($B121, gdp_tot_mes!$B:$XFD, MATCH(gdp_ind_share!S$1, gdp_tot_mes!$B$1:$XFD$1, 0), 0)</f>
        <v>0.29687827655510374</v>
      </c>
      <c r="T121" s="29">
        <f>VLOOKUP($B121, ind_mes!$B:$XFD, MATCH(gdp_ind_share!T$1, ind_mes!$B$1:$XFD$1, 0), 0)/VLOOKUP($B121, gdp_tot_mes!$B:$XFD, MATCH(gdp_ind_share!T$1, gdp_tot_mes!$B$1:$XFD$1, 0), 0)</f>
        <v>0.28339227466526395</v>
      </c>
      <c r="U121" s="29">
        <f>VLOOKUP($B121, ind_mes!$B:$XFD, MATCH(gdp_ind_share!U$1, ind_mes!$B$1:$XFD$1, 0), 0)/VLOOKUP($B121, gdp_tot_mes!$B:$XFD, MATCH(gdp_ind_share!U$1, gdp_tot_mes!$B$1:$XFD$1, 0), 0)</f>
        <v>0.29003702895677697</v>
      </c>
      <c r="V121" s="29">
        <f>VLOOKUP($B121, ind_mes!$B:$XFD, MATCH(gdp_ind_share!V$1, ind_mes!$B$1:$XFD$1, 0), 0)/VLOOKUP($B121, gdp_tot_mes!$B:$XFD, MATCH(gdp_ind_share!V$1, gdp_tot_mes!$B$1:$XFD$1, 0), 0)</f>
        <v>0.28574088830449179</v>
      </c>
      <c r="W121" s="29">
        <f>VLOOKUP($B121, ind_mes!$B:$XFD, MATCH(gdp_ind_share!W$1, ind_mes!$B$1:$XFD$1, 0), 0)/VLOOKUP($B121, gdp_tot_mes!$B:$XFD, MATCH(gdp_ind_share!W$1, gdp_tot_mes!$B$1:$XFD$1, 0), 0)</f>
        <v>0.3152471849496965</v>
      </c>
      <c r="X121" s="29">
        <f>VLOOKUP($B121, ind_mes!$B:$XFD, MATCH(gdp_ind_share!X$1, ind_mes!$B$1:$XFD$1, 0), 0)/VLOOKUP($B121, gdp_tot_mes!$B:$XFD, MATCH(gdp_ind_share!X$1, gdp_tot_mes!$B$1:$XFD$1, 0), 0)</f>
        <v>0.25515485429635942</v>
      </c>
      <c r="Y121" s="29">
        <f>VLOOKUP($B121, ind_mes!$B:$XFD, MATCH(gdp_ind_share!Y$1, ind_mes!$B$1:$XFD$1, 0), 0)/VLOOKUP($B121, gdp_tot_mes!$B:$XFD, MATCH(gdp_ind_share!Y$1, gdp_tot_mes!$B$1:$XFD$1, 0), 0)</f>
        <v>0.26769457663984286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x14ac:dyDescent="0.25">
      <c r="A122" s="1" t="s">
        <v>288</v>
      </c>
      <c r="B122" s="1" t="s">
        <v>289</v>
      </c>
      <c r="C122" s="1" t="s">
        <v>290</v>
      </c>
      <c r="D122" s="29">
        <f>VLOOKUP($B122, ind_mes!$B:$XFD, MATCH(gdp_ind_share!D$1, ind_mes!$B$1:$XFD$1, 0), 0)/VLOOKUP($B122, gdp_tot_mes!$B:$XFD, MATCH(gdp_ind_share!D$1, gdp_tot_mes!$B$1:$XFD$1, 0), 0)</f>
        <v>9.2133049717941021E-2</v>
      </c>
      <c r="E122" s="29">
        <f>VLOOKUP($B122, ind_mes!$B:$XFD, MATCH(gdp_ind_share!E$1, ind_mes!$B$1:$XFD$1, 0), 0)/VLOOKUP($B122, gdp_tot_mes!$B:$XFD, MATCH(gdp_ind_share!E$1, gdp_tot_mes!$B$1:$XFD$1, 0), 0)</f>
        <v>6.6150547087888659E-2</v>
      </c>
      <c r="F122" s="29">
        <f>VLOOKUP($B122, ind_mes!$B:$XFD, MATCH(gdp_ind_share!F$1, ind_mes!$B$1:$XFD$1, 0), 0)/VLOOKUP($B122, gdp_tot_mes!$B:$XFD, MATCH(gdp_ind_share!F$1, gdp_tot_mes!$B$1:$XFD$1, 0), 0)</f>
        <v>7.5420163468059132E-2</v>
      </c>
      <c r="G122" s="29">
        <f>VLOOKUP($B122, ind_mes!$B:$XFD, MATCH(gdp_ind_share!G$1, ind_mes!$B$1:$XFD$1, 0), 0)/VLOOKUP($B122, gdp_tot_mes!$B:$XFD, MATCH(gdp_ind_share!G$1, gdp_tot_mes!$B$1:$XFD$1, 0), 0)</f>
        <v>9.4301582759328748E-2</v>
      </c>
      <c r="H122" s="29">
        <f>VLOOKUP($B122, ind_mes!$B:$XFD, MATCH(gdp_ind_share!H$1, ind_mes!$B$1:$XFD$1, 0), 0)/VLOOKUP($B122, gdp_tot_mes!$B:$XFD, MATCH(gdp_ind_share!H$1, gdp_tot_mes!$B$1:$XFD$1, 0), 0)</f>
        <v>0.19301996809598668</v>
      </c>
      <c r="I122" s="29">
        <f>VLOOKUP($B122, ind_mes!$B:$XFD, MATCH(gdp_ind_share!I$1, ind_mes!$B$1:$XFD$1, 0), 0)/VLOOKUP($B122, gdp_tot_mes!$B:$XFD, MATCH(gdp_ind_share!I$1, gdp_tot_mes!$B$1:$XFD$1, 0), 0)</f>
        <v>0.27113686328985342</v>
      </c>
      <c r="J122" s="29">
        <f>VLOOKUP($B122, ind_mes!$B:$XFD, MATCH(gdp_ind_share!J$1, ind_mes!$B$1:$XFD$1, 0), 0)/VLOOKUP($B122, gdp_tot_mes!$B:$XFD, MATCH(gdp_ind_share!J$1, gdp_tot_mes!$B$1:$XFD$1, 0), 0)</f>
        <v>0.29028369638154855</v>
      </c>
      <c r="K122" s="29">
        <f>VLOOKUP($B122, ind_mes!$B:$XFD, MATCH(gdp_ind_share!K$1, ind_mes!$B$1:$XFD$1, 0), 0)/VLOOKUP($B122, gdp_tot_mes!$B:$XFD, MATCH(gdp_ind_share!K$1, gdp_tot_mes!$B$1:$XFD$1, 0), 0)</f>
        <v>0.28592943731777465</v>
      </c>
      <c r="L122" s="30">
        <f t="shared" si="1"/>
        <v>0.24561486086534512</v>
      </c>
      <c r="M122" s="29">
        <f>VLOOKUP($B122, ind_mes!$B:$XFD, MATCH(gdp_ind_share!M$1, ind_mes!$B$1:$XFD$1, 0), 0)/VLOOKUP($B122, gdp_tot_mes!$B:$XFD, MATCH(gdp_ind_share!M$1, gdp_tot_mes!$B$1:$XFD$1, 0), 0)</f>
        <v>0.19723736912242967</v>
      </c>
      <c r="N122" s="29">
        <f>VLOOKUP($B122, ind_mes!$B:$XFD, MATCH(gdp_ind_share!N$1, ind_mes!$B$1:$XFD$1, 0), 0)/VLOOKUP($B122, gdp_tot_mes!$B:$XFD, MATCH(gdp_ind_share!N$1, gdp_tot_mes!$B$1:$XFD$1, 0), 0)</f>
        <v>0.21514627212304696</v>
      </c>
      <c r="O122" s="29">
        <f>VLOOKUP($B122, ind_mes!$B:$XFD, MATCH(gdp_ind_share!O$1, ind_mes!$B$1:$XFD$1, 0), 0)/VLOOKUP($B122, gdp_tot_mes!$B:$XFD, MATCH(gdp_ind_share!O$1, gdp_tot_mes!$B$1:$XFD$1, 0), 0)</f>
        <v>0.21745021095278511</v>
      </c>
      <c r="P122" s="29">
        <f>VLOOKUP($B122, ind_mes!$B:$XFD, MATCH(gdp_ind_share!P$1, ind_mes!$B$1:$XFD$1, 0), 0)/VLOOKUP($B122, gdp_tot_mes!$B:$XFD, MATCH(gdp_ind_share!P$1, gdp_tot_mes!$B$1:$XFD$1, 0), 0)</f>
        <v>0.19117339591874924</v>
      </c>
      <c r="Q122" s="29">
        <f>VLOOKUP($B122, ind_mes!$B:$XFD, MATCH(gdp_ind_share!Q$1, ind_mes!$B$1:$XFD$1, 0), 0)/VLOOKUP($B122, gdp_tot_mes!$B:$XFD, MATCH(gdp_ind_share!Q$1, gdp_tot_mes!$B$1:$XFD$1, 0), 0)</f>
        <v>0.20375774850767034</v>
      </c>
      <c r="R122" s="29">
        <f>VLOOKUP($B122, ind_mes!$B:$XFD, MATCH(gdp_ind_share!R$1, ind_mes!$B$1:$XFD$1, 0), 0)/VLOOKUP($B122, gdp_tot_mes!$B:$XFD, MATCH(gdp_ind_share!R$1, gdp_tot_mes!$B$1:$XFD$1, 0), 0)</f>
        <v>0.21694336502557668</v>
      </c>
      <c r="S122" s="29">
        <f>VLOOKUP($B122, ind_mes!$B:$XFD, MATCH(gdp_ind_share!S$1, ind_mes!$B$1:$XFD$1, 0), 0)/VLOOKUP($B122, gdp_tot_mes!$B:$XFD, MATCH(gdp_ind_share!S$1, gdp_tot_mes!$B$1:$XFD$1, 0), 0)</f>
        <v>0.20165540089839173</v>
      </c>
      <c r="T122" s="29">
        <f>VLOOKUP($B122, ind_mes!$B:$XFD, MATCH(gdp_ind_share!T$1, ind_mes!$B$1:$XFD$1, 0), 0)/VLOOKUP($B122, gdp_tot_mes!$B:$XFD, MATCH(gdp_ind_share!T$1, gdp_tot_mes!$B$1:$XFD$1, 0), 0)</f>
        <v>0.20129396818480155</v>
      </c>
      <c r="U122" s="29">
        <f>VLOOKUP($B122, ind_mes!$B:$XFD, MATCH(gdp_ind_share!U$1, ind_mes!$B$1:$XFD$1, 0), 0)/VLOOKUP($B122, gdp_tot_mes!$B:$XFD, MATCH(gdp_ind_share!U$1, gdp_tot_mes!$B$1:$XFD$1, 0), 0)</f>
        <v>0.18755388144585297</v>
      </c>
      <c r="V122" s="29">
        <f>VLOOKUP($B122, ind_mes!$B:$XFD, MATCH(gdp_ind_share!V$1, ind_mes!$B$1:$XFD$1, 0), 0)/VLOOKUP($B122, gdp_tot_mes!$B:$XFD, MATCH(gdp_ind_share!V$1, gdp_tot_mes!$B$1:$XFD$1, 0), 0)</f>
        <v>0.1907733941120261</v>
      </c>
      <c r="W122" s="29">
        <f>VLOOKUP($B122, ind_mes!$B:$XFD, MATCH(gdp_ind_share!W$1, ind_mes!$B$1:$XFD$1, 0), 0)/VLOOKUP($B122, gdp_tot_mes!$B:$XFD, MATCH(gdp_ind_share!W$1, gdp_tot_mes!$B$1:$XFD$1, 0), 0)</f>
        <v>0.19474990216485411</v>
      </c>
      <c r="X122" s="29">
        <f>VLOOKUP($B122, ind_mes!$B:$XFD, MATCH(gdp_ind_share!X$1, ind_mes!$B$1:$XFD$1, 0), 0)/VLOOKUP($B122, gdp_tot_mes!$B:$XFD, MATCH(gdp_ind_share!X$1, gdp_tot_mes!$B$1:$XFD$1, 0), 0)</f>
        <v>0.18791142100771197</v>
      </c>
      <c r="Y122" s="29">
        <f>VLOOKUP($B122, ind_mes!$B:$XFD, MATCH(gdp_ind_share!Y$1, ind_mes!$B$1:$XFD$1, 0), 0)/VLOOKUP($B122, gdp_tot_mes!$B:$XFD, MATCH(gdp_ind_share!Y$1, gdp_tot_mes!$B$1:$XFD$1, 0), 0)</f>
        <v>0.19681066189674684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x14ac:dyDescent="0.25">
      <c r="A123" s="1" t="s">
        <v>288</v>
      </c>
      <c r="B123" s="1" t="s">
        <v>291</v>
      </c>
      <c r="C123" s="1" t="s">
        <v>292</v>
      </c>
      <c r="D123" s="29">
        <f>VLOOKUP($B123, ind_mes!$B:$XFD, MATCH(gdp_ind_share!D$1, ind_mes!$B$1:$XFD$1, 0), 0)/VLOOKUP($B123, gdp_tot_mes!$B:$XFD, MATCH(gdp_ind_share!D$1, gdp_tot_mes!$B$1:$XFD$1, 0), 0)</f>
        <v>0.11277310342431789</v>
      </c>
      <c r="E123" s="29">
        <f>VLOOKUP($B123, ind_mes!$B:$XFD, MATCH(gdp_ind_share!E$1, ind_mes!$B$1:$XFD$1, 0), 0)/VLOOKUP($B123, gdp_tot_mes!$B:$XFD, MATCH(gdp_ind_share!E$1, gdp_tot_mes!$B$1:$XFD$1, 0), 0)</f>
        <v>0.14792257035358139</v>
      </c>
      <c r="F123" s="29">
        <f>VLOOKUP($B123, ind_mes!$B:$XFD, MATCH(gdp_ind_share!F$1, ind_mes!$B$1:$XFD$1, 0), 0)/VLOOKUP($B123, gdp_tot_mes!$B:$XFD, MATCH(gdp_ind_share!F$1, gdp_tot_mes!$B$1:$XFD$1, 0), 0)</f>
        <v>0.14941890544946862</v>
      </c>
      <c r="G123" s="29">
        <f>VLOOKUP($B123, ind_mes!$B:$XFD, MATCH(gdp_ind_share!G$1, ind_mes!$B$1:$XFD$1, 0), 0)/VLOOKUP($B123, gdp_tot_mes!$B:$XFD, MATCH(gdp_ind_share!G$1, gdp_tot_mes!$B$1:$XFD$1, 0), 0)</f>
        <v>0.21648782452014298</v>
      </c>
      <c r="H123" s="29">
        <f>VLOOKUP($B123, ind_mes!$B:$XFD, MATCH(gdp_ind_share!H$1, ind_mes!$B$1:$XFD$1, 0), 0)/VLOOKUP($B123, gdp_tot_mes!$B:$XFD, MATCH(gdp_ind_share!H$1, gdp_tot_mes!$B$1:$XFD$1, 0), 0)</f>
        <v>0.34158778452250066</v>
      </c>
      <c r="I123" s="29">
        <f>VLOOKUP($B123, ind_mes!$B:$XFD, MATCH(gdp_ind_share!I$1, ind_mes!$B$1:$XFD$1, 0), 0)/VLOOKUP($B123, gdp_tot_mes!$B:$XFD, MATCH(gdp_ind_share!I$1, gdp_tot_mes!$B$1:$XFD$1, 0), 0)</f>
        <v>0.39354842087215702</v>
      </c>
      <c r="J123" s="29">
        <f>VLOOKUP($B123, ind_mes!$B:$XFD, MATCH(gdp_ind_share!J$1, ind_mes!$B$1:$XFD$1, 0), 0)/VLOOKUP($B123, gdp_tot_mes!$B:$XFD, MATCH(gdp_ind_share!J$1, gdp_tot_mes!$B$1:$XFD$1, 0), 0)</f>
        <v>0.42214218594512598</v>
      </c>
      <c r="K123" s="29">
        <f>VLOOKUP($B123, ind_mes!$B:$XFD, MATCH(gdp_ind_share!K$1, ind_mes!$B$1:$XFD$1, 0), 0)/VLOOKUP($B123, gdp_tot_mes!$B:$XFD, MATCH(gdp_ind_share!K$1, gdp_tot_mes!$B$1:$XFD$1, 0), 0)</f>
        <v>0.42695418043229966</v>
      </c>
      <c r="L123" s="30">
        <f t="shared" si="1"/>
        <v>0.36335650447747836</v>
      </c>
      <c r="M123" s="29">
        <f>VLOOKUP($B123, ind_mes!$B:$XFD, MATCH(gdp_ind_share!M$1, ind_mes!$B$1:$XFD$1, 0), 0)/VLOOKUP($B123, gdp_tot_mes!$B:$XFD, MATCH(gdp_ind_share!M$1, gdp_tot_mes!$B$1:$XFD$1, 0), 0)</f>
        <v>0.28703929333169281</v>
      </c>
      <c r="N123" s="29">
        <f>VLOOKUP($B123, ind_mes!$B:$XFD, MATCH(gdp_ind_share!N$1, ind_mes!$B$1:$XFD$1, 0), 0)/VLOOKUP($B123, gdp_tot_mes!$B:$XFD, MATCH(gdp_ind_share!N$1, gdp_tot_mes!$B$1:$XFD$1, 0), 0)</f>
        <v>0.23995160610036509</v>
      </c>
      <c r="O123" s="29">
        <f>VLOOKUP($B123, ind_mes!$B:$XFD, MATCH(gdp_ind_share!O$1, ind_mes!$B$1:$XFD$1, 0), 0)/VLOOKUP($B123, gdp_tot_mes!$B:$XFD, MATCH(gdp_ind_share!O$1, gdp_tot_mes!$B$1:$XFD$1, 0), 0)</f>
        <v>0.24638589100478439</v>
      </c>
      <c r="P123" s="29">
        <f>VLOOKUP($B123, ind_mes!$B:$XFD, MATCH(gdp_ind_share!P$1, ind_mes!$B$1:$XFD$1, 0), 0)/VLOOKUP($B123, gdp_tot_mes!$B:$XFD, MATCH(gdp_ind_share!P$1, gdp_tot_mes!$B$1:$XFD$1, 0), 0)</f>
        <v>0.22577623484668616</v>
      </c>
      <c r="Q123" s="29">
        <f>VLOOKUP($B123, ind_mes!$B:$XFD, MATCH(gdp_ind_share!Q$1, ind_mes!$B$1:$XFD$1, 0), 0)/VLOOKUP($B123, gdp_tot_mes!$B:$XFD, MATCH(gdp_ind_share!Q$1, gdp_tot_mes!$B$1:$XFD$1, 0), 0)</f>
        <v>0.19662034236513515</v>
      </c>
      <c r="R123" s="29">
        <f>VLOOKUP($B123, ind_mes!$B:$XFD, MATCH(gdp_ind_share!R$1, ind_mes!$B$1:$XFD$1, 0), 0)/VLOOKUP($B123, gdp_tot_mes!$B:$XFD, MATCH(gdp_ind_share!R$1, gdp_tot_mes!$B$1:$XFD$1, 0), 0)</f>
        <v>0.19774245429925991</v>
      </c>
      <c r="S123" s="29">
        <f>VLOOKUP($B123, ind_mes!$B:$XFD, MATCH(gdp_ind_share!S$1, ind_mes!$B$1:$XFD$1, 0), 0)/VLOOKUP($B123, gdp_tot_mes!$B:$XFD, MATCH(gdp_ind_share!S$1, gdp_tot_mes!$B$1:$XFD$1, 0), 0)</f>
        <v>0.20456235981442114</v>
      </c>
      <c r="T123" s="29">
        <f>VLOOKUP($B123, ind_mes!$B:$XFD, MATCH(gdp_ind_share!T$1, ind_mes!$B$1:$XFD$1, 0), 0)/VLOOKUP($B123, gdp_tot_mes!$B:$XFD, MATCH(gdp_ind_share!T$1, gdp_tot_mes!$B$1:$XFD$1, 0), 0)</f>
        <v>0.22276454374125995</v>
      </c>
      <c r="U123" s="29">
        <f>VLOOKUP($B123, ind_mes!$B:$XFD, MATCH(gdp_ind_share!U$1, ind_mes!$B$1:$XFD$1, 0), 0)/VLOOKUP($B123, gdp_tot_mes!$B:$XFD, MATCH(gdp_ind_share!U$1, gdp_tot_mes!$B$1:$XFD$1, 0), 0)</f>
        <v>0.21094496638840404</v>
      </c>
      <c r="V123" s="29">
        <f>VLOOKUP($B123, ind_mes!$B:$XFD, MATCH(gdp_ind_share!V$1, ind_mes!$B$1:$XFD$1, 0), 0)/VLOOKUP($B123, gdp_tot_mes!$B:$XFD, MATCH(gdp_ind_share!V$1, gdp_tot_mes!$B$1:$XFD$1, 0), 0)</f>
        <v>0.20896662663788346</v>
      </c>
      <c r="W123" s="29">
        <f>VLOOKUP($B123, ind_mes!$B:$XFD, MATCH(gdp_ind_share!W$1, ind_mes!$B$1:$XFD$1, 0), 0)/VLOOKUP($B123, gdp_tot_mes!$B:$XFD, MATCH(gdp_ind_share!W$1, gdp_tot_mes!$B$1:$XFD$1, 0), 0)</f>
        <v>0.2186625789924406</v>
      </c>
      <c r="X123" s="29">
        <f>VLOOKUP($B123, ind_mes!$B:$XFD, MATCH(gdp_ind_share!X$1, ind_mes!$B$1:$XFD$1, 0), 0)/VLOOKUP($B123, gdp_tot_mes!$B:$XFD, MATCH(gdp_ind_share!X$1, gdp_tot_mes!$B$1:$XFD$1, 0), 0)</f>
        <v>0.21732951539664877</v>
      </c>
      <c r="Y123" s="29">
        <f>VLOOKUP($B123, ind_mes!$B:$XFD, MATCH(gdp_ind_share!Y$1, ind_mes!$B$1:$XFD$1, 0), 0)/VLOOKUP($B123, gdp_tot_mes!$B:$XFD, MATCH(gdp_ind_share!Y$1, gdp_tot_mes!$B$1:$XFD$1, 0), 0)</f>
        <v>0.22509946103663911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x14ac:dyDescent="0.25">
      <c r="A124" s="1" t="s">
        <v>288</v>
      </c>
      <c r="B124" s="1" t="s">
        <v>293</v>
      </c>
      <c r="C124" s="1" t="s">
        <v>294</v>
      </c>
      <c r="D124" s="29">
        <f>VLOOKUP($B124, ind_mes!$B:$XFD, MATCH(gdp_ind_share!D$1, ind_mes!$B$1:$XFD$1, 0), 0)/VLOOKUP($B124, gdp_tot_mes!$B:$XFD, MATCH(gdp_ind_share!D$1, gdp_tot_mes!$B$1:$XFD$1, 0), 0)</f>
        <v>0.10645350447981826</v>
      </c>
      <c r="E124" s="29">
        <f>VLOOKUP($B124, ind_mes!$B:$XFD, MATCH(gdp_ind_share!E$1, ind_mes!$B$1:$XFD$1, 0), 0)/VLOOKUP($B124, gdp_tot_mes!$B:$XFD, MATCH(gdp_ind_share!E$1, gdp_tot_mes!$B$1:$XFD$1, 0), 0)</f>
        <v>7.3786668722241655E-2</v>
      </c>
      <c r="F124" s="29">
        <f>VLOOKUP($B124, ind_mes!$B:$XFD, MATCH(gdp_ind_share!F$1, ind_mes!$B$1:$XFD$1, 0), 0)/VLOOKUP($B124, gdp_tot_mes!$B:$XFD, MATCH(gdp_ind_share!F$1, gdp_tot_mes!$B$1:$XFD$1, 0), 0)</f>
        <v>8.7471918477946289E-2</v>
      </c>
      <c r="G124" s="29">
        <f>VLOOKUP($B124, ind_mes!$B:$XFD, MATCH(gdp_ind_share!G$1, ind_mes!$B$1:$XFD$1, 0), 0)/VLOOKUP($B124, gdp_tot_mes!$B:$XFD, MATCH(gdp_ind_share!G$1, gdp_tot_mes!$B$1:$XFD$1, 0), 0)</f>
        <v>0.20631895457892696</v>
      </c>
      <c r="H124" s="29">
        <f>VLOOKUP($B124, ind_mes!$B:$XFD, MATCH(gdp_ind_share!H$1, ind_mes!$B$1:$XFD$1, 0), 0)/VLOOKUP($B124, gdp_tot_mes!$B:$XFD, MATCH(gdp_ind_share!H$1, gdp_tot_mes!$B$1:$XFD$1, 0), 0)</f>
        <v>0.36216305028193424</v>
      </c>
      <c r="I124" s="29">
        <f>VLOOKUP($B124, ind_mes!$B:$XFD, MATCH(gdp_ind_share!I$1, ind_mes!$B$1:$XFD$1, 0), 0)/VLOOKUP($B124, gdp_tot_mes!$B:$XFD, MATCH(gdp_ind_share!I$1, gdp_tot_mes!$B$1:$XFD$1, 0), 0)</f>
        <v>0.344142414666603</v>
      </c>
      <c r="J124" s="29">
        <f>VLOOKUP($B124, ind_mes!$B:$XFD, MATCH(gdp_ind_share!J$1, ind_mes!$B$1:$XFD$1, 0), 0)/VLOOKUP($B124, gdp_tot_mes!$B:$XFD, MATCH(gdp_ind_share!J$1, gdp_tot_mes!$B$1:$XFD$1, 0), 0)</f>
        <v>0.33708646171682566</v>
      </c>
      <c r="K124" s="29">
        <f>VLOOKUP($B124, ind_mes!$B:$XFD, MATCH(gdp_ind_share!K$1, ind_mes!$B$1:$XFD$1, 0), 0)/VLOOKUP($B124, gdp_tot_mes!$B:$XFD, MATCH(gdp_ind_share!K$1, gdp_tot_mes!$B$1:$XFD$1, 0), 0)</f>
        <v>0.37621528003774884</v>
      </c>
      <c r="L124" s="30">
        <f t="shared" si="1"/>
        <v>0.31961750560822572</v>
      </c>
      <c r="M124" s="29">
        <f>VLOOKUP($B124, ind_mes!$B:$XFD, MATCH(gdp_ind_share!M$1, ind_mes!$B$1:$XFD$1, 0), 0)/VLOOKUP($B124, gdp_tot_mes!$B:$XFD, MATCH(gdp_ind_share!M$1, gdp_tot_mes!$B$1:$XFD$1, 0), 0)</f>
        <v>0.25170017629279795</v>
      </c>
      <c r="N124" s="29">
        <f>VLOOKUP($B124, ind_mes!$B:$XFD, MATCH(gdp_ind_share!N$1, ind_mes!$B$1:$XFD$1, 0), 0)/VLOOKUP($B124, gdp_tot_mes!$B:$XFD, MATCH(gdp_ind_share!N$1, gdp_tot_mes!$B$1:$XFD$1, 0), 0)</f>
        <v>0.36834143416942644</v>
      </c>
      <c r="O124" s="29">
        <f>VLOOKUP($B124, ind_mes!$B:$XFD, MATCH(gdp_ind_share!O$1, ind_mes!$B$1:$XFD$1, 0), 0)/VLOOKUP($B124, gdp_tot_mes!$B:$XFD, MATCH(gdp_ind_share!O$1, gdp_tot_mes!$B$1:$XFD$1, 0), 0)</f>
        <v>0.37489678199074211</v>
      </c>
      <c r="P124" s="29">
        <f>VLOOKUP($B124, ind_mes!$B:$XFD, MATCH(gdp_ind_share!P$1, ind_mes!$B$1:$XFD$1, 0), 0)/VLOOKUP($B124, gdp_tot_mes!$B:$XFD, MATCH(gdp_ind_share!P$1, gdp_tot_mes!$B$1:$XFD$1, 0), 0)</f>
        <v>0.31806509215182005</v>
      </c>
      <c r="Q124" s="29">
        <f>VLOOKUP($B124, ind_mes!$B:$XFD, MATCH(gdp_ind_share!Q$1, ind_mes!$B$1:$XFD$1, 0), 0)/VLOOKUP($B124, gdp_tot_mes!$B:$XFD, MATCH(gdp_ind_share!Q$1, gdp_tot_mes!$B$1:$XFD$1, 0), 0)</f>
        <v>0.20530218295634212</v>
      </c>
      <c r="R124" s="29">
        <f>VLOOKUP($B124, ind_mes!$B:$XFD, MATCH(gdp_ind_share!R$1, ind_mes!$B$1:$XFD$1, 0), 0)/VLOOKUP($B124, gdp_tot_mes!$B:$XFD, MATCH(gdp_ind_share!R$1, gdp_tot_mes!$B$1:$XFD$1, 0), 0)</f>
        <v>0.21568949155245742</v>
      </c>
      <c r="S124" s="29">
        <f>VLOOKUP($B124, ind_mes!$B:$XFD, MATCH(gdp_ind_share!S$1, ind_mes!$B$1:$XFD$1, 0), 0)/VLOOKUP($B124, gdp_tot_mes!$B:$XFD, MATCH(gdp_ind_share!S$1, gdp_tot_mes!$B$1:$XFD$1, 0), 0)</f>
        <v>0.20799387924121202</v>
      </c>
      <c r="T124" s="29">
        <f>VLOOKUP($B124, ind_mes!$B:$XFD, MATCH(gdp_ind_share!T$1, ind_mes!$B$1:$XFD$1, 0), 0)/VLOOKUP($B124, gdp_tot_mes!$B:$XFD, MATCH(gdp_ind_share!T$1, gdp_tot_mes!$B$1:$XFD$1, 0), 0)</f>
        <v>0.20951989557767386</v>
      </c>
      <c r="U124" s="29">
        <f>VLOOKUP($B124, ind_mes!$B:$XFD, MATCH(gdp_ind_share!U$1, ind_mes!$B$1:$XFD$1, 0), 0)/VLOOKUP($B124, gdp_tot_mes!$B:$XFD, MATCH(gdp_ind_share!U$1, gdp_tot_mes!$B$1:$XFD$1, 0), 0)</f>
        <v>0.20258094029087539</v>
      </c>
      <c r="V124" s="29">
        <f>VLOOKUP($B124, ind_mes!$B:$XFD, MATCH(gdp_ind_share!V$1, ind_mes!$B$1:$XFD$1, 0), 0)/VLOOKUP($B124, gdp_tot_mes!$B:$XFD, MATCH(gdp_ind_share!V$1, gdp_tot_mes!$B$1:$XFD$1, 0), 0)</f>
        <v>0.19608819007617492</v>
      </c>
      <c r="W124" s="29">
        <f>VLOOKUP($B124, ind_mes!$B:$XFD, MATCH(gdp_ind_share!W$1, ind_mes!$B$1:$XFD$1, 0), 0)/VLOOKUP($B124, gdp_tot_mes!$B:$XFD, MATCH(gdp_ind_share!W$1, gdp_tot_mes!$B$1:$XFD$1, 0), 0)</f>
        <v>0.20345645116137986</v>
      </c>
      <c r="X124" s="29">
        <f>VLOOKUP($B124, ind_mes!$B:$XFD, MATCH(gdp_ind_share!X$1, ind_mes!$B$1:$XFD$1, 0), 0)/VLOOKUP($B124, gdp_tot_mes!$B:$XFD, MATCH(gdp_ind_share!X$1, gdp_tot_mes!$B$1:$XFD$1, 0), 0)</f>
        <v>0.20508924325013475</v>
      </c>
      <c r="Y124" s="29">
        <f>VLOOKUP($B124, ind_mes!$B:$XFD, MATCH(gdp_ind_share!Y$1, ind_mes!$B$1:$XFD$1, 0), 0)/VLOOKUP($B124, gdp_tot_mes!$B:$XFD, MATCH(gdp_ind_share!Y$1, gdp_tot_mes!$B$1:$XFD$1, 0), 0)</f>
        <v>0.20846965167550663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x14ac:dyDescent="0.25">
      <c r="A125" s="1" t="s">
        <v>288</v>
      </c>
      <c r="B125" s="1" t="s">
        <v>295</v>
      </c>
      <c r="C125" s="1" t="s">
        <v>296</v>
      </c>
      <c r="D125" s="29">
        <f>VLOOKUP($B125, ind_mes!$B:$XFD, MATCH(gdp_ind_share!D$1, ind_mes!$B$1:$XFD$1, 0), 0)/VLOOKUP($B125, gdp_tot_mes!$B:$XFD, MATCH(gdp_ind_share!D$1, gdp_tot_mes!$B$1:$XFD$1, 0), 0)</f>
        <v>0.10012574083796195</v>
      </c>
      <c r="E125" s="29">
        <f>VLOOKUP($B125, ind_mes!$B:$XFD, MATCH(gdp_ind_share!E$1, ind_mes!$B$1:$XFD$1, 0), 0)/VLOOKUP($B125, gdp_tot_mes!$B:$XFD, MATCH(gdp_ind_share!E$1, gdp_tot_mes!$B$1:$XFD$1, 0), 0)</f>
        <v>9.3941492926175013E-2</v>
      </c>
      <c r="F125" s="29">
        <f>VLOOKUP($B125, ind_mes!$B:$XFD, MATCH(gdp_ind_share!F$1, ind_mes!$B$1:$XFD$1, 0), 0)/VLOOKUP($B125, gdp_tot_mes!$B:$XFD, MATCH(gdp_ind_share!F$1, gdp_tot_mes!$B$1:$XFD$1, 0), 0)</f>
        <v>0.11999416665252184</v>
      </c>
      <c r="G125" s="29">
        <f>VLOOKUP($B125, ind_mes!$B:$XFD, MATCH(gdp_ind_share!G$1, ind_mes!$B$1:$XFD$1, 0), 0)/VLOOKUP($B125, gdp_tot_mes!$B:$XFD, MATCH(gdp_ind_share!G$1, gdp_tot_mes!$B$1:$XFD$1, 0), 0)</f>
        <v>0.19289561775519468</v>
      </c>
      <c r="H125" s="29">
        <f>VLOOKUP($B125, ind_mes!$B:$XFD, MATCH(gdp_ind_share!H$1, ind_mes!$B$1:$XFD$1, 0), 0)/VLOOKUP($B125, gdp_tot_mes!$B:$XFD, MATCH(gdp_ind_share!H$1, gdp_tot_mes!$B$1:$XFD$1, 0), 0)</f>
        <v>0.29848724005723376</v>
      </c>
      <c r="I125" s="29">
        <f>VLOOKUP($B125, ind_mes!$B:$XFD, MATCH(gdp_ind_share!I$1, ind_mes!$B$1:$XFD$1, 0), 0)/VLOOKUP($B125, gdp_tot_mes!$B:$XFD, MATCH(gdp_ind_share!I$1, gdp_tot_mes!$B$1:$XFD$1, 0), 0)</f>
        <v>0.37959065773360473</v>
      </c>
      <c r="J125" s="29">
        <f>VLOOKUP($B125, ind_mes!$B:$XFD, MATCH(gdp_ind_share!J$1, ind_mes!$B$1:$XFD$1, 0), 0)/VLOOKUP($B125, gdp_tot_mes!$B:$XFD, MATCH(gdp_ind_share!J$1, gdp_tot_mes!$B$1:$XFD$1, 0), 0)</f>
        <v>0.41731387007258425</v>
      </c>
      <c r="K125" s="29">
        <f>VLOOKUP($B125, ind_mes!$B:$XFD, MATCH(gdp_ind_share!K$1, ind_mes!$B$1:$XFD$1, 0), 0)/VLOOKUP($B125, gdp_tot_mes!$B:$XFD, MATCH(gdp_ind_share!K$1, gdp_tot_mes!$B$1:$XFD$1, 0), 0)</f>
        <v>0.40089761324431705</v>
      </c>
      <c r="L125" s="30">
        <f t="shared" si="1"/>
        <v>0.33300930733234618</v>
      </c>
      <c r="M125" s="29">
        <f>VLOOKUP($B125, ind_mes!$B:$XFD, MATCH(gdp_ind_share!M$1, ind_mes!$B$1:$XFD$1, 0), 0)/VLOOKUP($B125, gdp_tot_mes!$B:$XFD, MATCH(gdp_ind_share!M$1, gdp_tot_mes!$B$1:$XFD$1, 0), 0)</f>
        <v>0.25154334023798114</v>
      </c>
      <c r="N125" s="29">
        <f>VLOOKUP($B125, ind_mes!$B:$XFD, MATCH(gdp_ind_share!N$1, ind_mes!$B$1:$XFD$1, 0), 0)/VLOOKUP($B125, gdp_tot_mes!$B:$XFD, MATCH(gdp_ind_share!N$1, gdp_tot_mes!$B$1:$XFD$1, 0), 0)</f>
        <v>0.22849478573401641</v>
      </c>
      <c r="O125" s="29">
        <f>VLOOKUP($B125, ind_mes!$B:$XFD, MATCH(gdp_ind_share!O$1, ind_mes!$B$1:$XFD$1, 0), 0)/VLOOKUP($B125, gdp_tot_mes!$B:$XFD, MATCH(gdp_ind_share!O$1, gdp_tot_mes!$B$1:$XFD$1, 0), 0)</f>
        <v>0.24073053038068362</v>
      </c>
      <c r="P125" s="29">
        <f>VLOOKUP($B125, ind_mes!$B:$XFD, MATCH(gdp_ind_share!P$1, ind_mes!$B$1:$XFD$1, 0), 0)/VLOOKUP($B125, gdp_tot_mes!$B:$XFD, MATCH(gdp_ind_share!P$1, gdp_tot_mes!$B$1:$XFD$1, 0), 0)</f>
        <v>0.22756451630426405</v>
      </c>
      <c r="Q125" s="29">
        <f>VLOOKUP($B125, ind_mes!$B:$XFD, MATCH(gdp_ind_share!Q$1, ind_mes!$B$1:$XFD$1, 0), 0)/VLOOKUP($B125, gdp_tot_mes!$B:$XFD, MATCH(gdp_ind_share!Q$1, gdp_tot_mes!$B$1:$XFD$1, 0), 0)</f>
        <v>0.22779042255386872</v>
      </c>
      <c r="R125" s="29">
        <f>VLOOKUP($B125, ind_mes!$B:$XFD, MATCH(gdp_ind_share!R$1, ind_mes!$B$1:$XFD$1, 0), 0)/VLOOKUP($B125, gdp_tot_mes!$B:$XFD, MATCH(gdp_ind_share!R$1, gdp_tot_mes!$B$1:$XFD$1, 0), 0)</f>
        <v>0.24219254340938123</v>
      </c>
      <c r="S125" s="29">
        <f>VLOOKUP($B125, ind_mes!$B:$XFD, MATCH(gdp_ind_share!S$1, ind_mes!$B$1:$XFD$1, 0), 0)/VLOOKUP($B125, gdp_tot_mes!$B:$XFD, MATCH(gdp_ind_share!S$1, gdp_tot_mes!$B$1:$XFD$1, 0), 0)</f>
        <v>0.25983176437138028</v>
      </c>
      <c r="T125" s="29">
        <f>VLOOKUP($B125, ind_mes!$B:$XFD, MATCH(gdp_ind_share!T$1, ind_mes!$B$1:$XFD$1, 0), 0)/VLOOKUP($B125, gdp_tot_mes!$B:$XFD, MATCH(gdp_ind_share!T$1, gdp_tot_mes!$B$1:$XFD$1, 0), 0)</f>
        <v>0.27585919322018698</v>
      </c>
      <c r="U125" s="29">
        <f>VLOOKUP($B125, ind_mes!$B:$XFD, MATCH(gdp_ind_share!U$1, ind_mes!$B$1:$XFD$1, 0), 0)/VLOOKUP($B125, gdp_tot_mes!$B:$XFD, MATCH(gdp_ind_share!U$1, gdp_tot_mes!$B$1:$XFD$1, 0), 0)</f>
        <v>0.25646204543662066</v>
      </c>
      <c r="V125" s="29">
        <f>VLOOKUP($B125, ind_mes!$B:$XFD, MATCH(gdp_ind_share!V$1, ind_mes!$B$1:$XFD$1, 0), 0)/VLOOKUP($B125, gdp_tot_mes!$B:$XFD, MATCH(gdp_ind_share!V$1, gdp_tot_mes!$B$1:$XFD$1, 0), 0)</f>
        <v>0.27162131436542775</v>
      </c>
      <c r="W125" s="29">
        <f>VLOOKUP($B125, ind_mes!$B:$XFD, MATCH(gdp_ind_share!W$1, ind_mes!$B$1:$XFD$1, 0), 0)/VLOOKUP($B125, gdp_tot_mes!$B:$XFD, MATCH(gdp_ind_share!W$1, gdp_tot_mes!$B$1:$XFD$1, 0), 0)</f>
        <v>0.27885713603302703</v>
      </c>
      <c r="X125" s="29">
        <f>VLOOKUP($B125, ind_mes!$B:$XFD, MATCH(gdp_ind_share!X$1, ind_mes!$B$1:$XFD$1, 0), 0)/VLOOKUP($B125, gdp_tot_mes!$B:$XFD, MATCH(gdp_ind_share!X$1, gdp_tot_mes!$B$1:$XFD$1, 0), 0)</f>
        <v>0.261522230413264</v>
      </c>
      <c r="Y125" s="29">
        <f>VLOOKUP($B125, ind_mes!$B:$XFD, MATCH(gdp_ind_share!Y$1, ind_mes!$B$1:$XFD$1, 0), 0)/VLOOKUP($B125, gdp_tot_mes!$B:$XFD, MATCH(gdp_ind_share!Y$1, gdp_tot_mes!$B$1:$XFD$1, 0), 0)</f>
        <v>0.28580602128089533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x14ac:dyDescent="0.25">
      <c r="A126" s="1" t="s">
        <v>288</v>
      </c>
      <c r="B126" s="1" t="s">
        <v>297</v>
      </c>
      <c r="C126" s="1" t="s">
        <v>298</v>
      </c>
      <c r="D126" s="29">
        <f>VLOOKUP($B126, ind_mes!$B:$XFD, MATCH(gdp_ind_share!D$1, ind_mes!$B$1:$XFD$1, 0), 0)/VLOOKUP($B126, gdp_tot_mes!$B:$XFD, MATCH(gdp_ind_share!D$1, gdp_tot_mes!$B$1:$XFD$1, 0), 0)</f>
        <v>0.10706127079337886</v>
      </c>
      <c r="E126" s="29">
        <f>VLOOKUP($B126, ind_mes!$B:$XFD, MATCH(gdp_ind_share!E$1, ind_mes!$B$1:$XFD$1, 0), 0)/VLOOKUP($B126, gdp_tot_mes!$B:$XFD, MATCH(gdp_ind_share!E$1, gdp_tot_mes!$B$1:$XFD$1, 0), 0)</f>
        <v>0.19816643818012994</v>
      </c>
      <c r="F126" s="29">
        <f>VLOOKUP($B126, ind_mes!$B:$XFD, MATCH(gdp_ind_share!F$1, ind_mes!$B$1:$XFD$1, 0), 0)/VLOOKUP($B126, gdp_tot_mes!$B:$XFD, MATCH(gdp_ind_share!F$1, gdp_tot_mes!$B$1:$XFD$1, 0), 0)</f>
        <v>0.2414345357159057</v>
      </c>
      <c r="G126" s="29">
        <f>VLOOKUP($B126, ind_mes!$B:$XFD, MATCH(gdp_ind_share!G$1, ind_mes!$B$1:$XFD$1, 0), 0)/VLOOKUP($B126, gdp_tot_mes!$B:$XFD, MATCH(gdp_ind_share!G$1, gdp_tot_mes!$B$1:$XFD$1, 0), 0)</f>
        <v>0.35970843098451183</v>
      </c>
      <c r="H126" s="29">
        <f>VLOOKUP($B126, ind_mes!$B:$XFD, MATCH(gdp_ind_share!H$1, ind_mes!$B$1:$XFD$1, 0), 0)/VLOOKUP($B126, gdp_tot_mes!$B:$XFD, MATCH(gdp_ind_share!H$1, gdp_tot_mes!$B$1:$XFD$1, 0), 0)</f>
        <v>0.42276830224389012</v>
      </c>
      <c r="I126" s="29">
        <f>VLOOKUP($B126, ind_mes!$B:$XFD, MATCH(gdp_ind_share!I$1, ind_mes!$B$1:$XFD$1, 0), 0)/VLOOKUP($B126, gdp_tot_mes!$B:$XFD, MATCH(gdp_ind_share!I$1, gdp_tot_mes!$B$1:$XFD$1, 0), 0)</f>
        <v>0.55396480466042053</v>
      </c>
      <c r="J126" s="29">
        <f>VLOOKUP($B126, ind_mes!$B:$XFD, MATCH(gdp_ind_share!J$1, ind_mes!$B$1:$XFD$1, 0), 0)/VLOOKUP($B126, gdp_tot_mes!$B:$XFD, MATCH(gdp_ind_share!J$1, gdp_tot_mes!$B$1:$XFD$1, 0), 0)</f>
        <v>0.53225628225416899</v>
      </c>
      <c r="K126" s="29">
        <f>VLOOKUP($B126, ind_mes!$B:$XFD, MATCH(gdp_ind_share!K$1, ind_mes!$B$1:$XFD$1, 0), 0)/VLOOKUP($B126, gdp_tot_mes!$B:$XFD, MATCH(gdp_ind_share!K$1, gdp_tot_mes!$B$1:$XFD$1, 0), 0)</f>
        <v>0.54774272558939208</v>
      </c>
      <c r="L126" s="30">
        <f t="shared" si="1"/>
        <v>0.47601911753993736</v>
      </c>
      <c r="M126" s="29">
        <f>VLOOKUP($B126, ind_mes!$B:$XFD, MATCH(gdp_ind_share!M$1, ind_mes!$B$1:$XFD$1, 0), 0)/VLOOKUP($B126, gdp_tot_mes!$B:$XFD, MATCH(gdp_ind_share!M$1, gdp_tot_mes!$B$1:$XFD$1, 0), 0)</f>
        <v>0.38995078788059173</v>
      </c>
      <c r="N126" s="29">
        <f>VLOOKUP($B126, ind_mes!$B:$XFD, MATCH(gdp_ind_share!N$1, ind_mes!$B$1:$XFD$1, 0), 0)/VLOOKUP($B126, gdp_tot_mes!$B:$XFD, MATCH(gdp_ind_share!N$1, gdp_tot_mes!$B$1:$XFD$1, 0), 0)</f>
        <v>0.35901222863943011</v>
      </c>
      <c r="O126" s="29">
        <f>VLOOKUP($B126, ind_mes!$B:$XFD, MATCH(gdp_ind_share!O$1, ind_mes!$B$1:$XFD$1, 0), 0)/VLOOKUP($B126, gdp_tot_mes!$B:$XFD, MATCH(gdp_ind_share!O$1, gdp_tot_mes!$B$1:$XFD$1, 0), 0)</f>
        <v>0.3567107344083732</v>
      </c>
      <c r="P126" s="29">
        <f>VLOOKUP($B126, ind_mes!$B:$XFD, MATCH(gdp_ind_share!P$1, ind_mes!$B$1:$XFD$1, 0), 0)/VLOOKUP($B126, gdp_tot_mes!$B:$XFD, MATCH(gdp_ind_share!P$1, gdp_tot_mes!$B$1:$XFD$1, 0), 0)</f>
        <v>0.3072687851142335</v>
      </c>
      <c r="Q126" s="29">
        <f>VLOOKUP($B126, ind_mes!$B:$XFD, MATCH(gdp_ind_share!Q$1, ind_mes!$B$1:$XFD$1, 0), 0)/VLOOKUP($B126, gdp_tot_mes!$B:$XFD, MATCH(gdp_ind_share!Q$1, gdp_tot_mes!$B$1:$XFD$1, 0), 0)</f>
        <v>0.2560295175903699</v>
      </c>
      <c r="R126" s="29">
        <f>VLOOKUP($B126, ind_mes!$B:$XFD, MATCH(gdp_ind_share!R$1, ind_mes!$B$1:$XFD$1, 0), 0)/VLOOKUP($B126, gdp_tot_mes!$B:$XFD, MATCH(gdp_ind_share!R$1, gdp_tot_mes!$B$1:$XFD$1, 0), 0)</f>
        <v>0.23315789584305185</v>
      </c>
      <c r="S126" s="29">
        <f>VLOOKUP($B126, ind_mes!$B:$XFD, MATCH(gdp_ind_share!S$1, ind_mes!$B$1:$XFD$1, 0), 0)/VLOOKUP($B126, gdp_tot_mes!$B:$XFD, MATCH(gdp_ind_share!S$1, gdp_tot_mes!$B$1:$XFD$1, 0), 0)</f>
        <v>0.29072171279030912</v>
      </c>
      <c r="T126" s="29">
        <f>VLOOKUP($B126, ind_mes!$B:$XFD, MATCH(gdp_ind_share!T$1, ind_mes!$B$1:$XFD$1, 0), 0)/VLOOKUP($B126, gdp_tot_mes!$B:$XFD, MATCH(gdp_ind_share!T$1, gdp_tot_mes!$B$1:$XFD$1, 0), 0)</f>
        <v>0.28471488715264215</v>
      </c>
      <c r="U126" s="29">
        <f>VLOOKUP($B126, ind_mes!$B:$XFD, MATCH(gdp_ind_share!U$1, ind_mes!$B$1:$XFD$1, 0), 0)/VLOOKUP($B126, gdp_tot_mes!$B:$XFD, MATCH(gdp_ind_share!U$1, gdp_tot_mes!$B$1:$XFD$1, 0), 0)</f>
        <v>0.27519226875346486</v>
      </c>
      <c r="V126" s="29">
        <f>VLOOKUP($B126, ind_mes!$B:$XFD, MATCH(gdp_ind_share!V$1, ind_mes!$B$1:$XFD$1, 0), 0)/VLOOKUP($B126, gdp_tot_mes!$B:$XFD, MATCH(gdp_ind_share!V$1, gdp_tot_mes!$B$1:$XFD$1, 0), 0)</f>
        <v>0.28708092903227872</v>
      </c>
      <c r="W126" s="29">
        <f>VLOOKUP($B126, ind_mes!$B:$XFD, MATCH(gdp_ind_share!W$1, ind_mes!$B$1:$XFD$1, 0), 0)/VLOOKUP($B126, gdp_tot_mes!$B:$XFD, MATCH(gdp_ind_share!W$1, gdp_tot_mes!$B$1:$XFD$1, 0), 0)</f>
        <v>0.26104537311110182</v>
      </c>
      <c r="X126" s="29">
        <f>VLOOKUP($B126, ind_mes!$B:$XFD, MATCH(gdp_ind_share!X$1, ind_mes!$B$1:$XFD$1, 0), 0)/VLOOKUP($B126, gdp_tot_mes!$B:$XFD, MATCH(gdp_ind_share!X$1, gdp_tot_mes!$B$1:$XFD$1, 0), 0)</f>
        <v>0.26934447016612295</v>
      </c>
      <c r="Y126" s="29">
        <f>VLOOKUP($B126, ind_mes!$B:$XFD, MATCH(gdp_ind_share!Y$1, ind_mes!$B$1:$XFD$1, 0), 0)/VLOOKUP($B126, gdp_tot_mes!$B:$XFD, MATCH(gdp_ind_share!Y$1, gdp_tot_mes!$B$1:$XFD$1, 0), 0)</f>
        <v>0.27334324933616411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x14ac:dyDescent="0.25">
      <c r="A127" s="1" t="s">
        <v>288</v>
      </c>
      <c r="B127" s="1" t="s">
        <v>299</v>
      </c>
      <c r="C127" s="1" t="s">
        <v>300</v>
      </c>
      <c r="D127" s="29">
        <f>VLOOKUP($B127, ind_mes!$B:$XFD, MATCH(gdp_ind_share!D$1, ind_mes!$B$1:$XFD$1, 0), 0)/VLOOKUP($B127, gdp_tot_mes!$B:$XFD, MATCH(gdp_ind_share!D$1, gdp_tot_mes!$B$1:$XFD$1, 0), 0)</f>
        <v>0.18879885222269316</v>
      </c>
      <c r="E127" s="29">
        <f>VLOOKUP($B127, ind_mes!$B:$XFD, MATCH(gdp_ind_share!E$1, ind_mes!$B$1:$XFD$1, 0), 0)/VLOOKUP($B127, gdp_tot_mes!$B:$XFD, MATCH(gdp_ind_share!E$1, gdp_tot_mes!$B$1:$XFD$1, 0), 0)</f>
        <v>0.23313747219610326</v>
      </c>
      <c r="F127" s="29">
        <f>VLOOKUP($B127, ind_mes!$B:$XFD, MATCH(gdp_ind_share!F$1, ind_mes!$B$1:$XFD$1, 0), 0)/VLOOKUP($B127, gdp_tot_mes!$B:$XFD, MATCH(gdp_ind_share!F$1, gdp_tot_mes!$B$1:$XFD$1, 0), 0)</f>
        <v>0.3336333071731728</v>
      </c>
      <c r="G127" s="29">
        <f>VLOOKUP($B127, ind_mes!$B:$XFD, MATCH(gdp_ind_share!G$1, ind_mes!$B$1:$XFD$1, 0), 0)/VLOOKUP($B127, gdp_tot_mes!$B:$XFD, MATCH(gdp_ind_share!G$1, gdp_tot_mes!$B$1:$XFD$1, 0), 0)</f>
        <v>0.4399577550927804</v>
      </c>
      <c r="H127" s="29">
        <f>VLOOKUP($B127, ind_mes!$B:$XFD, MATCH(gdp_ind_share!H$1, ind_mes!$B$1:$XFD$1, 0), 0)/VLOOKUP($B127, gdp_tot_mes!$B:$XFD, MATCH(gdp_ind_share!H$1, gdp_tot_mes!$B$1:$XFD$1, 0), 0)</f>
        <v>0.48128899432935968</v>
      </c>
      <c r="I127" s="29">
        <f>VLOOKUP($B127, ind_mes!$B:$XFD, MATCH(gdp_ind_share!I$1, ind_mes!$B$1:$XFD$1, 0), 0)/VLOOKUP($B127, gdp_tot_mes!$B:$XFD, MATCH(gdp_ind_share!I$1, gdp_tot_mes!$B$1:$XFD$1, 0), 0)</f>
        <v>0.60865181784426492</v>
      </c>
      <c r="J127" s="29">
        <f>VLOOKUP($B127, ind_mes!$B:$XFD, MATCH(gdp_ind_share!J$1, ind_mes!$B$1:$XFD$1, 0), 0)/VLOOKUP($B127, gdp_tot_mes!$B:$XFD, MATCH(gdp_ind_share!J$1, gdp_tot_mes!$B$1:$XFD$1, 0), 0)</f>
        <v>0.57637837494768762</v>
      </c>
      <c r="K127" s="29">
        <f>VLOOKUP($B127, ind_mes!$B:$XFD, MATCH(gdp_ind_share!K$1, ind_mes!$B$1:$XFD$1, 0), 0)/VLOOKUP($B127, gdp_tot_mes!$B:$XFD, MATCH(gdp_ind_share!K$1, gdp_tot_mes!$B$1:$XFD$1, 0), 0)</f>
        <v>0.5907845611368433</v>
      </c>
      <c r="L127" s="30">
        <f t="shared" si="1"/>
        <v>0.53507687680141225</v>
      </c>
      <c r="M127" s="29">
        <f>VLOOKUP($B127, ind_mes!$B:$XFD, MATCH(gdp_ind_share!M$1, ind_mes!$B$1:$XFD$1, 0), 0)/VLOOKUP($B127, gdp_tot_mes!$B:$XFD, MATCH(gdp_ind_share!M$1, gdp_tot_mes!$B$1:$XFD$1, 0), 0)</f>
        <v>0.46822765559889507</v>
      </c>
      <c r="N127" s="29">
        <f>VLOOKUP($B127, ind_mes!$B:$XFD, MATCH(gdp_ind_share!N$1, ind_mes!$B$1:$XFD$1, 0), 0)/VLOOKUP($B127, gdp_tot_mes!$B:$XFD, MATCH(gdp_ind_share!N$1, gdp_tot_mes!$B$1:$XFD$1, 0), 0)</f>
        <v>0.29740309067233789</v>
      </c>
      <c r="O127" s="29">
        <f>VLOOKUP($B127, ind_mes!$B:$XFD, MATCH(gdp_ind_share!O$1, ind_mes!$B$1:$XFD$1, 0), 0)/VLOOKUP($B127, gdp_tot_mes!$B:$XFD, MATCH(gdp_ind_share!O$1, gdp_tot_mes!$B$1:$XFD$1, 0), 0)</f>
        <v>0.31343820609936318</v>
      </c>
      <c r="P127" s="29">
        <f>VLOOKUP($B127, ind_mes!$B:$XFD, MATCH(gdp_ind_share!P$1, ind_mes!$B$1:$XFD$1, 0), 0)/VLOOKUP($B127, gdp_tot_mes!$B:$XFD, MATCH(gdp_ind_share!P$1, gdp_tot_mes!$B$1:$XFD$1, 0), 0)</f>
        <v>0.30685969744096969</v>
      </c>
      <c r="Q127" s="29">
        <f>VLOOKUP($B127, ind_mes!$B:$XFD, MATCH(gdp_ind_share!Q$1, ind_mes!$B$1:$XFD$1, 0), 0)/VLOOKUP($B127, gdp_tot_mes!$B:$XFD, MATCH(gdp_ind_share!Q$1, gdp_tot_mes!$B$1:$XFD$1, 0), 0)</f>
        <v>0.33286331396241625</v>
      </c>
      <c r="R127" s="29">
        <f>VLOOKUP($B127, ind_mes!$B:$XFD, MATCH(gdp_ind_share!R$1, ind_mes!$B$1:$XFD$1, 0), 0)/VLOOKUP($B127, gdp_tot_mes!$B:$XFD, MATCH(gdp_ind_share!R$1, gdp_tot_mes!$B$1:$XFD$1, 0), 0)</f>
        <v>0.34971924063883331</v>
      </c>
      <c r="S127" s="29">
        <f>VLOOKUP($B127, ind_mes!$B:$XFD, MATCH(gdp_ind_share!S$1, ind_mes!$B$1:$XFD$1, 0), 0)/VLOOKUP($B127, gdp_tot_mes!$B:$XFD, MATCH(gdp_ind_share!S$1, gdp_tot_mes!$B$1:$XFD$1, 0), 0)</f>
        <v>0.40705711225792757</v>
      </c>
      <c r="T127" s="29">
        <f>VLOOKUP($B127, ind_mes!$B:$XFD, MATCH(gdp_ind_share!T$1, ind_mes!$B$1:$XFD$1, 0), 0)/VLOOKUP($B127, gdp_tot_mes!$B:$XFD, MATCH(gdp_ind_share!T$1, gdp_tot_mes!$B$1:$XFD$1, 0), 0)</f>
        <v>0.41582268957958746</v>
      </c>
      <c r="U127" s="29">
        <f>VLOOKUP($B127, ind_mes!$B:$XFD, MATCH(gdp_ind_share!U$1, ind_mes!$B$1:$XFD$1, 0), 0)/VLOOKUP($B127, gdp_tot_mes!$B:$XFD, MATCH(gdp_ind_share!U$1, gdp_tot_mes!$B$1:$XFD$1, 0), 0)</f>
        <v>0.40438562315672155</v>
      </c>
      <c r="V127" s="29">
        <f>VLOOKUP($B127, ind_mes!$B:$XFD, MATCH(gdp_ind_share!V$1, ind_mes!$B$1:$XFD$1, 0), 0)/VLOOKUP($B127, gdp_tot_mes!$B:$XFD, MATCH(gdp_ind_share!V$1, gdp_tot_mes!$B$1:$XFD$1, 0), 0)</f>
        <v>0.42286958432556665</v>
      </c>
      <c r="W127" s="29">
        <f>VLOOKUP($B127, ind_mes!$B:$XFD, MATCH(gdp_ind_share!W$1, ind_mes!$B$1:$XFD$1, 0), 0)/VLOOKUP($B127, gdp_tot_mes!$B:$XFD, MATCH(gdp_ind_share!W$1, gdp_tot_mes!$B$1:$XFD$1, 0), 0)</f>
        <v>0.42408291567374662</v>
      </c>
      <c r="X127" s="29">
        <f>VLOOKUP($B127, ind_mes!$B:$XFD, MATCH(gdp_ind_share!X$1, ind_mes!$B$1:$XFD$1, 0), 0)/VLOOKUP($B127, gdp_tot_mes!$B:$XFD, MATCH(gdp_ind_share!X$1, gdp_tot_mes!$B$1:$XFD$1, 0), 0)</f>
        <v>0.38381491477194352</v>
      </c>
      <c r="Y127" s="29">
        <f>VLOOKUP($B127, ind_mes!$B:$XFD, MATCH(gdp_ind_share!Y$1, ind_mes!$B$1:$XFD$1, 0), 0)/VLOOKUP($B127, gdp_tot_mes!$B:$XFD, MATCH(gdp_ind_share!Y$1, gdp_tot_mes!$B$1:$XFD$1, 0), 0)</f>
        <v>0.37611943197090858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x14ac:dyDescent="0.25">
      <c r="A128" s="1" t="s">
        <v>288</v>
      </c>
      <c r="B128" s="1" t="s">
        <v>301</v>
      </c>
      <c r="C128" s="1" t="s">
        <v>302</v>
      </c>
      <c r="D128" s="29">
        <f>VLOOKUP($B128, ind_mes!$B:$XFD, MATCH(gdp_ind_share!D$1, ind_mes!$B$1:$XFD$1, 0), 0)/VLOOKUP($B128, gdp_tot_mes!$B:$XFD, MATCH(gdp_ind_share!D$1, gdp_tot_mes!$B$1:$XFD$1, 0), 0)</f>
        <v>0.15455901186596846</v>
      </c>
      <c r="E128" s="29">
        <f>VLOOKUP($B128, ind_mes!$B:$XFD, MATCH(gdp_ind_share!E$1, ind_mes!$B$1:$XFD$1, 0), 0)/VLOOKUP($B128, gdp_tot_mes!$B:$XFD, MATCH(gdp_ind_share!E$1, gdp_tot_mes!$B$1:$XFD$1, 0), 0)</f>
        <v>0.2010224039135757</v>
      </c>
      <c r="F128" s="29">
        <f>VLOOKUP($B128, ind_mes!$B:$XFD, MATCH(gdp_ind_share!F$1, ind_mes!$B$1:$XFD$1, 0), 0)/VLOOKUP($B128, gdp_tot_mes!$B:$XFD, MATCH(gdp_ind_share!F$1, gdp_tot_mes!$B$1:$XFD$1, 0), 0)</f>
        <v>0.23837102685177061</v>
      </c>
      <c r="G128" s="29">
        <f>VLOOKUP($B128, ind_mes!$B:$XFD, MATCH(gdp_ind_share!G$1, ind_mes!$B$1:$XFD$1, 0), 0)/VLOOKUP($B128, gdp_tot_mes!$B:$XFD, MATCH(gdp_ind_share!G$1, gdp_tot_mes!$B$1:$XFD$1, 0), 0)</f>
        <v>0.5021638452209356</v>
      </c>
      <c r="H128" s="29">
        <f>VLOOKUP($B128, ind_mes!$B:$XFD, MATCH(gdp_ind_share!H$1, ind_mes!$B$1:$XFD$1, 0), 0)/VLOOKUP($B128, gdp_tot_mes!$B:$XFD, MATCH(gdp_ind_share!H$1, gdp_tot_mes!$B$1:$XFD$1, 0), 0)</f>
        <v>0.48350221729315679</v>
      </c>
      <c r="I128" s="29">
        <f>VLOOKUP($B128, ind_mes!$B:$XFD, MATCH(gdp_ind_share!I$1, ind_mes!$B$1:$XFD$1, 0), 0)/VLOOKUP($B128, gdp_tot_mes!$B:$XFD, MATCH(gdp_ind_share!I$1, gdp_tot_mes!$B$1:$XFD$1, 0), 0)</f>
        <v>0.53938235878747076</v>
      </c>
      <c r="J128" s="29">
        <f>VLOOKUP($B128, ind_mes!$B:$XFD, MATCH(gdp_ind_share!J$1, ind_mes!$B$1:$XFD$1, 0), 0)/VLOOKUP($B128, gdp_tot_mes!$B:$XFD, MATCH(gdp_ind_share!J$1, gdp_tot_mes!$B$1:$XFD$1, 0), 0)</f>
        <v>0.53913738427392421</v>
      </c>
      <c r="K128" s="29">
        <f>VLOOKUP($B128, ind_mes!$B:$XFD, MATCH(gdp_ind_share!K$1, ind_mes!$B$1:$XFD$1, 0), 0)/VLOOKUP($B128, gdp_tot_mes!$B:$XFD, MATCH(gdp_ind_share!K$1, gdp_tot_mes!$B$1:$XFD$1, 0), 0)</f>
        <v>0.6232610006440451</v>
      </c>
      <c r="L128" s="30">
        <f t="shared" si="1"/>
        <v>0.55143653411345439</v>
      </c>
      <c r="M128" s="29">
        <f>VLOOKUP($B128, ind_mes!$B:$XFD, MATCH(gdp_ind_share!M$1, ind_mes!$B$1:$XFD$1, 0), 0)/VLOOKUP($B128, gdp_tot_mes!$B:$XFD, MATCH(gdp_ind_share!M$1, gdp_tot_mes!$B$1:$XFD$1, 0), 0)</f>
        <v>0.46524717427674567</v>
      </c>
      <c r="N128" s="29">
        <f>VLOOKUP($B128, ind_mes!$B:$XFD, MATCH(gdp_ind_share!N$1, ind_mes!$B$1:$XFD$1, 0), 0)/VLOOKUP($B128, gdp_tot_mes!$B:$XFD, MATCH(gdp_ind_share!N$1, gdp_tot_mes!$B$1:$XFD$1, 0), 0)</f>
        <v>0.27393397351199694</v>
      </c>
      <c r="O128" s="29">
        <f>VLOOKUP($B128, ind_mes!$B:$XFD, MATCH(gdp_ind_share!O$1, ind_mes!$B$1:$XFD$1, 0), 0)/VLOOKUP($B128, gdp_tot_mes!$B:$XFD, MATCH(gdp_ind_share!O$1, gdp_tot_mes!$B$1:$XFD$1, 0), 0)</f>
        <v>0.28365613270866114</v>
      </c>
      <c r="P128" s="29">
        <f>VLOOKUP($B128, ind_mes!$B:$XFD, MATCH(gdp_ind_share!P$1, ind_mes!$B$1:$XFD$1, 0), 0)/VLOOKUP($B128, gdp_tot_mes!$B:$XFD, MATCH(gdp_ind_share!P$1, gdp_tot_mes!$B$1:$XFD$1, 0), 0)</f>
        <v>0.28046145755417978</v>
      </c>
      <c r="Q128" s="29">
        <f>VLOOKUP($B128, ind_mes!$B:$XFD, MATCH(gdp_ind_share!Q$1, ind_mes!$B$1:$XFD$1, 0), 0)/VLOOKUP($B128, gdp_tot_mes!$B:$XFD, MATCH(gdp_ind_share!Q$1, gdp_tot_mes!$B$1:$XFD$1, 0), 0)</f>
        <v>0.33653356392813405</v>
      </c>
      <c r="R128" s="29">
        <f>VLOOKUP($B128, ind_mes!$B:$XFD, MATCH(gdp_ind_share!R$1, ind_mes!$B$1:$XFD$1, 0), 0)/VLOOKUP($B128, gdp_tot_mes!$B:$XFD, MATCH(gdp_ind_share!R$1, gdp_tot_mes!$B$1:$XFD$1, 0), 0)</f>
        <v>0.37527943859394841</v>
      </c>
      <c r="S128" s="29">
        <f>VLOOKUP($B128, ind_mes!$B:$XFD, MATCH(gdp_ind_share!S$1, ind_mes!$B$1:$XFD$1, 0), 0)/VLOOKUP($B128, gdp_tot_mes!$B:$XFD, MATCH(gdp_ind_share!S$1, gdp_tot_mes!$B$1:$XFD$1, 0), 0)</f>
        <v>0.37296740214219998</v>
      </c>
      <c r="T128" s="29">
        <f>VLOOKUP($B128, ind_mes!$B:$XFD, MATCH(gdp_ind_share!T$1, ind_mes!$B$1:$XFD$1, 0), 0)/VLOOKUP($B128, gdp_tot_mes!$B:$XFD, MATCH(gdp_ind_share!T$1, gdp_tot_mes!$B$1:$XFD$1, 0), 0)</f>
        <v>0.37615378933052995</v>
      </c>
      <c r="U128" s="29">
        <f>VLOOKUP($B128, ind_mes!$B:$XFD, MATCH(gdp_ind_share!U$1, ind_mes!$B$1:$XFD$1, 0), 0)/VLOOKUP($B128, gdp_tot_mes!$B:$XFD, MATCH(gdp_ind_share!U$1, gdp_tot_mes!$B$1:$XFD$1, 0), 0)</f>
        <v>0.35967765750882613</v>
      </c>
      <c r="V128" s="29">
        <f>VLOOKUP($B128, ind_mes!$B:$XFD, MATCH(gdp_ind_share!V$1, ind_mes!$B$1:$XFD$1, 0), 0)/VLOOKUP($B128, gdp_tot_mes!$B:$XFD, MATCH(gdp_ind_share!V$1, gdp_tot_mes!$B$1:$XFD$1, 0), 0)</f>
        <v>0.36174191728456911</v>
      </c>
      <c r="W128" s="29">
        <f>VLOOKUP($B128, ind_mes!$B:$XFD, MATCH(gdp_ind_share!W$1, ind_mes!$B$1:$XFD$1, 0), 0)/VLOOKUP($B128, gdp_tot_mes!$B:$XFD, MATCH(gdp_ind_share!W$1, gdp_tot_mes!$B$1:$XFD$1, 0), 0)</f>
        <v>0.36474487565769753</v>
      </c>
      <c r="X128" s="29">
        <f>VLOOKUP($B128, ind_mes!$B:$XFD, MATCH(gdp_ind_share!X$1, ind_mes!$B$1:$XFD$1, 0), 0)/VLOOKUP($B128, gdp_tot_mes!$B:$XFD, MATCH(gdp_ind_share!X$1, gdp_tot_mes!$B$1:$XFD$1, 0), 0)</f>
        <v>0.34571418634435225</v>
      </c>
      <c r="Y128" s="29">
        <f>VLOOKUP($B128, ind_mes!$B:$XFD, MATCH(gdp_ind_share!Y$1, ind_mes!$B$1:$XFD$1, 0), 0)/VLOOKUP($B128, gdp_tot_mes!$B:$XFD, MATCH(gdp_ind_share!Y$1, gdp_tot_mes!$B$1:$XFD$1, 0), 0)</f>
        <v>0.34495080223481078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x14ac:dyDescent="0.25">
      <c r="A129" s="1" t="s">
        <v>288</v>
      </c>
      <c r="B129" s="1" t="s">
        <v>303</v>
      </c>
      <c r="C129" s="1" t="s">
        <v>304</v>
      </c>
      <c r="D129" s="29" t="e">
        <f>VLOOKUP($B129, ind_mes!$B:$XFD, MATCH(gdp_ind_share!D$1, ind_mes!$B$1:$XFD$1, 0), 0)/VLOOKUP($B129, gdp_tot_mes!$B:$XFD, MATCH(gdp_ind_share!D$1, gdp_tot_mes!$B$1:$XFD$1, 0), 0)</f>
        <v>#DIV/0!</v>
      </c>
      <c r="E129" s="29">
        <f>VLOOKUP($B129, ind_mes!$B:$XFD, MATCH(gdp_ind_share!E$1, ind_mes!$B$1:$XFD$1, 0), 0)/VLOOKUP($B129, gdp_tot_mes!$B:$XFD, MATCH(gdp_ind_share!E$1, gdp_tot_mes!$B$1:$XFD$1, 0), 0)</f>
        <v>6.5967664653646896E-2</v>
      </c>
      <c r="F129" s="29">
        <f>VLOOKUP($B129, ind_mes!$B:$XFD, MATCH(gdp_ind_share!F$1, ind_mes!$B$1:$XFD$1, 0), 0)/VLOOKUP($B129, gdp_tot_mes!$B:$XFD, MATCH(gdp_ind_share!F$1, gdp_tot_mes!$B$1:$XFD$1, 0), 0)</f>
        <v>7.1352517681779734E-2</v>
      </c>
      <c r="G129" s="29">
        <f>VLOOKUP($B129, ind_mes!$B:$XFD, MATCH(gdp_ind_share!G$1, ind_mes!$B$1:$XFD$1, 0), 0)/VLOOKUP($B129, gdp_tot_mes!$B:$XFD, MATCH(gdp_ind_share!G$1, gdp_tot_mes!$B$1:$XFD$1, 0), 0)</f>
        <v>0.19165600426590645</v>
      </c>
      <c r="H129" s="29">
        <f>VLOOKUP($B129, ind_mes!$B:$XFD, MATCH(gdp_ind_share!H$1, ind_mes!$B$1:$XFD$1, 0), 0)/VLOOKUP($B129, gdp_tot_mes!$B:$XFD, MATCH(gdp_ind_share!H$1, gdp_tot_mes!$B$1:$XFD$1, 0), 0)</f>
        <v>0.22988355453060302</v>
      </c>
      <c r="I129" s="29">
        <f>VLOOKUP($B129, ind_mes!$B:$XFD, MATCH(gdp_ind_share!I$1, ind_mes!$B$1:$XFD$1, 0), 0)/VLOOKUP($B129, gdp_tot_mes!$B:$XFD, MATCH(gdp_ind_share!I$1, gdp_tot_mes!$B$1:$XFD$1, 0), 0)</f>
        <v>0.28076245470903477</v>
      </c>
      <c r="J129" s="29">
        <f>VLOOKUP($B129, ind_mes!$B:$XFD, MATCH(gdp_ind_share!J$1, ind_mes!$B$1:$XFD$1, 0), 0)/VLOOKUP($B129, gdp_tot_mes!$B:$XFD, MATCH(gdp_ind_share!J$1, gdp_tot_mes!$B$1:$XFD$1, 0), 0)</f>
        <v>0.28757234974503293</v>
      </c>
      <c r="K129" s="29">
        <f>VLOOKUP($B129, ind_mes!$B:$XFD, MATCH(gdp_ind_share!K$1, ind_mes!$B$1:$XFD$1, 0), 0)/VLOOKUP($B129, gdp_tot_mes!$B:$XFD, MATCH(gdp_ind_share!K$1, gdp_tot_mes!$B$1:$XFD$1, 0), 0)</f>
        <v>0.30090241612790486</v>
      </c>
      <c r="L129" s="30">
        <f t="shared" si="1"/>
        <v>0.29151777466486595</v>
      </c>
      <c r="M129" s="29">
        <f>VLOOKUP($B129, ind_mes!$B:$XFD, MATCH(gdp_ind_share!M$1, ind_mes!$B$1:$XFD$1, 0), 0)/VLOOKUP($B129, gdp_tot_mes!$B:$XFD, MATCH(gdp_ind_share!M$1, gdp_tot_mes!$B$1:$XFD$1, 0), 0)</f>
        <v>0.28025620490921926</v>
      </c>
      <c r="N129" s="29">
        <f>VLOOKUP($B129, ind_mes!$B:$XFD, MATCH(gdp_ind_share!N$1, ind_mes!$B$1:$XFD$1, 0), 0)/VLOOKUP($B129, gdp_tot_mes!$B:$XFD, MATCH(gdp_ind_share!N$1, gdp_tot_mes!$B$1:$XFD$1, 0), 0)</f>
        <v>0.24617940336048627</v>
      </c>
      <c r="O129" s="29">
        <f>VLOOKUP($B129, ind_mes!$B:$XFD, MATCH(gdp_ind_share!O$1, ind_mes!$B$1:$XFD$1, 0), 0)/VLOOKUP($B129, gdp_tot_mes!$B:$XFD, MATCH(gdp_ind_share!O$1, gdp_tot_mes!$B$1:$XFD$1, 0), 0)</f>
        <v>0.23774726540022964</v>
      </c>
      <c r="P129" s="29">
        <f>VLOOKUP($B129, ind_mes!$B:$XFD, MATCH(gdp_ind_share!P$1, ind_mes!$B$1:$XFD$1, 0), 0)/VLOOKUP($B129, gdp_tot_mes!$B:$XFD, MATCH(gdp_ind_share!P$1, gdp_tot_mes!$B$1:$XFD$1, 0), 0)</f>
        <v>0.24566619791002386</v>
      </c>
      <c r="Q129" s="29">
        <f>VLOOKUP($B129, ind_mes!$B:$XFD, MATCH(gdp_ind_share!Q$1, ind_mes!$B$1:$XFD$1, 0), 0)/VLOOKUP($B129, gdp_tot_mes!$B:$XFD, MATCH(gdp_ind_share!Q$1, gdp_tot_mes!$B$1:$XFD$1, 0), 0)</f>
        <v>0.21957685567599491</v>
      </c>
      <c r="R129" s="29">
        <f>VLOOKUP($B129, ind_mes!$B:$XFD, MATCH(gdp_ind_share!R$1, ind_mes!$B$1:$XFD$1, 0), 0)/VLOOKUP($B129, gdp_tot_mes!$B:$XFD, MATCH(gdp_ind_share!R$1, gdp_tot_mes!$B$1:$XFD$1, 0), 0)</f>
        <v>0.21209217363178101</v>
      </c>
      <c r="S129" s="29">
        <f>VLOOKUP($B129, ind_mes!$B:$XFD, MATCH(gdp_ind_share!S$1, ind_mes!$B$1:$XFD$1, 0), 0)/VLOOKUP($B129, gdp_tot_mes!$B:$XFD, MATCH(gdp_ind_share!S$1, gdp_tot_mes!$B$1:$XFD$1, 0), 0)</f>
        <v>0.21968167316888276</v>
      </c>
      <c r="T129" s="29">
        <f>VLOOKUP($B129, ind_mes!$B:$XFD, MATCH(gdp_ind_share!T$1, ind_mes!$B$1:$XFD$1, 0), 0)/VLOOKUP($B129, gdp_tot_mes!$B:$XFD, MATCH(gdp_ind_share!T$1, gdp_tot_mes!$B$1:$XFD$1, 0), 0)</f>
        <v>0.23193510569420445</v>
      </c>
      <c r="U129" s="29">
        <f>VLOOKUP($B129, ind_mes!$B:$XFD, MATCH(gdp_ind_share!U$1, ind_mes!$B$1:$XFD$1, 0), 0)/VLOOKUP($B129, gdp_tot_mes!$B:$XFD, MATCH(gdp_ind_share!U$1, gdp_tot_mes!$B$1:$XFD$1, 0), 0)</f>
        <v>0.23108952340092243</v>
      </c>
      <c r="V129" s="29">
        <f>VLOOKUP($B129, ind_mes!$B:$XFD, MATCH(gdp_ind_share!V$1, ind_mes!$B$1:$XFD$1, 0), 0)/VLOOKUP($B129, gdp_tot_mes!$B:$XFD, MATCH(gdp_ind_share!V$1, gdp_tot_mes!$B$1:$XFD$1, 0), 0)</f>
        <v>0.22866473423346917</v>
      </c>
      <c r="W129" s="29">
        <f>VLOOKUP($B129, ind_mes!$B:$XFD, MATCH(gdp_ind_share!W$1, ind_mes!$B$1:$XFD$1, 0), 0)/VLOOKUP($B129, gdp_tot_mes!$B:$XFD, MATCH(gdp_ind_share!W$1, gdp_tot_mes!$B$1:$XFD$1, 0), 0)</f>
        <v>0.22991720320077993</v>
      </c>
      <c r="X129" s="29">
        <f>VLOOKUP($B129, ind_mes!$B:$XFD, MATCH(gdp_ind_share!X$1, ind_mes!$B$1:$XFD$1, 0), 0)/VLOOKUP($B129, gdp_tot_mes!$B:$XFD, MATCH(gdp_ind_share!X$1, gdp_tot_mes!$B$1:$XFD$1, 0), 0)</f>
        <v>0.22618625540345724</v>
      </c>
      <c r="Y129" s="29">
        <f>VLOOKUP($B129, ind_mes!$B:$XFD, MATCH(gdp_ind_share!Y$1, ind_mes!$B$1:$XFD$1, 0), 0)/VLOOKUP($B129, gdp_tot_mes!$B:$XFD, MATCH(gdp_ind_share!Y$1, gdp_tot_mes!$B$1:$XFD$1, 0), 0)</f>
        <v>0.21841948256422961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x14ac:dyDescent="0.25">
      <c r="A130" s="1" t="s">
        <v>288</v>
      </c>
      <c r="B130" s="1" t="s">
        <v>305</v>
      </c>
      <c r="C130" s="1" t="s">
        <v>306</v>
      </c>
      <c r="D130" s="29">
        <f>VLOOKUP($B130, ind_mes!$B:$XFD, MATCH(gdp_ind_share!D$1, ind_mes!$B$1:$XFD$1, 0), 0)/VLOOKUP($B130, gdp_tot_mes!$B:$XFD, MATCH(gdp_ind_share!D$1, gdp_tot_mes!$B$1:$XFD$1, 0), 0)</f>
        <v>7.1298986212956827E-2</v>
      </c>
      <c r="E130" s="29">
        <f>VLOOKUP($B130, ind_mes!$B:$XFD, MATCH(gdp_ind_share!E$1, ind_mes!$B$1:$XFD$1, 0), 0)/VLOOKUP($B130, gdp_tot_mes!$B:$XFD, MATCH(gdp_ind_share!E$1, gdp_tot_mes!$B$1:$XFD$1, 0), 0)</f>
        <v>9.7369523831117424E-2</v>
      </c>
      <c r="F130" s="29">
        <f>VLOOKUP($B130, ind_mes!$B:$XFD, MATCH(gdp_ind_share!F$1, ind_mes!$B$1:$XFD$1, 0), 0)/VLOOKUP($B130, gdp_tot_mes!$B:$XFD, MATCH(gdp_ind_share!F$1, gdp_tot_mes!$B$1:$XFD$1, 0), 0)</f>
        <v>0.11646586265334206</v>
      </c>
      <c r="G130" s="29">
        <f>VLOOKUP($B130, ind_mes!$B:$XFD, MATCH(gdp_ind_share!G$1, ind_mes!$B$1:$XFD$1, 0), 0)/VLOOKUP($B130, gdp_tot_mes!$B:$XFD, MATCH(gdp_ind_share!G$1, gdp_tot_mes!$B$1:$XFD$1, 0), 0)</f>
        <v>0.17012773198213507</v>
      </c>
      <c r="H130" s="29">
        <f>VLOOKUP($B130, ind_mes!$B:$XFD, MATCH(gdp_ind_share!H$1, ind_mes!$B$1:$XFD$1, 0), 0)/VLOOKUP($B130, gdp_tot_mes!$B:$XFD, MATCH(gdp_ind_share!H$1, gdp_tot_mes!$B$1:$XFD$1, 0), 0)</f>
        <v>0.29517702126924622</v>
      </c>
      <c r="I130" s="29">
        <f>VLOOKUP($B130, ind_mes!$B:$XFD, MATCH(gdp_ind_share!I$1, ind_mes!$B$1:$XFD$1, 0), 0)/VLOOKUP($B130, gdp_tot_mes!$B:$XFD, MATCH(gdp_ind_share!I$1, gdp_tot_mes!$B$1:$XFD$1, 0), 0)</f>
        <v>0.33786245007699933</v>
      </c>
      <c r="J130" s="29">
        <f>VLOOKUP($B130, ind_mes!$B:$XFD, MATCH(gdp_ind_share!J$1, ind_mes!$B$1:$XFD$1, 0), 0)/VLOOKUP($B130, gdp_tot_mes!$B:$XFD, MATCH(gdp_ind_share!J$1, gdp_tot_mes!$B$1:$XFD$1, 0), 0)</f>
        <v>0.38024679891188706</v>
      </c>
      <c r="K130" s="29">
        <f>VLOOKUP($B130, ind_mes!$B:$XFD, MATCH(gdp_ind_share!K$1, ind_mes!$B$1:$XFD$1, 0), 0)/VLOOKUP($B130, gdp_tot_mes!$B:$XFD, MATCH(gdp_ind_share!K$1, gdp_tot_mes!$B$1:$XFD$1, 0), 0)</f>
        <v>0.30460038913229814</v>
      </c>
      <c r="L130" s="30">
        <f t="shared" si="1"/>
        <v>0.26298568401066391</v>
      </c>
      <c r="M130" s="29">
        <f>VLOOKUP($B130, ind_mes!$B:$XFD, MATCH(gdp_ind_share!M$1, ind_mes!$B$1:$XFD$1, 0), 0)/VLOOKUP($B130, gdp_tot_mes!$B:$XFD, MATCH(gdp_ind_share!M$1, gdp_tot_mes!$B$1:$XFD$1, 0), 0)</f>
        <v>0.21304803786470281</v>
      </c>
      <c r="N130" s="29">
        <f>VLOOKUP($B130, ind_mes!$B:$XFD, MATCH(gdp_ind_share!N$1, ind_mes!$B$1:$XFD$1, 0), 0)/VLOOKUP($B130, gdp_tot_mes!$B:$XFD, MATCH(gdp_ind_share!N$1, gdp_tot_mes!$B$1:$XFD$1, 0), 0)</f>
        <v>0.17804846668399241</v>
      </c>
      <c r="O130" s="29">
        <f>VLOOKUP($B130, ind_mes!$B:$XFD, MATCH(gdp_ind_share!O$1, ind_mes!$B$1:$XFD$1, 0), 0)/VLOOKUP($B130, gdp_tot_mes!$B:$XFD, MATCH(gdp_ind_share!O$1, gdp_tot_mes!$B$1:$XFD$1, 0), 0)</f>
        <v>0.18148160851708603</v>
      </c>
      <c r="P130" s="29">
        <f>VLOOKUP($B130, ind_mes!$B:$XFD, MATCH(gdp_ind_share!P$1, ind_mes!$B$1:$XFD$1, 0), 0)/VLOOKUP($B130, gdp_tot_mes!$B:$XFD, MATCH(gdp_ind_share!P$1, gdp_tot_mes!$B$1:$XFD$1, 0), 0)</f>
        <v>0.17803311841089245</v>
      </c>
      <c r="Q130" s="29">
        <f>VLOOKUP($B130, ind_mes!$B:$XFD, MATCH(gdp_ind_share!Q$1, ind_mes!$B$1:$XFD$1, 0), 0)/VLOOKUP($B130, gdp_tot_mes!$B:$XFD, MATCH(gdp_ind_share!Q$1, gdp_tot_mes!$B$1:$XFD$1, 0), 0)</f>
        <v>0.22261443535847567</v>
      </c>
      <c r="R130" s="29">
        <f>VLOOKUP($B130, ind_mes!$B:$XFD, MATCH(gdp_ind_share!R$1, ind_mes!$B$1:$XFD$1, 0), 0)/VLOOKUP($B130, gdp_tot_mes!$B:$XFD, MATCH(gdp_ind_share!R$1, gdp_tot_mes!$B$1:$XFD$1, 0), 0)</f>
        <v>0.23876798447216058</v>
      </c>
      <c r="S130" s="29">
        <f>VLOOKUP($B130, ind_mes!$B:$XFD, MATCH(gdp_ind_share!S$1, ind_mes!$B$1:$XFD$1, 0), 0)/VLOOKUP($B130, gdp_tot_mes!$B:$XFD, MATCH(gdp_ind_share!S$1, gdp_tot_mes!$B$1:$XFD$1, 0), 0)</f>
        <v>0.24456775826547522</v>
      </c>
      <c r="T130" s="29">
        <f>VLOOKUP($B130, ind_mes!$B:$XFD, MATCH(gdp_ind_share!T$1, ind_mes!$B$1:$XFD$1, 0), 0)/VLOOKUP($B130, gdp_tot_mes!$B:$XFD, MATCH(gdp_ind_share!T$1, gdp_tot_mes!$B$1:$XFD$1, 0), 0)</f>
        <v>0.22058899025396481</v>
      </c>
      <c r="U130" s="29">
        <f>VLOOKUP($B130, ind_mes!$B:$XFD, MATCH(gdp_ind_share!U$1, ind_mes!$B$1:$XFD$1, 0), 0)/VLOOKUP($B130, gdp_tot_mes!$B:$XFD, MATCH(gdp_ind_share!U$1, gdp_tot_mes!$B$1:$XFD$1, 0), 0)</f>
        <v>0.20786891526352275</v>
      </c>
      <c r="V130" s="29">
        <f>VLOOKUP($B130, ind_mes!$B:$XFD, MATCH(gdp_ind_share!V$1, ind_mes!$B$1:$XFD$1, 0), 0)/VLOOKUP($B130, gdp_tot_mes!$B:$XFD, MATCH(gdp_ind_share!V$1, gdp_tot_mes!$B$1:$XFD$1, 0), 0)</f>
        <v>0.2263815150666259</v>
      </c>
      <c r="W130" s="29">
        <f>VLOOKUP($B130, ind_mes!$B:$XFD, MATCH(gdp_ind_share!W$1, ind_mes!$B$1:$XFD$1, 0), 0)/VLOOKUP($B130, gdp_tot_mes!$B:$XFD, MATCH(gdp_ind_share!W$1, gdp_tot_mes!$B$1:$XFD$1, 0), 0)</f>
        <v>0.2341073685552186</v>
      </c>
      <c r="X130" s="29">
        <f>VLOOKUP($B130, ind_mes!$B:$XFD, MATCH(gdp_ind_share!X$1, ind_mes!$B$1:$XFD$1, 0), 0)/VLOOKUP($B130, gdp_tot_mes!$B:$XFD, MATCH(gdp_ind_share!X$1, gdp_tot_mes!$B$1:$XFD$1, 0), 0)</f>
        <v>0.21902399665006525</v>
      </c>
      <c r="Y130" s="29">
        <f>VLOOKUP($B130, ind_mes!$B:$XFD, MATCH(gdp_ind_share!Y$1, ind_mes!$B$1:$XFD$1, 0), 0)/VLOOKUP($B130, gdp_tot_mes!$B:$XFD, MATCH(gdp_ind_share!Y$1, gdp_tot_mes!$B$1:$XFD$1, 0), 0)</f>
        <v>0.22886741120345011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x14ac:dyDescent="0.25">
      <c r="A131" s="1" t="s">
        <v>288</v>
      </c>
      <c r="B131" s="1" t="s">
        <v>307</v>
      </c>
      <c r="C131" s="1" t="s">
        <v>308</v>
      </c>
      <c r="D131" s="29">
        <f>VLOOKUP($B131, ind_mes!$B:$XFD, MATCH(gdp_ind_share!D$1, ind_mes!$B$1:$XFD$1, 0), 0)/VLOOKUP($B131, gdp_tot_mes!$B:$XFD, MATCH(gdp_ind_share!D$1, gdp_tot_mes!$B$1:$XFD$1, 0), 0)</f>
        <v>8.2487945763364962E-2</v>
      </c>
      <c r="E131" s="29">
        <f>VLOOKUP($B131, ind_mes!$B:$XFD, MATCH(gdp_ind_share!E$1, ind_mes!$B$1:$XFD$1, 0), 0)/VLOOKUP($B131, gdp_tot_mes!$B:$XFD, MATCH(gdp_ind_share!E$1, gdp_tot_mes!$B$1:$XFD$1, 0), 0)</f>
        <v>6.7327487564820085E-2</v>
      </c>
      <c r="F131" s="29">
        <f>VLOOKUP($B131, ind_mes!$B:$XFD, MATCH(gdp_ind_share!F$1, ind_mes!$B$1:$XFD$1, 0), 0)/VLOOKUP($B131, gdp_tot_mes!$B:$XFD, MATCH(gdp_ind_share!F$1, gdp_tot_mes!$B$1:$XFD$1, 0), 0)</f>
        <v>9.388422580846624E-2</v>
      </c>
      <c r="G131" s="29">
        <f>VLOOKUP($B131, ind_mes!$B:$XFD, MATCH(gdp_ind_share!G$1, ind_mes!$B$1:$XFD$1, 0), 0)/VLOOKUP($B131, gdp_tot_mes!$B:$XFD, MATCH(gdp_ind_share!G$1, gdp_tot_mes!$B$1:$XFD$1, 0), 0)</f>
        <v>0.14005730652772946</v>
      </c>
      <c r="H131" s="29">
        <f>VLOOKUP($B131, ind_mes!$B:$XFD, MATCH(gdp_ind_share!H$1, ind_mes!$B$1:$XFD$1, 0), 0)/VLOOKUP($B131, gdp_tot_mes!$B:$XFD, MATCH(gdp_ind_share!H$1, gdp_tot_mes!$B$1:$XFD$1, 0), 0)</f>
        <v>0.26683250761084221</v>
      </c>
      <c r="I131" s="29">
        <f>VLOOKUP($B131, ind_mes!$B:$XFD, MATCH(gdp_ind_share!I$1, ind_mes!$B$1:$XFD$1, 0), 0)/VLOOKUP($B131, gdp_tot_mes!$B:$XFD, MATCH(gdp_ind_share!I$1, gdp_tot_mes!$B$1:$XFD$1, 0), 0)</f>
        <v>0.31659435415643872</v>
      </c>
      <c r="J131" s="29">
        <f>VLOOKUP($B131, ind_mes!$B:$XFD, MATCH(gdp_ind_share!J$1, ind_mes!$B$1:$XFD$1, 0), 0)/VLOOKUP($B131, gdp_tot_mes!$B:$XFD, MATCH(gdp_ind_share!J$1, gdp_tot_mes!$B$1:$XFD$1, 0), 0)</f>
        <v>0.31755087311093338</v>
      </c>
      <c r="K131" s="29">
        <f>VLOOKUP($B131, ind_mes!$B:$XFD, MATCH(gdp_ind_share!K$1, ind_mes!$B$1:$XFD$1, 0), 0)/VLOOKUP($B131, gdp_tot_mes!$B:$XFD, MATCH(gdp_ind_share!K$1, gdp_tot_mes!$B$1:$XFD$1, 0), 0)</f>
        <v>0.26074687518933171</v>
      </c>
      <c r="L131" s="30">
        <f t="shared" ref="L131:L138" si="2">K131+5*(M131-K131)/11</f>
        <v>0.23580599984683684</v>
      </c>
      <c r="M131" s="29">
        <f>VLOOKUP($B131, ind_mes!$B:$XFD, MATCH(gdp_ind_share!M$1, ind_mes!$B$1:$XFD$1, 0), 0)/VLOOKUP($B131, gdp_tot_mes!$B:$XFD, MATCH(gdp_ind_share!M$1, gdp_tot_mes!$B$1:$XFD$1, 0), 0)</f>
        <v>0.20587694943584298</v>
      </c>
      <c r="N131" s="29">
        <f>VLOOKUP($B131, ind_mes!$B:$XFD, MATCH(gdp_ind_share!N$1, ind_mes!$B$1:$XFD$1, 0), 0)/VLOOKUP($B131, gdp_tot_mes!$B:$XFD, MATCH(gdp_ind_share!N$1, gdp_tot_mes!$B$1:$XFD$1, 0), 0)</f>
        <v>0.2140072821613167</v>
      </c>
      <c r="O131" s="29">
        <f>VLOOKUP($B131, ind_mes!$B:$XFD, MATCH(gdp_ind_share!O$1, ind_mes!$B$1:$XFD$1, 0), 0)/VLOOKUP($B131, gdp_tot_mes!$B:$XFD, MATCH(gdp_ind_share!O$1, gdp_tot_mes!$B$1:$XFD$1, 0), 0)</f>
        <v>0.21552757054043156</v>
      </c>
      <c r="P131" s="29">
        <f>VLOOKUP($B131, ind_mes!$B:$XFD, MATCH(gdp_ind_share!P$1, ind_mes!$B$1:$XFD$1, 0), 0)/VLOOKUP($B131, gdp_tot_mes!$B:$XFD, MATCH(gdp_ind_share!P$1, gdp_tot_mes!$B$1:$XFD$1, 0), 0)</f>
        <v>0.2040467551750767</v>
      </c>
      <c r="Q131" s="29">
        <f>VLOOKUP($B131, ind_mes!$B:$XFD, MATCH(gdp_ind_share!Q$1, ind_mes!$B$1:$XFD$1, 0), 0)/VLOOKUP($B131, gdp_tot_mes!$B:$XFD, MATCH(gdp_ind_share!Q$1, gdp_tot_mes!$B$1:$XFD$1, 0), 0)</f>
        <v>0.17069061656126683</v>
      </c>
      <c r="R131" s="29">
        <f>VLOOKUP($B131, ind_mes!$B:$XFD, MATCH(gdp_ind_share!R$1, ind_mes!$B$1:$XFD$1, 0), 0)/VLOOKUP($B131, gdp_tot_mes!$B:$XFD, MATCH(gdp_ind_share!R$1, gdp_tot_mes!$B$1:$XFD$1, 0), 0)</f>
        <v>0.18071026595197823</v>
      </c>
      <c r="S131" s="29">
        <f>VLOOKUP($B131, ind_mes!$B:$XFD, MATCH(gdp_ind_share!S$1, ind_mes!$B$1:$XFD$1, 0), 0)/VLOOKUP($B131, gdp_tot_mes!$B:$XFD, MATCH(gdp_ind_share!S$1, gdp_tot_mes!$B$1:$XFD$1, 0), 0)</f>
        <v>0.17672659799918702</v>
      </c>
      <c r="T131" s="29">
        <f>VLOOKUP($B131, ind_mes!$B:$XFD, MATCH(gdp_ind_share!T$1, ind_mes!$B$1:$XFD$1, 0), 0)/VLOOKUP($B131, gdp_tot_mes!$B:$XFD, MATCH(gdp_ind_share!T$1, gdp_tot_mes!$B$1:$XFD$1, 0), 0)</f>
        <v>0.1861134889206697</v>
      </c>
      <c r="U131" s="29">
        <f>VLOOKUP($B131, ind_mes!$B:$XFD, MATCH(gdp_ind_share!U$1, ind_mes!$B$1:$XFD$1, 0), 0)/VLOOKUP($B131, gdp_tot_mes!$B:$XFD, MATCH(gdp_ind_share!U$1, gdp_tot_mes!$B$1:$XFD$1, 0), 0)</f>
        <v>0.16743852027543968</v>
      </c>
      <c r="V131" s="29">
        <f>VLOOKUP($B131, ind_mes!$B:$XFD, MATCH(gdp_ind_share!V$1, ind_mes!$B$1:$XFD$1, 0), 0)/VLOOKUP($B131, gdp_tot_mes!$B:$XFD, MATCH(gdp_ind_share!V$1, gdp_tot_mes!$B$1:$XFD$1, 0), 0)</f>
        <v>0.15694429717849315</v>
      </c>
      <c r="W131" s="29">
        <f>VLOOKUP($B131, ind_mes!$B:$XFD, MATCH(gdp_ind_share!W$1, ind_mes!$B$1:$XFD$1, 0), 0)/VLOOKUP($B131, gdp_tot_mes!$B:$XFD, MATCH(gdp_ind_share!W$1, gdp_tot_mes!$B$1:$XFD$1, 0), 0)</f>
        <v>0.16560862565689785</v>
      </c>
      <c r="X131" s="29">
        <f>VLOOKUP($B131, ind_mes!$B:$XFD, MATCH(gdp_ind_share!X$1, ind_mes!$B$1:$XFD$1, 0), 0)/VLOOKUP($B131, gdp_tot_mes!$B:$XFD, MATCH(gdp_ind_share!X$1, gdp_tot_mes!$B$1:$XFD$1, 0), 0)</f>
        <v>0.16411229886540063</v>
      </c>
      <c r="Y131" s="29">
        <f>VLOOKUP($B131, ind_mes!$B:$XFD, MATCH(gdp_ind_share!Y$1, ind_mes!$B$1:$XFD$1, 0), 0)/VLOOKUP($B131, gdp_tot_mes!$B:$XFD, MATCH(gdp_ind_share!Y$1, gdp_tot_mes!$B$1:$XFD$1, 0), 0)</f>
        <v>0.18931286382815629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x14ac:dyDescent="0.25">
      <c r="A132" s="1" t="s">
        <v>288</v>
      </c>
      <c r="B132" s="1" t="s">
        <v>309</v>
      </c>
      <c r="C132" s="1" t="s">
        <v>310</v>
      </c>
      <c r="D132" s="29">
        <f>VLOOKUP($B132, ind_mes!$B:$XFD, MATCH(gdp_ind_share!D$1, ind_mes!$B$1:$XFD$1, 0), 0)/VLOOKUP($B132, gdp_tot_mes!$B:$XFD, MATCH(gdp_ind_share!D$1, gdp_tot_mes!$B$1:$XFD$1, 0), 0)</f>
        <v>0.14205785617745678</v>
      </c>
      <c r="E132" s="29">
        <f>VLOOKUP($B132, ind_mes!$B:$XFD, MATCH(gdp_ind_share!E$1, ind_mes!$B$1:$XFD$1, 0), 0)/VLOOKUP($B132, gdp_tot_mes!$B:$XFD, MATCH(gdp_ind_share!E$1, gdp_tot_mes!$B$1:$XFD$1, 0), 0)</f>
        <v>7.8566572990305339E-2</v>
      </c>
      <c r="F132" s="29">
        <f>VLOOKUP($B132, ind_mes!$B:$XFD, MATCH(gdp_ind_share!F$1, ind_mes!$B$1:$XFD$1, 0), 0)/VLOOKUP($B132, gdp_tot_mes!$B:$XFD, MATCH(gdp_ind_share!F$1, gdp_tot_mes!$B$1:$XFD$1, 0), 0)</f>
        <v>0.10761723301501376</v>
      </c>
      <c r="G132" s="29">
        <f>VLOOKUP($B132, ind_mes!$B:$XFD, MATCH(gdp_ind_share!G$1, ind_mes!$B$1:$XFD$1, 0), 0)/VLOOKUP($B132, gdp_tot_mes!$B:$XFD, MATCH(gdp_ind_share!G$1, gdp_tot_mes!$B$1:$XFD$1, 0), 0)</f>
        <v>0.17189913167191384</v>
      </c>
      <c r="H132" s="29">
        <f>VLOOKUP($B132, ind_mes!$B:$XFD, MATCH(gdp_ind_share!H$1, ind_mes!$B$1:$XFD$1, 0), 0)/VLOOKUP($B132, gdp_tot_mes!$B:$XFD, MATCH(gdp_ind_share!H$1, gdp_tot_mes!$B$1:$XFD$1, 0), 0)</f>
        <v>0.28240739647441127</v>
      </c>
      <c r="I132" s="29">
        <f>VLOOKUP($B132, ind_mes!$B:$XFD, MATCH(gdp_ind_share!I$1, ind_mes!$B$1:$XFD$1, 0), 0)/VLOOKUP($B132, gdp_tot_mes!$B:$XFD, MATCH(gdp_ind_share!I$1, gdp_tot_mes!$B$1:$XFD$1, 0), 0)</f>
        <v>0.36455999441572223</v>
      </c>
      <c r="J132" s="29">
        <f>VLOOKUP($B132, ind_mes!$B:$XFD, MATCH(gdp_ind_share!J$1, ind_mes!$B$1:$XFD$1, 0), 0)/VLOOKUP($B132, gdp_tot_mes!$B:$XFD, MATCH(gdp_ind_share!J$1, gdp_tot_mes!$B$1:$XFD$1, 0), 0)</f>
        <v>0.41794568314741543</v>
      </c>
      <c r="K132" s="29">
        <f>VLOOKUP($B132, ind_mes!$B:$XFD, MATCH(gdp_ind_share!K$1, ind_mes!$B$1:$XFD$1, 0), 0)/VLOOKUP($B132, gdp_tot_mes!$B:$XFD, MATCH(gdp_ind_share!K$1, gdp_tot_mes!$B$1:$XFD$1, 0), 0)</f>
        <v>0.4287082203338794</v>
      </c>
      <c r="L132" s="30">
        <f t="shared" si="2"/>
        <v>0.38014059109658505</v>
      </c>
      <c r="M132" s="29">
        <f>VLOOKUP($B132, ind_mes!$B:$XFD, MATCH(gdp_ind_share!M$1, ind_mes!$B$1:$XFD$1, 0), 0)/VLOOKUP($B132, gdp_tot_mes!$B:$XFD, MATCH(gdp_ind_share!M$1, gdp_tot_mes!$B$1:$XFD$1, 0), 0)</f>
        <v>0.32185943601183181</v>
      </c>
      <c r="N132" s="29">
        <f>VLOOKUP($B132, ind_mes!$B:$XFD, MATCH(gdp_ind_share!N$1, ind_mes!$B$1:$XFD$1, 0), 0)/VLOOKUP($B132, gdp_tot_mes!$B:$XFD, MATCH(gdp_ind_share!N$1, gdp_tot_mes!$B$1:$XFD$1, 0), 0)</f>
        <v>0.30277195166480059</v>
      </c>
      <c r="O132" s="29">
        <f>VLOOKUP($B132, ind_mes!$B:$XFD, MATCH(gdp_ind_share!O$1, ind_mes!$B$1:$XFD$1, 0), 0)/VLOOKUP($B132, gdp_tot_mes!$B:$XFD, MATCH(gdp_ind_share!O$1, gdp_tot_mes!$B$1:$XFD$1, 0), 0)</f>
        <v>0.30434685244448134</v>
      </c>
      <c r="P132" s="29">
        <f>VLOOKUP($B132, ind_mes!$B:$XFD, MATCH(gdp_ind_share!P$1, ind_mes!$B$1:$XFD$1, 0), 0)/VLOOKUP($B132, gdp_tot_mes!$B:$XFD, MATCH(gdp_ind_share!P$1, gdp_tot_mes!$B$1:$XFD$1, 0), 0)</f>
        <v>0.27206368911928852</v>
      </c>
      <c r="Q132" s="29">
        <f>VLOOKUP($B132, ind_mes!$B:$XFD, MATCH(gdp_ind_share!Q$1, ind_mes!$B$1:$XFD$1, 0), 0)/VLOOKUP($B132, gdp_tot_mes!$B:$XFD, MATCH(gdp_ind_share!Q$1, gdp_tot_mes!$B$1:$XFD$1, 0), 0)</f>
        <v>0.21808396613809133</v>
      </c>
      <c r="R132" s="29">
        <f>VLOOKUP($B132, ind_mes!$B:$XFD, MATCH(gdp_ind_share!R$1, ind_mes!$B$1:$XFD$1, 0), 0)/VLOOKUP($B132, gdp_tot_mes!$B:$XFD, MATCH(gdp_ind_share!R$1, gdp_tot_mes!$B$1:$XFD$1, 0), 0)</f>
        <v>0.22214201523323815</v>
      </c>
      <c r="S132" s="29">
        <f>VLOOKUP($B132, ind_mes!$B:$XFD, MATCH(gdp_ind_share!S$1, ind_mes!$B$1:$XFD$1, 0), 0)/VLOOKUP($B132, gdp_tot_mes!$B:$XFD, MATCH(gdp_ind_share!S$1, gdp_tot_mes!$B$1:$XFD$1, 0), 0)</f>
        <v>0.23880382076596635</v>
      </c>
      <c r="T132" s="29">
        <f>VLOOKUP($B132, ind_mes!$B:$XFD, MATCH(gdp_ind_share!T$1, ind_mes!$B$1:$XFD$1, 0), 0)/VLOOKUP($B132, gdp_tot_mes!$B:$XFD, MATCH(gdp_ind_share!T$1, gdp_tot_mes!$B$1:$XFD$1, 0), 0)</f>
        <v>0.25315278065697516</v>
      </c>
      <c r="U132" s="29">
        <f>VLOOKUP($B132, ind_mes!$B:$XFD, MATCH(gdp_ind_share!U$1, ind_mes!$B$1:$XFD$1, 0), 0)/VLOOKUP($B132, gdp_tot_mes!$B:$XFD, MATCH(gdp_ind_share!U$1, gdp_tot_mes!$B$1:$XFD$1, 0), 0)</f>
        <v>0.25645749557752373</v>
      </c>
      <c r="V132" s="29">
        <f>VLOOKUP($B132, ind_mes!$B:$XFD, MATCH(gdp_ind_share!V$1, ind_mes!$B$1:$XFD$1, 0), 0)/VLOOKUP($B132, gdp_tot_mes!$B:$XFD, MATCH(gdp_ind_share!V$1, gdp_tot_mes!$B$1:$XFD$1, 0), 0)</f>
        <v>0.24355873981843879</v>
      </c>
      <c r="W132" s="29">
        <f>VLOOKUP($B132, ind_mes!$B:$XFD, MATCH(gdp_ind_share!W$1, ind_mes!$B$1:$XFD$1, 0), 0)/VLOOKUP($B132, gdp_tot_mes!$B:$XFD, MATCH(gdp_ind_share!W$1, gdp_tot_mes!$B$1:$XFD$1, 0), 0)</f>
        <v>0.23798504915729554</v>
      </c>
      <c r="X132" s="29">
        <f>VLOOKUP($B132, ind_mes!$B:$XFD, MATCH(gdp_ind_share!X$1, ind_mes!$B$1:$XFD$1, 0), 0)/VLOOKUP($B132, gdp_tot_mes!$B:$XFD, MATCH(gdp_ind_share!X$1, gdp_tot_mes!$B$1:$XFD$1, 0), 0)</f>
        <v>0.23160990207757898</v>
      </c>
      <c r="Y132" s="29">
        <f>VLOOKUP($B132, ind_mes!$B:$XFD, MATCH(gdp_ind_share!Y$1, ind_mes!$B$1:$XFD$1, 0), 0)/VLOOKUP($B132, gdp_tot_mes!$B:$XFD, MATCH(gdp_ind_share!Y$1, gdp_tot_mes!$B$1:$XFD$1, 0), 0)</f>
        <v>0.25395990539646129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x14ac:dyDescent="0.25">
      <c r="A133" s="1" t="s">
        <v>288</v>
      </c>
      <c r="B133" s="1" t="s">
        <v>311</v>
      </c>
      <c r="C133" s="1" t="s">
        <v>312</v>
      </c>
      <c r="D133" s="29">
        <f>VLOOKUP($B133, ind_mes!$B:$XFD, MATCH(gdp_ind_share!D$1, ind_mes!$B$1:$XFD$1, 0), 0)/VLOOKUP($B133, gdp_tot_mes!$B:$XFD, MATCH(gdp_ind_share!D$1, gdp_tot_mes!$B$1:$XFD$1, 0), 0)</f>
        <v>0.36895373412335086</v>
      </c>
      <c r="E133" s="29">
        <f>VLOOKUP($B133, ind_mes!$B:$XFD, MATCH(gdp_ind_share!E$1, ind_mes!$B$1:$XFD$1, 0), 0)/VLOOKUP($B133, gdp_tot_mes!$B:$XFD, MATCH(gdp_ind_share!E$1, gdp_tot_mes!$B$1:$XFD$1, 0), 0)</f>
        <v>0.36165151672317153</v>
      </c>
      <c r="F133" s="29">
        <f>VLOOKUP($B133, ind_mes!$B:$XFD, MATCH(gdp_ind_share!F$1, ind_mes!$B$1:$XFD$1, 0), 0)/VLOOKUP($B133, gdp_tot_mes!$B:$XFD, MATCH(gdp_ind_share!F$1, gdp_tot_mes!$B$1:$XFD$1, 0), 0)</f>
        <v>0.45431456373092821</v>
      </c>
      <c r="G133" s="29">
        <f>VLOOKUP($B133, ind_mes!$B:$XFD, MATCH(gdp_ind_share!G$1, ind_mes!$B$1:$XFD$1, 0), 0)/VLOOKUP($B133, gdp_tot_mes!$B:$XFD, MATCH(gdp_ind_share!G$1, gdp_tot_mes!$B$1:$XFD$1, 0), 0)</f>
        <v>0.58213945617288743</v>
      </c>
      <c r="H133" s="29">
        <f>VLOOKUP($B133, ind_mes!$B:$XFD, MATCH(gdp_ind_share!H$1, ind_mes!$B$1:$XFD$1, 0), 0)/VLOOKUP($B133, gdp_tot_mes!$B:$XFD, MATCH(gdp_ind_share!H$1, gdp_tot_mes!$B$1:$XFD$1, 0), 0)</f>
        <v>0.53585241173496501</v>
      </c>
      <c r="I133" s="29">
        <f>VLOOKUP($B133, ind_mes!$B:$XFD, MATCH(gdp_ind_share!I$1, ind_mes!$B$1:$XFD$1, 0), 0)/VLOOKUP($B133, gdp_tot_mes!$B:$XFD, MATCH(gdp_ind_share!I$1, gdp_tot_mes!$B$1:$XFD$1, 0), 0)</f>
        <v>0.59393667885967294</v>
      </c>
      <c r="J133" s="29">
        <f>VLOOKUP($B133, ind_mes!$B:$XFD, MATCH(gdp_ind_share!J$1, ind_mes!$B$1:$XFD$1, 0), 0)/VLOOKUP($B133, gdp_tot_mes!$B:$XFD, MATCH(gdp_ind_share!J$1, gdp_tot_mes!$B$1:$XFD$1, 0), 0)</f>
        <v>0.63904793757619782</v>
      </c>
      <c r="K133" s="29">
        <f>VLOOKUP($B133, ind_mes!$B:$XFD, MATCH(gdp_ind_share!K$1, ind_mes!$B$1:$XFD$1, 0), 0)/VLOOKUP($B133, gdp_tot_mes!$B:$XFD, MATCH(gdp_ind_share!K$1, gdp_tot_mes!$B$1:$XFD$1, 0), 0)</f>
        <v>0.62902923103662067</v>
      </c>
      <c r="L133" s="30">
        <f t="shared" si="2"/>
        <v>0.57129183839731357</v>
      </c>
      <c r="M133" s="29">
        <f>VLOOKUP($B133, ind_mes!$B:$XFD, MATCH(gdp_ind_share!M$1, ind_mes!$B$1:$XFD$1, 0), 0)/VLOOKUP($B133, gdp_tot_mes!$B:$XFD, MATCH(gdp_ind_share!M$1, gdp_tot_mes!$B$1:$XFD$1, 0), 0)</f>
        <v>0.50200696723014504</v>
      </c>
      <c r="N133" s="29">
        <f>VLOOKUP($B133, ind_mes!$B:$XFD, MATCH(gdp_ind_share!N$1, ind_mes!$B$1:$XFD$1, 0), 0)/VLOOKUP($B133, gdp_tot_mes!$B:$XFD, MATCH(gdp_ind_share!N$1, gdp_tot_mes!$B$1:$XFD$1, 0), 0)</f>
        <v>0.30731307840008754</v>
      </c>
      <c r="O133" s="29">
        <f>VLOOKUP($B133, ind_mes!$B:$XFD, MATCH(gdp_ind_share!O$1, ind_mes!$B$1:$XFD$1, 0), 0)/VLOOKUP($B133, gdp_tot_mes!$B:$XFD, MATCH(gdp_ind_share!O$1, gdp_tot_mes!$B$1:$XFD$1, 0), 0)</f>
        <v>0.31164274724404989</v>
      </c>
      <c r="P133" s="29">
        <f>VLOOKUP($B133, ind_mes!$B:$XFD, MATCH(gdp_ind_share!P$1, ind_mes!$B$1:$XFD$1, 0), 0)/VLOOKUP($B133, gdp_tot_mes!$B:$XFD, MATCH(gdp_ind_share!P$1, gdp_tot_mes!$B$1:$XFD$1, 0), 0)</f>
        <v>0.30124665058008648</v>
      </c>
      <c r="Q133" s="29">
        <f>VLOOKUP($B133, ind_mes!$B:$XFD, MATCH(gdp_ind_share!Q$1, ind_mes!$B$1:$XFD$1, 0), 0)/VLOOKUP($B133, gdp_tot_mes!$B:$XFD, MATCH(gdp_ind_share!Q$1, gdp_tot_mes!$B$1:$XFD$1, 0), 0)</f>
        <v>0.30306094467522249</v>
      </c>
      <c r="R133" s="29">
        <f>VLOOKUP($B133, ind_mes!$B:$XFD, MATCH(gdp_ind_share!R$1, ind_mes!$B$1:$XFD$1, 0), 0)/VLOOKUP($B133, gdp_tot_mes!$B:$XFD, MATCH(gdp_ind_share!R$1, gdp_tot_mes!$B$1:$XFD$1, 0), 0)</f>
        <v>0.33244595916037878</v>
      </c>
      <c r="S133" s="29">
        <f>VLOOKUP($B133, ind_mes!$B:$XFD, MATCH(gdp_ind_share!S$1, ind_mes!$B$1:$XFD$1, 0), 0)/VLOOKUP($B133, gdp_tot_mes!$B:$XFD, MATCH(gdp_ind_share!S$1, gdp_tot_mes!$B$1:$XFD$1, 0), 0)</f>
        <v>0.34682827887378148</v>
      </c>
      <c r="T133" s="29">
        <f>VLOOKUP($B133, ind_mes!$B:$XFD, MATCH(gdp_ind_share!T$1, ind_mes!$B$1:$XFD$1, 0), 0)/VLOOKUP($B133, gdp_tot_mes!$B:$XFD, MATCH(gdp_ind_share!T$1, gdp_tot_mes!$B$1:$XFD$1, 0), 0)</f>
        <v>0.35476205450411097</v>
      </c>
      <c r="U133" s="29">
        <f>VLOOKUP($B133, ind_mes!$B:$XFD, MATCH(gdp_ind_share!U$1, ind_mes!$B$1:$XFD$1, 0), 0)/VLOOKUP($B133, gdp_tot_mes!$B:$XFD, MATCH(gdp_ind_share!U$1, gdp_tot_mes!$B$1:$XFD$1, 0), 0)</f>
        <v>0.34267252348555061</v>
      </c>
      <c r="V133" s="29">
        <f>VLOOKUP($B133, ind_mes!$B:$XFD, MATCH(gdp_ind_share!V$1, ind_mes!$B$1:$XFD$1, 0), 0)/VLOOKUP($B133, gdp_tot_mes!$B:$XFD, MATCH(gdp_ind_share!V$1, gdp_tot_mes!$B$1:$XFD$1, 0), 0)</f>
        <v>0.34714383981241503</v>
      </c>
      <c r="W133" s="29">
        <f>VLOOKUP($B133, ind_mes!$B:$XFD, MATCH(gdp_ind_share!W$1, ind_mes!$B$1:$XFD$1, 0), 0)/VLOOKUP($B133, gdp_tot_mes!$B:$XFD, MATCH(gdp_ind_share!W$1, gdp_tot_mes!$B$1:$XFD$1, 0), 0)</f>
        <v>0.357000569888552</v>
      </c>
      <c r="X133" s="29">
        <f>VLOOKUP($B133, ind_mes!$B:$XFD, MATCH(gdp_ind_share!X$1, ind_mes!$B$1:$XFD$1, 0), 0)/VLOOKUP($B133, gdp_tot_mes!$B:$XFD, MATCH(gdp_ind_share!X$1, gdp_tot_mes!$B$1:$XFD$1, 0), 0)</f>
        <v>0.33680598366895792</v>
      </c>
      <c r="Y133" s="29">
        <f>VLOOKUP($B133, ind_mes!$B:$XFD, MATCH(gdp_ind_share!Y$1, ind_mes!$B$1:$XFD$1, 0), 0)/VLOOKUP($B133, gdp_tot_mes!$B:$XFD, MATCH(gdp_ind_share!Y$1, gdp_tot_mes!$B$1:$XFD$1, 0), 0)</f>
        <v>0.34334923383564614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x14ac:dyDescent="0.25">
      <c r="A134" s="1" t="s">
        <v>288</v>
      </c>
      <c r="B134" s="1" t="s">
        <v>313</v>
      </c>
      <c r="C134" s="1" t="s">
        <v>314</v>
      </c>
      <c r="D134" s="29">
        <f>VLOOKUP($B134, ind_mes!$B:$XFD, MATCH(gdp_ind_share!D$1, ind_mes!$B$1:$XFD$1, 0), 0)/VLOOKUP($B134, gdp_tot_mes!$B:$XFD, MATCH(gdp_ind_share!D$1, gdp_tot_mes!$B$1:$XFD$1, 0), 0)</f>
        <v>0.29991956239123851</v>
      </c>
      <c r="E134" s="29">
        <f>VLOOKUP($B134, ind_mes!$B:$XFD, MATCH(gdp_ind_share!E$1, ind_mes!$B$1:$XFD$1, 0), 0)/VLOOKUP($B134, gdp_tot_mes!$B:$XFD, MATCH(gdp_ind_share!E$1, gdp_tot_mes!$B$1:$XFD$1, 0), 0)</f>
        <v>0.17787142096185626</v>
      </c>
      <c r="F134" s="29">
        <f>VLOOKUP($B134, ind_mes!$B:$XFD, MATCH(gdp_ind_share!F$1, ind_mes!$B$1:$XFD$1, 0), 0)/VLOOKUP($B134, gdp_tot_mes!$B:$XFD, MATCH(gdp_ind_share!F$1, gdp_tot_mes!$B$1:$XFD$1, 0), 0)</f>
        <v>0.29761623998224529</v>
      </c>
      <c r="G134" s="29">
        <f>VLOOKUP($B134, ind_mes!$B:$XFD, MATCH(gdp_ind_share!G$1, ind_mes!$B$1:$XFD$1, 0), 0)/VLOOKUP($B134, gdp_tot_mes!$B:$XFD, MATCH(gdp_ind_share!G$1, gdp_tot_mes!$B$1:$XFD$1, 0), 0)</f>
        <v>0.42782441976418251</v>
      </c>
      <c r="H134" s="29">
        <f>VLOOKUP($B134, ind_mes!$B:$XFD, MATCH(gdp_ind_share!H$1, ind_mes!$B$1:$XFD$1, 0), 0)/VLOOKUP($B134, gdp_tot_mes!$B:$XFD, MATCH(gdp_ind_share!H$1, gdp_tot_mes!$B$1:$XFD$1, 0), 0)</f>
        <v>0.52865153944346122</v>
      </c>
      <c r="I134" s="29">
        <f>VLOOKUP($B134, ind_mes!$B:$XFD, MATCH(gdp_ind_share!I$1, ind_mes!$B$1:$XFD$1, 0), 0)/VLOOKUP($B134, gdp_tot_mes!$B:$XFD, MATCH(gdp_ind_share!I$1, gdp_tot_mes!$B$1:$XFD$1, 0), 0)</f>
        <v>0.63675263436293239</v>
      </c>
      <c r="J134" s="29">
        <f>VLOOKUP($B134, ind_mes!$B:$XFD, MATCH(gdp_ind_share!J$1, ind_mes!$B$1:$XFD$1, 0), 0)/VLOOKUP($B134, gdp_tot_mes!$B:$XFD, MATCH(gdp_ind_share!J$1, gdp_tot_mes!$B$1:$XFD$1, 0), 0)</f>
        <v>0.62115406292939035</v>
      </c>
      <c r="K134" s="29">
        <f>VLOOKUP($B134, ind_mes!$B:$XFD, MATCH(gdp_ind_share!K$1, ind_mes!$B$1:$XFD$1, 0), 0)/VLOOKUP($B134, gdp_tot_mes!$B:$XFD, MATCH(gdp_ind_share!K$1, gdp_tot_mes!$B$1:$XFD$1, 0), 0)</f>
        <v>0.70476971015007761</v>
      </c>
      <c r="L134" s="30">
        <f t="shared" si="2"/>
        <v>0.63979010886965715</v>
      </c>
      <c r="M134" s="29">
        <f>VLOOKUP($B134, ind_mes!$B:$XFD, MATCH(gdp_ind_share!M$1, ind_mes!$B$1:$XFD$1, 0), 0)/VLOOKUP($B134, gdp_tot_mes!$B:$XFD, MATCH(gdp_ind_share!M$1, gdp_tot_mes!$B$1:$XFD$1, 0), 0)</f>
        <v>0.56181458733315248</v>
      </c>
      <c r="N134" s="29">
        <f>VLOOKUP($B134, ind_mes!$B:$XFD, MATCH(gdp_ind_share!N$1, ind_mes!$B$1:$XFD$1, 0), 0)/VLOOKUP($B134, gdp_tot_mes!$B:$XFD, MATCH(gdp_ind_share!N$1, gdp_tot_mes!$B$1:$XFD$1, 0), 0)</f>
        <v>0.37778857162521878</v>
      </c>
      <c r="O134" s="29">
        <f>VLOOKUP($B134, ind_mes!$B:$XFD, MATCH(gdp_ind_share!O$1, ind_mes!$B$1:$XFD$1, 0), 0)/VLOOKUP($B134, gdp_tot_mes!$B:$XFD, MATCH(gdp_ind_share!O$1, gdp_tot_mes!$B$1:$XFD$1, 0), 0)</f>
        <v>0.39522072179855161</v>
      </c>
      <c r="P134" s="29">
        <f>VLOOKUP($B134, ind_mes!$B:$XFD, MATCH(gdp_ind_share!P$1, ind_mes!$B$1:$XFD$1, 0), 0)/VLOOKUP($B134, gdp_tot_mes!$B:$XFD, MATCH(gdp_ind_share!P$1, gdp_tot_mes!$B$1:$XFD$1, 0), 0)</f>
        <v>0.39993365925579205</v>
      </c>
      <c r="Q134" s="29">
        <f>VLOOKUP($B134, ind_mes!$B:$XFD, MATCH(gdp_ind_share!Q$1, ind_mes!$B$1:$XFD$1, 0), 0)/VLOOKUP($B134, gdp_tot_mes!$B:$XFD, MATCH(gdp_ind_share!Q$1, gdp_tot_mes!$B$1:$XFD$1, 0), 0)</f>
        <v>0.35090985180584766</v>
      </c>
      <c r="R134" s="29">
        <f>VLOOKUP($B134, ind_mes!$B:$XFD, MATCH(gdp_ind_share!R$1, ind_mes!$B$1:$XFD$1, 0), 0)/VLOOKUP($B134, gdp_tot_mes!$B:$XFD, MATCH(gdp_ind_share!R$1, gdp_tot_mes!$B$1:$XFD$1, 0), 0)</f>
        <v>0.43907664583743572</v>
      </c>
      <c r="S134" s="29">
        <f>VLOOKUP($B134, ind_mes!$B:$XFD, MATCH(gdp_ind_share!S$1, ind_mes!$B$1:$XFD$1, 0), 0)/VLOOKUP($B134, gdp_tot_mes!$B:$XFD, MATCH(gdp_ind_share!S$1, gdp_tot_mes!$B$1:$XFD$1, 0), 0)</f>
        <v>0.44127030240290904</v>
      </c>
      <c r="T134" s="29">
        <f>VLOOKUP($B134, ind_mes!$B:$XFD, MATCH(gdp_ind_share!T$1, ind_mes!$B$1:$XFD$1, 0), 0)/VLOOKUP($B134, gdp_tot_mes!$B:$XFD, MATCH(gdp_ind_share!T$1, gdp_tot_mes!$B$1:$XFD$1, 0), 0)</f>
        <v>0.44006718940887113</v>
      </c>
      <c r="U134" s="29">
        <f>VLOOKUP($B134, ind_mes!$B:$XFD, MATCH(gdp_ind_share!U$1, ind_mes!$B$1:$XFD$1, 0), 0)/VLOOKUP($B134, gdp_tot_mes!$B:$XFD, MATCH(gdp_ind_share!U$1, gdp_tot_mes!$B$1:$XFD$1, 0), 0)</f>
        <v>0.42485883887454745</v>
      </c>
      <c r="V134" s="29">
        <f>VLOOKUP($B134, ind_mes!$B:$XFD, MATCH(gdp_ind_share!V$1, ind_mes!$B$1:$XFD$1, 0), 0)/VLOOKUP($B134, gdp_tot_mes!$B:$XFD, MATCH(gdp_ind_share!V$1, gdp_tot_mes!$B$1:$XFD$1, 0), 0)</f>
        <v>0.45345118501202697</v>
      </c>
      <c r="W134" s="29">
        <f>VLOOKUP($B134, ind_mes!$B:$XFD, MATCH(gdp_ind_share!W$1, ind_mes!$B$1:$XFD$1, 0), 0)/VLOOKUP($B134, gdp_tot_mes!$B:$XFD, MATCH(gdp_ind_share!W$1, gdp_tot_mes!$B$1:$XFD$1, 0), 0)</f>
        <v>0.44832559305542358</v>
      </c>
      <c r="X134" s="29">
        <f>VLOOKUP($B134, ind_mes!$B:$XFD, MATCH(gdp_ind_share!X$1, ind_mes!$B$1:$XFD$1, 0), 0)/VLOOKUP($B134, gdp_tot_mes!$B:$XFD, MATCH(gdp_ind_share!X$1, gdp_tot_mes!$B$1:$XFD$1, 0), 0)</f>
        <v>0.42926618849918996</v>
      </c>
      <c r="Y134" s="29">
        <f>VLOOKUP($B134, ind_mes!$B:$XFD, MATCH(gdp_ind_share!Y$1, ind_mes!$B$1:$XFD$1, 0), 0)/VLOOKUP($B134, gdp_tot_mes!$B:$XFD, MATCH(gdp_ind_share!Y$1, gdp_tot_mes!$B$1:$XFD$1, 0), 0)</f>
        <v>0.40229085340807752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x14ac:dyDescent="0.25">
      <c r="A135" s="1" t="s">
        <v>288</v>
      </c>
      <c r="B135" s="1" t="s">
        <v>315</v>
      </c>
      <c r="C135" s="1" t="s">
        <v>316</v>
      </c>
      <c r="D135" s="29">
        <f>VLOOKUP($B135, ind_mes!$B:$XFD, MATCH(gdp_ind_share!D$1, ind_mes!$B$1:$XFD$1, 0), 0)/VLOOKUP($B135, gdp_tot_mes!$B:$XFD, MATCH(gdp_ind_share!D$1, gdp_tot_mes!$B$1:$XFD$1, 0), 0)</f>
        <v>0.11295368014377294</v>
      </c>
      <c r="E135" s="29">
        <f>VLOOKUP($B135, ind_mes!$B:$XFD, MATCH(gdp_ind_share!E$1, ind_mes!$B$1:$XFD$1, 0), 0)/VLOOKUP($B135, gdp_tot_mes!$B:$XFD, MATCH(gdp_ind_share!E$1, gdp_tot_mes!$B$1:$XFD$1, 0), 0)</f>
        <v>8.2822031497884613E-3</v>
      </c>
      <c r="F135" s="29">
        <f>VLOOKUP($B135, ind_mes!$B:$XFD, MATCH(gdp_ind_share!F$1, ind_mes!$B$1:$XFD$1, 0), 0)/VLOOKUP($B135, gdp_tot_mes!$B:$XFD, MATCH(gdp_ind_share!F$1, gdp_tot_mes!$B$1:$XFD$1, 0), 0)</f>
        <v>6.0089281000457226E-2</v>
      </c>
      <c r="G135" s="29">
        <f>VLOOKUP($B135, ind_mes!$B:$XFD, MATCH(gdp_ind_share!G$1, ind_mes!$B$1:$XFD$1, 0), 0)/VLOOKUP($B135, gdp_tot_mes!$B:$XFD, MATCH(gdp_ind_share!G$1, gdp_tot_mes!$B$1:$XFD$1, 0), 0)</f>
        <v>0.105054322151833</v>
      </c>
      <c r="H135" s="29">
        <f>VLOOKUP($B135, ind_mes!$B:$XFD, MATCH(gdp_ind_share!H$1, ind_mes!$B$1:$XFD$1, 0), 0)/VLOOKUP($B135, gdp_tot_mes!$B:$XFD, MATCH(gdp_ind_share!H$1, gdp_tot_mes!$B$1:$XFD$1, 0), 0)</f>
        <v>0.33404110698025596</v>
      </c>
      <c r="I135" s="29">
        <f>VLOOKUP($B135, ind_mes!$B:$XFD, MATCH(gdp_ind_share!I$1, ind_mes!$B$1:$XFD$1, 0), 0)/VLOOKUP($B135, gdp_tot_mes!$B:$XFD, MATCH(gdp_ind_share!I$1, gdp_tot_mes!$B$1:$XFD$1, 0), 0)</f>
        <v>0.43367713787905832</v>
      </c>
      <c r="J135" s="29">
        <f>VLOOKUP($B135, ind_mes!$B:$XFD, MATCH(gdp_ind_share!J$1, ind_mes!$B$1:$XFD$1, 0), 0)/VLOOKUP($B135, gdp_tot_mes!$B:$XFD, MATCH(gdp_ind_share!J$1, gdp_tot_mes!$B$1:$XFD$1, 0), 0)</f>
        <v>0.45964021192209686</v>
      </c>
      <c r="K135" s="29">
        <f>VLOOKUP($B135, ind_mes!$B:$XFD, MATCH(gdp_ind_share!K$1, ind_mes!$B$1:$XFD$1, 0), 0)/VLOOKUP($B135, gdp_tot_mes!$B:$XFD, MATCH(gdp_ind_share!K$1, gdp_tot_mes!$B$1:$XFD$1, 0), 0)</f>
        <v>0.38649692513076472</v>
      </c>
      <c r="L135" s="30">
        <f t="shared" si="2"/>
        <v>0.29632951178667377</v>
      </c>
      <c r="M135" s="29">
        <f>VLOOKUP($B135, ind_mes!$B:$XFD, MATCH(gdp_ind_share!M$1, ind_mes!$B$1:$XFD$1, 0), 0)/VLOOKUP($B135, gdp_tot_mes!$B:$XFD, MATCH(gdp_ind_share!M$1, gdp_tot_mes!$B$1:$XFD$1, 0), 0)</f>
        <v>0.18812861577376463</v>
      </c>
      <c r="N135" s="29">
        <f>VLOOKUP($B135, ind_mes!$B:$XFD, MATCH(gdp_ind_share!N$1, ind_mes!$B$1:$XFD$1, 0), 0)/VLOOKUP($B135, gdp_tot_mes!$B:$XFD, MATCH(gdp_ind_share!N$1, gdp_tot_mes!$B$1:$XFD$1, 0), 0)</f>
        <v>0.19398842606686806</v>
      </c>
      <c r="O135" s="29">
        <f>VLOOKUP($B135, ind_mes!$B:$XFD, MATCH(gdp_ind_share!O$1, ind_mes!$B$1:$XFD$1, 0), 0)/VLOOKUP($B135, gdp_tot_mes!$B:$XFD, MATCH(gdp_ind_share!O$1, gdp_tot_mes!$B$1:$XFD$1, 0), 0)</f>
        <v>0.19358003873941343</v>
      </c>
      <c r="P135" s="29">
        <f>VLOOKUP($B135, ind_mes!$B:$XFD, MATCH(gdp_ind_share!P$1, ind_mes!$B$1:$XFD$1, 0), 0)/VLOOKUP($B135, gdp_tot_mes!$B:$XFD, MATCH(gdp_ind_share!P$1, gdp_tot_mes!$B$1:$XFD$1, 0), 0)</f>
        <v>0.16816482059628715</v>
      </c>
      <c r="Q135" s="29">
        <f>VLOOKUP($B135, ind_mes!$B:$XFD, MATCH(gdp_ind_share!Q$1, ind_mes!$B$1:$XFD$1, 0), 0)/VLOOKUP($B135, gdp_tot_mes!$B:$XFD, MATCH(gdp_ind_share!Q$1, gdp_tot_mes!$B$1:$XFD$1, 0), 0)</f>
        <v>0.1581604237473235</v>
      </c>
      <c r="R135" s="29">
        <f>VLOOKUP($B135, ind_mes!$B:$XFD, MATCH(gdp_ind_share!R$1, ind_mes!$B$1:$XFD$1, 0), 0)/VLOOKUP($B135, gdp_tot_mes!$B:$XFD, MATCH(gdp_ind_share!R$1, gdp_tot_mes!$B$1:$XFD$1, 0), 0)</f>
        <v>0.15189728094382993</v>
      </c>
      <c r="S135" s="29">
        <f>VLOOKUP($B135, ind_mes!$B:$XFD, MATCH(gdp_ind_share!S$1, ind_mes!$B$1:$XFD$1, 0), 0)/VLOOKUP($B135, gdp_tot_mes!$B:$XFD, MATCH(gdp_ind_share!S$1, gdp_tot_mes!$B$1:$XFD$1, 0), 0)</f>
        <v>0.20901800202993995</v>
      </c>
      <c r="T135" s="29">
        <f>VLOOKUP($B135, ind_mes!$B:$XFD, MATCH(gdp_ind_share!T$1, ind_mes!$B$1:$XFD$1, 0), 0)/VLOOKUP($B135, gdp_tot_mes!$B:$XFD, MATCH(gdp_ind_share!T$1, gdp_tot_mes!$B$1:$XFD$1, 0), 0)</f>
        <v>0.21581329185385828</v>
      </c>
      <c r="U135" s="29">
        <f>VLOOKUP($B135, ind_mes!$B:$XFD, MATCH(gdp_ind_share!U$1, ind_mes!$B$1:$XFD$1, 0), 0)/VLOOKUP($B135, gdp_tot_mes!$B:$XFD, MATCH(gdp_ind_share!U$1, gdp_tot_mes!$B$1:$XFD$1, 0), 0)</f>
        <v>0.17379867776428354</v>
      </c>
      <c r="V135" s="29">
        <f>VLOOKUP($B135, ind_mes!$B:$XFD, MATCH(gdp_ind_share!V$1, ind_mes!$B$1:$XFD$1, 0), 0)/VLOOKUP($B135, gdp_tot_mes!$B:$XFD, MATCH(gdp_ind_share!V$1, gdp_tot_mes!$B$1:$XFD$1, 0), 0)</f>
        <v>0.15509838463028286</v>
      </c>
      <c r="W135" s="29">
        <f>VLOOKUP($B135, ind_mes!$B:$XFD, MATCH(gdp_ind_share!W$1, ind_mes!$B$1:$XFD$1, 0), 0)/VLOOKUP($B135, gdp_tot_mes!$B:$XFD, MATCH(gdp_ind_share!W$1, gdp_tot_mes!$B$1:$XFD$1, 0), 0)</f>
        <v>0.18388366982429799</v>
      </c>
      <c r="X135" s="29">
        <f>VLOOKUP($B135, ind_mes!$B:$XFD, MATCH(gdp_ind_share!X$1, ind_mes!$B$1:$XFD$1, 0), 0)/VLOOKUP($B135, gdp_tot_mes!$B:$XFD, MATCH(gdp_ind_share!X$1, gdp_tot_mes!$B$1:$XFD$1, 0), 0)</f>
        <v>0.14985354528671846</v>
      </c>
      <c r="Y135" s="29">
        <f>VLOOKUP($B135, ind_mes!$B:$XFD, MATCH(gdp_ind_share!Y$1, ind_mes!$B$1:$XFD$1, 0), 0)/VLOOKUP($B135, gdp_tot_mes!$B:$XFD, MATCH(gdp_ind_share!Y$1, gdp_tot_mes!$B$1:$XFD$1, 0), 0)</f>
        <v>0.19044987984780457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x14ac:dyDescent="0.25">
      <c r="A136" s="1" t="s">
        <v>288</v>
      </c>
      <c r="B136" s="1" t="s">
        <v>317</v>
      </c>
      <c r="C136" s="1" t="s">
        <v>318</v>
      </c>
      <c r="D136" s="29">
        <f>VLOOKUP($B136, ind_mes!$B:$XFD, MATCH(gdp_ind_share!D$1, ind_mes!$B$1:$XFD$1, 0), 0)/VLOOKUP($B136, gdp_tot_mes!$B:$XFD, MATCH(gdp_ind_share!D$1, gdp_tot_mes!$B$1:$XFD$1, 0), 0)</f>
        <v>0.50971403151056971</v>
      </c>
      <c r="E136" s="29">
        <f>VLOOKUP($B136, ind_mes!$B:$XFD, MATCH(gdp_ind_share!E$1, ind_mes!$B$1:$XFD$1, 0), 0)/VLOOKUP($B136, gdp_tot_mes!$B:$XFD, MATCH(gdp_ind_share!E$1, gdp_tot_mes!$B$1:$XFD$1, 0), 0)</f>
        <v>0.29460117638842492</v>
      </c>
      <c r="F136" s="29">
        <f>VLOOKUP($B136, ind_mes!$B:$XFD, MATCH(gdp_ind_share!F$1, ind_mes!$B$1:$XFD$1, 0), 0)/VLOOKUP($B136, gdp_tot_mes!$B:$XFD, MATCH(gdp_ind_share!F$1, gdp_tot_mes!$B$1:$XFD$1, 0), 0)</f>
        <v>0.4628927614403977</v>
      </c>
      <c r="G136" s="29">
        <f>VLOOKUP($B136, ind_mes!$B:$XFD, MATCH(gdp_ind_share!G$1, ind_mes!$B$1:$XFD$1, 0), 0)/VLOOKUP($B136, gdp_tot_mes!$B:$XFD, MATCH(gdp_ind_share!G$1, gdp_tot_mes!$B$1:$XFD$1, 0), 0)</f>
        <v>0.53872019146772587</v>
      </c>
      <c r="H136" s="29">
        <f>VLOOKUP($B136, ind_mes!$B:$XFD, MATCH(gdp_ind_share!H$1, ind_mes!$B$1:$XFD$1, 0), 0)/VLOOKUP($B136, gdp_tot_mes!$B:$XFD, MATCH(gdp_ind_share!H$1, gdp_tot_mes!$B$1:$XFD$1, 0), 0)</f>
        <v>0.51206133962930955</v>
      </c>
      <c r="I136" s="29">
        <f>VLOOKUP($B136, ind_mes!$B:$XFD, MATCH(gdp_ind_share!I$1, ind_mes!$B$1:$XFD$1, 0), 0)/VLOOKUP($B136, gdp_tot_mes!$B:$XFD, MATCH(gdp_ind_share!I$1, gdp_tot_mes!$B$1:$XFD$1, 0), 0)</f>
        <v>0.55209700440810594</v>
      </c>
      <c r="J136" s="29">
        <f>VLOOKUP($B136, ind_mes!$B:$XFD, MATCH(gdp_ind_share!J$1, ind_mes!$B$1:$XFD$1, 0), 0)/VLOOKUP($B136, gdp_tot_mes!$B:$XFD, MATCH(gdp_ind_share!J$1, gdp_tot_mes!$B$1:$XFD$1, 0), 0)</f>
        <v>0.51255025546375155</v>
      </c>
      <c r="K136" s="29">
        <f>VLOOKUP($B136, ind_mes!$B:$XFD, MATCH(gdp_ind_share!K$1, ind_mes!$B$1:$XFD$1, 0), 0)/VLOOKUP($B136, gdp_tot_mes!$B:$XFD, MATCH(gdp_ind_share!K$1, gdp_tot_mes!$B$1:$XFD$1, 0), 0)</f>
        <v>0.53641094744554962</v>
      </c>
      <c r="L136" s="30">
        <f t="shared" si="2"/>
        <v>0.47214750365819602</v>
      </c>
      <c r="M136" s="29">
        <f>VLOOKUP($B136, ind_mes!$B:$XFD, MATCH(gdp_ind_share!M$1, ind_mes!$B$1:$XFD$1, 0), 0)/VLOOKUP($B136, gdp_tot_mes!$B:$XFD, MATCH(gdp_ind_share!M$1, gdp_tot_mes!$B$1:$XFD$1, 0), 0)</f>
        <v>0.39503137111337167</v>
      </c>
      <c r="N136" s="29">
        <f>VLOOKUP($B136, ind_mes!$B:$XFD, MATCH(gdp_ind_share!N$1, ind_mes!$B$1:$XFD$1, 0), 0)/VLOOKUP($B136, gdp_tot_mes!$B:$XFD, MATCH(gdp_ind_share!N$1, gdp_tot_mes!$B$1:$XFD$1, 0), 0)</f>
        <v>0.23724715313570066</v>
      </c>
      <c r="O136" s="29">
        <f>VLOOKUP($B136, ind_mes!$B:$XFD, MATCH(gdp_ind_share!O$1, ind_mes!$B$1:$XFD$1, 0), 0)/VLOOKUP($B136, gdp_tot_mes!$B:$XFD, MATCH(gdp_ind_share!O$1, gdp_tot_mes!$B$1:$XFD$1, 0), 0)</f>
        <v>0.24530158625055762</v>
      </c>
      <c r="P136" s="29">
        <f>VLOOKUP($B136, ind_mes!$B:$XFD, MATCH(gdp_ind_share!P$1, ind_mes!$B$1:$XFD$1, 0), 0)/VLOOKUP($B136, gdp_tot_mes!$B:$XFD, MATCH(gdp_ind_share!P$1, gdp_tot_mes!$B$1:$XFD$1, 0), 0)</f>
        <v>0.23216668586843897</v>
      </c>
      <c r="Q136" s="29">
        <f>VLOOKUP($B136, ind_mes!$B:$XFD, MATCH(gdp_ind_share!Q$1, ind_mes!$B$1:$XFD$1, 0), 0)/VLOOKUP($B136, gdp_tot_mes!$B:$XFD, MATCH(gdp_ind_share!Q$1, gdp_tot_mes!$B$1:$XFD$1, 0), 0)</f>
        <v>0.19678130666231194</v>
      </c>
      <c r="R136" s="29">
        <f>VLOOKUP($B136, ind_mes!$B:$XFD, MATCH(gdp_ind_share!R$1, ind_mes!$B$1:$XFD$1, 0), 0)/VLOOKUP($B136, gdp_tot_mes!$B:$XFD, MATCH(gdp_ind_share!R$1, gdp_tot_mes!$B$1:$XFD$1, 0), 0)</f>
        <v>0.20641575974411067</v>
      </c>
      <c r="S136" s="29">
        <f>VLOOKUP($B136, ind_mes!$B:$XFD, MATCH(gdp_ind_share!S$1, ind_mes!$B$1:$XFD$1, 0), 0)/VLOOKUP($B136, gdp_tot_mes!$B:$XFD, MATCH(gdp_ind_share!S$1, gdp_tot_mes!$B$1:$XFD$1, 0), 0)</f>
        <v>0.21157691073774804</v>
      </c>
      <c r="T136" s="29">
        <f>VLOOKUP($B136, ind_mes!$B:$XFD, MATCH(gdp_ind_share!T$1, ind_mes!$B$1:$XFD$1, 0), 0)/VLOOKUP($B136, gdp_tot_mes!$B:$XFD, MATCH(gdp_ind_share!T$1, gdp_tot_mes!$B$1:$XFD$1, 0), 0)</f>
        <v>0.2052874891906295</v>
      </c>
      <c r="U136" s="29">
        <f>VLOOKUP($B136, ind_mes!$B:$XFD, MATCH(gdp_ind_share!U$1, ind_mes!$B$1:$XFD$1, 0), 0)/VLOOKUP($B136, gdp_tot_mes!$B:$XFD, MATCH(gdp_ind_share!U$1, gdp_tot_mes!$B$1:$XFD$1, 0), 0)</f>
        <v>0.18998239403334261</v>
      </c>
      <c r="V136" s="29">
        <f>VLOOKUP($B136, ind_mes!$B:$XFD, MATCH(gdp_ind_share!V$1, ind_mes!$B$1:$XFD$1, 0), 0)/VLOOKUP($B136, gdp_tot_mes!$B:$XFD, MATCH(gdp_ind_share!V$1, gdp_tot_mes!$B$1:$XFD$1, 0), 0)</f>
        <v>0.18685938864127255</v>
      </c>
      <c r="W136" s="29">
        <f>VLOOKUP($B136, ind_mes!$B:$XFD, MATCH(gdp_ind_share!W$1, ind_mes!$B$1:$XFD$1, 0), 0)/VLOOKUP($B136, gdp_tot_mes!$B:$XFD, MATCH(gdp_ind_share!W$1, gdp_tot_mes!$B$1:$XFD$1, 0), 0)</f>
        <v>0.17836118254660319</v>
      </c>
      <c r="X136" s="29">
        <f>VLOOKUP($B136, ind_mes!$B:$XFD, MATCH(gdp_ind_share!X$1, ind_mes!$B$1:$XFD$1, 0), 0)/VLOOKUP($B136, gdp_tot_mes!$B:$XFD, MATCH(gdp_ind_share!X$1, gdp_tot_mes!$B$1:$XFD$1, 0), 0)</f>
        <v>0.17444995256141868</v>
      </c>
      <c r="Y136" s="29">
        <f>VLOOKUP($B136, ind_mes!$B:$XFD, MATCH(gdp_ind_share!Y$1, ind_mes!$B$1:$XFD$1, 0), 0)/VLOOKUP($B136, gdp_tot_mes!$B:$XFD, MATCH(gdp_ind_share!Y$1, gdp_tot_mes!$B$1:$XFD$1, 0), 0)</f>
        <v>0.18192874436127748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x14ac:dyDescent="0.25">
      <c r="A137" s="1" t="s">
        <v>319</v>
      </c>
      <c r="B137" s="1" t="s">
        <v>320</v>
      </c>
      <c r="C137" s="1" t="s">
        <v>321</v>
      </c>
      <c r="D137" s="29">
        <f>VLOOKUP($B137, ind_mes!$B:$XFD, MATCH(gdp_ind_share!D$1, ind_mes!$B$1:$XFD$1, 0), 0)/VLOOKUP($B137, gdp_tot_mes!$B:$XFD, MATCH(gdp_ind_share!D$1, gdp_tot_mes!$B$1:$XFD$1, 0), 0)</f>
        <v>3.1074935614893603E-2</v>
      </c>
      <c r="E137" s="29">
        <f>VLOOKUP($B137, ind_mes!$B:$XFD, MATCH(gdp_ind_share!E$1, ind_mes!$B$1:$XFD$1, 0), 0)/VLOOKUP($B137, gdp_tot_mes!$B:$XFD, MATCH(gdp_ind_share!E$1, gdp_tot_mes!$B$1:$XFD$1, 0), 0)</f>
        <v>3.4098752042733159E-3</v>
      </c>
      <c r="F137" s="29">
        <f>VLOOKUP($B137, ind_mes!$B:$XFD, MATCH(gdp_ind_share!F$1, ind_mes!$B$1:$XFD$1, 0), 0)/VLOOKUP($B137, gdp_tot_mes!$B:$XFD, MATCH(gdp_ind_share!F$1, gdp_tot_mes!$B$1:$XFD$1, 0), 0)</f>
        <v>1.2934013911393358E-2</v>
      </c>
      <c r="G137" s="29">
        <f>VLOOKUP($B137, ind_mes!$B:$XFD, MATCH(gdp_ind_share!G$1, ind_mes!$B$1:$XFD$1, 0), 0)/VLOOKUP($B137, gdp_tot_mes!$B:$XFD, MATCH(gdp_ind_share!G$1, gdp_tot_mes!$B$1:$XFD$1, 0), 0)</f>
        <v>3.4196198664769792E-2</v>
      </c>
      <c r="H137" s="29">
        <f>VLOOKUP($B137, ind_mes!$B:$XFD, MATCH(gdp_ind_share!H$1, ind_mes!$B$1:$XFD$1, 0), 0)/VLOOKUP($B137, gdp_tot_mes!$B:$XFD, MATCH(gdp_ind_share!H$1, gdp_tot_mes!$B$1:$XFD$1, 0), 0)</f>
        <v>0.10424344051056547</v>
      </c>
      <c r="I137" s="29">
        <f>VLOOKUP($B137, ind_mes!$B:$XFD, MATCH(gdp_ind_share!I$1, ind_mes!$B$1:$XFD$1, 0), 0)/VLOOKUP($B137, gdp_tot_mes!$B:$XFD, MATCH(gdp_ind_share!I$1, gdp_tot_mes!$B$1:$XFD$1, 0), 0)</f>
        <v>3.4234630777210499E-2</v>
      </c>
      <c r="J137" s="29">
        <f>VLOOKUP($B137, ind_mes!$B:$XFD, MATCH(gdp_ind_share!J$1, ind_mes!$B$1:$XFD$1, 0), 0)/VLOOKUP($B137, gdp_tot_mes!$B:$XFD, MATCH(gdp_ind_share!J$1, gdp_tot_mes!$B$1:$XFD$1, 0), 0)</f>
        <v>0.18085251838029179</v>
      </c>
      <c r="K137" s="29">
        <f>VLOOKUP($B137, ind_mes!$B:$XFD, MATCH(gdp_ind_share!K$1, ind_mes!$B$1:$XFD$1, 0), 0)/VLOOKUP($B137, gdp_tot_mes!$B:$XFD, MATCH(gdp_ind_share!K$1, gdp_tot_mes!$B$1:$XFD$1, 0), 0)</f>
        <v>4.0357159424897572E-2</v>
      </c>
      <c r="L137" s="30">
        <f t="shared" si="2"/>
        <v>6.7344115306119098E-2</v>
      </c>
      <c r="M137" s="29">
        <f>VLOOKUP($B137, ind_mes!$B:$XFD, MATCH(gdp_ind_share!M$1, ind_mes!$B$1:$XFD$1, 0), 0)/VLOOKUP($B137, gdp_tot_mes!$B:$XFD, MATCH(gdp_ind_share!M$1, gdp_tot_mes!$B$1:$XFD$1, 0), 0)</f>
        <v>9.972846236358493E-2</v>
      </c>
      <c r="N137" s="29">
        <f>VLOOKUP($B137, ind_mes!$B:$XFD, MATCH(gdp_ind_share!N$1, ind_mes!$B$1:$XFD$1, 0), 0)/VLOOKUP($B137, gdp_tot_mes!$B:$XFD, MATCH(gdp_ind_share!N$1, gdp_tot_mes!$B$1:$XFD$1, 0), 0)</f>
        <v>4.3049471906321003E-2</v>
      </c>
      <c r="O137" s="29">
        <f>VLOOKUP($B137, ind_mes!$B:$XFD, MATCH(gdp_ind_share!O$1, ind_mes!$B$1:$XFD$1, 0), 0)/VLOOKUP($B137, gdp_tot_mes!$B:$XFD, MATCH(gdp_ind_share!O$1, gdp_tot_mes!$B$1:$XFD$1, 0), 0)</f>
        <v>0.12200737855623142</v>
      </c>
      <c r="P137" s="29">
        <f>VLOOKUP($B137, ind_mes!$B:$XFD, MATCH(gdp_ind_share!P$1, ind_mes!$B$1:$XFD$1, 0), 0)/VLOOKUP($B137, gdp_tot_mes!$B:$XFD, MATCH(gdp_ind_share!P$1, gdp_tot_mes!$B$1:$XFD$1, 0), 0)</f>
        <v>0.19078774861511918</v>
      </c>
      <c r="Q137" s="29">
        <f>VLOOKUP($B137, ind_mes!$B:$XFD, MATCH(gdp_ind_share!Q$1, ind_mes!$B$1:$XFD$1, 0), 0)/VLOOKUP($B137, gdp_tot_mes!$B:$XFD, MATCH(gdp_ind_share!Q$1, gdp_tot_mes!$B$1:$XFD$1, 0), 0)</f>
        <v>0.13361852938833024</v>
      </c>
      <c r="R137" s="29">
        <f>VLOOKUP($B137, ind_mes!$B:$XFD, MATCH(gdp_ind_share!R$1, ind_mes!$B$1:$XFD$1, 0), 0)/VLOOKUP($B137, gdp_tot_mes!$B:$XFD, MATCH(gdp_ind_share!R$1, gdp_tot_mes!$B$1:$XFD$1, 0), 0)</f>
        <v>0.12130538415141243</v>
      </c>
      <c r="S137" s="29">
        <f>VLOOKUP($B137, ind_mes!$B:$XFD, MATCH(gdp_ind_share!S$1, ind_mes!$B$1:$XFD$1, 0), 0)/VLOOKUP($B137, gdp_tot_mes!$B:$XFD, MATCH(gdp_ind_share!S$1, gdp_tot_mes!$B$1:$XFD$1, 0), 0)</f>
        <v>0.15791950427022511</v>
      </c>
      <c r="T137" s="29">
        <f>VLOOKUP($B137, ind_mes!$B:$XFD, MATCH(gdp_ind_share!T$1, ind_mes!$B$1:$XFD$1, 0), 0)/VLOOKUP($B137, gdp_tot_mes!$B:$XFD, MATCH(gdp_ind_share!T$1, gdp_tot_mes!$B$1:$XFD$1, 0), 0)</f>
        <v>0.13940953159860631</v>
      </c>
      <c r="U137" s="29">
        <f>VLOOKUP($B137, ind_mes!$B:$XFD, MATCH(gdp_ind_share!U$1, ind_mes!$B$1:$XFD$1, 0), 0)/VLOOKUP($B137, gdp_tot_mes!$B:$XFD, MATCH(gdp_ind_share!U$1, gdp_tot_mes!$B$1:$XFD$1, 0), 0)</f>
        <v>0.13288568736698006</v>
      </c>
      <c r="V137" s="29">
        <f>VLOOKUP($B137, ind_mes!$B:$XFD, MATCH(gdp_ind_share!V$1, ind_mes!$B$1:$XFD$1, 0), 0)/VLOOKUP($B137, gdp_tot_mes!$B:$XFD, MATCH(gdp_ind_share!V$1, gdp_tot_mes!$B$1:$XFD$1, 0), 0)</f>
        <v>0.16119112879489644</v>
      </c>
      <c r="W137" s="29">
        <f>VLOOKUP($B137, ind_mes!$B:$XFD, MATCH(gdp_ind_share!W$1, ind_mes!$B$1:$XFD$1, 0), 0)/VLOOKUP($B137, gdp_tot_mes!$B:$XFD, MATCH(gdp_ind_share!W$1, gdp_tot_mes!$B$1:$XFD$1, 0), 0)</f>
        <v>0.16280076414291356</v>
      </c>
      <c r="X137" s="29">
        <f>VLOOKUP($B137, ind_mes!$B:$XFD, MATCH(gdp_ind_share!X$1, ind_mes!$B$1:$XFD$1, 0), 0)/VLOOKUP($B137, gdp_tot_mes!$B:$XFD, MATCH(gdp_ind_share!X$1, gdp_tot_mes!$B$1:$XFD$1, 0), 0)</f>
        <v>0.15280761307792473</v>
      </c>
      <c r="Y137" s="29">
        <f>VLOOKUP($B137, ind_mes!$B:$XFD, MATCH(gdp_ind_share!Y$1, ind_mes!$B$1:$XFD$1, 0), 0)/VLOOKUP($B137, gdp_tot_mes!$B:$XFD, MATCH(gdp_ind_share!Y$1, gdp_tot_mes!$B$1:$XFD$1, 0), 0)</f>
        <v>0.18374631082923032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x14ac:dyDescent="0.25">
      <c r="A138" s="1" t="s">
        <v>319</v>
      </c>
      <c r="B138" s="1" t="s">
        <v>322</v>
      </c>
      <c r="C138" s="1" t="s">
        <v>323</v>
      </c>
      <c r="D138" s="29">
        <f>VLOOKUP($B138, ind_mes!$B:$XFD, MATCH(gdp_ind_share!D$1, ind_mes!$B$1:$XFD$1, 0), 0)/VLOOKUP($B138, gdp_tot_mes!$B:$XFD, MATCH(gdp_ind_share!D$1, gdp_tot_mes!$B$1:$XFD$1, 0), 0)</f>
        <v>2.2571997637089863E-2</v>
      </c>
      <c r="E138" s="29">
        <f>VLOOKUP($B138, ind_mes!$B:$XFD, MATCH(gdp_ind_share!E$1, ind_mes!$B$1:$XFD$1, 0), 0)/VLOOKUP($B138, gdp_tot_mes!$B:$XFD, MATCH(gdp_ind_share!E$1, gdp_tot_mes!$B$1:$XFD$1, 0), 0)</f>
        <v>0</v>
      </c>
      <c r="F138" s="29">
        <f>VLOOKUP($B138, ind_mes!$B:$XFD, MATCH(gdp_ind_share!F$1, ind_mes!$B$1:$XFD$1, 0), 0)/VLOOKUP($B138, gdp_tot_mes!$B:$XFD, MATCH(gdp_ind_share!F$1, gdp_tot_mes!$B$1:$XFD$1, 0), 0)</f>
        <v>8.166537419079361E-4</v>
      </c>
      <c r="G138" s="29">
        <f>VLOOKUP($B138, ind_mes!$B:$XFD, MATCH(gdp_ind_share!G$1, ind_mes!$B$1:$XFD$1, 0), 0)/VLOOKUP($B138, gdp_tot_mes!$B:$XFD, MATCH(gdp_ind_share!G$1, gdp_tot_mes!$B$1:$XFD$1, 0), 0)</f>
        <v>1.5462282793520556E-2</v>
      </c>
      <c r="H138" s="29">
        <f>VLOOKUP($B138, ind_mes!$B:$XFD, MATCH(gdp_ind_share!H$1, ind_mes!$B$1:$XFD$1, 0), 0)/VLOOKUP($B138, gdp_tot_mes!$B:$XFD, MATCH(gdp_ind_share!H$1, gdp_tot_mes!$B$1:$XFD$1, 0), 0)</f>
        <v>6.7783546621086585E-2</v>
      </c>
      <c r="I138" s="29">
        <f>VLOOKUP($B138, ind_mes!$B:$XFD, MATCH(gdp_ind_share!I$1, ind_mes!$B$1:$XFD$1, 0), 0)/VLOOKUP($B138, gdp_tot_mes!$B:$XFD, MATCH(gdp_ind_share!I$1, gdp_tot_mes!$B$1:$XFD$1, 0), 0)</f>
        <v>1.8157211222542734E-2</v>
      </c>
      <c r="J138" s="29">
        <f>VLOOKUP($B138, ind_mes!$B:$XFD, MATCH(gdp_ind_share!J$1, ind_mes!$B$1:$XFD$1, 0), 0)/VLOOKUP($B138, gdp_tot_mes!$B:$XFD, MATCH(gdp_ind_share!J$1, gdp_tot_mes!$B$1:$XFD$1, 0), 0)</f>
        <v>0.10236383139246352</v>
      </c>
      <c r="K138" s="29">
        <f>VLOOKUP($B138, ind_mes!$B:$XFD, MATCH(gdp_ind_share!K$1, ind_mes!$B$1:$XFD$1, 0), 0)/VLOOKUP($B138, gdp_tot_mes!$B:$XFD, MATCH(gdp_ind_share!K$1, gdp_tot_mes!$B$1:$XFD$1, 0), 0)</f>
        <v>2.4262444377468103E-2</v>
      </c>
      <c r="L138" s="30">
        <f t="shared" si="2"/>
        <v>0.11857471303871282</v>
      </c>
      <c r="M138" s="29">
        <f>VLOOKUP($B138, ind_mes!$B:$XFD, MATCH(gdp_ind_share!M$1, ind_mes!$B$1:$XFD$1, 0), 0)/VLOOKUP($B138, gdp_tot_mes!$B:$XFD, MATCH(gdp_ind_share!M$1, gdp_tot_mes!$B$1:$XFD$1, 0), 0)</f>
        <v>0.23174943543220647</v>
      </c>
      <c r="N138" s="29">
        <f>VLOOKUP($B138, ind_mes!$B:$XFD, MATCH(gdp_ind_share!N$1, ind_mes!$B$1:$XFD$1, 0), 0)/VLOOKUP($B138, gdp_tot_mes!$B:$XFD, MATCH(gdp_ind_share!N$1, gdp_tot_mes!$B$1:$XFD$1, 0), 0)</f>
        <v>2.777113336367E-2</v>
      </c>
      <c r="O138" s="29">
        <f>VLOOKUP($B138, ind_mes!$B:$XFD, MATCH(gdp_ind_share!O$1, ind_mes!$B$1:$XFD$1, 0), 0)/VLOOKUP($B138, gdp_tot_mes!$B:$XFD, MATCH(gdp_ind_share!O$1, gdp_tot_mes!$B$1:$XFD$1, 0), 0)</f>
        <v>0.10224128952873243</v>
      </c>
      <c r="P138" s="29">
        <f>VLOOKUP($B138, ind_mes!$B:$XFD, MATCH(gdp_ind_share!P$1, ind_mes!$B$1:$XFD$1, 0), 0)/VLOOKUP($B138, gdp_tot_mes!$B:$XFD, MATCH(gdp_ind_share!P$1, gdp_tot_mes!$B$1:$XFD$1, 0), 0)</f>
        <v>0.23950810501290751</v>
      </c>
      <c r="Q138" s="29">
        <f>VLOOKUP($B138, ind_mes!$B:$XFD, MATCH(gdp_ind_share!Q$1, ind_mes!$B$1:$XFD$1, 0), 0)/VLOOKUP($B138, gdp_tot_mes!$B:$XFD, MATCH(gdp_ind_share!Q$1, gdp_tot_mes!$B$1:$XFD$1, 0), 0)</f>
        <v>0.1879201429094193</v>
      </c>
      <c r="R138" s="29">
        <f>VLOOKUP($B138, ind_mes!$B:$XFD, MATCH(gdp_ind_share!R$1, ind_mes!$B$1:$XFD$1, 0), 0)/VLOOKUP($B138, gdp_tot_mes!$B:$XFD, MATCH(gdp_ind_share!R$1, gdp_tot_mes!$B$1:$XFD$1, 0), 0)</f>
        <v>0.13203922202996879</v>
      </c>
      <c r="S138" s="29">
        <f>VLOOKUP($B138, ind_mes!$B:$XFD, MATCH(gdp_ind_share!S$1, ind_mes!$B$1:$XFD$1, 0), 0)/VLOOKUP($B138, gdp_tot_mes!$B:$XFD, MATCH(gdp_ind_share!S$1, gdp_tot_mes!$B$1:$XFD$1, 0), 0)</f>
        <v>0.13311673415652758</v>
      </c>
      <c r="T138" s="29">
        <f>VLOOKUP($B138, ind_mes!$B:$XFD, MATCH(gdp_ind_share!T$1, ind_mes!$B$1:$XFD$1, 0), 0)/VLOOKUP($B138, gdp_tot_mes!$B:$XFD, MATCH(gdp_ind_share!T$1, gdp_tot_mes!$B$1:$XFD$1, 0), 0)</f>
        <v>0.14105385367479739</v>
      </c>
      <c r="U138" s="29">
        <f>VLOOKUP($B138, ind_mes!$B:$XFD, MATCH(gdp_ind_share!U$1, ind_mes!$B$1:$XFD$1, 0), 0)/VLOOKUP($B138, gdp_tot_mes!$B:$XFD, MATCH(gdp_ind_share!U$1, gdp_tot_mes!$B$1:$XFD$1, 0), 0)</f>
        <v>0.14399031685667332</v>
      </c>
      <c r="V138" s="29">
        <f>VLOOKUP($B138, ind_mes!$B:$XFD, MATCH(gdp_ind_share!V$1, ind_mes!$B$1:$XFD$1, 0), 0)/VLOOKUP($B138, gdp_tot_mes!$B:$XFD, MATCH(gdp_ind_share!V$1, gdp_tot_mes!$B$1:$XFD$1, 0), 0)</f>
        <v>0.13148776501973042</v>
      </c>
      <c r="W138" s="29">
        <f>VLOOKUP($B138, ind_mes!$B:$XFD, MATCH(gdp_ind_share!W$1, ind_mes!$B$1:$XFD$1, 0), 0)/VLOOKUP($B138, gdp_tot_mes!$B:$XFD, MATCH(gdp_ind_share!W$1, gdp_tot_mes!$B$1:$XFD$1, 0), 0)</f>
        <v>0.1378202779976577</v>
      </c>
      <c r="X138" s="29">
        <f>VLOOKUP($B138, ind_mes!$B:$XFD, MATCH(gdp_ind_share!X$1, ind_mes!$B$1:$XFD$1, 0), 0)/VLOOKUP($B138, gdp_tot_mes!$B:$XFD, MATCH(gdp_ind_share!X$1, gdp_tot_mes!$B$1:$XFD$1, 0), 0)</f>
        <v>0.13979201991964885</v>
      </c>
      <c r="Y138" s="29">
        <f>VLOOKUP($B138, ind_mes!$B:$XFD, MATCH(gdp_ind_share!Y$1, ind_mes!$B$1:$XFD$1, 0), 0)/VLOOKUP($B138, gdp_tot_mes!$B:$XFD, MATCH(gdp_ind_share!Y$1, gdp_tot_mes!$B$1:$XFD$1, 0), 0)</f>
        <v>0.17484048055107765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s="20" customFormat="1" x14ac:dyDescent="0.25">
      <c r="A139" s="14"/>
      <c r="B139" s="14"/>
      <c r="C139" s="14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36" s="15" customFormat="1" x14ac:dyDescent="0.25">
      <c r="A140" s="17"/>
      <c r="B140" s="17"/>
      <c r="C140" s="17"/>
    </row>
    <row r="141" spans="1:36" s="15" customFormat="1" x14ac:dyDescent="0.25">
      <c r="A141" s="17"/>
      <c r="B141" s="17"/>
      <c r="C141" s="17"/>
    </row>
    <row r="142" spans="1:36" s="15" customFormat="1" x14ac:dyDescent="0.25">
      <c r="A142" s="17"/>
      <c r="B142" s="17"/>
      <c r="C142" s="17"/>
    </row>
    <row r="143" spans="1:36" s="15" customFormat="1" x14ac:dyDescent="0.25">
      <c r="A143" s="17"/>
      <c r="B143" s="17"/>
      <c r="C143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EC10-5E6A-465D-8692-E07ADCEBA0AE}">
  <dimension ref="A1:AJ143"/>
  <sheetViews>
    <sheetView workbookViewId="0">
      <selection activeCell="D1" sqref="D1"/>
    </sheetView>
  </sheetViews>
  <sheetFormatPr defaultRowHeight="15" x14ac:dyDescent="0.25"/>
  <cols>
    <col min="1" max="1" width="4" style="1" customWidth="1"/>
    <col min="2" max="2" width="10" style="1" customWidth="1"/>
    <col min="3" max="3" width="30" style="1" customWidth="1"/>
    <col min="14" max="14" width="10" bestFit="1" customWidth="1"/>
  </cols>
  <sheetData>
    <row r="1" spans="1:36" x14ac:dyDescent="0.25">
      <c r="A1" s="1" t="s">
        <v>0</v>
      </c>
      <c r="B1" s="14" t="s">
        <v>379</v>
      </c>
      <c r="C1" s="14" t="s">
        <v>378</v>
      </c>
      <c r="D1" s="32">
        <v>1920</v>
      </c>
      <c r="E1" s="6">
        <v>1939</v>
      </c>
      <c r="F1" s="6">
        <v>1949</v>
      </c>
      <c r="G1" s="6">
        <v>1959</v>
      </c>
      <c r="H1" s="6">
        <v>1970</v>
      </c>
      <c r="I1" s="6">
        <v>1975</v>
      </c>
      <c r="J1" s="6">
        <v>1980</v>
      </c>
      <c r="K1" s="6">
        <v>1985</v>
      </c>
      <c r="L1" s="6">
        <v>1990</v>
      </c>
      <c r="M1" s="6">
        <v>1996</v>
      </c>
      <c r="N1" s="6">
        <v>1999</v>
      </c>
      <c r="O1" s="6">
        <v>2000</v>
      </c>
      <c r="P1" s="6">
        <v>2001</v>
      </c>
      <c r="Q1" s="6">
        <v>2002</v>
      </c>
      <c r="R1" s="6">
        <v>2003</v>
      </c>
      <c r="S1" s="6">
        <v>2004</v>
      </c>
      <c r="T1" s="6">
        <v>2005</v>
      </c>
      <c r="U1" s="6">
        <v>2006</v>
      </c>
      <c r="V1" s="6">
        <v>2007</v>
      </c>
      <c r="W1" s="6">
        <v>2008</v>
      </c>
      <c r="X1" s="6">
        <v>2009</v>
      </c>
      <c r="Y1" s="6">
        <v>2010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25">
      <c r="A2" s="1" t="s">
        <v>23</v>
      </c>
      <c r="B2" s="1" t="s">
        <v>24</v>
      </c>
      <c r="C2" s="1" t="s">
        <v>25</v>
      </c>
      <c r="D2" s="29">
        <f>1-gdp_ind_share!D2-gdp_agr_share!D2</f>
        <v>0.31410810337039241</v>
      </c>
      <c r="E2" s="29">
        <f>1-gdp_ind_share!E2-gdp_agr_share!E2</f>
        <v>0.31294175790303924</v>
      </c>
      <c r="F2" s="29">
        <f>1-gdp_ind_share!F2-gdp_agr_share!F2</f>
        <v>0.32465720376051077</v>
      </c>
      <c r="G2" s="29">
        <f>1-gdp_ind_share!G2-gdp_agr_share!G2</f>
        <v>0.67272639438806836</v>
      </c>
      <c r="H2" s="29">
        <f>1-gdp_ind_share!H2-gdp_agr_share!H2</f>
        <v>0.41915957105469015</v>
      </c>
      <c r="I2" s="29">
        <f>1-gdp_ind_share!I2-gdp_agr_share!I2</f>
        <v>0.46946531592205348</v>
      </c>
      <c r="J2" s="29">
        <f>1-gdp_ind_share!J2-gdp_agr_share!J2</f>
        <v>0.39875571019152212</v>
      </c>
      <c r="K2" s="29">
        <f>1-gdp_ind_share!K2-gdp_agr_share!K2</f>
        <v>0.42282658227229514</v>
      </c>
      <c r="L2" s="30">
        <f>1-gdp_ind_share!L2-gdp_agr_share!L2</f>
        <v>0.469720679519886</v>
      </c>
      <c r="M2" s="29">
        <f>1-gdp_ind_share!M2-gdp_agr_share!M2</f>
        <v>0.52599359621699526</v>
      </c>
      <c r="N2" s="29">
        <f>1-gdp_ind_share!N2-gdp_agr_share!N2</f>
        <v>0.76554768838468867</v>
      </c>
      <c r="O2" s="29">
        <f>1-gdp_ind_share!O2-gdp_agr_share!O2</f>
        <v>0.77349206654248259</v>
      </c>
      <c r="P2" s="29">
        <f>1-gdp_ind_share!P2-gdp_agr_share!P2</f>
        <v>0.7607142030179026</v>
      </c>
      <c r="Q2" s="29">
        <f>1-gdp_ind_share!Q2-gdp_agr_share!Q2</f>
        <v>0.8168838727517711</v>
      </c>
      <c r="R2" s="29">
        <f>1-gdp_ind_share!R2-gdp_agr_share!R2</f>
        <v>0.80818045174385955</v>
      </c>
      <c r="S2" s="29">
        <f>1-gdp_ind_share!S2-gdp_agr_share!S2</f>
        <v>0.84471217630344586</v>
      </c>
      <c r="T2" s="29">
        <f>1-gdp_ind_share!T2-gdp_agr_share!T2</f>
        <v>0.8515454037490473</v>
      </c>
      <c r="U2" s="29">
        <f>1-gdp_ind_share!U2-gdp_agr_share!U2</f>
        <v>0.87542047542549695</v>
      </c>
      <c r="V2" s="29">
        <f>1-gdp_ind_share!V2-gdp_agr_share!V2</f>
        <v>0.88584152723854981</v>
      </c>
      <c r="W2" s="29">
        <f>1-gdp_ind_share!W2-gdp_agr_share!W2</f>
        <v>0.87420441283571071</v>
      </c>
      <c r="X2" s="29">
        <f>1-gdp_ind_share!X2-gdp_agr_share!X2</f>
        <v>0.85172981628340116</v>
      </c>
      <c r="Y2" s="29">
        <f>1-gdp_ind_share!Y2-gdp_agr_share!Y2</f>
        <v>0.81339248332691128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x14ac:dyDescent="0.25">
      <c r="A3" s="1" t="s">
        <v>23</v>
      </c>
      <c r="B3" s="1" t="s">
        <v>26</v>
      </c>
      <c r="C3" s="1" t="s">
        <v>27</v>
      </c>
      <c r="D3" s="29">
        <f>1-gdp_ind_share!D3-gdp_agr_share!D3</f>
        <v>0.35363447671505288</v>
      </c>
      <c r="E3" s="29">
        <f>1-gdp_ind_share!E3-gdp_agr_share!E3</f>
        <v>0.2945214959204675</v>
      </c>
      <c r="F3" s="29">
        <f>1-gdp_ind_share!F3-gdp_agr_share!F3</f>
        <v>0.56455384475330961</v>
      </c>
      <c r="G3" s="29">
        <f>1-gdp_ind_share!G3-gdp_agr_share!G3</f>
        <v>0.63440899080470037</v>
      </c>
      <c r="H3" s="29">
        <f>1-gdp_ind_share!H3-gdp_agr_share!H3</f>
        <v>0.55424309188501319</v>
      </c>
      <c r="I3" s="29">
        <f>1-gdp_ind_share!I3-gdp_agr_share!I3</f>
        <v>0.59050152456226868</v>
      </c>
      <c r="J3" s="29">
        <f>1-gdp_ind_share!J3-gdp_agr_share!J3</f>
        <v>0.53990809876109824</v>
      </c>
      <c r="K3" s="29">
        <f>1-gdp_ind_share!K3-gdp_agr_share!K3</f>
        <v>0.58693572939185668</v>
      </c>
      <c r="L3" s="30">
        <f>1-gdp_ind_share!L3-gdp_agr_share!L3</f>
        <v>0.64700046948876666</v>
      </c>
      <c r="M3" s="29">
        <f>1-gdp_ind_share!M3-gdp_agr_share!M3</f>
        <v>0.71907815760505855</v>
      </c>
      <c r="N3" s="29">
        <f>1-gdp_ind_share!N3-gdp_agr_share!N3</f>
        <v>0.77955115147745757</v>
      </c>
      <c r="O3" s="29">
        <f>1-gdp_ind_share!O3-gdp_agr_share!O3</f>
        <v>0.78329074722011161</v>
      </c>
      <c r="P3" s="29">
        <f>1-gdp_ind_share!P3-gdp_agr_share!P3</f>
        <v>0.74399328651081609</v>
      </c>
      <c r="Q3" s="29">
        <f>1-gdp_ind_share!Q3-gdp_agr_share!Q3</f>
        <v>0.76758746230532038</v>
      </c>
      <c r="R3" s="29">
        <f>1-gdp_ind_share!R3-gdp_agr_share!R3</f>
        <v>0.79226353978440078</v>
      </c>
      <c r="S3" s="29">
        <f>1-gdp_ind_share!S3-gdp_agr_share!S3</f>
        <v>0.79676012179740574</v>
      </c>
      <c r="T3" s="29">
        <f>1-gdp_ind_share!T3-gdp_agr_share!T3</f>
        <v>0.80650654986421522</v>
      </c>
      <c r="U3" s="29">
        <f>1-gdp_ind_share!U3-gdp_agr_share!U3</f>
        <v>0.8216636300925636</v>
      </c>
      <c r="V3" s="29">
        <f>1-gdp_ind_share!V3-gdp_agr_share!V3</f>
        <v>0.81622118393015919</v>
      </c>
      <c r="W3" s="29">
        <f>1-gdp_ind_share!W3-gdp_agr_share!W3</f>
        <v>0.82921526435018456</v>
      </c>
      <c r="X3" s="29">
        <f>1-gdp_ind_share!X3-gdp_agr_share!X3</f>
        <v>0.78512814002988929</v>
      </c>
      <c r="Y3" s="29">
        <f>1-gdp_ind_share!Y3-gdp_agr_share!Y3</f>
        <v>0.76798265851722003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x14ac:dyDescent="0.25">
      <c r="A4" s="1" t="s">
        <v>28</v>
      </c>
      <c r="B4" s="1" t="s">
        <v>29</v>
      </c>
      <c r="C4" s="1" t="s">
        <v>30</v>
      </c>
      <c r="D4" s="29">
        <f>1-gdp_ind_share!D4-gdp_agr_share!D4</f>
        <v>0.37845734650536866</v>
      </c>
      <c r="E4" s="29">
        <f>1-gdp_ind_share!E4-gdp_agr_share!E4</f>
        <v>0.36077703242312215</v>
      </c>
      <c r="F4" s="29">
        <f>1-gdp_ind_share!F4-gdp_agr_share!F4</f>
        <v>0.23606863004931622</v>
      </c>
      <c r="G4" s="29">
        <f>1-gdp_ind_share!G4-gdp_agr_share!G4</f>
        <v>0.23752851469911984</v>
      </c>
      <c r="H4" s="29">
        <f>1-gdp_ind_share!H4-gdp_agr_share!H4</f>
        <v>0.38143440796656158</v>
      </c>
      <c r="I4" s="29">
        <f>1-gdp_ind_share!I4-gdp_agr_share!I4</f>
        <v>0.32223590002203623</v>
      </c>
      <c r="J4" s="29">
        <f>1-gdp_ind_share!J4-gdp_agr_share!J4</f>
        <v>0.37515053506398693</v>
      </c>
      <c r="K4" s="29">
        <f>1-gdp_ind_share!K4-gdp_agr_share!K4</f>
        <v>0.34001475998418551</v>
      </c>
      <c r="L4" s="30">
        <f>1-gdp_ind_share!L4-gdp_agr_share!L4</f>
        <v>0.4102776687425323</v>
      </c>
      <c r="M4" s="29">
        <f>1-gdp_ind_share!M4-gdp_agr_share!M4</f>
        <v>0.49459315925254849</v>
      </c>
      <c r="N4" s="29">
        <f>1-gdp_ind_share!N4-gdp_agr_share!N4</f>
        <v>0.67700073963124563</v>
      </c>
      <c r="O4" s="29">
        <f>1-gdp_ind_share!O4-gdp_agr_share!O4</f>
        <v>0.65549516786984063</v>
      </c>
      <c r="P4" s="29">
        <f>1-gdp_ind_share!P4-gdp_agr_share!P4</f>
        <v>0.64563763668711394</v>
      </c>
      <c r="Q4" s="29">
        <f>1-gdp_ind_share!Q4-gdp_agr_share!Q4</f>
        <v>0.57637055497888601</v>
      </c>
      <c r="R4" s="29">
        <f>1-gdp_ind_share!R4-gdp_agr_share!R4</f>
        <v>0.71954887624191766</v>
      </c>
      <c r="S4" s="29">
        <f>1-gdp_ind_share!S4-gdp_agr_share!S4</f>
        <v>0.64413729521243879</v>
      </c>
      <c r="T4" s="29">
        <f>1-gdp_ind_share!T4-gdp_agr_share!T4</f>
        <v>0.65341663309063525</v>
      </c>
      <c r="U4" s="29">
        <f>1-gdp_ind_share!U4-gdp_agr_share!U4</f>
        <v>0.6761317398398855</v>
      </c>
      <c r="V4" s="29">
        <f>1-gdp_ind_share!V4-gdp_agr_share!V4</f>
        <v>0.71718121130785228</v>
      </c>
      <c r="W4" s="29">
        <f>1-gdp_ind_share!W4-gdp_agr_share!W4</f>
        <v>0.69025582572883515</v>
      </c>
      <c r="X4" s="29">
        <f>1-gdp_ind_share!X4-gdp_agr_share!X4</f>
        <v>0.74252957182531021</v>
      </c>
      <c r="Y4" s="29">
        <f>1-gdp_ind_share!Y4-gdp_agr_share!Y4</f>
        <v>0.78608873760289399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25">
      <c r="A5" s="1" t="s">
        <v>28</v>
      </c>
      <c r="B5" s="1" t="s">
        <v>31</v>
      </c>
      <c r="C5" s="1" t="s">
        <v>32</v>
      </c>
      <c r="D5" s="29">
        <f>1-gdp_ind_share!D5-gdp_agr_share!D5</f>
        <v>0.24547448794724536</v>
      </c>
      <c r="E5" s="29">
        <f>1-gdp_ind_share!E5-gdp_agr_share!E5</f>
        <v>0.35799820424747397</v>
      </c>
      <c r="F5" s="29">
        <f>1-gdp_ind_share!F5-gdp_agr_share!F5</f>
        <v>0.42079077900660822</v>
      </c>
      <c r="G5" s="29">
        <f>1-gdp_ind_share!G5-gdp_agr_share!G5</f>
        <v>0.39489349021301784</v>
      </c>
      <c r="H5" s="29">
        <f>1-gdp_ind_share!H5-gdp_agr_share!H5</f>
        <v>0.43642292713063102</v>
      </c>
      <c r="I5" s="29">
        <f>1-gdp_ind_share!I5-gdp_agr_share!I5</f>
        <v>0.41069879332559095</v>
      </c>
      <c r="J5" s="29">
        <f>1-gdp_ind_share!J5-gdp_agr_share!J5</f>
        <v>0.45073682497790712</v>
      </c>
      <c r="K5" s="29">
        <f>1-gdp_ind_share!K5-gdp_agr_share!K5</f>
        <v>0.39740323696919511</v>
      </c>
      <c r="L5" s="30">
        <f>1-gdp_ind_share!L5-gdp_agr_share!L5</f>
        <v>0.49228105791166588</v>
      </c>
      <c r="M5" s="29">
        <f>1-gdp_ind_share!M5-gdp_agr_share!M5</f>
        <v>0.60613444304263087</v>
      </c>
      <c r="N5" s="29">
        <f>1-gdp_ind_share!N5-gdp_agr_share!N5</f>
        <v>0.69228330647784386</v>
      </c>
      <c r="O5" s="29">
        <f>1-gdp_ind_share!O5-gdp_agr_share!O5</f>
        <v>0.6799030641934749</v>
      </c>
      <c r="P5" s="29">
        <f>1-gdp_ind_share!P5-gdp_agr_share!P5</f>
        <v>0.67655949572240259</v>
      </c>
      <c r="Q5" s="29">
        <f>1-gdp_ind_share!Q5-gdp_agr_share!Q5</f>
        <v>0.55488770442622282</v>
      </c>
      <c r="R5" s="29">
        <f>1-gdp_ind_share!R5-gdp_agr_share!R5</f>
        <v>0.64662506817870335</v>
      </c>
      <c r="S5" s="29">
        <f>1-gdp_ind_share!S5-gdp_agr_share!S5</f>
        <v>0.68352993277029095</v>
      </c>
      <c r="T5" s="29">
        <f>1-gdp_ind_share!T5-gdp_agr_share!T5</f>
        <v>0.70672046277982647</v>
      </c>
      <c r="U5" s="29">
        <f>1-gdp_ind_share!U5-gdp_agr_share!U5</f>
        <v>0.72475886018158875</v>
      </c>
      <c r="V5" s="29">
        <f>1-gdp_ind_share!V5-gdp_agr_share!V5</f>
        <v>0.74698826775245797</v>
      </c>
      <c r="W5" s="29">
        <f>1-gdp_ind_share!W5-gdp_agr_share!W5</f>
        <v>0.71458087150016092</v>
      </c>
      <c r="X5" s="29">
        <f>1-gdp_ind_share!X5-gdp_agr_share!X5</f>
        <v>0.74243063530631437</v>
      </c>
      <c r="Y5" s="29">
        <f>1-gdp_ind_share!Y5-gdp_agr_share!Y5</f>
        <v>0.74264569064848263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5">
      <c r="A6" s="1" t="s">
        <v>28</v>
      </c>
      <c r="B6" s="1" t="s">
        <v>33</v>
      </c>
      <c r="C6" s="1" t="s">
        <v>34</v>
      </c>
      <c r="D6" s="29">
        <f>1-gdp_ind_share!D6-gdp_agr_share!D6</f>
        <v>0.41122689666108125</v>
      </c>
      <c r="E6" s="29">
        <f>1-gdp_ind_share!E6-gdp_agr_share!E6</f>
        <v>0.4439755200609406</v>
      </c>
      <c r="F6" s="29">
        <f>1-gdp_ind_share!F6-gdp_agr_share!F6</f>
        <v>0.45652422835757805</v>
      </c>
      <c r="G6" s="29">
        <f>1-gdp_ind_share!G6-gdp_agr_share!G6</f>
        <v>0.42595831340628487</v>
      </c>
      <c r="H6" s="29">
        <f>1-gdp_ind_share!H6-gdp_agr_share!H6</f>
        <v>0.536891846261213</v>
      </c>
      <c r="I6" s="29">
        <f>1-gdp_ind_share!I6-gdp_agr_share!I6</f>
        <v>0.5222204590545555</v>
      </c>
      <c r="J6" s="29">
        <f>1-gdp_ind_share!J6-gdp_agr_share!J6</f>
        <v>0.56607995883805606</v>
      </c>
      <c r="K6" s="29">
        <f>1-gdp_ind_share!K6-gdp_agr_share!K6</f>
        <v>0.50095932304759805</v>
      </c>
      <c r="L6" s="30">
        <f>1-gdp_ind_share!L6-gdp_agr_share!L6</f>
        <v>0.57511090226994566</v>
      </c>
      <c r="M6" s="29">
        <f>1-gdp_ind_share!M6-gdp_agr_share!M6</f>
        <v>0.66409279733676252</v>
      </c>
      <c r="N6" s="29">
        <f>1-gdp_ind_share!N6-gdp_agr_share!N6</f>
        <v>0.65871136510733319</v>
      </c>
      <c r="O6" s="29">
        <f>1-gdp_ind_share!O6-gdp_agr_share!O6</f>
        <v>0.66114614647250214</v>
      </c>
      <c r="P6" s="29">
        <f>1-gdp_ind_share!P6-gdp_agr_share!P6</f>
        <v>0.65599448522663051</v>
      </c>
      <c r="Q6" s="29">
        <f>1-gdp_ind_share!Q6-gdp_agr_share!Q6</f>
        <v>0.51686698506634043</v>
      </c>
      <c r="R6" s="29">
        <f>1-gdp_ind_share!R6-gdp_agr_share!R6</f>
        <v>0.55467100068491104</v>
      </c>
      <c r="S6" s="29">
        <f>1-gdp_ind_share!S6-gdp_agr_share!S6</f>
        <v>0.59146106917159647</v>
      </c>
      <c r="T6" s="29">
        <f>1-gdp_ind_share!T6-gdp_agr_share!T6</f>
        <v>0.59984276231782063</v>
      </c>
      <c r="U6" s="29">
        <f>1-gdp_ind_share!U6-gdp_agr_share!U6</f>
        <v>0.60711708489019411</v>
      </c>
      <c r="V6" s="29">
        <f>1-gdp_ind_share!V6-gdp_agr_share!V6</f>
        <v>0.61765937079541122</v>
      </c>
      <c r="W6" s="29">
        <f>1-gdp_ind_share!W6-gdp_agr_share!W6</f>
        <v>0.60417285187326031</v>
      </c>
      <c r="X6" s="29">
        <f>1-gdp_ind_share!X6-gdp_agr_share!X6</f>
        <v>0.63051907592897893</v>
      </c>
      <c r="Y6" s="29">
        <f>1-gdp_ind_share!Y6-gdp_agr_share!Y6</f>
        <v>0.67128194603831681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25">
      <c r="A7" s="1" t="s">
        <v>35</v>
      </c>
      <c r="B7" s="1" t="s">
        <v>36</v>
      </c>
      <c r="C7" s="1" t="s">
        <v>37</v>
      </c>
      <c r="D7" s="29">
        <f>1-gdp_ind_share!D7-gdp_agr_share!D7</f>
        <v>0.39875329401396442</v>
      </c>
      <c r="E7" s="29">
        <f>1-gdp_ind_share!E7-gdp_agr_share!E7</f>
        <v>0.34340926042830378</v>
      </c>
      <c r="F7" s="29">
        <f>1-gdp_ind_share!F7-gdp_agr_share!F7</f>
        <v>0</v>
      </c>
      <c r="G7" s="29">
        <f>1-gdp_ind_share!G7-gdp_agr_share!G7</f>
        <v>5.7182527188048837E-3</v>
      </c>
      <c r="H7" s="29">
        <f>1-gdp_ind_share!H7-gdp_agr_share!H7</f>
        <v>0.38464432125436399</v>
      </c>
      <c r="I7" s="29">
        <f>1-gdp_ind_share!I7-gdp_agr_share!I7</f>
        <v>0.39242331890335536</v>
      </c>
      <c r="J7" s="29">
        <f>1-gdp_ind_share!J7-gdp_agr_share!J7</f>
        <v>0.41118996474470759</v>
      </c>
      <c r="K7" s="29">
        <f>1-gdp_ind_share!K7-gdp_agr_share!K7</f>
        <v>0.34825256676594218</v>
      </c>
      <c r="L7" s="30">
        <f>1-gdp_ind_share!L7-gdp_agr_share!L7</f>
        <v>0.40050202459961892</v>
      </c>
      <c r="M7" s="29">
        <f>1-gdp_ind_share!M7-gdp_agr_share!M7</f>
        <v>0.46320137400003081</v>
      </c>
      <c r="N7" s="29">
        <f>1-gdp_ind_share!N7-gdp_agr_share!N7</f>
        <v>0.774593359376479</v>
      </c>
      <c r="O7" s="29">
        <f>1-gdp_ind_share!O7-gdp_agr_share!O7</f>
        <v>0.75300529883639089</v>
      </c>
      <c r="P7" s="29">
        <f>1-gdp_ind_share!P7-gdp_agr_share!P7</f>
        <v>0.75579586215549865</v>
      </c>
      <c r="Q7" s="29">
        <f>1-gdp_ind_share!Q7-gdp_agr_share!Q7</f>
        <v>0.89958113589083943</v>
      </c>
      <c r="R7" s="29">
        <f>1-gdp_ind_share!R7-gdp_agr_share!R7</f>
        <v>0.88183031247576016</v>
      </c>
      <c r="S7" s="29">
        <f>1-gdp_ind_share!S7-gdp_agr_share!S7</f>
        <v>0.88873553154625862</v>
      </c>
      <c r="T7" s="29">
        <f>1-gdp_ind_share!T7-gdp_agr_share!T7</f>
        <v>0.90896310180013862</v>
      </c>
      <c r="U7" s="29">
        <f>1-gdp_ind_share!U7-gdp_agr_share!U7</f>
        <v>0.91958546368805627</v>
      </c>
      <c r="V7" s="29">
        <f>1-gdp_ind_share!V7-gdp_agr_share!V7</f>
        <v>0.92012340265004755</v>
      </c>
      <c r="W7" s="29">
        <f>1-gdp_ind_share!W7-gdp_agr_share!W7</f>
        <v>0.905442805096764</v>
      </c>
      <c r="X7" s="29">
        <f>1-gdp_ind_share!X7-gdp_agr_share!X7</f>
        <v>0.88777386917703782</v>
      </c>
      <c r="Y7" s="29">
        <f>1-gdp_ind_share!Y7-gdp_agr_share!Y7</f>
        <v>0.86298551680222113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5">
      <c r="A8" s="1" t="s">
        <v>35</v>
      </c>
      <c r="B8" s="1" t="s">
        <v>38</v>
      </c>
      <c r="C8" s="1" t="s">
        <v>39</v>
      </c>
      <c r="D8" s="29">
        <f>1-gdp_ind_share!D8-gdp_agr_share!D8</f>
        <v>0.30629461535131419</v>
      </c>
      <c r="E8" s="29">
        <f>1-gdp_ind_share!E8-gdp_agr_share!E8</f>
        <v>0.43750635940821314</v>
      </c>
      <c r="F8" s="29">
        <f>1-gdp_ind_share!F8-gdp_agr_share!F8</f>
        <v>0.20488441587147643</v>
      </c>
      <c r="G8" s="29">
        <f>1-gdp_ind_share!G8-gdp_agr_share!G8</f>
        <v>0.24653638627143293</v>
      </c>
      <c r="H8" s="29">
        <f>1-gdp_ind_share!H8-gdp_agr_share!H8</f>
        <v>0.48482248036862635</v>
      </c>
      <c r="I8" s="29">
        <f>1-gdp_ind_share!I8-gdp_agr_share!I8</f>
        <v>0.2195429578421918</v>
      </c>
      <c r="J8" s="29">
        <f>1-gdp_ind_share!J8-gdp_agr_share!J8</f>
        <v>0.4129362789163219</v>
      </c>
      <c r="K8" s="29">
        <f>1-gdp_ind_share!K8-gdp_agr_share!K8</f>
        <v>0.54412124825189823</v>
      </c>
      <c r="L8" s="30">
        <f>1-gdp_ind_share!L8-gdp_agr_share!L8</f>
        <v>0.50047040920240571</v>
      </c>
      <c r="M8" s="29">
        <f>1-gdp_ind_share!M8-gdp_agr_share!M8</f>
        <v>0.44808940234301475</v>
      </c>
      <c r="N8" s="29">
        <f>1-gdp_ind_share!N8-gdp_agr_share!N8</f>
        <v>0.76343563125870206</v>
      </c>
      <c r="O8" s="29">
        <f>1-gdp_ind_share!O8-gdp_agr_share!O8</f>
        <v>0.73684998008075708</v>
      </c>
      <c r="P8" s="29">
        <f>1-gdp_ind_share!P8-gdp_agr_share!P8</f>
        <v>0.69958851259137744</v>
      </c>
      <c r="Q8" s="29">
        <f>1-gdp_ind_share!Q8-gdp_agr_share!Q8</f>
        <v>0.78413271695394759</v>
      </c>
      <c r="R8" s="29">
        <f>1-gdp_ind_share!R8-gdp_agr_share!R8</f>
        <v>0.8140758487890517</v>
      </c>
      <c r="S8" s="29">
        <f>1-gdp_ind_share!S8-gdp_agr_share!S8</f>
        <v>0.82354089255394569</v>
      </c>
      <c r="T8" s="29">
        <f>1-gdp_ind_share!T8-gdp_agr_share!T8</f>
        <v>0.84163247978167877</v>
      </c>
      <c r="U8" s="29">
        <f>1-gdp_ind_share!U8-gdp_agr_share!U8</f>
        <v>0.84631621703836502</v>
      </c>
      <c r="V8" s="29">
        <f>1-gdp_ind_share!V8-gdp_agr_share!V8</f>
        <v>0.86730665516270189</v>
      </c>
      <c r="W8" s="29">
        <f>1-gdp_ind_share!W8-gdp_agr_share!W8</f>
        <v>0.86512349402804645</v>
      </c>
      <c r="X8" s="29">
        <f>1-gdp_ind_share!X8-gdp_agr_share!X8</f>
        <v>0.84959657177448922</v>
      </c>
      <c r="Y8" s="29">
        <f>1-gdp_ind_share!Y8-gdp_agr_share!Y8</f>
        <v>0.8006099342101366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25">
      <c r="A9" s="1" t="s">
        <v>35</v>
      </c>
      <c r="B9" s="1" t="s">
        <v>40</v>
      </c>
      <c r="C9" s="1" t="s">
        <v>41</v>
      </c>
      <c r="D9" s="29">
        <f>1-gdp_ind_share!D9-gdp_agr_share!D9</f>
        <v>0.71172246156343699</v>
      </c>
      <c r="E9" s="29">
        <f>1-gdp_ind_share!E9-gdp_agr_share!E9</f>
        <v>0.53019800234909564</v>
      </c>
      <c r="F9" s="29">
        <f>1-gdp_ind_share!F9-gdp_agr_share!F9</f>
        <v>0.63737169500307267</v>
      </c>
      <c r="G9" s="29">
        <f>1-gdp_ind_share!G9-gdp_agr_share!G9</f>
        <v>0.48757892618803905</v>
      </c>
      <c r="H9" s="29">
        <f>1-gdp_ind_share!H9-gdp_agr_share!H9</f>
        <v>0.58852026037004201</v>
      </c>
      <c r="I9" s="29">
        <f>1-gdp_ind_share!I9-gdp_agr_share!I9</f>
        <v>0.48263041185577327</v>
      </c>
      <c r="J9" s="29">
        <f>1-gdp_ind_share!J9-gdp_agr_share!J9</f>
        <v>0.38307258495535818</v>
      </c>
      <c r="K9" s="29">
        <f>1-gdp_ind_share!K9-gdp_agr_share!K9</f>
        <v>0.33049969428764575</v>
      </c>
      <c r="L9" s="30">
        <f>1-gdp_ind_share!L9-gdp_agr_share!L9</f>
        <v>0.35347535978212913</v>
      </c>
      <c r="M9" s="29">
        <f>1-gdp_ind_share!M9-gdp_agr_share!M9</f>
        <v>0.38104615837550915</v>
      </c>
      <c r="N9" s="29">
        <f>1-gdp_ind_share!N9-gdp_agr_share!N9</f>
        <v>0.64080223022386584</v>
      </c>
      <c r="O9" s="29">
        <f>1-gdp_ind_share!O9-gdp_agr_share!O9</f>
        <v>0.62537823090703315</v>
      </c>
      <c r="P9" s="29">
        <f>1-gdp_ind_share!P9-gdp_agr_share!P9</f>
        <v>0.59800434209778752</v>
      </c>
      <c r="Q9" s="29">
        <f>1-gdp_ind_share!Q9-gdp_agr_share!Q9</f>
        <v>0.57045094302712163</v>
      </c>
      <c r="R9" s="29">
        <f>1-gdp_ind_share!R9-gdp_agr_share!R9</f>
        <v>0.5512340719095532</v>
      </c>
      <c r="S9" s="29">
        <f>1-gdp_ind_share!S9-gdp_agr_share!S9</f>
        <v>0.57514022247744245</v>
      </c>
      <c r="T9" s="29">
        <f>1-gdp_ind_share!T9-gdp_agr_share!T9</f>
        <v>0.58609411893082575</v>
      </c>
      <c r="U9" s="29">
        <f>1-gdp_ind_share!U9-gdp_agr_share!U9</f>
        <v>0.5661533531828602</v>
      </c>
      <c r="V9" s="29">
        <f>1-gdp_ind_share!V9-gdp_agr_share!V9</f>
        <v>0.59222036222535224</v>
      </c>
      <c r="W9" s="29">
        <f>1-gdp_ind_share!W9-gdp_agr_share!W9</f>
        <v>0.61250175954449682</v>
      </c>
      <c r="X9" s="29">
        <f>1-gdp_ind_share!X9-gdp_agr_share!X9</f>
        <v>0.6195923258910907</v>
      </c>
      <c r="Y9" s="29">
        <f>1-gdp_ind_share!Y9-gdp_agr_share!Y9</f>
        <v>0.58970796891197685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5">
      <c r="A10" s="1" t="s">
        <v>35</v>
      </c>
      <c r="B10" s="1" t="s">
        <v>42</v>
      </c>
      <c r="C10" s="1" t="s">
        <v>43</v>
      </c>
      <c r="D10" s="29">
        <f>1-gdp_ind_share!D10-gdp_agr_share!D10</f>
        <v>0.28697874819738334</v>
      </c>
      <c r="E10" s="29">
        <f>1-gdp_ind_share!E10-gdp_agr_share!E10</f>
        <v>0.23049737253605862</v>
      </c>
      <c r="F10" s="29">
        <f>1-gdp_ind_share!F10-gdp_agr_share!F10</f>
        <v>7.6419277787679207E-2</v>
      </c>
      <c r="G10" s="29">
        <f>1-gdp_ind_share!G10-gdp_agr_share!G10</f>
        <v>0.108102039348831</v>
      </c>
      <c r="H10" s="29">
        <f>1-gdp_ind_share!H10-gdp_agr_share!H10</f>
        <v>0.31727983222268896</v>
      </c>
      <c r="I10" s="29">
        <f>1-gdp_ind_share!I10-gdp_agr_share!I10</f>
        <v>0.40403716123878719</v>
      </c>
      <c r="J10" s="29">
        <f>1-gdp_ind_share!J10-gdp_agr_share!J10</f>
        <v>0.31984855966528314</v>
      </c>
      <c r="K10" s="29">
        <f>1-gdp_ind_share!K10-gdp_agr_share!K10</f>
        <v>0.24084981308317455</v>
      </c>
      <c r="L10" s="30">
        <f>1-gdp_ind_share!L10-gdp_agr_share!L10</f>
        <v>0.31794881718350954</v>
      </c>
      <c r="M10" s="29">
        <f>1-gdp_ind_share!M10-gdp_agr_share!M10</f>
        <v>0.41046762210391152</v>
      </c>
      <c r="N10" s="29">
        <f>1-gdp_ind_share!N10-gdp_agr_share!N10</f>
        <v>0.73525873188354751</v>
      </c>
      <c r="O10" s="29">
        <f>1-gdp_ind_share!O10-gdp_agr_share!O10</f>
        <v>0.71707603828209898</v>
      </c>
      <c r="P10" s="29">
        <f>1-gdp_ind_share!P10-gdp_agr_share!P10</f>
        <v>0.70154553221950133</v>
      </c>
      <c r="Q10" s="29">
        <f>1-gdp_ind_share!Q10-gdp_agr_share!Q10</f>
        <v>0.73973073897242714</v>
      </c>
      <c r="R10" s="29">
        <f>1-gdp_ind_share!R10-gdp_agr_share!R10</f>
        <v>0.77645466764106841</v>
      </c>
      <c r="S10" s="29">
        <f>1-gdp_ind_share!S10-gdp_agr_share!S10</f>
        <v>0.76730836714586226</v>
      </c>
      <c r="T10" s="29">
        <f>1-gdp_ind_share!T10-gdp_agr_share!T10</f>
        <v>0.80282267167867083</v>
      </c>
      <c r="U10" s="29">
        <f>1-gdp_ind_share!U10-gdp_agr_share!U10</f>
        <v>0.72352924946340447</v>
      </c>
      <c r="V10" s="29">
        <f>1-gdp_ind_share!V10-gdp_agr_share!V10</f>
        <v>0.75656122701934592</v>
      </c>
      <c r="W10" s="29">
        <f>1-gdp_ind_share!W10-gdp_agr_share!W10</f>
        <v>0.80703899542059077</v>
      </c>
      <c r="X10" s="29">
        <f>1-gdp_ind_share!X10-gdp_agr_share!X10</f>
        <v>0.81283330963548706</v>
      </c>
      <c r="Y10" s="29">
        <f>1-gdp_ind_share!Y10-gdp_agr_share!Y10</f>
        <v>0.77235507443059115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25">
      <c r="A11" s="1" t="s">
        <v>44</v>
      </c>
      <c r="B11" s="1" t="s">
        <v>45</v>
      </c>
      <c r="C11" s="1" t="s">
        <v>46</v>
      </c>
      <c r="D11" s="29">
        <f>1-gdp_ind_share!D11-gdp_agr_share!D11</f>
        <v>0.4759285297421571</v>
      </c>
      <c r="E11" s="29">
        <f>1-gdp_ind_share!E11-gdp_agr_share!E11</f>
        <v>0.7324886162418085</v>
      </c>
      <c r="F11" s="29">
        <f>1-gdp_ind_share!F11-gdp_agr_share!F11</f>
        <v>0.32397836988676554</v>
      </c>
      <c r="G11" s="29">
        <f>1-gdp_ind_share!G11-gdp_agr_share!G11</f>
        <v>0.44177436230280509</v>
      </c>
      <c r="H11" s="29">
        <f>1-gdp_ind_share!H11-gdp_agr_share!H11</f>
        <v>0.47046730921149377</v>
      </c>
      <c r="I11" s="29">
        <f>1-gdp_ind_share!I11-gdp_agr_share!I11</f>
        <v>0.53699719331011364</v>
      </c>
      <c r="J11" s="29">
        <f>1-gdp_ind_share!J11-gdp_agr_share!J11</f>
        <v>0.532512225259131</v>
      </c>
      <c r="K11" s="29">
        <f>1-gdp_ind_share!K11-gdp_agr_share!K11</f>
        <v>0.34337285735906803</v>
      </c>
      <c r="L11" s="30">
        <f>1-gdp_ind_share!L11-gdp_agr_share!L11</f>
        <v>0.50070647037346938</v>
      </c>
      <c r="M11" s="29">
        <f>1-gdp_ind_share!M11-gdp_agr_share!M11</f>
        <v>0.68950680599075109</v>
      </c>
      <c r="N11" s="29">
        <f>1-gdp_ind_share!N11-gdp_agr_share!N11</f>
        <v>0.77806341691023828</v>
      </c>
      <c r="O11" s="29">
        <f>1-gdp_ind_share!O11-gdp_agr_share!O11</f>
        <v>0.77840706732573695</v>
      </c>
      <c r="P11" s="29">
        <f>1-gdp_ind_share!P11-gdp_agr_share!P11</f>
        <v>0.72012752146566306</v>
      </c>
      <c r="Q11" s="29">
        <f>1-gdp_ind_share!Q11-gdp_agr_share!Q11</f>
        <v>0.88546087453471323</v>
      </c>
      <c r="R11" s="29">
        <f>1-gdp_ind_share!R11-gdp_agr_share!R11</f>
        <v>0.87975838093090086</v>
      </c>
      <c r="S11" s="29">
        <f>1-gdp_ind_share!S11-gdp_agr_share!S11</f>
        <v>0.87420619865451143</v>
      </c>
      <c r="T11" s="29">
        <f>1-gdp_ind_share!T11-gdp_agr_share!T11</f>
        <v>0.85462179419530637</v>
      </c>
      <c r="U11" s="29">
        <f>1-gdp_ind_share!U11-gdp_agr_share!U11</f>
        <v>0.86358854998995405</v>
      </c>
      <c r="V11" s="29">
        <f>1-gdp_ind_share!V11-gdp_agr_share!V11</f>
        <v>0.86547143725399078</v>
      </c>
      <c r="W11" s="29">
        <f>1-gdp_ind_share!W11-gdp_agr_share!W11</f>
        <v>0.8536240205379293</v>
      </c>
      <c r="X11" s="29">
        <f>1-gdp_ind_share!X11-gdp_agr_share!X11</f>
        <v>0.87619429921564784</v>
      </c>
      <c r="Y11" s="29">
        <f>1-gdp_ind_share!Y11-gdp_agr_share!Y11</f>
        <v>0.877017456922634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25">
      <c r="A12" s="1" t="s">
        <v>44</v>
      </c>
      <c r="B12" s="1" t="s">
        <v>47</v>
      </c>
      <c r="C12" s="1" t="s">
        <v>48</v>
      </c>
      <c r="D12" s="29">
        <f>1-gdp_ind_share!D12-gdp_agr_share!D12</f>
        <v>0.44477882315556949</v>
      </c>
      <c r="E12" s="29">
        <f>1-gdp_ind_share!E12-gdp_agr_share!E12</f>
        <v>0.46833463820066723</v>
      </c>
      <c r="F12" s="29">
        <f>1-gdp_ind_share!F12-gdp_agr_share!F12</f>
        <v>0.90310883895533611</v>
      </c>
      <c r="G12" s="29">
        <f>1-gdp_ind_share!G12-gdp_agr_share!G12</f>
        <v>0.41778746601792432</v>
      </c>
      <c r="H12" s="29">
        <f>1-gdp_ind_share!H12-gdp_agr_share!H12</f>
        <v>0.29248772189106986</v>
      </c>
      <c r="I12" s="29">
        <f>1-gdp_ind_share!I12-gdp_agr_share!I12</f>
        <v>0.55069061142956277</v>
      </c>
      <c r="J12" s="29">
        <f>1-gdp_ind_share!J12-gdp_agr_share!J12</f>
        <v>0.46338590973178184</v>
      </c>
      <c r="K12" s="29">
        <f>1-gdp_ind_share!K12-gdp_agr_share!K12</f>
        <v>0.42892328846300981</v>
      </c>
      <c r="L12" s="30">
        <f>1-gdp_ind_share!L12-gdp_agr_share!L12</f>
        <v>0.59824406068023483</v>
      </c>
      <c r="M12" s="29">
        <f>1-gdp_ind_share!M12-gdp_agr_share!M12</f>
        <v>0.80142898734090462</v>
      </c>
      <c r="N12" s="29">
        <f>1-gdp_ind_share!N12-gdp_agr_share!N12</f>
        <v>0.84162525505622388</v>
      </c>
      <c r="O12" s="29">
        <f>1-gdp_ind_share!O12-gdp_agr_share!O12</f>
        <v>0.84466630507092033</v>
      </c>
      <c r="P12" s="29">
        <f>1-gdp_ind_share!P12-gdp_agr_share!P12</f>
        <v>0.84643539758880426</v>
      </c>
      <c r="Q12" s="29">
        <f>1-gdp_ind_share!Q12-gdp_agr_share!Q12</f>
        <v>0.88991494891395029</v>
      </c>
      <c r="R12" s="29">
        <f>1-gdp_ind_share!R12-gdp_agr_share!R12</f>
        <v>0.87550783996038295</v>
      </c>
      <c r="S12" s="29">
        <f>1-gdp_ind_share!S12-gdp_agr_share!S12</f>
        <v>0.8942375791330256</v>
      </c>
      <c r="T12" s="29">
        <f>1-gdp_ind_share!T12-gdp_agr_share!T12</f>
        <v>0.88697778238568037</v>
      </c>
      <c r="U12" s="29">
        <f>1-gdp_ind_share!U12-gdp_agr_share!U12</f>
        <v>0.89813020354238204</v>
      </c>
      <c r="V12" s="29">
        <f>1-gdp_ind_share!V12-gdp_agr_share!V12</f>
        <v>0.89374170455864166</v>
      </c>
      <c r="W12" s="29">
        <f>1-gdp_ind_share!W12-gdp_agr_share!W12</f>
        <v>0.8807511860001157</v>
      </c>
      <c r="X12" s="29">
        <f>1-gdp_ind_share!X12-gdp_agr_share!X12</f>
        <v>0.9118093609049811</v>
      </c>
      <c r="Y12" s="29">
        <f>1-gdp_ind_share!Y12-gdp_agr_share!Y12</f>
        <v>0.90799626938413547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25">
      <c r="A13" s="1" t="s">
        <v>49</v>
      </c>
      <c r="B13" s="1" t="s">
        <v>50</v>
      </c>
      <c r="C13" s="1" t="s">
        <v>51</v>
      </c>
      <c r="D13" s="29">
        <f>1-gdp_ind_share!D13-gdp_agr_share!D13</f>
        <v>0.38609726254065641</v>
      </c>
      <c r="E13" s="29">
        <f>1-gdp_ind_share!E13-gdp_agr_share!E13</f>
        <v>0.49206491389944018</v>
      </c>
      <c r="F13" s="29">
        <f>1-gdp_ind_share!F13-gdp_agr_share!F13</f>
        <v>0.25276321143300973</v>
      </c>
      <c r="G13" s="29">
        <f>1-gdp_ind_share!G13-gdp_agr_share!G13</f>
        <v>0.2495542361945422</v>
      </c>
      <c r="H13" s="29">
        <f>1-gdp_ind_share!H13-gdp_agr_share!H13</f>
        <v>0.39958492436525306</v>
      </c>
      <c r="I13" s="29">
        <f>1-gdp_ind_share!I13-gdp_agr_share!I13</f>
        <v>0.44724665235721039</v>
      </c>
      <c r="J13" s="29">
        <f>1-gdp_ind_share!J13-gdp_agr_share!J13</f>
        <v>0.4999960298158419</v>
      </c>
      <c r="K13" s="29">
        <f>1-gdp_ind_share!K13-gdp_agr_share!K13</f>
        <v>0.56292791924652241</v>
      </c>
      <c r="L13" s="30">
        <f>1-gdp_ind_share!L13-gdp_agr_share!L13</f>
        <v>0.47384092576396974</v>
      </c>
      <c r="M13" s="29">
        <f>1-gdp_ind_share!M13-gdp_agr_share!M13</f>
        <v>0.36693653358490674</v>
      </c>
      <c r="N13" s="29">
        <f>1-gdp_ind_share!N13-gdp_agr_share!N13</f>
        <v>0.55512622966571246</v>
      </c>
      <c r="O13" s="29">
        <f>1-gdp_ind_share!O13-gdp_agr_share!O13</f>
        <v>0.50739701361453471</v>
      </c>
      <c r="P13" s="29">
        <f>1-gdp_ind_share!P13-gdp_agr_share!P13</f>
        <v>0.52175997147607323</v>
      </c>
      <c r="Q13" s="29">
        <f>1-gdp_ind_share!Q13-gdp_agr_share!Q13</f>
        <v>0.33250648986635267</v>
      </c>
      <c r="R13" s="29">
        <f>1-gdp_ind_share!R13-gdp_agr_share!R13</f>
        <v>0.29233290640672505</v>
      </c>
      <c r="S13" s="29">
        <f>1-gdp_ind_share!S13-gdp_agr_share!S13</f>
        <v>0.25272163665937597</v>
      </c>
      <c r="T13" s="29">
        <f>1-gdp_ind_share!T13-gdp_agr_share!T13</f>
        <v>0.38963341205771107</v>
      </c>
      <c r="U13" s="29">
        <f>1-gdp_ind_share!U13-gdp_agr_share!U13</f>
        <v>0.38598161668243236</v>
      </c>
      <c r="V13" s="29">
        <f>1-gdp_ind_share!V13-gdp_agr_share!V13</f>
        <v>0.33770609350513348</v>
      </c>
      <c r="W13" s="29">
        <f>1-gdp_ind_share!W13-gdp_agr_share!W13</f>
        <v>0.35170017562101763</v>
      </c>
      <c r="X13" s="29">
        <f>1-gdp_ind_share!X13-gdp_agr_share!X13</f>
        <v>0.47571230679111304</v>
      </c>
      <c r="Y13" s="29">
        <f>1-gdp_ind_share!Y13-gdp_agr_share!Y13</f>
        <v>0.56781706322592984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5">
      <c r="A14" s="1" t="s">
        <v>49</v>
      </c>
      <c r="B14" s="1" t="s">
        <v>52</v>
      </c>
      <c r="C14" s="1" t="s">
        <v>53</v>
      </c>
      <c r="D14" s="29">
        <f>1-gdp_ind_share!D14-gdp_agr_share!D14</f>
        <v>0.47739786084132702</v>
      </c>
      <c r="E14" s="29">
        <f>1-gdp_ind_share!E14-gdp_agr_share!E14</f>
        <v>0.58077420363612675</v>
      </c>
      <c r="F14" s="29">
        <f>1-gdp_ind_share!F14-gdp_agr_share!F14</f>
        <v>0.41674694252418831</v>
      </c>
      <c r="G14" s="29">
        <f>1-gdp_ind_share!G14-gdp_agr_share!G14</f>
        <v>0.54006871489874109</v>
      </c>
      <c r="H14" s="29">
        <f>1-gdp_ind_share!H14-gdp_agr_share!H14</f>
        <v>0.51869028089181013</v>
      </c>
      <c r="I14" s="29">
        <f>1-gdp_ind_share!I14-gdp_agr_share!I14</f>
        <v>0.53188188633511502</v>
      </c>
      <c r="J14" s="29">
        <f>1-gdp_ind_share!J14-gdp_agr_share!J14</f>
        <v>0.49761806315578799</v>
      </c>
      <c r="K14" s="29">
        <f>1-gdp_ind_share!K14-gdp_agr_share!K14</f>
        <v>0.44004599698370672</v>
      </c>
      <c r="L14" s="30">
        <f>1-gdp_ind_share!L14-gdp_agr_share!L14</f>
        <v>0.50770372428464761</v>
      </c>
      <c r="M14" s="29">
        <f>1-gdp_ind_share!M14-gdp_agr_share!M14</f>
        <v>0.5888929970457768</v>
      </c>
      <c r="N14" s="29">
        <f>1-gdp_ind_share!N14-gdp_agr_share!N14</f>
        <v>0.48960974298852561</v>
      </c>
      <c r="O14" s="29">
        <f>1-gdp_ind_share!O14-gdp_agr_share!O14</f>
        <v>0.4572182340506078</v>
      </c>
      <c r="P14" s="29">
        <f>1-gdp_ind_share!P14-gdp_agr_share!P14</f>
        <v>0.55918490384611652</v>
      </c>
      <c r="Q14" s="29">
        <f>1-gdp_ind_share!Q14-gdp_agr_share!Q14</f>
        <v>0.4820107407491333</v>
      </c>
      <c r="R14" s="29">
        <f>1-gdp_ind_share!R14-gdp_agr_share!R14</f>
        <v>0.50484701891038941</v>
      </c>
      <c r="S14" s="29">
        <f>1-gdp_ind_share!S14-gdp_agr_share!S14</f>
        <v>0.54378927987713943</v>
      </c>
      <c r="T14" s="29">
        <f>1-gdp_ind_share!T14-gdp_agr_share!T14</f>
        <v>0.61698080119112664</v>
      </c>
      <c r="U14" s="29">
        <f>1-gdp_ind_share!U14-gdp_agr_share!U14</f>
        <v>0.60821368537459164</v>
      </c>
      <c r="V14" s="29">
        <f>1-gdp_ind_share!V14-gdp_agr_share!V14</f>
        <v>0.57735706262352116</v>
      </c>
      <c r="W14" s="29">
        <f>1-gdp_ind_share!W14-gdp_agr_share!W14</f>
        <v>0.50217601733873662</v>
      </c>
      <c r="X14" s="29">
        <f>1-gdp_ind_share!X14-gdp_agr_share!X14</f>
        <v>0.67005379522989539</v>
      </c>
      <c r="Y14" s="29">
        <f>1-gdp_ind_share!Y14-gdp_agr_share!Y14</f>
        <v>0.61366040371226505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25">
      <c r="A15" s="1" t="s">
        <v>49</v>
      </c>
      <c r="B15" s="1" t="s">
        <v>54</v>
      </c>
      <c r="C15" s="1" t="s">
        <v>55</v>
      </c>
      <c r="D15" s="29">
        <f>1-gdp_ind_share!D15-gdp_agr_share!D15</f>
        <v>0.34901843727269577</v>
      </c>
      <c r="E15" s="29">
        <f>1-gdp_ind_share!E15-gdp_agr_share!E15</f>
        <v>0.39413551261407087</v>
      </c>
      <c r="F15" s="29">
        <f>1-gdp_ind_share!F15-gdp_agr_share!F15</f>
        <v>0.469848782842477</v>
      </c>
      <c r="G15" s="29">
        <f>1-gdp_ind_share!G15-gdp_agr_share!G15</f>
        <v>0.51951315351259064</v>
      </c>
      <c r="H15" s="29">
        <f>1-gdp_ind_share!H15-gdp_agr_share!H15</f>
        <v>0.47821297685054248</v>
      </c>
      <c r="I15" s="29">
        <f>1-gdp_ind_share!I15-gdp_agr_share!I15</f>
        <v>0.5217998188470514</v>
      </c>
      <c r="J15" s="29">
        <f>1-gdp_ind_share!J15-gdp_agr_share!J15</f>
        <v>0.48352384352892563</v>
      </c>
      <c r="K15" s="29">
        <f>1-gdp_ind_share!K15-gdp_agr_share!K15</f>
        <v>0.44007782609271023</v>
      </c>
      <c r="L15" s="30">
        <f>1-gdp_ind_share!L15-gdp_agr_share!L15</f>
        <v>0.52885958592122106</v>
      </c>
      <c r="M15" s="29">
        <f>1-gdp_ind_share!M15-gdp_agr_share!M15</f>
        <v>0.63539769771543397</v>
      </c>
      <c r="N15" s="29">
        <f>1-gdp_ind_share!N15-gdp_agr_share!N15</f>
        <v>0.77622969711767986</v>
      </c>
      <c r="O15" s="29">
        <f>1-gdp_ind_share!O15-gdp_agr_share!O15</f>
        <v>0.74802957407947912</v>
      </c>
      <c r="P15" s="29">
        <f>1-gdp_ind_share!P15-gdp_agr_share!P15</f>
        <v>0.75852369997766089</v>
      </c>
      <c r="Q15" s="29">
        <f>1-gdp_ind_share!Q15-gdp_agr_share!Q15</f>
        <v>0.74840366508105161</v>
      </c>
      <c r="R15" s="29">
        <f>1-gdp_ind_share!R15-gdp_agr_share!R15</f>
        <v>0.76204545821520098</v>
      </c>
      <c r="S15" s="29">
        <f>1-gdp_ind_share!S15-gdp_agr_share!S15</f>
        <v>0.73916831053771814</v>
      </c>
      <c r="T15" s="29">
        <f>1-gdp_ind_share!T15-gdp_agr_share!T15</f>
        <v>0.77021107963664026</v>
      </c>
      <c r="U15" s="29">
        <f>1-gdp_ind_share!U15-gdp_agr_share!U15</f>
        <v>0.76868251407985144</v>
      </c>
      <c r="V15" s="29">
        <f>1-gdp_ind_share!V15-gdp_agr_share!V15</f>
        <v>0.80563023368525588</v>
      </c>
      <c r="W15" s="29">
        <f>1-gdp_ind_share!W15-gdp_agr_share!W15</f>
        <v>0.78707574689905901</v>
      </c>
      <c r="X15" s="29">
        <f>1-gdp_ind_share!X15-gdp_agr_share!X15</f>
        <v>0.76839214289760394</v>
      </c>
      <c r="Y15" s="29">
        <f>1-gdp_ind_share!Y15-gdp_agr_share!Y15</f>
        <v>0.74081863210633481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x14ac:dyDescent="0.25">
      <c r="A16" s="1" t="s">
        <v>49</v>
      </c>
      <c r="B16" s="1" t="s">
        <v>56</v>
      </c>
      <c r="C16" s="1" t="s">
        <v>57</v>
      </c>
      <c r="D16" s="29">
        <f>1-gdp_ind_share!D16-gdp_agr_share!D16</f>
        <v>0.35580117392694321</v>
      </c>
      <c r="E16" s="29">
        <f>1-gdp_ind_share!E16-gdp_agr_share!E16</f>
        <v>0.42950528637630686</v>
      </c>
      <c r="F16" s="29">
        <f>1-gdp_ind_share!F16-gdp_agr_share!F16</f>
        <v>0.34612652136534727</v>
      </c>
      <c r="G16" s="29">
        <f>1-gdp_ind_share!G16-gdp_agr_share!G16</f>
        <v>0.4292046217024103</v>
      </c>
      <c r="H16" s="29">
        <f>1-gdp_ind_share!H16-gdp_agr_share!H16</f>
        <v>0.4878418555531327</v>
      </c>
      <c r="I16" s="29">
        <f>1-gdp_ind_share!I16-gdp_agr_share!I16</f>
        <v>0.42523857984583574</v>
      </c>
      <c r="J16" s="29">
        <f>1-gdp_ind_share!J16-gdp_agr_share!J16</f>
        <v>0.45970283740563272</v>
      </c>
      <c r="K16" s="29">
        <f>1-gdp_ind_share!K16-gdp_agr_share!K16</f>
        <v>0.39447171723735791</v>
      </c>
      <c r="L16" s="30">
        <f>1-gdp_ind_share!L16-gdp_agr_share!L16</f>
        <v>0.4473928426780881</v>
      </c>
      <c r="M16" s="29">
        <f>1-gdp_ind_share!M16-gdp_agr_share!M16</f>
        <v>0.51089819320696428</v>
      </c>
      <c r="N16" s="29">
        <f>1-gdp_ind_share!N16-gdp_agr_share!N16</f>
        <v>0.69276656617618726</v>
      </c>
      <c r="O16" s="29">
        <f>1-gdp_ind_share!O16-gdp_agr_share!O16</f>
        <v>0.65548011764164205</v>
      </c>
      <c r="P16" s="29">
        <f>1-gdp_ind_share!P16-gdp_agr_share!P16</f>
        <v>0.67339684520436327</v>
      </c>
      <c r="Q16" s="29">
        <f>1-gdp_ind_share!Q16-gdp_agr_share!Q16</f>
        <v>0.51322273658506445</v>
      </c>
      <c r="R16" s="29">
        <f>1-gdp_ind_share!R16-gdp_agr_share!R16</f>
        <v>0.50820668250478662</v>
      </c>
      <c r="S16" s="29">
        <f>1-gdp_ind_share!S16-gdp_agr_share!S16</f>
        <v>0.51272953484984063</v>
      </c>
      <c r="T16" s="29">
        <f>1-gdp_ind_share!T16-gdp_agr_share!T16</f>
        <v>0.5408509681354885</v>
      </c>
      <c r="U16" s="29">
        <f>1-gdp_ind_share!U16-gdp_agr_share!U16</f>
        <v>0.51562834718843109</v>
      </c>
      <c r="V16" s="29">
        <f>1-gdp_ind_share!V16-gdp_agr_share!V16</f>
        <v>0.52156360967953219</v>
      </c>
      <c r="W16" s="29">
        <f>1-gdp_ind_share!W16-gdp_agr_share!W16</f>
        <v>0.54362957078083141</v>
      </c>
      <c r="X16" s="29">
        <f>1-gdp_ind_share!X16-gdp_agr_share!X16</f>
        <v>0.61436286443595678</v>
      </c>
      <c r="Y16" s="29">
        <f>1-gdp_ind_share!Y16-gdp_agr_share!Y16</f>
        <v>0.57616387742075537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25">
      <c r="A17" s="1" t="s">
        <v>49</v>
      </c>
      <c r="B17" s="1" t="s">
        <v>58</v>
      </c>
      <c r="C17" s="1" t="s">
        <v>59</v>
      </c>
      <c r="D17" s="29">
        <f>1-gdp_ind_share!D17-gdp_agr_share!D17</f>
        <v>0.73325954983618236</v>
      </c>
      <c r="E17" s="29">
        <f>1-gdp_ind_share!E17-gdp_agr_share!E17</f>
        <v>0.72684792639545048</v>
      </c>
      <c r="F17" s="29">
        <f>1-gdp_ind_share!F17-gdp_agr_share!F17</f>
        <v>0.70127894667675517</v>
      </c>
      <c r="G17" s="29">
        <f>1-gdp_ind_share!G17-gdp_agr_share!G17</f>
        <v>0.62142095471263925</v>
      </c>
      <c r="H17" s="29">
        <f>1-gdp_ind_share!H17-gdp_agr_share!H17</f>
        <v>0.57532235923382702</v>
      </c>
      <c r="I17" s="29">
        <f>1-gdp_ind_share!I17-gdp_agr_share!I17</f>
        <v>0.54979081604063473</v>
      </c>
      <c r="J17" s="29">
        <f>1-gdp_ind_share!J17-gdp_agr_share!J17</f>
        <v>0.49042913439994412</v>
      </c>
      <c r="K17" s="29">
        <f>1-gdp_ind_share!K17-gdp_agr_share!K17</f>
        <v>0.43268832129922719</v>
      </c>
      <c r="L17" s="30">
        <f>1-gdp_ind_share!L17-gdp_agr_share!L17</f>
        <v>0.50917142142867866</v>
      </c>
      <c r="M17" s="29">
        <f>1-gdp_ind_share!M17-gdp_agr_share!M17</f>
        <v>0.60095114158402041</v>
      </c>
      <c r="N17" s="29">
        <f>1-gdp_ind_share!N17-gdp_agr_share!N17</f>
        <v>0.70834356561170941</v>
      </c>
      <c r="O17" s="29">
        <f>1-gdp_ind_share!O17-gdp_agr_share!O17</f>
        <v>0.68601653329305712</v>
      </c>
      <c r="P17" s="29">
        <f>1-gdp_ind_share!P17-gdp_agr_share!P17</f>
        <v>0.70252741963602128</v>
      </c>
      <c r="Q17" s="29">
        <f>1-gdp_ind_share!Q17-gdp_agr_share!Q17</f>
        <v>0.77334890595470551</v>
      </c>
      <c r="R17" s="29">
        <f>1-gdp_ind_share!R17-gdp_agr_share!R17</f>
        <v>0.74643059420557012</v>
      </c>
      <c r="S17" s="29">
        <f>1-gdp_ind_share!S17-gdp_agr_share!S17</f>
        <v>0.74311429384895078</v>
      </c>
      <c r="T17" s="29">
        <f>1-gdp_ind_share!T17-gdp_agr_share!T17</f>
        <v>0.72767714579802978</v>
      </c>
      <c r="U17" s="29">
        <f>1-gdp_ind_share!U17-gdp_agr_share!U17</f>
        <v>0.74306850295030635</v>
      </c>
      <c r="V17" s="29">
        <f>1-gdp_ind_share!V17-gdp_agr_share!V17</f>
        <v>0.75918015948652395</v>
      </c>
      <c r="W17" s="29">
        <f>1-gdp_ind_share!W17-gdp_agr_share!W17</f>
        <v>0.76941019062974425</v>
      </c>
      <c r="X17" s="29">
        <f>1-gdp_ind_share!X17-gdp_agr_share!X17</f>
        <v>0.71792832706903598</v>
      </c>
      <c r="Y17" s="29">
        <f>1-gdp_ind_share!Y17-gdp_agr_share!Y17</f>
        <v>0.72425455699510599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5">
      <c r="A18" s="1" t="s">
        <v>49</v>
      </c>
      <c r="B18" s="1" t="s">
        <v>60</v>
      </c>
      <c r="C18" s="1" t="s">
        <v>61</v>
      </c>
      <c r="D18" s="29">
        <f>1-gdp_ind_share!D18-gdp_agr_share!D18</f>
        <v>0.30476962616814285</v>
      </c>
      <c r="E18" s="29">
        <f>1-gdp_ind_share!E18-gdp_agr_share!E18</f>
        <v>0.33005657245987263</v>
      </c>
      <c r="F18" s="29">
        <f>1-gdp_ind_share!F18-gdp_agr_share!F18</f>
        <v>0.35489503769456465</v>
      </c>
      <c r="G18" s="29">
        <f>1-gdp_ind_share!G18-gdp_agr_share!G18</f>
        <v>0.4487453038985213</v>
      </c>
      <c r="H18" s="29">
        <f>1-gdp_ind_share!H18-gdp_agr_share!H18</f>
        <v>0.45871456781812936</v>
      </c>
      <c r="I18" s="29">
        <f>1-gdp_ind_share!I18-gdp_agr_share!I18</f>
        <v>0.43659702097939684</v>
      </c>
      <c r="J18" s="29">
        <f>1-gdp_ind_share!J18-gdp_agr_share!J18</f>
        <v>0.39369882136685125</v>
      </c>
      <c r="K18" s="29">
        <f>1-gdp_ind_share!K18-gdp_agr_share!K18</f>
        <v>0.38825997762760622</v>
      </c>
      <c r="L18" s="30">
        <f>1-gdp_ind_share!L18-gdp_agr_share!L18</f>
        <v>0.46916738266993707</v>
      </c>
      <c r="M18" s="29">
        <f>1-gdp_ind_share!M18-gdp_agr_share!M18</f>
        <v>0.5662562687207342</v>
      </c>
      <c r="N18" s="29">
        <f>1-gdp_ind_share!N18-gdp_agr_share!N18</f>
        <v>0.72558491399419944</v>
      </c>
      <c r="O18" s="29">
        <f>1-gdp_ind_share!O18-gdp_agr_share!O18</f>
        <v>0.71530670307231936</v>
      </c>
      <c r="P18" s="29">
        <f>1-gdp_ind_share!P18-gdp_agr_share!P18</f>
        <v>0.71595262836195284</v>
      </c>
      <c r="Q18" s="29">
        <f>1-gdp_ind_share!Q18-gdp_agr_share!Q18</f>
        <v>0.73037706894610666</v>
      </c>
      <c r="R18" s="29">
        <f>1-gdp_ind_share!R18-gdp_agr_share!R18</f>
        <v>0.75762942950379919</v>
      </c>
      <c r="S18" s="29">
        <f>1-gdp_ind_share!S18-gdp_agr_share!S18</f>
        <v>0.74723051982042654</v>
      </c>
      <c r="T18" s="29">
        <f>1-gdp_ind_share!T18-gdp_agr_share!T18</f>
        <v>0.7839939316945066</v>
      </c>
      <c r="U18" s="29">
        <f>1-gdp_ind_share!U18-gdp_agr_share!U18</f>
        <v>0.77590970866310127</v>
      </c>
      <c r="V18" s="29">
        <f>1-gdp_ind_share!V18-gdp_agr_share!V18</f>
        <v>0.79404719013584835</v>
      </c>
      <c r="W18" s="29">
        <f>1-gdp_ind_share!W18-gdp_agr_share!W18</f>
        <v>0.7943413263444552</v>
      </c>
      <c r="X18" s="29">
        <f>1-gdp_ind_share!X18-gdp_agr_share!X18</f>
        <v>0.79235368698526665</v>
      </c>
      <c r="Y18" s="29">
        <f>1-gdp_ind_share!Y18-gdp_agr_share!Y18</f>
        <v>0.75290314457867769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25">
      <c r="A19" s="1" t="s">
        <v>49</v>
      </c>
      <c r="B19" s="1" t="s">
        <v>62</v>
      </c>
      <c r="C19" s="1" t="s">
        <v>63</v>
      </c>
      <c r="D19" s="29">
        <f>1-gdp_ind_share!D19-gdp_agr_share!D19</f>
        <v>0.24558191479951563</v>
      </c>
      <c r="E19" s="29">
        <f>1-gdp_ind_share!E19-gdp_agr_share!E19</f>
        <v>0.34292475711028503</v>
      </c>
      <c r="F19" s="29">
        <f>1-gdp_ind_share!F19-gdp_agr_share!F19</f>
        <v>0.59721487058573097</v>
      </c>
      <c r="G19" s="29">
        <f>1-gdp_ind_share!G19-gdp_agr_share!G19</f>
        <v>0.34660492369565127</v>
      </c>
      <c r="H19" s="29">
        <f>1-gdp_ind_share!H19-gdp_agr_share!H19</f>
        <v>0.4866836273031156</v>
      </c>
      <c r="I19" s="29">
        <f>1-gdp_ind_share!I19-gdp_agr_share!I19</f>
        <v>0.390836514758028</v>
      </c>
      <c r="J19" s="29">
        <f>1-gdp_ind_share!J19-gdp_agr_share!J19</f>
        <v>0.3857225843542027</v>
      </c>
      <c r="K19" s="29">
        <f>1-gdp_ind_share!K19-gdp_agr_share!K19</f>
        <v>0.35811000521147207</v>
      </c>
      <c r="L19" s="30">
        <f>1-gdp_ind_share!L19-gdp_agr_share!L19</f>
        <v>0.45275972673307663</v>
      </c>
      <c r="M19" s="29">
        <f>1-gdp_ind_share!M19-gdp_agr_share!M19</f>
        <v>0.56633939255900201</v>
      </c>
      <c r="N19" s="29">
        <f>1-gdp_ind_share!N19-gdp_agr_share!N19</f>
        <v>0.68230451294960881</v>
      </c>
      <c r="O19" s="29">
        <f>1-gdp_ind_share!O19-gdp_agr_share!O19</f>
        <v>0.6686642320353362</v>
      </c>
      <c r="P19" s="29">
        <f>1-gdp_ind_share!P19-gdp_agr_share!P19</f>
        <v>0.67188037884173435</v>
      </c>
      <c r="Q19" s="29">
        <f>1-gdp_ind_share!Q19-gdp_agr_share!Q19</f>
        <v>0.596670842204302</v>
      </c>
      <c r="R19" s="29">
        <f>1-gdp_ind_share!R19-gdp_agr_share!R19</f>
        <v>0.60051235240281353</v>
      </c>
      <c r="S19" s="29">
        <f>1-gdp_ind_share!S19-gdp_agr_share!S19</f>
        <v>0.58484309673725432</v>
      </c>
      <c r="T19" s="29">
        <f>1-gdp_ind_share!T19-gdp_agr_share!T19</f>
        <v>0.63863662041853875</v>
      </c>
      <c r="U19" s="29">
        <f>1-gdp_ind_share!U19-gdp_agr_share!U19</f>
        <v>0.59666609391066572</v>
      </c>
      <c r="V19" s="29">
        <f>1-gdp_ind_share!V19-gdp_agr_share!V19</f>
        <v>0.60467688842428324</v>
      </c>
      <c r="W19" s="29">
        <f>1-gdp_ind_share!W19-gdp_agr_share!W19</f>
        <v>0.58403040929316652</v>
      </c>
      <c r="X19" s="29">
        <f>1-gdp_ind_share!X19-gdp_agr_share!X19</f>
        <v>0.64363088590900763</v>
      </c>
      <c r="Y19" s="29">
        <f>1-gdp_ind_share!Y19-gdp_agr_share!Y19</f>
        <v>0.59752324746030783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25">
      <c r="A20" s="1" t="s">
        <v>64</v>
      </c>
      <c r="B20" s="1" t="s">
        <v>65</v>
      </c>
      <c r="C20" s="1" t="s">
        <v>66</v>
      </c>
      <c r="D20" s="29">
        <f>1-gdp_ind_share!D20-gdp_agr_share!D20</f>
        <v>0.61445730330614201</v>
      </c>
      <c r="E20" s="29">
        <f>1-gdp_ind_share!E20-gdp_agr_share!E20</f>
        <v>0.353039938672431</v>
      </c>
      <c r="F20" s="29">
        <f>1-gdp_ind_share!F20-gdp_agr_share!F20</f>
        <v>0.44598100131196072</v>
      </c>
      <c r="G20" s="29">
        <f>1-gdp_ind_share!G20-gdp_agr_share!G20</f>
        <v>0.44872809216429715</v>
      </c>
      <c r="H20" s="29">
        <f>1-gdp_ind_share!H20-gdp_agr_share!H20</f>
        <v>0.44974639851861609</v>
      </c>
      <c r="I20" s="29">
        <f>1-gdp_ind_share!I20-gdp_agr_share!I20</f>
        <v>0.41725942450482734</v>
      </c>
      <c r="J20" s="29">
        <f>1-gdp_ind_share!J20-gdp_agr_share!J20</f>
        <v>0.44470477652527585</v>
      </c>
      <c r="K20" s="29">
        <f>1-gdp_ind_share!K20-gdp_agr_share!K20</f>
        <v>0.43861644328470384</v>
      </c>
      <c r="L20" s="30">
        <f>1-gdp_ind_share!L20-gdp_agr_share!L20</f>
        <v>0.44596479640081671</v>
      </c>
      <c r="M20" s="29">
        <f>1-gdp_ind_share!M20-gdp_agr_share!M20</f>
        <v>0.4547828201401522</v>
      </c>
      <c r="N20" s="29">
        <f>1-gdp_ind_share!N20-gdp_agr_share!N20</f>
        <v>0.64156441114189033</v>
      </c>
      <c r="O20" s="29">
        <f>1-gdp_ind_share!O20-gdp_agr_share!O20</f>
        <v>0.62526456291089261</v>
      </c>
      <c r="P20" s="29">
        <f>1-gdp_ind_share!P20-gdp_agr_share!P20</f>
        <v>0.65624390098404906</v>
      </c>
      <c r="Q20" s="29">
        <f>1-gdp_ind_share!Q20-gdp_agr_share!Q20</f>
        <v>0.66973507719865033</v>
      </c>
      <c r="R20" s="29">
        <f>1-gdp_ind_share!R20-gdp_agr_share!R20</f>
        <v>0.6571835201687517</v>
      </c>
      <c r="S20" s="29">
        <f>1-gdp_ind_share!S20-gdp_agr_share!S20</f>
        <v>0.65057492841749076</v>
      </c>
      <c r="T20" s="29">
        <f>1-gdp_ind_share!T20-gdp_agr_share!T20</f>
        <v>0.67085970171193121</v>
      </c>
      <c r="U20" s="29">
        <f>1-gdp_ind_share!U20-gdp_agr_share!U20</f>
        <v>0.67134669432094241</v>
      </c>
      <c r="V20" s="29">
        <f>1-gdp_ind_share!V20-gdp_agr_share!V20</f>
        <v>0.69953520788748269</v>
      </c>
      <c r="W20" s="29">
        <f>1-gdp_ind_share!W20-gdp_agr_share!W20</f>
        <v>0.68521190494679363</v>
      </c>
      <c r="X20" s="29">
        <f>1-gdp_ind_share!X20-gdp_agr_share!X20</f>
        <v>0.72135046986129436</v>
      </c>
      <c r="Y20" s="29">
        <f>1-gdp_ind_share!Y20-gdp_agr_share!Y20</f>
        <v>0.72347108973869201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25">
      <c r="A21" s="1" t="s">
        <v>64</v>
      </c>
      <c r="B21" s="1" t="s">
        <v>67</v>
      </c>
      <c r="C21" s="1" t="s">
        <v>68</v>
      </c>
      <c r="D21" s="29">
        <f>1-gdp_ind_share!D21-gdp_agr_share!D21</f>
        <v>0.45888521004218974</v>
      </c>
      <c r="E21" s="29">
        <f>1-gdp_ind_share!E21-gdp_agr_share!E21</f>
        <v>0.40598064675273593</v>
      </c>
      <c r="F21" s="29">
        <f>1-gdp_ind_share!F21-gdp_agr_share!F21</f>
        <v>0.32544299134479204</v>
      </c>
      <c r="G21" s="29">
        <f>1-gdp_ind_share!G21-gdp_agr_share!G21</f>
        <v>0.33655958031200461</v>
      </c>
      <c r="H21" s="29">
        <f>1-gdp_ind_share!H21-gdp_agr_share!H21</f>
        <v>0.39332704359317633</v>
      </c>
      <c r="I21" s="29">
        <f>1-gdp_ind_share!I21-gdp_agr_share!I21</f>
        <v>0.3499887296921087</v>
      </c>
      <c r="J21" s="29">
        <f>1-gdp_ind_share!J21-gdp_agr_share!J21</f>
        <v>0.36054813738137653</v>
      </c>
      <c r="K21" s="29">
        <f>1-gdp_ind_share!K21-gdp_agr_share!K21</f>
        <v>0.45451001561091903</v>
      </c>
      <c r="L21" s="30">
        <f>1-gdp_ind_share!L21-gdp_agr_share!L21</f>
        <v>0.45756509221938685</v>
      </c>
      <c r="M21" s="29">
        <f>1-gdp_ind_share!M21-gdp_agr_share!M21</f>
        <v>0.46123118414954845</v>
      </c>
      <c r="N21" s="29">
        <f>1-gdp_ind_share!N21-gdp_agr_share!N21</f>
        <v>0.59676604656596643</v>
      </c>
      <c r="O21" s="29">
        <f>1-gdp_ind_share!O21-gdp_agr_share!O21</f>
        <v>0.58238949173566423</v>
      </c>
      <c r="P21" s="29">
        <f>1-gdp_ind_share!P21-gdp_agr_share!P21</f>
        <v>0.62376453033586399</v>
      </c>
      <c r="Q21" s="29">
        <f>1-gdp_ind_share!Q21-gdp_agr_share!Q21</f>
        <v>0.5851811620268017</v>
      </c>
      <c r="R21" s="29">
        <f>1-gdp_ind_share!R21-gdp_agr_share!R21</f>
        <v>0.57239600192385731</v>
      </c>
      <c r="S21" s="29">
        <f>1-gdp_ind_share!S21-gdp_agr_share!S21</f>
        <v>0.55327608584750843</v>
      </c>
      <c r="T21" s="29">
        <f>1-gdp_ind_share!T21-gdp_agr_share!T21</f>
        <v>0.57322050504965805</v>
      </c>
      <c r="U21" s="29">
        <f>1-gdp_ind_share!U21-gdp_agr_share!U21</f>
        <v>0.59971440733384229</v>
      </c>
      <c r="V21" s="29">
        <f>1-gdp_ind_share!V21-gdp_agr_share!V21</f>
        <v>0.6608122515892999</v>
      </c>
      <c r="W21" s="29">
        <f>1-gdp_ind_share!W21-gdp_agr_share!W21</f>
        <v>0.63276939618683181</v>
      </c>
      <c r="X21" s="29">
        <f>1-gdp_ind_share!X21-gdp_agr_share!X21</f>
        <v>0.67590308980200153</v>
      </c>
      <c r="Y21" s="29">
        <f>1-gdp_ind_share!Y21-gdp_agr_share!Y21</f>
        <v>0.68858193477588903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5">
      <c r="A22" s="1" t="s">
        <v>64</v>
      </c>
      <c r="B22" s="1" t="s">
        <v>69</v>
      </c>
      <c r="C22" s="1" t="s">
        <v>70</v>
      </c>
      <c r="D22" s="29">
        <f>1-gdp_ind_share!D22-gdp_agr_share!D22</f>
        <v>0.75784417311433394</v>
      </c>
      <c r="E22" s="29">
        <f>1-gdp_ind_share!E22-gdp_agr_share!E22</f>
        <v>0.78417231861485048</v>
      </c>
      <c r="F22" s="29">
        <f>1-gdp_ind_share!F22-gdp_agr_share!F22</f>
        <v>0.80665041860707321</v>
      </c>
      <c r="G22" s="29">
        <f>1-gdp_ind_share!G22-gdp_agr_share!G22</f>
        <v>0.78339299079009572</v>
      </c>
      <c r="H22" s="29">
        <f>1-gdp_ind_share!H22-gdp_agr_share!H22</f>
        <v>0.69809355183265787</v>
      </c>
      <c r="I22" s="29">
        <f>1-gdp_ind_share!I22-gdp_agr_share!I22</f>
        <v>0.65265663907025018</v>
      </c>
      <c r="J22" s="29">
        <f>1-gdp_ind_share!J22-gdp_agr_share!J22</f>
        <v>0.65275676069447908</v>
      </c>
      <c r="K22" s="29">
        <f>1-gdp_ind_share!K22-gdp_agr_share!K22</f>
        <v>0.64184893241580454</v>
      </c>
      <c r="L22" s="30">
        <f>1-gdp_ind_share!L22-gdp_agr_share!L22</f>
        <v>0.67572192831610323</v>
      </c>
      <c r="M22" s="29">
        <f>1-gdp_ind_share!M22-gdp_agr_share!M22</f>
        <v>0.71636952339646165</v>
      </c>
      <c r="N22" s="29">
        <f>1-gdp_ind_share!N22-gdp_agr_share!N22</f>
        <v>0.75507893495846301</v>
      </c>
      <c r="O22" s="29">
        <f>1-gdp_ind_share!O22-gdp_agr_share!O22</f>
        <v>0.76108512541167694</v>
      </c>
      <c r="P22" s="29">
        <f>1-gdp_ind_share!P22-gdp_agr_share!P22</f>
        <v>0.77989540800957635</v>
      </c>
      <c r="Q22" s="29">
        <f>1-gdp_ind_share!Q22-gdp_agr_share!Q22</f>
        <v>0.78369307608887673</v>
      </c>
      <c r="R22" s="29">
        <f>1-gdp_ind_share!R22-gdp_agr_share!R22</f>
        <v>0.78593112711199076</v>
      </c>
      <c r="S22" s="29">
        <f>1-gdp_ind_share!S22-gdp_agr_share!S22</f>
        <v>0.77014471828070119</v>
      </c>
      <c r="T22" s="29">
        <f>1-gdp_ind_share!T22-gdp_agr_share!T22</f>
        <v>0.78848762540448725</v>
      </c>
      <c r="U22" s="29">
        <f>1-gdp_ind_share!U22-gdp_agr_share!U22</f>
        <v>0.77543653518326228</v>
      </c>
      <c r="V22" s="29">
        <f>1-gdp_ind_share!V22-gdp_agr_share!V22</f>
        <v>0.77938635161878955</v>
      </c>
      <c r="W22" s="29">
        <f>1-gdp_ind_share!W22-gdp_agr_share!W22</f>
        <v>0.77580990960324747</v>
      </c>
      <c r="X22" s="29">
        <f>1-gdp_ind_share!X22-gdp_agr_share!X22</f>
        <v>0.76006657463076832</v>
      </c>
      <c r="Y22" s="29">
        <f>1-gdp_ind_share!Y22-gdp_agr_share!Y22</f>
        <v>0.77107571072089487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25">
      <c r="A23" s="1" t="s">
        <v>64</v>
      </c>
      <c r="B23" s="1" t="s">
        <v>71</v>
      </c>
      <c r="C23" s="1" t="s">
        <v>72</v>
      </c>
      <c r="D23" s="29">
        <f>1-gdp_ind_share!D23-gdp_agr_share!D23</f>
        <v>0.53009160589521565</v>
      </c>
      <c r="E23" s="29">
        <f>1-gdp_ind_share!E23-gdp_agr_share!E23</f>
        <v>0.33032617439974044</v>
      </c>
      <c r="F23" s="29">
        <f>1-gdp_ind_share!F23-gdp_agr_share!F23</f>
        <v>0.32581607341592089</v>
      </c>
      <c r="G23" s="29">
        <f>1-gdp_ind_share!G23-gdp_agr_share!G23</f>
        <v>0.37265351236452404</v>
      </c>
      <c r="H23" s="29">
        <f>1-gdp_ind_share!H23-gdp_agr_share!H23</f>
        <v>0.49923074016982905</v>
      </c>
      <c r="I23" s="29">
        <f>1-gdp_ind_share!I23-gdp_agr_share!I23</f>
        <v>0.38675166542158879</v>
      </c>
      <c r="J23" s="29">
        <f>1-gdp_ind_share!J23-gdp_agr_share!J23</f>
        <v>0.34840864743104483</v>
      </c>
      <c r="K23" s="29">
        <f>1-gdp_ind_share!K23-gdp_agr_share!K23</f>
        <v>0.45685567213290729</v>
      </c>
      <c r="L23" s="30">
        <f>1-gdp_ind_share!L23-gdp_agr_share!L23</f>
        <v>0.47385166389284306</v>
      </c>
      <c r="M23" s="29">
        <f>1-gdp_ind_share!M23-gdp_agr_share!M23</f>
        <v>0.49424685400476603</v>
      </c>
      <c r="N23" s="29">
        <f>1-gdp_ind_share!N23-gdp_agr_share!N23</f>
        <v>0.67948834818383652</v>
      </c>
      <c r="O23" s="29">
        <f>1-gdp_ind_share!O23-gdp_agr_share!O23</f>
        <v>0.66384238233182735</v>
      </c>
      <c r="P23" s="29">
        <f>1-gdp_ind_share!P23-gdp_agr_share!P23</f>
        <v>0.71420861818606729</v>
      </c>
      <c r="Q23" s="29">
        <f>1-gdp_ind_share!Q23-gdp_agr_share!Q23</f>
        <v>0.67961029417574925</v>
      </c>
      <c r="R23" s="29">
        <f>1-gdp_ind_share!R23-gdp_agr_share!R23</f>
        <v>0.66612561206523391</v>
      </c>
      <c r="S23" s="29">
        <f>1-gdp_ind_share!S23-gdp_agr_share!S23</f>
        <v>0.72131957634688837</v>
      </c>
      <c r="T23" s="29">
        <f>1-gdp_ind_share!T23-gdp_agr_share!T23</f>
        <v>0.72935267774651313</v>
      </c>
      <c r="U23" s="29">
        <f>1-gdp_ind_share!U23-gdp_agr_share!U23</f>
        <v>0.70431970290894907</v>
      </c>
      <c r="V23" s="29">
        <f>1-gdp_ind_share!V23-gdp_agr_share!V23</f>
        <v>0.7535463150573064</v>
      </c>
      <c r="W23" s="29">
        <f>1-gdp_ind_share!W23-gdp_agr_share!W23</f>
        <v>0.70549019758331499</v>
      </c>
      <c r="X23" s="29">
        <f>1-gdp_ind_share!X23-gdp_agr_share!X23</f>
        <v>0.76761757309325684</v>
      </c>
      <c r="Y23" s="29">
        <f>1-gdp_ind_share!Y23-gdp_agr_share!Y23</f>
        <v>0.79634445277207921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x14ac:dyDescent="0.25">
      <c r="A24" s="1" t="s">
        <v>64</v>
      </c>
      <c r="B24" s="1" t="s">
        <v>73</v>
      </c>
      <c r="C24" s="1" t="s">
        <v>74</v>
      </c>
      <c r="D24" s="29">
        <f>1-gdp_ind_share!D24-gdp_agr_share!D24</f>
        <v>0.6504763398030714</v>
      </c>
      <c r="E24" s="29">
        <f>1-gdp_ind_share!E24-gdp_agr_share!E24</f>
        <v>0.3739181330251462</v>
      </c>
      <c r="F24" s="29">
        <f>1-gdp_ind_share!F24-gdp_agr_share!F24</f>
        <v>0.41740812214836953</v>
      </c>
      <c r="G24" s="29">
        <f>1-gdp_ind_share!G24-gdp_agr_share!G24</f>
        <v>0.41861415885899722</v>
      </c>
      <c r="H24" s="29">
        <f>1-gdp_ind_share!H24-gdp_agr_share!H24</f>
        <v>0.44784569554149606</v>
      </c>
      <c r="I24" s="29">
        <f>1-gdp_ind_share!I24-gdp_agr_share!I24</f>
        <v>0.3910323058081982</v>
      </c>
      <c r="J24" s="29">
        <f>1-gdp_ind_share!J24-gdp_agr_share!J24</f>
        <v>0.41694564801457407</v>
      </c>
      <c r="K24" s="29">
        <f>1-gdp_ind_share!K24-gdp_agr_share!K24</f>
        <v>0.43196194439008317</v>
      </c>
      <c r="L24" s="30">
        <f>1-gdp_ind_share!L24-gdp_agr_share!L24</f>
        <v>0.45899814962989094</v>
      </c>
      <c r="M24" s="29">
        <f>1-gdp_ind_share!M24-gdp_agr_share!M24</f>
        <v>0.49144159591766012</v>
      </c>
      <c r="N24" s="29">
        <f>1-gdp_ind_share!N24-gdp_agr_share!N24</f>
        <v>0.5945162648685649</v>
      </c>
      <c r="O24" s="29">
        <f>1-gdp_ind_share!O24-gdp_agr_share!O24</f>
        <v>0.58983040502007622</v>
      </c>
      <c r="P24" s="29">
        <f>1-gdp_ind_share!P24-gdp_agr_share!P24</f>
        <v>0.62474295327912988</v>
      </c>
      <c r="Q24" s="29">
        <f>1-gdp_ind_share!Q24-gdp_agr_share!Q24</f>
        <v>0.58350312059918885</v>
      </c>
      <c r="R24" s="29">
        <f>1-gdp_ind_share!R24-gdp_agr_share!R24</f>
        <v>0.59295490828340647</v>
      </c>
      <c r="S24" s="29">
        <f>1-gdp_ind_share!S24-gdp_agr_share!S24</f>
        <v>0.61691458139216615</v>
      </c>
      <c r="T24" s="29">
        <f>1-gdp_ind_share!T24-gdp_agr_share!T24</f>
        <v>0.64531550130631754</v>
      </c>
      <c r="U24" s="29">
        <f>1-gdp_ind_share!U24-gdp_agr_share!U24</f>
        <v>0.63909021514813158</v>
      </c>
      <c r="V24" s="29">
        <f>1-gdp_ind_share!V24-gdp_agr_share!V24</f>
        <v>0.64038445263481392</v>
      </c>
      <c r="W24" s="29">
        <f>1-gdp_ind_share!W24-gdp_agr_share!W24</f>
        <v>0.64785164729673272</v>
      </c>
      <c r="X24" s="29">
        <f>1-gdp_ind_share!X24-gdp_agr_share!X24</f>
        <v>0.65833109025428072</v>
      </c>
      <c r="Y24" s="29">
        <f>1-gdp_ind_share!Y24-gdp_agr_share!Y24</f>
        <v>0.71832783702920677</v>
      </c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25">
      <c r="A25" s="1" t="s">
        <v>64</v>
      </c>
      <c r="B25" s="1" t="s">
        <v>75</v>
      </c>
      <c r="C25" s="1" t="s">
        <v>76</v>
      </c>
      <c r="D25" s="29">
        <f>1-gdp_ind_share!D25-gdp_agr_share!D25</f>
        <v>0.3481931446429023</v>
      </c>
      <c r="E25" s="29">
        <f>1-gdp_ind_share!E25-gdp_agr_share!E25</f>
        <v>0.4195332224718244</v>
      </c>
      <c r="F25" s="29">
        <f>1-gdp_ind_share!F25-gdp_agr_share!F25</f>
        <v>0.38968132178268078</v>
      </c>
      <c r="G25" s="29">
        <f>1-gdp_ind_share!G25-gdp_agr_share!G25</f>
        <v>0.45650705859631086</v>
      </c>
      <c r="H25" s="29">
        <f>1-gdp_ind_share!H25-gdp_agr_share!H25</f>
        <v>0.39872858827603608</v>
      </c>
      <c r="I25" s="29">
        <f>1-gdp_ind_share!I25-gdp_agr_share!I25</f>
        <v>0.33620793238055524</v>
      </c>
      <c r="J25" s="29">
        <f>1-gdp_ind_share!J25-gdp_agr_share!J25</f>
        <v>0.36344760619882732</v>
      </c>
      <c r="K25" s="29">
        <f>1-gdp_ind_share!K25-gdp_agr_share!K25</f>
        <v>0.44489689783657987</v>
      </c>
      <c r="L25" s="30">
        <f>1-gdp_ind_share!L25-gdp_agr_share!L25</f>
        <v>0.49960137155719253</v>
      </c>
      <c r="M25" s="29">
        <f>1-gdp_ind_share!M25-gdp_agr_share!M25</f>
        <v>0.56524674002192765</v>
      </c>
      <c r="N25" s="29">
        <f>1-gdp_ind_share!N25-gdp_agr_share!N25</f>
        <v>0.71629762995734292</v>
      </c>
      <c r="O25" s="29">
        <f>1-gdp_ind_share!O25-gdp_agr_share!O25</f>
        <v>0.71644731147123975</v>
      </c>
      <c r="P25" s="29">
        <f>1-gdp_ind_share!P25-gdp_agr_share!P25</f>
        <v>0.74807433986117977</v>
      </c>
      <c r="Q25" s="29">
        <f>1-gdp_ind_share!Q25-gdp_agr_share!Q25</f>
        <v>0.70692111380530775</v>
      </c>
      <c r="R25" s="29">
        <f>1-gdp_ind_share!R25-gdp_agr_share!R25</f>
        <v>0.67691547366617455</v>
      </c>
      <c r="S25" s="29">
        <f>1-gdp_ind_share!S25-gdp_agr_share!S25</f>
        <v>0.72699408264349474</v>
      </c>
      <c r="T25" s="29">
        <f>1-gdp_ind_share!T25-gdp_agr_share!T25</f>
        <v>0.76294568797803453</v>
      </c>
      <c r="U25" s="29">
        <f>1-gdp_ind_share!U25-gdp_agr_share!U25</f>
        <v>0.74497643566501104</v>
      </c>
      <c r="V25" s="29">
        <f>1-gdp_ind_share!V25-gdp_agr_share!V25</f>
        <v>0.77130768670538519</v>
      </c>
      <c r="W25" s="29">
        <f>1-gdp_ind_share!W25-gdp_agr_share!W25</f>
        <v>0.76605890923919384</v>
      </c>
      <c r="X25" s="29">
        <f>1-gdp_ind_share!X25-gdp_agr_share!X25</f>
        <v>0.78201894190578725</v>
      </c>
      <c r="Y25" s="29">
        <f>1-gdp_ind_share!Y25-gdp_agr_share!Y25</f>
        <v>0.79976075709236161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25">
      <c r="A26" s="1" t="s">
        <v>64</v>
      </c>
      <c r="B26" s="1" t="s">
        <v>77</v>
      </c>
      <c r="C26" s="1" t="s">
        <v>78</v>
      </c>
      <c r="D26" s="29">
        <f>1-gdp_ind_share!D26-gdp_agr_share!D26</f>
        <v>0.29305717221901917</v>
      </c>
      <c r="E26" s="29">
        <f>1-gdp_ind_share!E26-gdp_agr_share!E26</f>
        <v>0.42749187020620488</v>
      </c>
      <c r="F26" s="29">
        <f>1-gdp_ind_share!F26-gdp_agr_share!F26</f>
        <v>0.45101785068869082</v>
      </c>
      <c r="G26" s="29">
        <f>1-gdp_ind_share!G26-gdp_agr_share!G26</f>
        <v>0.55503054096811089</v>
      </c>
      <c r="H26" s="29">
        <f>1-gdp_ind_share!H26-gdp_agr_share!H26</f>
        <v>0.49043532926312478</v>
      </c>
      <c r="I26" s="29">
        <f>1-gdp_ind_share!I26-gdp_agr_share!I26</f>
        <v>0.44271959719082665</v>
      </c>
      <c r="J26" s="29">
        <f>1-gdp_ind_share!J26-gdp_agr_share!J26</f>
        <v>0.43320165306355396</v>
      </c>
      <c r="K26" s="29">
        <f>1-gdp_ind_share!K26-gdp_agr_share!K26</f>
        <v>0.53805417386410981</v>
      </c>
      <c r="L26" s="30">
        <f>1-gdp_ind_share!L26-gdp_agr_share!L26</f>
        <v>0.59201165340119899</v>
      </c>
      <c r="M26" s="29">
        <f>1-gdp_ind_share!M26-gdp_agr_share!M26</f>
        <v>0.65676062884570618</v>
      </c>
      <c r="N26" s="29">
        <f>1-gdp_ind_share!N26-gdp_agr_share!N26</f>
        <v>0.71625978889641295</v>
      </c>
      <c r="O26" s="29">
        <f>1-gdp_ind_share!O26-gdp_agr_share!O26</f>
        <v>0.73224114630363779</v>
      </c>
      <c r="P26" s="29">
        <f>1-gdp_ind_share!P26-gdp_agr_share!P26</f>
        <v>0.77294252999669066</v>
      </c>
      <c r="Q26" s="29">
        <f>1-gdp_ind_share!Q26-gdp_agr_share!Q26</f>
        <v>0.73536669625665252</v>
      </c>
      <c r="R26" s="29">
        <f>1-gdp_ind_share!R26-gdp_agr_share!R26</f>
        <v>0.72345177114898562</v>
      </c>
      <c r="S26" s="29">
        <f>1-gdp_ind_share!S26-gdp_agr_share!S26</f>
        <v>0.77271292258876567</v>
      </c>
      <c r="T26" s="29">
        <f>1-gdp_ind_share!T26-gdp_agr_share!T26</f>
        <v>0.78820665266816692</v>
      </c>
      <c r="U26" s="29">
        <f>1-gdp_ind_share!U26-gdp_agr_share!U26</f>
        <v>0.72217742685097108</v>
      </c>
      <c r="V26" s="29">
        <f>1-gdp_ind_share!V26-gdp_agr_share!V26</f>
        <v>0.76134601780057642</v>
      </c>
      <c r="W26" s="29">
        <f>1-gdp_ind_share!W26-gdp_agr_share!W26</f>
        <v>0.75239089707397477</v>
      </c>
      <c r="X26" s="29">
        <f>1-gdp_ind_share!X26-gdp_agr_share!X26</f>
        <v>0.76722309690164847</v>
      </c>
      <c r="Y26" s="29">
        <f>1-gdp_ind_share!Y26-gdp_agr_share!Y26</f>
        <v>0.78639668128738904</v>
      </c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s="26" customFormat="1" x14ac:dyDescent="0.25">
      <c r="A27" s="24" t="s">
        <v>79</v>
      </c>
      <c r="B27" s="24" t="s">
        <v>80</v>
      </c>
      <c r="C27" s="24" t="s">
        <v>81</v>
      </c>
      <c r="D27" s="29" t="e">
        <f>1-gdp_ind_share!D27-gdp_agr_share!D27</f>
        <v>#DIV/0!</v>
      </c>
      <c r="E27" s="29" t="e">
        <f>1-gdp_ind_share!E27-gdp_agr_share!E27</f>
        <v>#DIV/0!</v>
      </c>
      <c r="F27" s="29" t="e">
        <f>1-gdp_ind_share!F27-gdp_agr_share!F27</f>
        <v>#DIV/0!</v>
      </c>
      <c r="G27" s="29" t="e">
        <f>1-gdp_ind_share!G27-gdp_agr_share!G27</f>
        <v>#DIV/0!</v>
      </c>
      <c r="H27" s="29">
        <f>1-gdp_ind_share!H27-gdp_agr_share!H27</f>
        <v>0.89570740288206274</v>
      </c>
      <c r="I27" s="29">
        <f>1-gdp_ind_share!I27-gdp_agr_share!I27</f>
        <v>0.73765884827056438</v>
      </c>
      <c r="J27" s="29">
        <f>1-gdp_ind_share!J27-gdp_agr_share!J27</f>
        <v>0.90309265963063734</v>
      </c>
      <c r="K27" s="29">
        <f>1-gdp_ind_share!K27-gdp_agr_share!K27</f>
        <v>0.93632492144311086</v>
      </c>
      <c r="L27" s="30">
        <f>1-gdp_ind_share!L27-gdp_agr_share!L27</f>
        <v>0.91636056537381028</v>
      </c>
      <c r="M27" s="29">
        <f>1-gdp_ind_share!M27-gdp_agr_share!M27</f>
        <v>0.89240333809064953</v>
      </c>
      <c r="N27" s="29">
        <f>1-gdp_ind_share!N27-gdp_agr_share!N27</f>
        <v>0.94899275495401192</v>
      </c>
      <c r="O27" s="29">
        <f>1-gdp_ind_share!O27-gdp_agr_share!O27</f>
        <v>0.94188538183147996</v>
      </c>
      <c r="P27" s="29">
        <f>1-gdp_ind_share!P27-gdp_agr_share!P27</f>
        <v>0.94445006421143818</v>
      </c>
      <c r="Q27" s="29">
        <f>1-gdp_ind_share!Q27-gdp_agr_share!Q27</f>
        <v>0.92419814646743748</v>
      </c>
      <c r="R27" s="29">
        <f>1-gdp_ind_share!R27-gdp_agr_share!R27</f>
        <v>0.93931859436831411</v>
      </c>
      <c r="S27" s="29">
        <f>1-gdp_ind_share!S27-gdp_agr_share!S27</f>
        <v>0.93225937683256577</v>
      </c>
      <c r="T27" s="29">
        <f>1-gdp_ind_share!T27-gdp_agr_share!T27</f>
        <v>0.9299926598809386</v>
      </c>
      <c r="U27" s="29">
        <f>1-gdp_ind_share!U27-gdp_agr_share!U27</f>
        <v>0.94432065631968154</v>
      </c>
      <c r="V27" s="29">
        <f>1-gdp_ind_share!V27-gdp_agr_share!V27</f>
        <v>0.94497747981131464</v>
      </c>
      <c r="W27" s="29">
        <f>1-gdp_ind_share!W27-gdp_agr_share!W27</f>
        <v>0.94860729075692252</v>
      </c>
      <c r="X27" s="29">
        <f>1-gdp_ind_share!X27-gdp_agr_share!X27</f>
        <v>0.93896785085561085</v>
      </c>
      <c r="Y27" s="29">
        <f>1-gdp_ind_share!Y27-gdp_agr_share!Y27</f>
        <v>0.93654734792281991</v>
      </c>
      <c r="Z27" s="25"/>
      <c r="AA27" s="27"/>
      <c r="AB27" s="27"/>
      <c r="AC27" s="25"/>
      <c r="AD27" s="25"/>
      <c r="AE27" s="25"/>
      <c r="AF27" s="25"/>
      <c r="AG27" s="25"/>
      <c r="AH27" s="25"/>
      <c r="AI27" s="25"/>
      <c r="AJ27" s="25"/>
    </row>
    <row r="28" spans="1:36" x14ac:dyDescent="0.25">
      <c r="A28" s="1" t="s">
        <v>82</v>
      </c>
      <c r="B28" s="1" t="s">
        <v>83</v>
      </c>
      <c r="C28" s="1" t="s">
        <v>84</v>
      </c>
      <c r="D28" s="29">
        <f>1-gdp_ind_share!D28-gdp_agr_share!D28</f>
        <v>0.2069685567166939</v>
      </c>
      <c r="E28" s="29">
        <f>1-gdp_ind_share!E28-gdp_agr_share!E28</f>
        <v>0.2638826041867115</v>
      </c>
      <c r="F28" s="29">
        <f>1-gdp_ind_share!F28-gdp_agr_share!F28</f>
        <v>0.36323493341562063</v>
      </c>
      <c r="G28" s="29">
        <f>1-gdp_ind_share!G28-gdp_agr_share!G28</f>
        <v>0.40764101613873338</v>
      </c>
      <c r="H28" s="29">
        <f>1-gdp_ind_share!H28-gdp_agr_share!H28</f>
        <v>0.39252973665601748</v>
      </c>
      <c r="I28" s="29">
        <f>1-gdp_ind_share!I28-gdp_agr_share!I28</f>
        <v>0.41893113359493006</v>
      </c>
      <c r="J28" s="29">
        <f>1-gdp_ind_share!J28-gdp_agr_share!J28</f>
        <v>0.34006857679774904</v>
      </c>
      <c r="K28" s="29">
        <f>1-gdp_ind_share!K28-gdp_agr_share!K28</f>
        <v>0.35280627586967328</v>
      </c>
      <c r="L28" s="30">
        <f>1-gdp_ind_share!L28-gdp_agr_share!L28</f>
        <v>0.38715092098926601</v>
      </c>
      <c r="M28" s="29">
        <f>1-gdp_ind_share!M28-gdp_agr_share!M28</f>
        <v>0.42836449513277713</v>
      </c>
      <c r="N28" s="29">
        <f>1-gdp_ind_share!N28-gdp_agr_share!N28</f>
        <v>0.63634712890660039</v>
      </c>
      <c r="O28" s="29">
        <f>1-gdp_ind_share!O28-gdp_agr_share!O28</f>
        <v>0.5919349824446265</v>
      </c>
      <c r="P28" s="29">
        <f>1-gdp_ind_share!P28-gdp_agr_share!P28</f>
        <v>0.66386067254548586</v>
      </c>
      <c r="Q28" s="29">
        <f>1-gdp_ind_share!Q28-gdp_agr_share!Q28</f>
        <v>0.75829849782954961</v>
      </c>
      <c r="R28" s="29">
        <f>1-gdp_ind_share!R28-gdp_agr_share!R28</f>
        <v>0.7681279111774344</v>
      </c>
      <c r="S28" s="29">
        <f>1-gdp_ind_share!S28-gdp_agr_share!S28</f>
        <v>0.76171834874535438</v>
      </c>
      <c r="T28" s="29">
        <f>1-gdp_ind_share!T28-gdp_agr_share!T28</f>
        <v>0.72706939963798145</v>
      </c>
      <c r="U28" s="29">
        <f>1-gdp_ind_share!U28-gdp_agr_share!U28</f>
        <v>0.70028618378255292</v>
      </c>
      <c r="V28" s="29">
        <f>1-gdp_ind_share!V28-gdp_agr_share!V28</f>
        <v>0.74272983300549533</v>
      </c>
      <c r="W28" s="29">
        <f>1-gdp_ind_share!W28-gdp_agr_share!W28</f>
        <v>0.75726108458825436</v>
      </c>
      <c r="X28" s="29">
        <f>1-gdp_ind_share!X28-gdp_agr_share!X28</f>
        <v>0.75382959606571642</v>
      </c>
      <c r="Y28" s="29">
        <f>1-gdp_ind_share!Y28-gdp_agr_share!Y28</f>
        <v>0.71992379205904455</v>
      </c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25">
      <c r="A29" s="1" t="s">
        <v>82</v>
      </c>
      <c r="B29" s="1" t="s">
        <v>85</v>
      </c>
      <c r="C29" s="1" t="s">
        <v>86</v>
      </c>
      <c r="D29" s="29">
        <f>1-gdp_ind_share!D29-gdp_agr_share!D29</f>
        <v>0.23350578062541893</v>
      </c>
      <c r="E29" s="29">
        <f>1-gdp_ind_share!E29-gdp_agr_share!E29</f>
        <v>0.28560312426932288</v>
      </c>
      <c r="F29" s="29">
        <f>1-gdp_ind_share!F29-gdp_agr_share!F29</f>
        <v>0.30046249428642424</v>
      </c>
      <c r="G29" s="29">
        <f>1-gdp_ind_share!G29-gdp_agr_share!G29</f>
        <v>0.29468088228761891</v>
      </c>
      <c r="H29" s="29">
        <f>1-gdp_ind_share!H29-gdp_agr_share!H29</f>
        <v>0.40736957572230303</v>
      </c>
      <c r="I29" s="29">
        <f>1-gdp_ind_share!I29-gdp_agr_share!I29</f>
        <v>0.39745118558142162</v>
      </c>
      <c r="J29" s="29">
        <f>1-gdp_ind_share!J29-gdp_agr_share!J29</f>
        <v>0.32261904616241199</v>
      </c>
      <c r="K29" s="29">
        <f>1-gdp_ind_share!K29-gdp_agr_share!K29</f>
        <v>0.31071321045433475</v>
      </c>
      <c r="L29" s="30">
        <f>1-gdp_ind_share!L29-gdp_agr_share!L29</f>
        <v>0.31446194725600418</v>
      </c>
      <c r="M29" s="29">
        <f>1-gdp_ind_share!M29-gdp_agr_share!M29</f>
        <v>0.31896043141800756</v>
      </c>
      <c r="N29" s="29">
        <f>1-gdp_ind_share!N29-gdp_agr_share!N29</f>
        <v>0.43736589081364557</v>
      </c>
      <c r="O29" s="29">
        <f>1-gdp_ind_share!O29-gdp_agr_share!O29</f>
        <v>0.40626638544759763</v>
      </c>
      <c r="P29" s="29">
        <f>1-gdp_ind_share!P29-gdp_agr_share!P29</f>
        <v>0.48675682573439838</v>
      </c>
      <c r="Q29" s="29">
        <f>1-gdp_ind_share!Q29-gdp_agr_share!Q29</f>
        <v>0.53046871497739245</v>
      </c>
      <c r="R29" s="29">
        <f>1-gdp_ind_share!R29-gdp_agr_share!R29</f>
        <v>0.49579536644617889</v>
      </c>
      <c r="S29" s="29">
        <f>1-gdp_ind_share!S29-gdp_agr_share!S29</f>
        <v>0.57061886264048456</v>
      </c>
      <c r="T29" s="29">
        <f>1-gdp_ind_share!T29-gdp_agr_share!T29</f>
        <v>0.52399050469063047</v>
      </c>
      <c r="U29" s="29">
        <f>1-gdp_ind_share!U29-gdp_agr_share!U29</f>
        <v>0.42263569692359193</v>
      </c>
      <c r="V29" s="29">
        <f>1-gdp_ind_share!V29-gdp_agr_share!V29</f>
        <v>0.38786218813812395</v>
      </c>
      <c r="W29" s="29">
        <f>1-gdp_ind_share!W29-gdp_agr_share!W29</f>
        <v>0.31616162877109588</v>
      </c>
      <c r="X29" s="29">
        <f>1-gdp_ind_share!X29-gdp_agr_share!X29</f>
        <v>0.40878299929463396</v>
      </c>
      <c r="Y29" s="29">
        <f>1-gdp_ind_share!Y29-gdp_agr_share!Y29</f>
        <v>0.44816625320076126</v>
      </c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5">
      <c r="A30" s="1" t="s">
        <v>82</v>
      </c>
      <c r="B30" s="1" t="s">
        <v>87</v>
      </c>
      <c r="C30" s="1" t="s">
        <v>88</v>
      </c>
      <c r="D30" s="29">
        <f>1-gdp_ind_share!D30-gdp_agr_share!D30</f>
        <v>0.29988354988701482</v>
      </c>
      <c r="E30" s="29">
        <f>1-gdp_ind_share!E30-gdp_agr_share!E30</f>
        <v>0.6090181398513852</v>
      </c>
      <c r="F30" s="29">
        <f>1-gdp_ind_share!F30-gdp_agr_share!F30</f>
        <v>0.63821358791690053</v>
      </c>
      <c r="G30" s="29">
        <f>1-gdp_ind_share!G30-gdp_agr_share!G30</f>
        <v>0.76887750475354077</v>
      </c>
      <c r="H30" s="29">
        <f>1-gdp_ind_share!H30-gdp_agr_share!H30</f>
        <v>0.74090002043233594</v>
      </c>
      <c r="I30" s="29">
        <f>1-gdp_ind_share!I30-gdp_agr_share!I30</f>
        <v>0.6421118240135818</v>
      </c>
      <c r="J30" s="29">
        <f>1-gdp_ind_share!J30-gdp_agr_share!J30</f>
        <v>0.56885629946684924</v>
      </c>
      <c r="K30" s="29">
        <f>1-gdp_ind_share!K30-gdp_agr_share!K30</f>
        <v>0.49352702267869275</v>
      </c>
      <c r="L30" s="30">
        <f>1-gdp_ind_share!L30-gdp_agr_share!L30</f>
        <v>0.56272298910332919</v>
      </c>
      <c r="M30" s="29">
        <f>1-gdp_ind_share!M30-gdp_agr_share!M30</f>
        <v>0.64575814881289284</v>
      </c>
      <c r="N30" s="29">
        <f>1-gdp_ind_share!N30-gdp_agr_share!N30</f>
        <v>0.72338955180789755</v>
      </c>
      <c r="O30" s="29">
        <f>1-gdp_ind_share!O30-gdp_agr_share!O30</f>
        <v>0.71203047722109936</v>
      </c>
      <c r="P30" s="29">
        <f>1-gdp_ind_share!P30-gdp_agr_share!P30</f>
        <v>0.73288129662986934</v>
      </c>
      <c r="Q30" s="29">
        <f>1-gdp_ind_share!Q30-gdp_agr_share!Q30</f>
        <v>0.67772634860066927</v>
      </c>
      <c r="R30" s="29">
        <f>1-gdp_ind_share!R30-gdp_agr_share!R30</f>
        <v>0.69691834256607343</v>
      </c>
      <c r="S30" s="29">
        <f>1-gdp_ind_share!S30-gdp_agr_share!S30</f>
        <v>0.69686621167552232</v>
      </c>
      <c r="T30" s="29">
        <f>1-gdp_ind_share!T30-gdp_agr_share!T30</f>
        <v>0.70102679679800906</v>
      </c>
      <c r="U30" s="29">
        <f>1-gdp_ind_share!U30-gdp_agr_share!U30</f>
        <v>0.68673841247023004</v>
      </c>
      <c r="V30" s="29">
        <f>1-gdp_ind_share!V30-gdp_agr_share!V30</f>
        <v>0.72315452809539171</v>
      </c>
      <c r="W30" s="29">
        <f>1-gdp_ind_share!W30-gdp_agr_share!W30</f>
        <v>0.73115582070627494</v>
      </c>
      <c r="X30" s="29">
        <f>1-gdp_ind_share!X30-gdp_agr_share!X30</f>
        <v>0.7692997942894334</v>
      </c>
      <c r="Y30" s="29">
        <f>1-gdp_ind_share!Y30-gdp_agr_share!Y30</f>
        <v>0.71424044407617149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25">
      <c r="A31" s="1" t="s">
        <v>82</v>
      </c>
      <c r="B31" s="1" t="s">
        <v>89</v>
      </c>
      <c r="C31" s="1" t="s">
        <v>90</v>
      </c>
      <c r="D31" s="29">
        <f>1-gdp_ind_share!D31-gdp_agr_share!D31</f>
        <v>0.14879806780940708</v>
      </c>
      <c r="E31" s="29">
        <f>1-gdp_ind_share!E31-gdp_agr_share!E31</f>
        <v>0.34263501643739869</v>
      </c>
      <c r="F31" s="29">
        <f>1-gdp_ind_share!F31-gdp_agr_share!F31</f>
        <v>0.40050907405127939</v>
      </c>
      <c r="G31" s="29">
        <f>1-gdp_ind_share!G31-gdp_agr_share!G31</f>
        <v>0.48623104588679222</v>
      </c>
      <c r="H31" s="29">
        <f>1-gdp_ind_share!H31-gdp_agr_share!H31</f>
        <v>0.41436567384876399</v>
      </c>
      <c r="I31" s="29">
        <f>1-gdp_ind_share!I31-gdp_agr_share!I31</f>
        <v>0.43712673769983057</v>
      </c>
      <c r="J31" s="29">
        <f>1-gdp_ind_share!J31-gdp_agr_share!J31</f>
        <v>0.42758446894705954</v>
      </c>
      <c r="K31" s="29">
        <f>1-gdp_ind_share!K31-gdp_agr_share!K31</f>
        <v>0.4132773135834335</v>
      </c>
      <c r="L31" s="30">
        <f>1-gdp_ind_share!L31-gdp_agr_share!L31</f>
        <v>0.44099215808743375</v>
      </c>
      <c r="M31" s="29">
        <f>1-gdp_ind_share!M31-gdp_agr_share!M31</f>
        <v>0.47424997149223386</v>
      </c>
      <c r="N31" s="29">
        <f>1-gdp_ind_share!N31-gdp_agr_share!N31</f>
        <v>0.57777868287041212</v>
      </c>
      <c r="O31" s="29">
        <f>1-gdp_ind_share!O31-gdp_agr_share!O31</f>
        <v>0.57432110508377721</v>
      </c>
      <c r="P31" s="29">
        <f>1-gdp_ind_share!P31-gdp_agr_share!P31</f>
        <v>0.66680600250408528</v>
      </c>
      <c r="Q31" s="29">
        <f>1-gdp_ind_share!Q31-gdp_agr_share!Q31</f>
        <v>0.71615915838158839</v>
      </c>
      <c r="R31" s="29">
        <f>1-gdp_ind_share!R31-gdp_agr_share!R31</f>
        <v>0.68023066066500915</v>
      </c>
      <c r="S31" s="29">
        <f>1-gdp_ind_share!S31-gdp_agr_share!S31</f>
        <v>0.67291489388581593</v>
      </c>
      <c r="T31" s="29">
        <f>1-gdp_ind_share!T31-gdp_agr_share!T31</f>
        <v>0.59851473702254465</v>
      </c>
      <c r="U31" s="29">
        <f>1-gdp_ind_share!U31-gdp_agr_share!U31</f>
        <v>0.62726873391704252</v>
      </c>
      <c r="V31" s="29">
        <f>1-gdp_ind_share!V31-gdp_agr_share!V31</f>
        <v>0.51267673507422196</v>
      </c>
      <c r="W31" s="29">
        <f>1-gdp_ind_share!W31-gdp_agr_share!W31</f>
        <v>0.45255955646471907</v>
      </c>
      <c r="X31" s="29">
        <f>1-gdp_ind_share!X31-gdp_agr_share!X31</f>
        <v>0.51358413164755545</v>
      </c>
      <c r="Y31" s="29">
        <f>1-gdp_ind_share!Y31-gdp_agr_share!Y31</f>
        <v>0.33650883107435914</v>
      </c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x14ac:dyDescent="0.25">
      <c r="A32" s="1" t="s">
        <v>91</v>
      </c>
      <c r="B32" s="1" t="s">
        <v>92</v>
      </c>
      <c r="C32" s="1" t="s">
        <v>93</v>
      </c>
      <c r="D32" s="29">
        <f>1-gdp_ind_share!D32-gdp_agr_share!D32</f>
        <v>0.47214358311624122</v>
      </c>
      <c r="E32" s="29">
        <f>1-gdp_ind_share!E32-gdp_agr_share!E32</f>
        <v>0.40600299021359165</v>
      </c>
      <c r="F32" s="29">
        <f>1-gdp_ind_share!F32-gdp_agr_share!F32</f>
        <v>0.18768866803380568</v>
      </c>
      <c r="G32" s="29">
        <f>1-gdp_ind_share!G32-gdp_agr_share!G32</f>
        <v>0.18218312931662728</v>
      </c>
      <c r="H32" s="29">
        <f>1-gdp_ind_share!H32-gdp_agr_share!H32</f>
        <v>0.40296076436071049</v>
      </c>
      <c r="I32" s="29">
        <f>1-gdp_ind_share!I32-gdp_agr_share!I32</f>
        <v>0.40453188496345605</v>
      </c>
      <c r="J32" s="29">
        <f>1-gdp_ind_share!J32-gdp_agr_share!J32</f>
        <v>0.31472392461203447</v>
      </c>
      <c r="K32" s="29">
        <f>1-gdp_ind_share!K32-gdp_agr_share!K32</f>
        <v>0.46887061351713871</v>
      </c>
      <c r="L32" s="30">
        <f>1-gdp_ind_share!L32-gdp_agr_share!L32</f>
        <v>0.41547796431709033</v>
      </c>
      <c r="M32" s="29">
        <f>1-gdp_ind_share!M32-gdp_agr_share!M32</f>
        <v>0.35140678527703217</v>
      </c>
      <c r="N32" s="29">
        <f>1-gdp_ind_share!N32-gdp_agr_share!N32</f>
        <v>0.60533493973457442</v>
      </c>
      <c r="O32" s="29">
        <f>1-gdp_ind_share!O32-gdp_agr_share!O32</f>
        <v>0.5562846325830233</v>
      </c>
      <c r="P32" s="29">
        <f>1-gdp_ind_share!P32-gdp_agr_share!P32</f>
        <v>0.5370589841163087</v>
      </c>
      <c r="Q32" s="29">
        <f>1-gdp_ind_share!Q32-gdp_agr_share!Q32</f>
        <v>0.56223795195549187</v>
      </c>
      <c r="R32" s="29">
        <f>1-gdp_ind_share!R32-gdp_agr_share!R32</f>
        <v>0.57346489587204919</v>
      </c>
      <c r="S32" s="29">
        <f>1-gdp_ind_share!S32-gdp_agr_share!S32</f>
        <v>0.53031151929393694</v>
      </c>
      <c r="T32" s="29">
        <f>1-gdp_ind_share!T32-gdp_agr_share!T32</f>
        <v>0.59825636653115677</v>
      </c>
      <c r="U32" s="29">
        <f>1-gdp_ind_share!U32-gdp_agr_share!U32</f>
        <v>0.64603169812779193</v>
      </c>
      <c r="V32" s="29">
        <f>1-gdp_ind_share!V32-gdp_agr_share!V32</f>
        <v>0.61421903482908013</v>
      </c>
      <c r="W32" s="29">
        <f>1-gdp_ind_share!W32-gdp_agr_share!W32</f>
        <v>0.62394642219940355</v>
      </c>
      <c r="X32" s="29">
        <f>1-gdp_ind_share!X32-gdp_agr_share!X32</f>
        <v>0.58657951285931476</v>
      </c>
      <c r="Y32" s="29">
        <f>1-gdp_ind_share!Y32-gdp_agr_share!Y32</f>
        <v>0.56816059191274193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25">
      <c r="A33" s="1" t="s">
        <v>91</v>
      </c>
      <c r="B33" s="1" t="s">
        <v>94</v>
      </c>
      <c r="C33" s="1" t="s">
        <v>95</v>
      </c>
      <c r="D33" s="29">
        <f>1-gdp_ind_share!D33-gdp_agr_share!D33</f>
        <v>0.39301822260195496</v>
      </c>
      <c r="E33" s="29">
        <f>1-gdp_ind_share!E33-gdp_agr_share!E33</f>
        <v>9.4970104327399607E-2</v>
      </c>
      <c r="F33" s="29">
        <f>1-gdp_ind_share!F33-gdp_agr_share!F33</f>
        <v>9.005428731104137E-2</v>
      </c>
      <c r="G33" s="29">
        <f>1-gdp_ind_share!G33-gdp_agr_share!G33</f>
        <v>0.15988441325102642</v>
      </c>
      <c r="H33" s="29">
        <f>1-gdp_ind_share!H33-gdp_agr_share!H33</f>
        <v>0.2981626310440732</v>
      </c>
      <c r="I33" s="29">
        <f>1-gdp_ind_share!I33-gdp_agr_share!I33</f>
        <v>0.39221656087694945</v>
      </c>
      <c r="J33" s="29">
        <f>1-gdp_ind_share!J33-gdp_agr_share!J33</f>
        <v>0.30601555136993119</v>
      </c>
      <c r="K33" s="29">
        <f>1-gdp_ind_share!K33-gdp_agr_share!K33</f>
        <v>0.30154159165481503</v>
      </c>
      <c r="L33" s="30">
        <f>1-gdp_ind_share!L33-gdp_agr_share!L33</f>
        <v>0.32691462162853296</v>
      </c>
      <c r="M33" s="29">
        <f>1-gdp_ind_share!M33-gdp_agr_share!M33</f>
        <v>0.35736225759699447</v>
      </c>
      <c r="N33" s="29">
        <f>1-gdp_ind_share!N33-gdp_agr_share!N33</f>
        <v>0.55739001390810849</v>
      </c>
      <c r="O33" s="29">
        <f>1-gdp_ind_share!O33-gdp_agr_share!O33</f>
        <v>0.51790468229760078</v>
      </c>
      <c r="P33" s="29">
        <f>1-gdp_ind_share!P33-gdp_agr_share!P33</f>
        <v>0.46811035100084808</v>
      </c>
      <c r="Q33" s="29">
        <f>1-gdp_ind_share!Q33-gdp_agr_share!Q33</f>
        <v>0.40279148502526346</v>
      </c>
      <c r="R33" s="29">
        <f>1-gdp_ind_share!R33-gdp_agr_share!R33</f>
        <v>0.37731312961154417</v>
      </c>
      <c r="S33" s="29">
        <f>1-gdp_ind_share!S33-gdp_agr_share!S33</f>
        <v>0.37094117738090082</v>
      </c>
      <c r="T33" s="29">
        <f>1-gdp_ind_share!T33-gdp_agr_share!T33</f>
        <v>0.42344339070397402</v>
      </c>
      <c r="U33" s="29">
        <f>1-gdp_ind_share!U33-gdp_agr_share!U33</f>
        <v>0.44943300097289735</v>
      </c>
      <c r="V33" s="29">
        <f>1-gdp_ind_share!V33-gdp_agr_share!V33</f>
        <v>0.33634824186814738</v>
      </c>
      <c r="W33" s="29">
        <f>1-gdp_ind_share!W33-gdp_agr_share!W33</f>
        <v>0.41693022740233043</v>
      </c>
      <c r="X33" s="29">
        <f>1-gdp_ind_share!X33-gdp_agr_share!X33</f>
        <v>0.41984801295767404</v>
      </c>
      <c r="Y33" s="29">
        <f>1-gdp_ind_share!Y33-gdp_agr_share!Y33</f>
        <v>0.4646867385590886</v>
      </c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x14ac:dyDescent="0.25">
      <c r="A34" s="1" t="s">
        <v>91</v>
      </c>
      <c r="B34" s="1" t="s">
        <v>96</v>
      </c>
      <c r="C34" s="1" t="s">
        <v>97</v>
      </c>
      <c r="D34" s="29">
        <f>1-gdp_ind_share!D34-gdp_agr_share!D34</f>
        <v>0.21342940919702125</v>
      </c>
      <c r="E34" s="29">
        <f>1-gdp_ind_share!E34-gdp_agr_share!E34</f>
        <v>0.39545123725293918</v>
      </c>
      <c r="F34" s="29">
        <f>1-gdp_ind_share!F34-gdp_agr_share!F34</f>
        <v>0.6239351457047112</v>
      </c>
      <c r="G34" s="29">
        <f>1-gdp_ind_share!G34-gdp_agr_share!G34</f>
        <v>0.58140853739626897</v>
      </c>
      <c r="H34" s="29">
        <f>1-gdp_ind_share!H34-gdp_agr_share!H34</f>
        <v>0.62223226899213679</v>
      </c>
      <c r="I34" s="29">
        <f>1-gdp_ind_share!I34-gdp_agr_share!I34</f>
        <v>0.73710368492859779</v>
      </c>
      <c r="J34" s="29">
        <f>1-gdp_ind_share!J34-gdp_agr_share!J34</f>
        <v>0.6041676172137963</v>
      </c>
      <c r="K34" s="29">
        <f>1-gdp_ind_share!K34-gdp_agr_share!K34</f>
        <v>0.65976431367490773</v>
      </c>
      <c r="L34" s="30">
        <f>1-gdp_ind_share!L34-gdp_agr_share!L34</f>
        <v>0.66241084804732175</v>
      </c>
      <c r="M34" s="29">
        <f>1-gdp_ind_share!M34-gdp_agr_share!M34</f>
        <v>0.6655866892942186</v>
      </c>
      <c r="N34" s="29">
        <f>1-gdp_ind_share!N34-gdp_agr_share!N34</f>
        <v>0.79759097984791805</v>
      </c>
      <c r="O34" s="29">
        <f>1-gdp_ind_share!O34-gdp_agr_share!O34</f>
        <v>0.77082928747483936</v>
      </c>
      <c r="P34" s="29">
        <f>1-gdp_ind_share!P34-gdp_agr_share!P34</f>
        <v>0.77745532226704139</v>
      </c>
      <c r="Q34" s="29">
        <f>1-gdp_ind_share!Q34-gdp_agr_share!Q34</f>
        <v>0.74258492129447362</v>
      </c>
      <c r="R34" s="29">
        <f>1-gdp_ind_share!R34-gdp_agr_share!R34</f>
        <v>0.74379749150316921</v>
      </c>
      <c r="S34" s="29">
        <f>1-gdp_ind_share!S34-gdp_agr_share!S34</f>
        <v>0.72973191038471874</v>
      </c>
      <c r="T34" s="29">
        <f>1-gdp_ind_share!T34-gdp_agr_share!T34</f>
        <v>0.73404010406445297</v>
      </c>
      <c r="U34" s="29">
        <f>1-gdp_ind_share!U34-gdp_agr_share!U34</f>
        <v>0.7390104730015834</v>
      </c>
      <c r="V34" s="29">
        <f>1-gdp_ind_share!V34-gdp_agr_share!V34</f>
        <v>0.73227079770054604</v>
      </c>
      <c r="W34" s="29">
        <f>1-gdp_ind_share!W34-gdp_agr_share!W34</f>
        <v>0.7371936713198467</v>
      </c>
      <c r="X34" s="29">
        <f>1-gdp_ind_share!X34-gdp_agr_share!X34</f>
        <v>0.72205749358623639</v>
      </c>
      <c r="Y34" s="29">
        <f>1-gdp_ind_share!Y34-gdp_agr_share!Y34</f>
        <v>0.71144061655447177</v>
      </c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25">
      <c r="A35" s="1" t="s">
        <v>91</v>
      </c>
      <c r="B35" s="1" t="s">
        <v>98</v>
      </c>
      <c r="C35" s="1" t="s">
        <v>99</v>
      </c>
      <c r="D35" s="29">
        <f>1-gdp_ind_share!D35-gdp_agr_share!D35</f>
        <v>0.3297895511341965</v>
      </c>
      <c r="E35" s="29">
        <f>1-gdp_ind_share!E35-gdp_agr_share!E35</f>
        <v>0.24777582412396582</v>
      </c>
      <c r="F35" s="29">
        <f>1-gdp_ind_share!F35-gdp_agr_share!F35</f>
        <v>0.14906684645143242</v>
      </c>
      <c r="G35" s="29">
        <f>1-gdp_ind_share!G35-gdp_agr_share!G35</f>
        <v>0.33718707854956576</v>
      </c>
      <c r="H35" s="29">
        <f>1-gdp_ind_share!H35-gdp_agr_share!H35</f>
        <v>0.49240784835579338</v>
      </c>
      <c r="I35" s="29">
        <f>1-gdp_ind_share!I35-gdp_agr_share!I35</f>
        <v>0.46111010702703248</v>
      </c>
      <c r="J35" s="29">
        <f>1-gdp_ind_share!J35-gdp_agr_share!J35</f>
        <v>0.4347433863576356</v>
      </c>
      <c r="K35" s="29">
        <f>1-gdp_ind_share!K35-gdp_agr_share!K35</f>
        <v>0.49925792657871065</v>
      </c>
      <c r="L35" s="30">
        <f>1-gdp_ind_share!L35-gdp_agr_share!L35</f>
        <v>0.61550098092736139</v>
      </c>
      <c r="M35" s="29">
        <f>1-gdp_ind_share!M35-gdp_agr_share!M35</f>
        <v>0.75499264614574224</v>
      </c>
      <c r="N35" s="29">
        <f>1-gdp_ind_share!N35-gdp_agr_share!N35</f>
        <v>0.74403673235637824</v>
      </c>
      <c r="O35" s="29">
        <f>1-gdp_ind_share!O35-gdp_agr_share!O35</f>
        <v>0.7158071915074109</v>
      </c>
      <c r="P35" s="29">
        <f>1-gdp_ind_share!P35-gdp_agr_share!P35</f>
        <v>0.69758428629084124</v>
      </c>
      <c r="Q35" s="29">
        <f>1-gdp_ind_share!Q35-gdp_agr_share!Q35</f>
        <v>0.72101890157068804</v>
      </c>
      <c r="R35" s="29">
        <f>1-gdp_ind_share!R35-gdp_agr_share!R35</f>
        <v>0.70110569148531532</v>
      </c>
      <c r="S35" s="29">
        <f>1-gdp_ind_share!S35-gdp_agr_share!S35</f>
        <v>0.69825259592603162</v>
      </c>
      <c r="T35" s="29">
        <f>1-gdp_ind_share!T35-gdp_agr_share!T35</f>
        <v>0.72371006901472157</v>
      </c>
      <c r="U35" s="29">
        <f>1-gdp_ind_share!U35-gdp_agr_share!U35</f>
        <v>0.75565812588743619</v>
      </c>
      <c r="V35" s="29">
        <f>1-gdp_ind_share!V35-gdp_agr_share!V35</f>
        <v>0.68687323569230274</v>
      </c>
      <c r="W35" s="29">
        <f>1-gdp_ind_share!W35-gdp_agr_share!W35</f>
        <v>0.68679253116985917</v>
      </c>
      <c r="X35" s="29">
        <f>1-gdp_ind_share!X35-gdp_agr_share!X35</f>
        <v>0.67521250154903256</v>
      </c>
      <c r="Y35" s="29">
        <f>1-gdp_ind_share!Y35-gdp_agr_share!Y35</f>
        <v>0.68526029391216481</v>
      </c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25">
      <c r="A36" s="1" t="s">
        <v>91</v>
      </c>
      <c r="B36" s="1" t="s">
        <v>100</v>
      </c>
      <c r="C36" s="1" t="s">
        <v>101</v>
      </c>
      <c r="D36" s="29">
        <f>1-gdp_ind_share!D36-gdp_agr_share!D36</f>
        <v>0.16532193553460572</v>
      </c>
      <c r="E36" s="29">
        <f>1-gdp_ind_share!E36-gdp_agr_share!E36</f>
        <v>0.28780655726998672</v>
      </c>
      <c r="F36" s="29">
        <f>1-gdp_ind_share!F36-gdp_agr_share!F36</f>
        <v>0.34844256131541684</v>
      </c>
      <c r="G36" s="29">
        <f>1-gdp_ind_share!G36-gdp_agr_share!G36</f>
        <v>0.37022536236072012</v>
      </c>
      <c r="H36" s="29">
        <f>1-gdp_ind_share!H36-gdp_agr_share!H36</f>
        <v>0.41046994190340519</v>
      </c>
      <c r="I36" s="29">
        <f>1-gdp_ind_share!I36-gdp_agr_share!I36</f>
        <v>0.43342250278707195</v>
      </c>
      <c r="J36" s="29">
        <f>1-gdp_ind_share!J36-gdp_agr_share!J36</f>
        <v>0.33765731668819293</v>
      </c>
      <c r="K36" s="29">
        <f>1-gdp_ind_share!K36-gdp_agr_share!K36</f>
        <v>0.44050953456045577</v>
      </c>
      <c r="L36" s="30">
        <f>1-gdp_ind_share!L36-gdp_agr_share!L36</f>
        <v>0.40865018103218165</v>
      </c>
      <c r="M36" s="29">
        <f>1-gdp_ind_share!M36-gdp_agr_share!M36</f>
        <v>0.37041895679825299</v>
      </c>
      <c r="N36" s="29">
        <f>1-gdp_ind_share!N36-gdp_agr_share!N36</f>
        <v>0.52685560172168988</v>
      </c>
      <c r="O36" s="29">
        <f>1-gdp_ind_share!O36-gdp_agr_share!O36</f>
        <v>0.49727682173408999</v>
      </c>
      <c r="P36" s="29">
        <f>1-gdp_ind_share!P36-gdp_agr_share!P36</f>
        <v>0.48473668506597634</v>
      </c>
      <c r="Q36" s="29">
        <f>1-gdp_ind_share!Q36-gdp_agr_share!Q36</f>
        <v>0.47998979371149048</v>
      </c>
      <c r="R36" s="29">
        <f>1-gdp_ind_share!R36-gdp_agr_share!R36</f>
        <v>0.47701537762523538</v>
      </c>
      <c r="S36" s="29">
        <f>1-gdp_ind_share!S36-gdp_agr_share!S36</f>
        <v>0.4611251328956204</v>
      </c>
      <c r="T36" s="29">
        <f>1-gdp_ind_share!T36-gdp_agr_share!T36</f>
        <v>0.51098287365760098</v>
      </c>
      <c r="U36" s="29">
        <f>1-gdp_ind_share!U36-gdp_agr_share!U36</f>
        <v>0.53024224635593042</v>
      </c>
      <c r="V36" s="29">
        <f>1-gdp_ind_share!V36-gdp_agr_share!V36</f>
        <v>0.50371551300710238</v>
      </c>
      <c r="W36" s="29">
        <f>1-gdp_ind_share!W36-gdp_agr_share!W36</f>
        <v>0.47278627912496174</v>
      </c>
      <c r="X36" s="29">
        <f>1-gdp_ind_share!X36-gdp_agr_share!X36</f>
        <v>0.48550355392456346</v>
      </c>
      <c r="Y36" s="29">
        <f>1-gdp_ind_share!Y36-gdp_agr_share!Y36</f>
        <v>0.4734471785370209</v>
      </c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25">
      <c r="A37" s="1" t="s">
        <v>102</v>
      </c>
      <c r="B37" s="1" t="s">
        <v>103</v>
      </c>
      <c r="C37" s="1" t="s">
        <v>104</v>
      </c>
      <c r="D37" s="29">
        <f>1-gdp_ind_share!D37-gdp_agr_share!D37</f>
        <v>0.81527657331924708</v>
      </c>
      <c r="E37" s="29">
        <f>1-gdp_ind_share!E37-gdp_agr_share!E37</f>
        <v>0.50523659671901877</v>
      </c>
      <c r="F37" s="29">
        <f>1-gdp_ind_share!F37-gdp_agr_share!F37</f>
        <v>0.64188808271153008</v>
      </c>
      <c r="G37" s="29">
        <f>1-gdp_ind_share!G37-gdp_agr_share!G37</f>
        <v>0.59773416242157029</v>
      </c>
      <c r="H37" s="29">
        <f>1-gdp_ind_share!H37-gdp_agr_share!H37</f>
        <v>0.56274479333434135</v>
      </c>
      <c r="I37" s="29">
        <f>1-gdp_ind_share!I37-gdp_agr_share!I37</f>
        <v>0.62074375110669489</v>
      </c>
      <c r="J37" s="29">
        <f>1-gdp_ind_share!J37-gdp_agr_share!J37</f>
        <v>0.60131460519046742</v>
      </c>
      <c r="K37" s="29">
        <f>1-gdp_ind_share!K37-gdp_agr_share!K37</f>
        <v>0.55342946860493369</v>
      </c>
      <c r="L37" s="30">
        <f>1-gdp_ind_share!L37-gdp_agr_share!L37</f>
        <v>0.61863137772515397</v>
      </c>
      <c r="M37" s="29">
        <f>1-gdp_ind_share!M37-gdp_agr_share!M37</f>
        <v>0.69687366866941813</v>
      </c>
      <c r="N37" s="29">
        <f>1-gdp_ind_share!N37-gdp_agr_share!N37</f>
        <v>0.75476148471184856</v>
      </c>
      <c r="O37" s="29">
        <f>1-gdp_ind_share!O37-gdp_agr_share!O37</f>
        <v>0.75926762046755691</v>
      </c>
      <c r="P37" s="29">
        <f>1-gdp_ind_share!P37-gdp_agr_share!P37</f>
        <v>0.76648663722948673</v>
      </c>
      <c r="Q37" s="29">
        <f>1-gdp_ind_share!Q37-gdp_agr_share!Q37</f>
        <v>0.74450687247273506</v>
      </c>
      <c r="R37" s="29">
        <f>1-gdp_ind_share!R37-gdp_agr_share!R37</f>
        <v>0.72649542495659669</v>
      </c>
      <c r="S37" s="29">
        <f>1-gdp_ind_share!S37-gdp_agr_share!S37</f>
        <v>0.77155752535528854</v>
      </c>
      <c r="T37" s="29">
        <f>1-gdp_ind_share!T37-gdp_agr_share!T37</f>
        <v>0.78858893785328155</v>
      </c>
      <c r="U37" s="29">
        <f>1-gdp_ind_share!U37-gdp_agr_share!U37</f>
        <v>0.68954680111291033</v>
      </c>
      <c r="V37" s="29">
        <f>1-gdp_ind_share!V37-gdp_agr_share!V37</f>
        <v>0.78039285723642637</v>
      </c>
      <c r="W37" s="29">
        <f>1-gdp_ind_share!W37-gdp_agr_share!W37</f>
        <v>0.75971236316422408</v>
      </c>
      <c r="X37" s="29">
        <f>1-gdp_ind_share!X37-gdp_agr_share!X37</f>
        <v>0.78790660072476404</v>
      </c>
      <c r="Y37" s="29">
        <f>1-gdp_ind_share!Y37-gdp_agr_share!Y37</f>
        <v>0.7739106541391082</v>
      </c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x14ac:dyDescent="0.25">
      <c r="A38" s="1" t="s">
        <v>102</v>
      </c>
      <c r="B38" s="1" t="s">
        <v>105</v>
      </c>
      <c r="C38" s="1" t="s">
        <v>106</v>
      </c>
      <c r="D38" s="29">
        <f>1-gdp_ind_share!D38-gdp_agr_share!D38</f>
        <v>0.65212116906316209</v>
      </c>
      <c r="E38" s="29">
        <f>1-gdp_ind_share!E38-gdp_agr_share!E38</f>
        <v>0.26169588824195533</v>
      </c>
      <c r="F38" s="29">
        <f>1-gdp_ind_share!F38-gdp_agr_share!F38</f>
        <v>0.4850477032940384</v>
      </c>
      <c r="G38" s="29">
        <f>1-gdp_ind_share!G38-gdp_agr_share!G38</f>
        <v>0.24276233021706428</v>
      </c>
      <c r="H38" s="29">
        <f>1-gdp_ind_share!H38-gdp_agr_share!H38</f>
        <v>0.34974634413452466</v>
      </c>
      <c r="I38" s="29">
        <f>1-gdp_ind_share!I38-gdp_agr_share!I38</f>
        <v>0.40464041369637421</v>
      </c>
      <c r="J38" s="29">
        <f>1-gdp_ind_share!J38-gdp_agr_share!J38</f>
        <v>0.39343817638408723</v>
      </c>
      <c r="K38" s="29">
        <f>1-gdp_ind_share!K38-gdp_agr_share!K38</f>
        <v>0.37659554286788521</v>
      </c>
      <c r="L38" s="30">
        <f>1-gdp_ind_share!L38-gdp_agr_share!L38</f>
        <v>0.46233093405910075</v>
      </c>
      <c r="M38" s="29">
        <f>1-gdp_ind_share!M38-gdp_agr_share!M38</f>
        <v>0.56521340348855942</v>
      </c>
      <c r="N38" s="29">
        <f>1-gdp_ind_share!N38-gdp_agr_share!N38</f>
        <v>0.64877673020363436</v>
      </c>
      <c r="O38" s="29">
        <f>1-gdp_ind_share!O38-gdp_agr_share!O38</f>
        <v>0.65575546270806961</v>
      </c>
      <c r="P38" s="29">
        <f>1-gdp_ind_share!P38-gdp_agr_share!P38</f>
        <v>0.64093119886605865</v>
      </c>
      <c r="Q38" s="29">
        <f>1-gdp_ind_share!Q38-gdp_agr_share!Q38</f>
        <v>0.68157053632044429</v>
      </c>
      <c r="R38" s="29">
        <f>1-gdp_ind_share!R38-gdp_agr_share!R38</f>
        <v>0.63449160076093569</v>
      </c>
      <c r="S38" s="29">
        <f>1-gdp_ind_share!S38-gdp_agr_share!S38</f>
        <v>0.69264331156081949</v>
      </c>
      <c r="T38" s="29">
        <f>1-gdp_ind_share!T38-gdp_agr_share!T38</f>
        <v>0.74416779885574125</v>
      </c>
      <c r="U38" s="29">
        <f>1-gdp_ind_share!U38-gdp_agr_share!U38</f>
        <v>0.69069844566962579</v>
      </c>
      <c r="V38" s="29">
        <f>1-gdp_ind_share!V38-gdp_agr_share!V38</f>
        <v>0.76373217873378652</v>
      </c>
      <c r="W38" s="29">
        <f>1-gdp_ind_share!W38-gdp_agr_share!W38</f>
        <v>0.74006784892707078</v>
      </c>
      <c r="X38" s="29">
        <f>1-gdp_ind_share!X38-gdp_agr_share!X38</f>
        <v>0.7596785144876057</v>
      </c>
      <c r="Y38" s="29">
        <f>1-gdp_ind_share!Y38-gdp_agr_share!Y38</f>
        <v>0.75182689597444718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25">
      <c r="A39" s="1" t="s">
        <v>102</v>
      </c>
      <c r="B39" s="1" t="s">
        <v>107</v>
      </c>
      <c r="C39" s="1" t="s">
        <v>108</v>
      </c>
      <c r="D39" s="29">
        <f>1-gdp_ind_share!D39-gdp_agr_share!D39</f>
        <v>0.2108581819897164</v>
      </c>
      <c r="E39" s="29">
        <f>1-gdp_ind_share!E39-gdp_agr_share!E39</f>
        <v>0.2183709889287424</v>
      </c>
      <c r="F39" s="29">
        <f>1-gdp_ind_share!F39-gdp_agr_share!F39</f>
        <v>0.32733106392930567</v>
      </c>
      <c r="G39" s="29">
        <f>1-gdp_ind_share!G39-gdp_agr_share!G39</f>
        <v>0.3296706331473781</v>
      </c>
      <c r="H39" s="29">
        <f>1-gdp_ind_share!H39-gdp_agr_share!H39</f>
        <v>0.34492457894279893</v>
      </c>
      <c r="I39" s="29">
        <f>1-gdp_ind_share!I39-gdp_agr_share!I39</f>
        <v>0.32840782950685155</v>
      </c>
      <c r="J39" s="29">
        <f>1-gdp_ind_share!J39-gdp_agr_share!J39</f>
        <v>0.36324736086362153</v>
      </c>
      <c r="K39" s="29">
        <f>1-gdp_ind_share!K39-gdp_agr_share!K39</f>
        <v>0.34900056244094441</v>
      </c>
      <c r="L39" s="30">
        <f>1-gdp_ind_share!L39-gdp_agr_share!L39</f>
        <v>0.43389768673276324</v>
      </c>
      <c r="M39" s="29">
        <f>1-gdp_ind_share!M39-gdp_agr_share!M39</f>
        <v>0.53577423588294593</v>
      </c>
      <c r="N39" s="29">
        <f>1-gdp_ind_share!N39-gdp_agr_share!N39</f>
        <v>0.6347844672938715</v>
      </c>
      <c r="O39" s="29">
        <f>1-gdp_ind_share!O39-gdp_agr_share!O39</f>
        <v>0.64491883511498083</v>
      </c>
      <c r="P39" s="29">
        <f>1-gdp_ind_share!P39-gdp_agr_share!P39</f>
        <v>0.63290083720177226</v>
      </c>
      <c r="Q39" s="29">
        <f>1-gdp_ind_share!Q39-gdp_agr_share!Q39</f>
        <v>0.68873548648541116</v>
      </c>
      <c r="R39" s="29">
        <f>1-gdp_ind_share!R39-gdp_agr_share!R39</f>
        <v>0.6328813809861441</v>
      </c>
      <c r="S39" s="29">
        <f>1-gdp_ind_share!S39-gdp_agr_share!S39</f>
        <v>0.67230974756666129</v>
      </c>
      <c r="T39" s="29">
        <f>1-gdp_ind_share!T39-gdp_agr_share!T39</f>
        <v>0.73559268944868139</v>
      </c>
      <c r="U39" s="29">
        <f>1-gdp_ind_share!U39-gdp_agr_share!U39</f>
        <v>0.72776078669975286</v>
      </c>
      <c r="V39" s="29">
        <f>1-gdp_ind_share!V39-gdp_agr_share!V39</f>
        <v>0.76898588589684924</v>
      </c>
      <c r="W39" s="29">
        <f>1-gdp_ind_share!W39-gdp_agr_share!W39</f>
        <v>0.72419143030744171</v>
      </c>
      <c r="X39" s="29">
        <f>1-gdp_ind_share!X39-gdp_agr_share!X39</f>
        <v>0.75623165442716034</v>
      </c>
      <c r="Y39" s="29">
        <f>1-gdp_ind_share!Y39-gdp_agr_share!Y39</f>
        <v>0.76832785903386358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x14ac:dyDescent="0.25">
      <c r="A40" s="1" t="s">
        <v>102</v>
      </c>
      <c r="B40" s="1" t="s">
        <v>109</v>
      </c>
      <c r="C40" s="1" t="s">
        <v>110</v>
      </c>
      <c r="D40" s="29">
        <f>1-gdp_ind_share!D40-gdp_agr_share!D40</f>
        <v>0.34730152408227866</v>
      </c>
      <c r="E40" s="29">
        <f>1-gdp_ind_share!E40-gdp_agr_share!E40</f>
        <v>0.20497467639317413</v>
      </c>
      <c r="F40" s="29">
        <f>1-gdp_ind_share!F40-gdp_agr_share!F40</f>
        <v>0.45503931295435207</v>
      </c>
      <c r="G40" s="29">
        <f>1-gdp_ind_share!G40-gdp_agr_share!G40</f>
        <v>0.33963161313658019</v>
      </c>
      <c r="H40" s="29">
        <f>1-gdp_ind_share!H40-gdp_agr_share!H40</f>
        <v>0.36722480155685644</v>
      </c>
      <c r="I40" s="29">
        <f>1-gdp_ind_share!I40-gdp_agr_share!I40</f>
        <v>0.33859565658189161</v>
      </c>
      <c r="J40" s="29">
        <f>1-gdp_ind_share!J40-gdp_agr_share!J40</f>
        <v>0.34922314779400454</v>
      </c>
      <c r="K40" s="29">
        <f>1-gdp_ind_share!K40-gdp_agr_share!K40</f>
        <v>0.38276347003173161</v>
      </c>
      <c r="L40" s="30">
        <f>1-gdp_ind_share!L40-gdp_agr_share!L40</f>
        <v>0.4524003989705625</v>
      </c>
      <c r="M40" s="29">
        <f>1-gdp_ind_share!M40-gdp_agr_share!M40</f>
        <v>0.53596471369715948</v>
      </c>
      <c r="N40" s="29">
        <f>1-gdp_ind_share!N40-gdp_agr_share!N40</f>
        <v>0.65318376981353876</v>
      </c>
      <c r="O40" s="29">
        <f>1-gdp_ind_share!O40-gdp_agr_share!O40</f>
        <v>0.66860679255028077</v>
      </c>
      <c r="P40" s="29">
        <f>1-gdp_ind_share!P40-gdp_agr_share!P40</f>
        <v>0.66141666958049428</v>
      </c>
      <c r="Q40" s="29">
        <f>1-gdp_ind_share!Q40-gdp_agr_share!Q40</f>
        <v>0.65519080488555637</v>
      </c>
      <c r="R40" s="29">
        <f>1-gdp_ind_share!R40-gdp_agr_share!R40</f>
        <v>0.56878211654645283</v>
      </c>
      <c r="S40" s="29">
        <f>1-gdp_ind_share!S40-gdp_agr_share!S40</f>
        <v>0.5721371984551924</v>
      </c>
      <c r="T40" s="29">
        <f>1-gdp_ind_share!T40-gdp_agr_share!T40</f>
        <v>0.6343983048912083</v>
      </c>
      <c r="U40" s="29">
        <f>1-gdp_ind_share!U40-gdp_agr_share!U40</f>
        <v>0.60912462264364176</v>
      </c>
      <c r="V40" s="29">
        <f>1-gdp_ind_share!V40-gdp_agr_share!V40</f>
        <v>0.69416695776250459</v>
      </c>
      <c r="W40" s="29">
        <f>1-gdp_ind_share!W40-gdp_agr_share!W40</f>
        <v>0.69604575881443098</v>
      </c>
      <c r="X40" s="29">
        <f>1-gdp_ind_share!X40-gdp_agr_share!X40</f>
        <v>0.75881810651607395</v>
      </c>
      <c r="Y40" s="29">
        <f>1-gdp_ind_share!Y40-gdp_agr_share!Y40</f>
        <v>0.77117002204469587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25">
      <c r="A41" s="1" t="s">
        <v>102</v>
      </c>
      <c r="B41" s="1" t="s">
        <v>111</v>
      </c>
      <c r="C41" s="1" t="s">
        <v>112</v>
      </c>
      <c r="D41" s="29">
        <f>1-gdp_ind_share!D41-gdp_agr_share!D41</f>
        <v>0.27978432561918842</v>
      </c>
      <c r="E41" s="29">
        <f>1-gdp_ind_share!E41-gdp_agr_share!E41</f>
        <v>0.18499325712177084</v>
      </c>
      <c r="F41" s="29">
        <f>1-gdp_ind_share!F41-gdp_agr_share!F41</f>
        <v>0.45350388991511581</v>
      </c>
      <c r="G41" s="29">
        <f>1-gdp_ind_share!G41-gdp_agr_share!G41</f>
        <v>0.55475148158291721</v>
      </c>
      <c r="H41" s="29">
        <f>1-gdp_ind_share!H41-gdp_agr_share!H41</f>
        <v>0.37981760968640854</v>
      </c>
      <c r="I41" s="29">
        <f>1-gdp_ind_share!I41-gdp_agr_share!I41</f>
        <v>0.36156065788133707</v>
      </c>
      <c r="J41" s="29">
        <f>1-gdp_ind_share!J41-gdp_agr_share!J41</f>
        <v>0.4281499339809986</v>
      </c>
      <c r="K41" s="29">
        <f>1-gdp_ind_share!K41-gdp_agr_share!K41</f>
        <v>0.38118086947398538</v>
      </c>
      <c r="L41" s="30">
        <f>1-gdp_ind_share!L41-gdp_agr_share!L41</f>
        <v>0.36827388082343893</v>
      </c>
      <c r="M41" s="29">
        <f>1-gdp_ind_share!M41-gdp_agr_share!M41</f>
        <v>0.35278549444278307</v>
      </c>
      <c r="N41" s="29">
        <f>1-gdp_ind_share!N41-gdp_agr_share!N41</f>
        <v>0.58622795725231236</v>
      </c>
      <c r="O41" s="29">
        <f>1-gdp_ind_share!O41-gdp_agr_share!O41</f>
        <v>0.59226151978719677</v>
      </c>
      <c r="P41" s="29">
        <f>1-gdp_ind_share!P41-gdp_agr_share!P41</f>
        <v>0.57295947233920286</v>
      </c>
      <c r="Q41" s="29">
        <f>1-gdp_ind_share!Q41-gdp_agr_share!Q41</f>
        <v>0.56401244116726934</v>
      </c>
      <c r="R41" s="29">
        <f>1-gdp_ind_share!R41-gdp_agr_share!R41</f>
        <v>0.40658355917310141</v>
      </c>
      <c r="S41" s="29">
        <f>1-gdp_ind_share!S41-gdp_agr_share!S41</f>
        <v>0.47157803212966098</v>
      </c>
      <c r="T41" s="29">
        <f>1-gdp_ind_share!T41-gdp_agr_share!T41</f>
        <v>0.54677524592451021</v>
      </c>
      <c r="U41" s="29">
        <f>1-gdp_ind_share!U41-gdp_agr_share!U41</f>
        <v>0.61519823752858582</v>
      </c>
      <c r="V41" s="29">
        <f>1-gdp_ind_share!V41-gdp_agr_share!V41</f>
        <v>0.44196602689535303</v>
      </c>
      <c r="W41" s="29">
        <f>1-gdp_ind_share!W41-gdp_agr_share!W41</f>
        <v>0.30616448334952873</v>
      </c>
      <c r="X41" s="29">
        <f>1-gdp_ind_share!X41-gdp_agr_share!X41</f>
        <v>0.35706387232732389</v>
      </c>
      <c r="Y41" s="29">
        <f>1-gdp_ind_share!Y41-gdp_agr_share!Y41</f>
        <v>0.48221660648317599</v>
      </c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x14ac:dyDescent="0.25">
      <c r="A42" s="1" t="s">
        <v>113</v>
      </c>
      <c r="B42" s="1" t="s">
        <v>114</v>
      </c>
      <c r="C42" s="1" t="s">
        <v>115</v>
      </c>
      <c r="D42" s="29">
        <f>1-gdp_ind_share!D42-gdp_agr_share!D42</f>
        <v>0.23993312655368104</v>
      </c>
      <c r="E42" s="29">
        <f>1-gdp_ind_share!E42-gdp_agr_share!E42</f>
        <v>0.34582274776483568</v>
      </c>
      <c r="F42" s="29">
        <f>1-gdp_ind_share!F42-gdp_agr_share!F42</f>
        <v>9.590899816970444E-2</v>
      </c>
      <c r="G42" s="29">
        <f>1-gdp_ind_share!G42-gdp_agr_share!G42</f>
        <v>0.35319375238553385</v>
      </c>
      <c r="H42" s="29">
        <f>1-gdp_ind_share!H42-gdp_agr_share!H42</f>
        <v>0.5479221508883203</v>
      </c>
      <c r="I42" s="29">
        <f>1-gdp_ind_share!I42-gdp_agr_share!I42</f>
        <v>0.43005322163920862</v>
      </c>
      <c r="J42" s="29">
        <f>1-gdp_ind_share!J42-gdp_agr_share!J42</f>
        <v>0.30824941928477412</v>
      </c>
      <c r="K42" s="29">
        <f>1-gdp_ind_share!K42-gdp_agr_share!K42</f>
        <v>0.35632582472908803</v>
      </c>
      <c r="L42" s="30">
        <f>1-gdp_ind_share!L42-gdp_agr_share!L42</f>
        <v>0.37393167883233069</v>
      </c>
      <c r="M42" s="29">
        <f>1-gdp_ind_share!M42-gdp_agr_share!M42</f>
        <v>0.39505870375622176</v>
      </c>
      <c r="N42" s="29">
        <f>1-gdp_ind_share!N42-gdp_agr_share!N42</f>
        <v>0.46765939028904874</v>
      </c>
      <c r="O42" s="29">
        <f>1-gdp_ind_share!O42-gdp_agr_share!O42</f>
        <v>0.46974203305801826</v>
      </c>
      <c r="P42" s="29">
        <f>1-gdp_ind_share!P42-gdp_agr_share!P42</f>
        <v>0.53710207906185592</v>
      </c>
      <c r="Q42" s="29">
        <f>1-gdp_ind_share!Q42-gdp_agr_share!Q42</f>
        <v>0.65041861508055632</v>
      </c>
      <c r="R42" s="29">
        <f>1-gdp_ind_share!R42-gdp_agr_share!R42</f>
        <v>0.63206834875467899</v>
      </c>
      <c r="S42" s="29">
        <f>1-gdp_ind_share!S42-gdp_agr_share!S42</f>
        <v>0.61726603387951173</v>
      </c>
      <c r="T42" s="29">
        <f>1-gdp_ind_share!T42-gdp_agr_share!T42</f>
        <v>0.61220531859646277</v>
      </c>
      <c r="U42" s="29">
        <f>1-gdp_ind_share!U42-gdp_agr_share!U42</f>
        <v>0.6330441065195701</v>
      </c>
      <c r="V42" s="29">
        <f>1-gdp_ind_share!V42-gdp_agr_share!V42</f>
        <v>0.62293251691795237</v>
      </c>
      <c r="W42" s="29">
        <f>1-gdp_ind_share!W42-gdp_agr_share!W42</f>
        <v>0.63103621645520025</v>
      </c>
      <c r="X42" s="29">
        <f>1-gdp_ind_share!X42-gdp_agr_share!X42</f>
        <v>0.6295919073158398</v>
      </c>
      <c r="Y42" s="29">
        <f>1-gdp_ind_share!Y42-gdp_agr_share!Y42</f>
        <v>0.56954708605051385</v>
      </c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x14ac:dyDescent="0.25">
      <c r="A43" s="1" t="s">
        <v>113</v>
      </c>
      <c r="B43" s="1" t="s">
        <v>116</v>
      </c>
      <c r="C43" s="1" t="s">
        <v>117</v>
      </c>
      <c r="D43" s="29">
        <f>1-gdp_ind_share!D43-gdp_agr_share!D43</f>
        <v>0.21973830041219811</v>
      </c>
      <c r="E43" s="29">
        <f>1-gdp_ind_share!E43-gdp_agr_share!E43</f>
        <v>0.39106751985742849</v>
      </c>
      <c r="F43" s="29">
        <f>1-gdp_ind_share!F43-gdp_agr_share!F43</f>
        <v>0.25989435193673638</v>
      </c>
      <c r="G43" s="29">
        <f>1-gdp_ind_share!G43-gdp_agr_share!G43</f>
        <v>0.37398394870045903</v>
      </c>
      <c r="H43" s="29">
        <f>1-gdp_ind_share!H43-gdp_agr_share!H43</f>
        <v>0.45479494701814394</v>
      </c>
      <c r="I43" s="29">
        <f>1-gdp_ind_share!I43-gdp_agr_share!I43</f>
        <v>0.44685115746074439</v>
      </c>
      <c r="J43" s="29">
        <f>1-gdp_ind_share!J43-gdp_agr_share!J43</f>
        <v>0.37296796506554031</v>
      </c>
      <c r="K43" s="29">
        <f>1-gdp_ind_share!K43-gdp_agr_share!K43</f>
        <v>0.36401769881587387</v>
      </c>
      <c r="L43" s="30">
        <f>1-gdp_ind_share!L43-gdp_agr_share!L43</f>
        <v>0.42136154327424347</v>
      </c>
      <c r="M43" s="29">
        <f>1-gdp_ind_share!M43-gdp_agr_share!M43</f>
        <v>0.49017415662428709</v>
      </c>
      <c r="N43" s="29">
        <f>1-gdp_ind_share!N43-gdp_agr_share!N43</f>
        <v>0.64113677364484678</v>
      </c>
      <c r="O43" s="29">
        <f>1-gdp_ind_share!O43-gdp_agr_share!O43</f>
        <v>0.63181810596942056</v>
      </c>
      <c r="P43" s="29">
        <f>1-gdp_ind_share!P43-gdp_agr_share!P43</f>
        <v>0.67512063874130024</v>
      </c>
      <c r="Q43" s="29">
        <f>1-gdp_ind_share!Q43-gdp_agr_share!Q43</f>
        <v>0.73960673874366667</v>
      </c>
      <c r="R43" s="29">
        <f>1-gdp_ind_share!R43-gdp_agr_share!R43</f>
        <v>0.73197134500875038</v>
      </c>
      <c r="S43" s="29">
        <f>1-gdp_ind_share!S43-gdp_agr_share!S43</f>
        <v>0.69903747891419155</v>
      </c>
      <c r="T43" s="29">
        <f>1-gdp_ind_share!T43-gdp_agr_share!T43</f>
        <v>0.70243005736066078</v>
      </c>
      <c r="U43" s="29">
        <f>1-gdp_ind_share!U43-gdp_agr_share!U43</f>
        <v>0.72112285872493265</v>
      </c>
      <c r="V43" s="29">
        <f>1-gdp_ind_share!V43-gdp_agr_share!V43</f>
        <v>0.70270377489507363</v>
      </c>
      <c r="W43" s="29">
        <f>1-gdp_ind_share!W43-gdp_agr_share!W43</f>
        <v>0.71645945496349728</v>
      </c>
      <c r="X43" s="29">
        <f>1-gdp_ind_share!X43-gdp_agr_share!X43</f>
        <v>0.73403278475579348</v>
      </c>
      <c r="Y43" s="29">
        <f>1-gdp_ind_share!Y43-gdp_agr_share!Y43</f>
        <v>0.7250282388713799</v>
      </c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x14ac:dyDescent="0.25">
      <c r="A44" s="1" t="s">
        <v>113</v>
      </c>
      <c r="B44" s="1" t="s">
        <v>118</v>
      </c>
      <c r="C44" s="1" t="s">
        <v>119</v>
      </c>
      <c r="D44" s="29">
        <f>1-gdp_ind_share!D44-gdp_agr_share!D44</f>
        <v>0.37102137809550317</v>
      </c>
      <c r="E44" s="29">
        <f>1-gdp_ind_share!E44-gdp_agr_share!E44</f>
        <v>0.4129355064280773</v>
      </c>
      <c r="F44" s="29">
        <f>1-gdp_ind_share!F44-gdp_agr_share!F44</f>
        <v>0.23268422502146269</v>
      </c>
      <c r="G44" s="29">
        <f>1-gdp_ind_share!G44-gdp_agr_share!G44</f>
        <v>0.3720101443760484</v>
      </c>
      <c r="H44" s="29">
        <f>1-gdp_ind_share!H44-gdp_agr_share!H44</f>
        <v>0.54027991988859814</v>
      </c>
      <c r="I44" s="29">
        <f>1-gdp_ind_share!I44-gdp_agr_share!I44</f>
        <v>0.44346959731928776</v>
      </c>
      <c r="J44" s="29">
        <f>1-gdp_ind_share!J44-gdp_agr_share!J44</f>
        <v>0.41474401936169764</v>
      </c>
      <c r="K44" s="29">
        <f>1-gdp_ind_share!K44-gdp_agr_share!K44</f>
        <v>0.44469441602837456</v>
      </c>
      <c r="L44" s="30">
        <f>1-gdp_ind_share!L44-gdp_agr_share!L44</f>
        <v>0.47552052950167867</v>
      </c>
      <c r="M44" s="29">
        <f>1-gdp_ind_share!M44-gdp_agr_share!M44</f>
        <v>0.51251186566964368</v>
      </c>
      <c r="N44" s="29">
        <f>1-gdp_ind_share!N44-gdp_agr_share!N44</f>
        <v>0.68846418759223849</v>
      </c>
      <c r="O44" s="29">
        <f>1-gdp_ind_share!O44-gdp_agr_share!O44</f>
        <v>0.64033310606445615</v>
      </c>
      <c r="P44" s="29">
        <f>1-gdp_ind_share!P44-gdp_agr_share!P44</f>
        <v>0.69524294871389392</v>
      </c>
      <c r="Q44" s="29">
        <f>1-gdp_ind_share!Q44-gdp_agr_share!Q44</f>
        <v>0.81627816859140045</v>
      </c>
      <c r="R44" s="29">
        <f>1-gdp_ind_share!R44-gdp_agr_share!R44</f>
        <v>0.75989947088083254</v>
      </c>
      <c r="S44" s="29">
        <f>1-gdp_ind_share!S44-gdp_agr_share!S44</f>
        <v>0.79527819059733673</v>
      </c>
      <c r="T44" s="29">
        <f>1-gdp_ind_share!T44-gdp_agr_share!T44</f>
        <v>0.81204341174231198</v>
      </c>
      <c r="U44" s="29">
        <f>1-gdp_ind_share!U44-gdp_agr_share!U44</f>
        <v>0.82176314992938537</v>
      </c>
      <c r="V44" s="29">
        <f>1-gdp_ind_share!V44-gdp_agr_share!V44</f>
        <v>0.79144747445070385</v>
      </c>
      <c r="W44" s="29">
        <f>1-gdp_ind_share!W44-gdp_agr_share!W44</f>
        <v>0.80976275677562171</v>
      </c>
      <c r="X44" s="29">
        <f>1-gdp_ind_share!X44-gdp_agr_share!X44</f>
        <v>0.81028520923816805</v>
      </c>
      <c r="Y44" s="29">
        <f>1-gdp_ind_share!Y44-gdp_agr_share!Y44</f>
        <v>0.80600978876141627</v>
      </c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x14ac:dyDescent="0.25">
      <c r="A45" s="1" t="s">
        <v>113</v>
      </c>
      <c r="B45" s="1" t="s">
        <v>120</v>
      </c>
      <c r="C45" s="1" t="s">
        <v>121</v>
      </c>
      <c r="D45" s="29">
        <f>1-gdp_ind_share!D45-gdp_agr_share!D45</f>
        <v>0.2755230562411789</v>
      </c>
      <c r="E45" s="29">
        <f>1-gdp_ind_share!E45-gdp_agr_share!E45</f>
        <v>0.44497971593726193</v>
      </c>
      <c r="F45" s="29">
        <f>1-gdp_ind_share!F45-gdp_agr_share!F45</f>
        <v>0.27739722939814104</v>
      </c>
      <c r="G45" s="29">
        <f>1-gdp_ind_share!G45-gdp_agr_share!G45</f>
        <v>0.50117545020991927</v>
      </c>
      <c r="H45" s="29">
        <f>1-gdp_ind_share!H45-gdp_agr_share!H45</f>
        <v>0.45701712836336772</v>
      </c>
      <c r="I45" s="29">
        <f>1-gdp_ind_share!I45-gdp_agr_share!I45</f>
        <v>0.40999194450634791</v>
      </c>
      <c r="J45" s="29">
        <f>1-gdp_ind_share!J45-gdp_agr_share!J45</f>
        <v>0.35013723910551892</v>
      </c>
      <c r="K45" s="29">
        <f>1-gdp_ind_share!K45-gdp_agr_share!K45</f>
        <v>0.45783978786228963</v>
      </c>
      <c r="L45" s="30">
        <f>1-gdp_ind_share!L45-gdp_agr_share!L45</f>
        <v>0.48365105444990719</v>
      </c>
      <c r="M45" s="29">
        <f>1-gdp_ind_share!M45-gdp_agr_share!M45</f>
        <v>0.51462457435504838</v>
      </c>
      <c r="N45" s="29">
        <f>1-gdp_ind_share!N45-gdp_agr_share!N45</f>
        <v>0.70670367855593585</v>
      </c>
      <c r="O45" s="29">
        <f>1-gdp_ind_share!O45-gdp_agr_share!O45</f>
        <v>0.69559002888045396</v>
      </c>
      <c r="P45" s="29">
        <f>1-gdp_ind_share!P45-gdp_agr_share!P45</f>
        <v>0.73559122511654751</v>
      </c>
      <c r="Q45" s="29">
        <f>1-gdp_ind_share!Q45-gdp_agr_share!Q45</f>
        <v>0.80909042388072949</v>
      </c>
      <c r="R45" s="29">
        <f>1-gdp_ind_share!R45-gdp_agr_share!R45</f>
        <v>0.80456394738985426</v>
      </c>
      <c r="S45" s="29">
        <f>1-gdp_ind_share!S45-gdp_agr_share!S45</f>
        <v>0.79237596827385204</v>
      </c>
      <c r="T45" s="29">
        <f>1-gdp_ind_share!T45-gdp_agr_share!T45</f>
        <v>0.80170128237797789</v>
      </c>
      <c r="U45" s="29">
        <f>1-gdp_ind_share!U45-gdp_agr_share!U45</f>
        <v>0.79609045186405303</v>
      </c>
      <c r="V45" s="29">
        <f>1-gdp_ind_share!V45-gdp_agr_share!V45</f>
        <v>0.78877083232557232</v>
      </c>
      <c r="W45" s="29">
        <f>1-gdp_ind_share!W45-gdp_agr_share!W45</f>
        <v>0.7826886893117605</v>
      </c>
      <c r="X45" s="29">
        <f>1-gdp_ind_share!X45-gdp_agr_share!X45</f>
        <v>0.78647842423986303</v>
      </c>
      <c r="Y45" s="29">
        <f>1-gdp_ind_share!Y45-gdp_agr_share!Y45</f>
        <v>0.71412012414923731</v>
      </c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x14ac:dyDescent="0.25">
      <c r="A46" s="1" t="s">
        <v>113</v>
      </c>
      <c r="B46" s="1" t="s">
        <v>122</v>
      </c>
      <c r="C46" s="1" t="s">
        <v>123</v>
      </c>
      <c r="D46" s="29">
        <f>1-gdp_ind_share!D46-gdp_agr_share!D46</f>
        <v>0.25461774583475449</v>
      </c>
      <c r="E46" s="29">
        <f>1-gdp_ind_share!E46-gdp_agr_share!E46</f>
        <v>0.47040233198226539</v>
      </c>
      <c r="F46" s="29">
        <f>1-gdp_ind_share!F46-gdp_agr_share!F46</f>
        <v>0.44700821739932844</v>
      </c>
      <c r="G46" s="29">
        <f>1-gdp_ind_share!G46-gdp_agr_share!G46</f>
        <v>0.56603364277871115</v>
      </c>
      <c r="H46" s="29">
        <f>1-gdp_ind_share!H46-gdp_agr_share!H46</f>
        <v>0.53813976795960805</v>
      </c>
      <c r="I46" s="29">
        <f>1-gdp_ind_share!I46-gdp_agr_share!I46</f>
        <v>0.51749792215368973</v>
      </c>
      <c r="J46" s="29">
        <f>1-gdp_ind_share!J46-gdp_agr_share!J46</f>
        <v>0.3758212039959451</v>
      </c>
      <c r="K46" s="29">
        <f>1-gdp_ind_share!K46-gdp_agr_share!K46</f>
        <v>0.42698701383666754</v>
      </c>
      <c r="L46" s="30">
        <f>1-gdp_ind_share!L46-gdp_agr_share!L46</f>
        <v>0.42436781800396717</v>
      </c>
      <c r="M46" s="29">
        <f>1-gdp_ind_share!M46-gdp_agr_share!M46</f>
        <v>0.42122478300472693</v>
      </c>
      <c r="N46" s="29">
        <f>1-gdp_ind_share!N46-gdp_agr_share!N46</f>
        <v>0.5805896866784197</v>
      </c>
      <c r="O46" s="29">
        <f>1-gdp_ind_share!O46-gdp_agr_share!O46</f>
        <v>0.56216448202435287</v>
      </c>
      <c r="P46" s="29">
        <f>1-gdp_ind_share!P46-gdp_agr_share!P46</f>
        <v>0.59495648567797954</v>
      </c>
      <c r="Q46" s="29">
        <f>1-gdp_ind_share!Q46-gdp_agr_share!Q46</f>
        <v>0.63764651494447122</v>
      </c>
      <c r="R46" s="29">
        <f>1-gdp_ind_share!R46-gdp_agr_share!R46</f>
        <v>0.62047606495663232</v>
      </c>
      <c r="S46" s="29">
        <f>1-gdp_ind_share!S46-gdp_agr_share!S46</f>
        <v>0.59058890368650396</v>
      </c>
      <c r="T46" s="29">
        <f>1-gdp_ind_share!T46-gdp_agr_share!T46</f>
        <v>0.61148894310803859</v>
      </c>
      <c r="U46" s="29">
        <f>1-gdp_ind_share!U46-gdp_agr_share!U46</f>
        <v>0.59072484385021151</v>
      </c>
      <c r="V46" s="29">
        <f>1-gdp_ind_share!V46-gdp_agr_share!V46</f>
        <v>0.63224128607564312</v>
      </c>
      <c r="W46" s="29">
        <f>1-gdp_ind_share!W46-gdp_agr_share!W46</f>
        <v>0.61460569803860077</v>
      </c>
      <c r="X46" s="29">
        <f>1-gdp_ind_share!X46-gdp_agr_share!X46</f>
        <v>0.63724931354943237</v>
      </c>
      <c r="Y46" s="29">
        <f>1-gdp_ind_share!Y46-gdp_agr_share!Y46</f>
        <v>0.60945016788941153</v>
      </c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x14ac:dyDescent="0.25">
      <c r="A47" s="1" t="s">
        <v>113</v>
      </c>
      <c r="B47" s="1" t="s">
        <v>124</v>
      </c>
      <c r="C47" s="1" t="s">
        <v>125</v>
      </c>
      <c r="D47" s="29">
        <f>1-gdp_ind_share!D47-gdp_agr_share!D47</f>
        <v>0.26802413770119526</v>
      </c>
      <c r="E47" s="29">
        <f>1-gdp_ind_share!E47-gdp_agr_share!E47</f>
        <v>0.48749078591330258</v>
      </c>
      <c r="F47" s="29">
        <f>1-gdp_ind_share!F47-gdp_agr_share!F47</f>
        <v>0.32812308265279033</v>
      </c>
      <c r="G47" s="29">
        <f>1-gdp_ind_share!G47-gdp_agr_share!G47</f>
        <v>0.49147571107070764</v>
      </c>
      <c r="H47" s="29">
        <f>1-gdp_ind_share!H47-gdp_agr_share!H47</f>
        <v>0.4758867888709748</v>
      </c>
      <c r="I47" s="29">
        <f>1-gdp_ind_share!I47-gdp_agr_share!I47</f>
        <v>0.46151659759912472</v>
      </c>
      <c r="J47" s="29">
        <f>1-gdp_ind_share!J47-gdp_agr_share!J47</f>
        <v>0.35662412717377073</v>
      </c>
      <c r="K47" s="29">
        <f>1-gdp_ind_share!K47-gdp_agr_share!K47</f>
        <v>0.38353556210075712</v>
      </c>
      <c r="L47" s="30">
        <f>1-gdp_ind_share!L47-gdp_agr_share!L47</f>
        <v>0.42828075160810741</v>
      </c>
      <c r="M47" s="29">
        <f>1-gdp_ind_share!M47-gdp_agr_share!M47</f>
        <v>0.48197497901692782</v>
      </c>
      <c r="N47" s="29">
        <f>1-gdp_ind_share!N47-gdp_agr_share!N47</f>
        <v>0.57187860345891994</v>
      </c>
      <c r="O47" s="29">
        <f>1-gdp_ind_share!O47-gdp_agr_share!O47</f>
        <v>0.56260672439404014</v>
      </c>
      <c r="P47" s="29">
        <f>1-gdp_ind_share!P47-gdp_agr_share!P47</f>
        <v>0.61022550457929736</v>
      </c>
      <c r="Q47" s="29">
        <f>1-gdp_ind_share!Q47-gdp_agr_share!Q47</f>
        <v>0.63617206618646005</v>
      </c>
      <c r="R47" s="29">
        <f>1-gdp_ind_share!R47-gdp_agr_share!R47</f>
        <v>0.64665195448088875</v>
      </c>
      <c r="S47" s="29">
        <f>1-gdp_ind_share!S47-gdp_agr_share!S47</f>
        <v>0.57002879774084092</v>
      </c>
      <c r="T47" s="29">
        <f>1-gdp_ind_share!T47-gdp_agr_share!T47</f>
        <v>0.6026652019142511</v>
      </c>
      <c r="U47" s="29">
        <f>1-gdp_ind_share!U47-gdp_agr_share!U47</f>
        <v>0.5779306614374855</v>
      </c>
      <c r="V47" s="29">
        <f>1-gdp_ind_share!V47-gdp_agr_share!V47</f>
        <v>0.57254703931870132</v>
      </c>
      <c r="W47" s="29">
        <f>1-gdp_ind_share!W47-gdp_agr_share!W47</f>
        <v>0.64492978484692198</v>
      </c>
      <c r="X47" s="29">
        <f>1-gdp_ind_share!X47-gdp_agr_share!X47</f>
        <v>0.63552377009218375</v>
      </c>
      <c r="Y47" s="29">
        <f>1-gdp_ind_share!Y47-gdp_agr_share!Y47</f>
        <v>0.65391483543716611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x14ac:dyDescent="0.25">
      <c r="A48" s="1" t="s">
        <v>113</v>
      </c>
      <c r="B48" s="1" t="s">
        <v>126</v>
      </c>
      <c r="C48" s="1" t="s">
        <v>127</v>
      </c>
      <c r="D48" s="29">
        <f>1-gdp_ind_share!D48-gdp_agr_share!D48</f>
        <v>0.43313568761985016</v>
      </c>
      <c r="E48" s="29">
        <f>1-gdp_ind_share!E48-gdp_agr_share!E48</f>
        <v>0.55979905152759057</v>
      </c>
      <c r="F48" s="29">
        <f>1-gdp_ind_share!F48-gdp_agr_share!F48</f>
        <v>0.5745437768892776</v>
      </c>
      <c r="G48" s="29">
        <f>1-gdp_ind_share!G48-gdp_agr_share!G48</f>
        <v>0.57943877903061747</v>
      </c>
      <c r="H48" s="29">
        <f>1-gdp_ind_share!H48-gdp_agr_share!H48</f>
        <v>0.57955372850279985</v>
      </c>
      <c r="I48" s="29">
        <f>1-gdp_ind_share!I48-gdp_agr_share!I48</f>
        <v>0.59077350062333456</v>
      </c>
      <c r="J48" s="29">
        <f>1-gdp_ind_share!J48-gdp_agr_share!J48</f>
        <v>0.51973616617068663</v>
      </c>
      <c r="K48" s="29">
        <f>1-gdp_ind_share!K48-gdp_agr_share!K48</f>
        <v>0.50023021681614266</v>
      </c>
      <c r="L48" s="30">
        <f>1-gdp_ind_share!L48-gdp_agr_share!L48</f>
        <v>0.55011076171506523</v>
      </c>
      <c r="M48" s="29">
        <f>1-gdp_ind_share!M48-gdp_agr_share!M48</f>
        <v>0.60996741559377232</v>
      </c>
      <c r="N48" s="29">
        <f>1-gdp_ind_share!N48-gdp_agr_share!N48</f>
        <v>0.68915191520699837</v>
      </c>
      <c r="O48" s="29">
        <f>1-gdp_ind_share!O48-gdp_agr_share!O48</f>
        <v>0.6666587922741346</v>
      </c>
      <c r="P48" s="29">
        <f>1-gdp_ind_share!P48-gdp_agr_share!P48</f>
        <v>0.7044331064478222</v>
      </c>
      <c r="Q48" s="29">
        <f>1-gdp_ind_share!Q48-gdp_agr_share!Q48</f>
        <v>0.73904789000569371</v>
      </c>
      <c r="R48" s="29">
        <f>1-gdp_ind_share!R48-gdp_agr_share!R48</f>
        <v>0.7176881461261162</v>
      </c>
      <c r="S48" s="29">
        <f>1-gdp_ind_share!S48-gdp_agr_share!S48</f>
        <v>0.69641499830888776</v>
      </c>
      <c r="T48" s="29">
        <f>1-gdp_ind_share!T48-gdp_agr_share!T48</f>
        <v>0.69378827144840127</v>
      </c>
      <c r="U48" s="29">
        <f>1-gdp_ind_share!U48-gdp_agr_share!U48</f>
        <v>0.71196985238865995</v>
      </c>
      <c r="V48" s="29">
        <f>1-gdp_ind_share!V48-gdp_agr_share!V48</f>
        <v>0.70922932788508564</v>
      </c>
      <c r="W48" s="29">
        <f>1-gdp_ind_share!W48-gdp_agr_share!W48</f>
        <v>0.69624345305772184</v>
      </c>
      <c r="X48" s="29">
        <f>1-gdp_ind_share!X48-gdp_agr_share!X48</f>
        <v>0.69113078316695598</v>
      </c>
      <c r="Y48" s="29">
        <f>1-gdp_ind_share!Y48-gdp_agr_share!Y48</f>
        <v>0.6571944449881697</v>
      </c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x14ac:dyDescent="0.25">
      <c r="A49" s="1" t="s">
        <v>113</v>
      </c>
      <c r="B49" s="1" t="s">
        <v>128</v>
      </c>
      <c r="C49" s="1" t="s">
        <v>129</v>
      </c>
      <c r="D49" s="29">
        <f>1-gdp_ind_share!D49-gdp_agr_share!D49</f>
        <v>0.18981793571156014</v>
      </c>
      <c r="E49" s="29">
        <f>1-gdp_ind_share!E49-gdp_agr_share!E49</f>
        <v>0.33823553911733428</v>
      </c>
      <c r="F49" s="29">
        <f>1-gdp_ind_share!F49-gdp_agr_share!F49</f>
        <v>0.30232695823952238</v>
      </c>
      <c r="G49" s="29">
        <f>1-gdp_ind_share!G49-gdp_agr_share!G49</f>
        <v>0.42352952843316616</v>
      </c>
      <c r="H49" s="29">
        <f>1-gdp_ind_share!H49-gdp_agr_share!H49</f>
        <v>0.3954844679345012</v>
      </c>
      <c r="I49" s="29">
        <f>1-gdp_ind_share!I49-gdp_agr_share!I49</f>
        <v>0.46119018132539852</v>
      </c>
      <c r="J49" s="29">
        <f>1-gdp_ind_share!J49-gdp_agr_share!J49</f>
        <v>0.36552742315948455</v>
      </c>
      <c r="K49" s="29">
        <f>1-gdp_ind_share!K49-gdp_agr_share!K49</f>
        <v>0.28789928612575844</v>
      </c>
      <c r="L49" s="30">
        <f>1-gdp_ind_share!L49-gdp_agr_share!L49</f>
        <v>0.36029943671044617</v>
      </c>
      <c r="M49" s="29">
        <f>1-gdp_ind_share!M49-gdp_agr_share!M49</f>
        <v>0.44717961741207124</v>
      </c>
      <c r="N49" s="29">
        <f>1-gdp_ind_share!N49-gdp_agr_share!N49</f>
        <v>0.62946328706264953</v>
      </c>
      <c r="O49" s="29">
        <f>1-gdp_ind_share!O49-gdp_agr_share!O49</f>
        <v>0.61262618600376129</v>
      </c>
      <c r="P49" s="29">
        <f>1-gdp_ind_share!P49-gdp_agr_share!P49</f>
        <v>0.64111516449099826</v>
      </c>
      <c r="Q49" s="29">
        <f>1-gdp_ind_share!Q49-gdp_agr_share!Q49</f>
        <v>0.6046296671078305</v>
      </c>
      <c r="R49" s="29">
        <f>1-gdp_ind_share!R49-gdp_agr_share!R49</f>
        <v>0.60188728179711948</v>
      </c>
      <c r="S49" s="29">
        <f>1-gdp_ind_share!S49-gdp_agr_share!S49</f>
        <v>0.55312794442046975</v>
      </c>
      <c r="T49" s="29">
        <f>1-gdp_ind_share!T49-gdp_agr_share!T49</f>
        <v>0.57633522730644393</v>
      </c>
      <c r="U49" s="29">
        <f>1-gdp_ind_share!U49-gdp_agr_share!U49</f>
        <v>0.57967168797595647</v>
      </c>
      <c r="V49" s="29">
        <f>1-gdp_ind_share!V49-gdp_agr_share!V49</f>
        <v>0.56399787908226573</v>
      </c>
      <c r="W49" s="29">
        <f>1-gdp_ind_share!W49-gdp_agr_share!W49</f>
        <v>0.56881568453582854</v>
      </c>
      <c r="X49" s="29">
        <f>1-gdp_ind_share!X49-gdp_agr_share!X49</f>
        <v>0.63521521338452036</v>
      </c>
      <c r="Y49" s="29">
        <f>1-gdp_ind_share!Y49-gdp_agr_share!Y49</f>
        <v>0.65704625064590816</v>
      </c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x14ac:dyDescent="0.25">
      <c r="A50" s="1" t="s">
        <v>113</v>
      </c>
      <c r="B50" s="1" t="s">
        <v>130</v>
      </c>
      <c r="C50" s="1" t="s">
        <v>131</v>
      </c>
      <c r="D50" s="29">
        <f>1-gdp_ind_share!D50-gdp_agr_share!D50</f>
        <v>0.22675976044542701</v>
      </c>
      <c r="E50" s="29">
        <f>1-gdp_ind_share!E50-gdp_agr_share!E50</f>
        <v>0.39324651378428466</v>
      </c>
      <c r="F50" s="29">
        <f>1-gdp_ind_share!F50-gdp_agr_share!F50</f>
        <v>0.34748929223023894</v>
      </c>
      <c r="G50" s="29">
        <f>1-gdp_ind_share!G50-gdp_agr_share!G50</f>
        <v>0.42848709127508022</v>
      </c>
      <c r="H50" s="29">
        <f>1-gdp_ind_share!H50-gdp_agr_share!H50</f>
        <v>0.47790912569965138</v>
      </c>
      <c r="I50" s="29">
        <f>1-gdp_ind_share!I50-gdp_agr_share!I50</f>
        <v>0.444723977272657</v>
      </c>
      <c r="J50" s="29">
        <f>1-gdp_ind_share!J50-gdp_agr_share!J50</f>
        <v>0.38683620667458635</v>
      </c>
      <c r="K50" s="29">
        <f>1-gdp_ind_share!K50-gdp_agr_share!K50</f>
        <v>0.41647791385515592</v>
      </c>
      <c r="L50" s="30">
        <f>1-gdp_ind_share!L50-gdp_agr_share!L50</f>
        <v>0.44908929077503712</v>
      </c>
      <c r="M50" s="29">
        <f>1-gdp_ind_share!M50-gdp_agr_share!M50</f>
        <v>0.48822294307889458</v>
      </c>
      <c r="N50" s="29">
        <f>1-gdp_ind_share!N50-gdp_agr_share!N50</f>
        <v>0.63246795021412694</v>
      </c>
      <c r="O50" s="29">
        <f>1-gdp_ind_share!O50-gdp_agr_share!O50</f>
        <v>0.63134879797289822</v>
      </c>
      <c r="P50" s="29">
        <f>1-gdp_ind_share!P50-gdp_agr_share!P50</f>
        <v>0.66085881260925072</v>
      </c>
      <c r="Q50" s="29">
        <f>1-gdp_ind_share!Q50-gdp_agr_share!Q50</f>
        <v>0.71079210809742865</v>
      </c>
      <c r="R50" s="29">
        <f>1-gdp_ind_share!R50-gdp_agr_share!R50</f>
        <v>0.69993681966262367</v>
      </c>
      <c r="S50" s="29">
        <f>1-gdp_ind_share!S50-gdp_agr_share!S50</f>
        <v>0.65833264324217333</v>
      </c>
      <c r="T50" s="29">
        <f>1-gdp_ind_share!T50-gdp_agr_share!T50</f>
        <v>0.68164771697523219</v>
      </c>
      <c r="U50" s="29">
        <f>1-gdp_ind_share!U50-gdp_agr_share!U50</f>
        <v>0.67437642698522782</v>
      </c>
      <c r="V50" s="29">
        <f>1-gdp_ind_share!V50-gdp_agr_share!V50</f>
        <v>0.67255493275438449</v>
      </c>
      <c r="W50" s="29">
        <f>1-gdp_ind_share!W50-gdp_agr_share!W50</f>
        <v>0.65718596784213024</v>
      </c>
      <c r="X50" s="29">
        <f>1-gdp_ind_share!X50-gdp_agr_share!X50</f>
        <v>0.69298548009697647</v>
      </c>
      <c r="Y50" s="29">
        <f>1-gdp_ind_share!Y50-gdp_agr_share!Y50</f>
        <v>0.68806224288142648</v>
      </c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x14ac:dyDescent="0.25">
      <c r="A51" s="1" t="s">
        <v>113</v>
      </c>
      <c r="B51" s="1" t="s">
        <v>132</v>
      </c>
      <c r="C51" s="1" t="s">
        <v>133</v>
      </c>
      <c r="D51" s="29">
        <f>1-gdp_ind_share!D51-gdp_agr_share!D51</f>
        <v>0.20015044551116612</v>
      </c>
      <c r="E51" s="29">
        <f>1-gdp_ind_share!E51-gdp_agr_share!E51</f>
        <v>0.40680982158089563</v>
      </c>
      <c r="F51" s="29">
        <f>1-gdp_ind_share!F51-gdp_agr_share!F51</f>
        <v>0.4697906111534057</v>
      </c>
      <c r="G51" s="29">
        <f>1-gdp_ind_share!G51-gdp_agr_share!G51</f>
        <v>0.5202529949853294</v>
      </c>
      <c r="H51" s="29">
        <f>1-gdp_ind_share!H51-gdp_agr_share!H51</f>
        <v>0.44874480141711415</v>
      </c>
      <c r="I51" s="29">
        <f>1-gdp_ind_share!I51-gdp_agr_share!I51</f>
        <v>0.41035667631928652</v>
      </c>
      <c r="J51" s="29">
        <f>1-gdp_ind_share!J51-gdp_agr_share!J51</f>
        <v>0.34452981354611018</v>
      </c>
      <c r="K51" s="29">
        <f>1-gdp_ind_share!K51-gdp_agr_share!K51</f>
        <v>0.28991961988194276</v>
      </c>
      <c r="L51" s="30">
        <f>1-gdp_ind_share!L51-gdp_agr_share!L51</f>
        <v>0.35337055440476317</v>
      </c>
      <c r="M51" s="29">
        <f>1-gdp_ind_share!M51-gdp_agr_share!M51</f>
        <v>0.42951167583214744</v>
      </c>
      <c r="N51" s="29">
        <f>1-gdp_ind_share!N51-gdp_agr_share!N51</f>
        <v>0.61244299549168668</v>
      </c>
      <c r="O51" s="29">
        <f>1-gdp_ind_share!O51-gdp_agr_share!O51</f>
        <v>0.59352983503068524</v>
      </c>
      <c r="P51" s="29">
        <f>1-gdp_ind_share!P51-gdp_agr_share!P51</f>
        <v>0.63367952173583186</v>
      </c>
      <c r="Q51" s="29">
        <f>1-gdp_ind_share!Q51-gdp_agr_share!Q51</f>
        <v>0.70493512732039521</v>
      </c>
      <c r="R51" s="29">
        <f>1-gdp_ind_share!R51-gdp_agr_share!R51</f>
        <v>0.70300785910844943</v>
      </c>
      <c r="S51" s="29">
        <f>1-gdp_ind_share!S51-gdp_agr_share!S51</f>
        <v>0.65906477379486761</v>
      </c>
      <c r="T51" s="29">
        <f>1-gdp_ind_share!T51-gdp_agr_share!T51</f>
        <v>0.6705953079146818</v>
      </c>
      <c r="U51" s="29">
        <f>1-gdp_ind_share!U51-gdp_agr_share!U51</f>
        <v>0.65164790541433915</v>
      </c>
      <c r="V51" s="29">
        <f>1-gdp_ind_share!V51-gdp_agr_share!V51</f>
        <v>0.67204574354231406</v>
      </c>
      <c r="W51" s="29">
        <f>1-gdp_ind_share!W51-gdp_agr_share!W51</f>
        <v>0.68426870224366998</v>
      </c>
      <c r="X51" s="29">
        <f>1-gdp_ind_share!X51-gdp_agr_share!X51</f>
        <v>0.70297118793811053</v>
      </c>
      <c r="Y51" s="29">
        <f>1-gdp_ind_share!Y51-gdp_agr_share!Y51</f>
        <v>0.69630753546726487</v>
      </c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x14ac:dyDescent="0.25">
      <c r="A52" s="1" t="s">
        <v>113</v>
      </c>
      <c r="B52" s="1" t="s">
        <v>134</v>
      </c>
      <c r="C52" s="1" t="s">
        <v>135</v>
      </c>
      <c r="D52" s="29">
        <f>1-gdp_ind_share!D52-gdp_agr_share!D52</f>
        <v>0.33402060846288051</v>
      </c>
      <c r="E52" s="29">
        <f>1-gdp_ind_share!E52-gdp_agr_share!E52</f>
        <v>0.49241945535605586</v>
      </c>
      <c r="F52" s="29">
        <f>1-gdp_ind_share!F52-gdp_agr_share!F52</f>
        <v>0.42011408705258807</v>
      </c>
      <c r="G52" s="29">
        <f>1-gdp_ind_share!G52-gdp_agr_share!G52</f>
        <v>0.50875091726191057</v>
      </c>
      <c r="H52" s="29">
        <f>1-gdp_ind_share!H52-gdp_agr_share!H52</f>
        <v>0.50954149151071793</v>
      </c>
      <c r="I52" s="29">
        <f>1-gdp_ind_share!I52-gdp_agr_share!I52</f>
        <v>0.47420649543215987</v>
      </c>
      <c r="J52" s="29">
        <f>1-gdp_ind_share!J52-gdp_agr_share!J52</f>
        <v>0.4073905792239213</v>
      </c>
      <c r="K52" s="29">
        <f>1-gdp_ind_share!K52-gdp_agr_share!K52</f>
        <v>0.41428584566093984</v>
      </c>
      <c r="L52" s="30">
        <f>1-gdp_ind_share!L52-gdp_agr_share!L52</f>
        <v>0.49298392295498145</v>
      </c>
      <c r="M52" s="29">
        <f>1-gdp_ind_share!M52-gdp_agr_share!M52</f>
        <v>0.58742161570783136</v>
      </c>
      <c r="N52" s="29">
        <f>1-gdp_ind_share!N52-gdp_agr_share!N52</f>
        <v>0.63449399312402011</v>
      </c>
      <c r="O52" s="29">
        <f>1-gdp_ind_share!O52-gdp_agr_share!O52</f>
        <v>0.63733951789170185</v>
      </c>
      <c r="P52" s="29">
        <f>1-gdp_ind_share!P52-gdp_agr_share!P52</f>
        <v>0.66639010096635976</v>
      </c>
      <c r="Q52" s="29">
        <f>1-gdp_ind_share!Q52-gdp_agr_share!Q52</f>
        <v>0.70054057052051844</v>
      </c>
      <c r="R52" s="29">
        <f>1-gdp_ind_share!R52-gdp_agr_share!R52</f>
        <v>0.69544880380329643</v>
      </c>
      <c r="S52" s="29">
        <f>1-gdp_ind_share!S52-gdp_agr_share!S52</f>
        <v>0.66568319567121503</v>
      </c>
      <c r="T52" s="29">
        <f>1-gdp_ind_share!T52-gdp_agr_share!T52</f>
        <v>0.69459204805730645</v>
      </c>
      <c r="U52" s="29">
        <f>1-gdp_ind_share!U52-gdp_agr_share!U52</f>
        <v>0.71080925561079344</v>
      </c>
      <c r="V52" s="29">
        <f>1-gdp_ind_share!V52-gdp_agr_share!V52</f>
        <v>0.72947367556788401</v>
      </c>
      <c r="W52" s="29">
        <f>1-gdp_ind_share!W52-gdp_agr_share!W52</f>
        <v>0.72598929254394651</v>
      </c>
      <c r="X52" s="29">
        <f>1-gdp_ind_share!X52-gdp_agr_share!X52</f>
        <v>0.72690744799527351</v>
      </c>
      <c r="Y52" s="29">
        <f>1-gdp_ind_share!Y52-gdp_agr_share!Y52</f>
        <v>0.69649114000508228</v>
      </c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x14ac:dyDescent="0.25">
      <c r="A53" s="1" t="s">
        <v>113</v>
      </c>
      <c r="B53" s="1" t="s">
        <v>136</v>
      </c>
      <c r="C53" s="1" t="s">
        <v>137</v>
      </c>
      <c r="D53" s="29">
        <f>1-gdp_ind_share!D53-gdp_agr_share!D53</f>
        <v>0.17110758795237002</v>
      </c>
      <c r="E53" s="29">
        <f>1-gdp_ind_share!E53-gdp_agr_share!E53</f>
        <v>0.4114768794856149</v>
      </c>
      <c r="F53" s="29">
        <f>1-gdp_ind_share!F53-gdp_agr_share!F53</f>
        <v>0.38352096613648906</v>
      </c>
      <c r="G53" s="29">
        <f>1-gdp_ind_share!G53-gdp_agr_share!G53</f>
        <v>0.46292320846611101</v>
      </c>
      <c r="H53" s="29">
        <f>1-gdp_ind_share!H53-gdp_agr_share!H53</f>
        <v>0.5301098597241849</v>
      </c>
      <c r="I53" s="29">
        <f>1-gdp_ind_share!I53-gdp_agr_share!I53</f>
        <v>0.51611472700679228</v>
      </c>
      <c r="J53" s="29">
        <f>1-gdp_ind_share!J53-gdp_agr_share!J53</f>
        <v>0.44154763599270586</v>
      </c>
      <c r="K53" s="29">
        <f>1-gdp_ind_share!K53-gdp_agr_share!K53</f>
        <v>0.48915623239897382</v>
      </c>
      <c r="L53" s="30">
        <f>1-gdp_ind_share!L53-gdp_agr_share!L53</f>
        <v>0.53559889024307883</v>
      </c>
      <c r="M53" s="29">
        <f>1-gdp_ind_share!M53-gdp_agr_share!M53</f>
        <v>0.59133007965600481</v>
      </c>
      <c r="N53" s="29">
        <f>1-gdp_ind_share!N53-gdp_agr_share!N53</f>
        <v>0.70102195951497137</v>
      </c>
      <c r="O53" s="29">
        <f>1-gdp_ind_share!O53-gdp_agr_share!O53</f>
        <v>0.69528105459360146</v>
      </c>
      <c r="P53" s="29">
        <f>1-gdp_ind_share!P53-gdp_agr_share!P53</f>
        <v>0.73630704349771492</v>
      </c>
      <c r="Q53" s="29">
        <f>1-gdp_ind_share!Q53-gdp_agr_share!Q53</f>
        <v>0.78613885545631657</v>
      </c>
      <c r="R53" s="29">
        <f>1-gdp_ind_share!R53-gdp_agr_share!R53</f>
        <v>0.77843769563928511</v>
      </c>
      <c r="S53" s="29">
        <f>1-gdp_ind_share!S53-gdp_agr_share!S53</f>
        <v>0.7509377039266949</v>
      </c>
      <c r="T53" s="29">
        <f>1-gdp_ind_share!T53-gdp_agr_share!T53</f>
        <v>0.75681801960520367</v>
      </c>
      <c r="U53" s="29">
        <f>1-gdp_ind_share!U53-gdp_agr_share!U53</f>
        <v>0.75503867961652582</v>
      </c>
      <c r="V53" s="29">
        <f>1-gdp_ind_share!V53-gdp_agr_share!V53</f>
        <v>0.73546506975055803</v>
      </c>
      <c r="W53" s="29">
        <f>1-gdp_ind_share!W53-gdp_agr_share!W53</f>
        <v>0.75285573014124929</v>
      </c>
      <c r="X53" s="29">
        <f>1-gdp_ind_share!X53-gdp_agr_share!X53</f>
        <v>0.75718868340509993</v>
      </c>
      <c r="Y53" s="29">
        <f>1-gdp_ind_share!Y53-gdp_agr_share!Y53</f>
        <v>0.70254637728553304</v>
      </c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x14ac:dyDescent="0.25">
      <c r="A54" s="1" t="s">
        <v>138</v>
      </c>
      <c r="B54" s="1" t="s">
        <v>139</v>
      </c>
      <c r="C54" s="1" t="s">
        <v>140</v>
      </c>
      <c r="D54" s="29">
        <f>1-gdp_ind_share!D54-gdp_agr_share!D54</f>
        <v>0.57614887513048885</v>
      </c>
      <c r="E54" s="29">
        <f>1-gdp_ind_share!E54-gdp_agr_share!E54</f>
        <v>0.58162294318399232</v>
      </c>
      <c r="F54" s="29">
        <f>1-gdp_ind_share!F54-gdp_agr_share!F54</f>
        <v>0.50404826923159285</v>
      </c>
      <c r="G54" s="29">
        <f>1-gdp_ind_share!G54-gdp_agr_share!G54</f>
        <v>0.38388154557500348</v>
      </c>
      <c r="H54" s="29">
        <f>1-gdp_ind_share!H54-gdp_agr_share!H54</f>
        <v>0.51081253177841668</v>
      </c>
      <c r="I54" s="29">
        <f>1-gdp_ind_share!I54-gdp_agr_share!I54</f>
        <v>0.44720848129453483</v>
      </c>
      <c r="J54" s="29">
        <f>1-gdp_ind_share!J54-gdp_agr_share!J54</f>
        <v>0.29749361635498617</v>
      </c>
      <c r="K54" s="29">
        <f>1-gdp_ind_share!K54-gdp_agr_share!K54</f>
        <v>0.32891400639318552</v>
      </c>
      <c r="L54" s="30">
        <f>1-gdp_ind_share!L54-gdp_agr_share!L54</f>
        <v>0.44142955156467789</v>
      </c>
      <c r="M54" s="29">
        <f>1-gdp_ind_share!M54-gdp_agr_share!M54</f>
        <v>0.57644820577046874</v>
      </c>
      <c r="N54" s="29">
        <f>1-gdp_ind_share!N54-gdp_agr_share!N54</f>
        <v>0.66360139991455636</v>
      </c>
      <c r="O54" s="29">
        <f>1-gdp_ind_share!O54-gdp_agr_share!O54</f>
        <v>0.68889408473046465</v>
      </c>
      <c r="P54" s="29">
        <f>1-gdp_ind_share!P54-gdp_agr_share!P54</f>
        <v>0.70175461835660147</v>
      </c>
      <c r="Q54" s="29">
        <f>1-gdp_ind_share!Q54-gdp_agr_share!Q54</f>
        <v>0.75765038461306744</v>
      </c>
      <c r="R54" s="29">
        <f>1-gdp_ind_share!R54-gdp_agr_share!R54</f>
        <v>0.74416319656969743</v>
      </c>
      <c r="S54" s="29">
        <f>1-gdp_ind_share!S54-gdp_agr_share!S54</f>
        <v>0.77198502525657975</v>
      </c>
      <c r="T54" s="29">
        <f>1-gdp_ind_share!T54-gdp_agr_share!T54</f>
        <v>0.81735828188522608</v>
      </c>
      <c r="U54" s="29">
        <f>1-gdp_ind_share!U54-gdp_agr_share!U54</f>
        <v>0.81508437189207794</v>
      </c>
      <c r="V54" s="29">
        <f>1-gdp_ind_share!V54-gdp_agr_share!V54</f>
        <v>0.83255668096054036</v>
      </c>
      <c r="W54" s="29">
        <f>1-gdp_ind_share!W54-gdp_agr_share!W54</f>
        <v>0.78649953610784396</v>
      </c>
      <c r="X54" s="29">
        <f>1-gdp_ind_share!X54-gdp_agr_share!X54</f>
        <v>0.816236057013072</v>
      </c>
      <c r="Y54" s="29">
        <f>1-gdp_ind_share!Y54-gdp_agr_share!Y54</f>
        <v>0.77989067967732306</v>
      </c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25">
      <c r="A55" s="1" t="s">
        <v>138</v>
      </c>
      <c r="B55" s="1" t="s">
        <v>141</v>
      </c>
      <c r="C55" s="1" t="s">
        <v>142</v>
      </c>
      <c r="D55" s="29">
        <f>1-gdp_ind_share!D55-gdp_agr_share!D55</f>
        <v>0.36114654261553381</v>
      </c>
      <c r="E55" s="29">
        <f>1-gdp_ind_share!E55-gdp_agr_share!E55</f>
        <v>0.53301089861130713</v>
      </c>
      <c r="F55" s="29">
        <f>1-gdp_ind_share!F55-gdp_agr_share!F55</f>
        <v>0.62153150169780269</v>
      </c>
      <c r="G55" s="29">
        <f>1-gdp_ind_share!G55-gdp_agr_share!G55</f>
        <v>0.71234522328186678</v>
      </c>
      <c r="H55" s="29">
        <f>1-gdp_ind_share!H55-gdp_agr_share!H55</f>
        <v>0.56449989332648698</v>
      </c>
      <c r="I55" s="29">
        <f>1-gdp_ind_share!I55-gdp_agr_share!I55</f>
        <v>0.61845489676915366</v>
      </c>
      <c r="J55" s="29">
        <f>1-gdp_ind_share!J55-gdp_agr_share!J55</f>
        <v>0.62423829138634745</v>
      </c>
      <c r="K55" s="29">
        <f>1-gdp_ind_share!K55-gdp_agr_share!K55</f>
        <v>0.71502668042627515</v>
      </c>
      <c r="L55" s="30">
        <f>1-gdp_ind_share!L55-gdp_agr_share!L55</f>
        <v>0.70741526397997878</v>
      </c>
      <c r="M55" s="29">
        <f>1-gdp_ind_share!M55-gdp_agr_share!M55</f>
        <v>0.69828156424442311</v>
      </c>
      <c r="N55" s="29">
        <f>1-gdp_ind_share!N55-gdp_agr_share!N55</f>
        <v>0.74960946411300577</v>
      </c>
      <c r="O55" s="29">
        <f>1-gdp_ind_share!O55-gdp_agr_share!O55</f>
        <v>0.73625706788201684</v>
      </c>
      <c r="P55" s="29">
        <f>1-gdp_ind_share!P55-gdp_agr_share!P55</f>
        <v>0.72598602039322413</v>
      </c>
      <c r="Q55" s="29">
        <f>1-gdp_ind_share!Q55-gdp_agr_share!Q55</f>
        <v>0.75304768046661852</v>
      </c>
      <c r="R55" s="29">
        <f>1-gdp_ind_share!R55-gdp_agr_share!R55</f>
        <v>0.71910222897181841</v>
      </c>
      <c r="S55" s="29">
        <f>1-gdp_ind_share!S55-gdp_agr_share!S55</f>
        <v>0.73291295670234091</v>
      </c>
      <c r="T55" s="29">
        <f>1-gdp_ind_share!T55-gdp_agr_share!T55</f>
        <v>0.78615263913874978</v>
      </c>
      <c r="U55" s="29">
        <f>1-gdp_ind_share!U55-gdp_agr_share!U55</f>
        <v>0.78411127312357498</v>
      </c>
      <c r="V55" s="29">
        <f>1-gdp_ind_share!V55-gdp_agr_share!V55</f>
        <v>0.80521148781465612</v>
      </c>
      <c r="W55" s="29">
        <f>1-gdp_ind_share!W55-gdp_agr_share!W55</f>
        <v>0.78391557592495387</v>
      </c>
      <c r="X55" s="29">
        <f>1-gdp_ind_share!X55-gdp_agr_share!X55</f>
        <v>0.77286545493156633</v>
      </c>
      <c r="Y55" s="29">
        <f>1-gdp_ind_share!Y55-gdp_agr_share!Y55</f>
        <v>0.75623985202007238</v>
      </c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x14ac:dyDescent="0.25">
      <c r="A56" s="1" t="s">
        <v>138</v>
      </c>
      <c r="B56" s="1" t="s">
        <v>143</v>
      </c>
      <c r="C56" s="1" t="s">
        <v>144</v>
      </c>
      <c r="D56" s="29">
        <f>1-gdp_ind_share!D56-gdp_agr_share!D56</f>
        <v>0.41671500391964944</v>
      </c>
      <c r="E56" s="29">
        <f>1-gdp_ind_share!E56-gdp_agr_share!E56</f>
        <v>0.44775802777694784</v>
      </c>
      <c r="F56" s="29">
        <f>1-gdp_ind_share!F56-gdp_agr_share!F56</f>
        <v>0.31453307586715851</v>
      </c>
      <c r="G56" s="29">
        <f>1-gdp_ind_share!G56-gdp_agr_share!G56</f>
        <v>0.44086723394061739</v>
      </c>
      <c r="H56" s="29">
        <f>1-gdp_ind_share!H56-gdp_agr_share!H56</f>
        <v>0.42641014678476696</v>
      </c>
      <c r="I56" s="29">
        <f>1-gdp_ind_share!I56-gdp_agr_share!I56</f>
        <v>0.53124696676615168</v>
      </c>
      <c r="J56" s="29">
        <f>1-gdp_ind_share!J56-gdp_agr_share!J56</f>
        <v>0.33062141509998955</v>
      </c>
      <c r="K56" s="29">
        <f>1-gdp_ind_share!K56-gdp_agr_share!K56</f>
        <v>0.2857652790890558</v>
      </c>
      <c r="L56" s="30">
        <f>1-gdp_ind_share!L56-gdp_agr_share!L56</f>
        <v>0.30142759142299913</v>
      </c>
      <c r="M56" s="29">
        <f>1-gdp_ind_share!M56-gdp_agr_share!M56</f>
        <v>0.32022236622373101</v>
      </c>
      <c r="N56" s="29">
        <f>1-gdp_ind_share!N56-gdp_agr_share!N56</f>
        <v>0.5403983449662435</v>
      </c>
      <c r="O56" s="29">
        <f>1-gdp_ind_share!O56-gdp_agr_share!O56</f>
        <v>0.52818425685431802</v>
      </c>
      <c r="P56" s="29">
        <f>1-gdp_ind_share!P56-gdp_agr_share!P56</f>
        <v>0.51419532069086971</v>
      </c>
      <c r="Q56" s="29">
        <f>1-gdp_ind_share!Q56-gdp_agr_share!Q56</f>
        <v>0.14363039283856449</v>
      </c>
      <c r="R56" s="29">
        <f>1-gdp_ind_share!R56-gdp_agr_share!R56</f>
        <v>0.12550720377581903</v>
      </c>
      <c r="S56" s="29">
        <f>1-gdp_ind_share!S56-gdp_agr_share!S56</f>
        <v>0.18514147569887268</v>
      </c>
      <c r="T56" s="29">
        <f>1-gdp_ind_share!T56-gdp_agr_share!T56</f>
        <v>0.30941571110982541</v>
      </c>
      <c r="U56" s="29">
        <f>1-gdp_ind_share!U56-gdp_agr_share!U56</f>
        <v>0.31933185889660265</v>
      </c>
      <c r="V56" s="29">
        <f>1-gdp_ind_share!V56-gdp_agr_share!V56</f>
        <v>0.42377750899024752</v>
      </c>
      <c r="W56" s="29">
        <f>1-gdp_ind_share!W56-gdp_agr_share!W56</f>
        <v>0.38146843427781812</v>
      </c>
      <c r="X56" s="29">
        <f>1-gdp_ind_share!X56-gdp_agr_share!X56</f>
        <v>0.37022689293788552</v>
      </c>
      <c r="Y56" s="29">
        <f>1-gdp_ind_share!Y56-gdp_agr_share!Y56</f>
        <v>0.27239962972828974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25">
      <c r="A57" s="1" t="s">
        <v>138</v>
      </c>
      <c r="B57" s="1" t="s">
        <v>145</v>
      </c>
      <c r="C57" s="1" t="s">
        <v>146</v>
      </c>
      <c r="D57" s="29">
        <f>1-gdp_ind_share!D57-gdp_agr_share!D57</f>
        <v>0.29648177488352878</v>
      </c>
      <c r="E57" s="29">
        <f>1-gdp_ind_share!E57-gdp_agr_share!E57</f>
        <v>0.2045723638991469</v>
      </c>
      <c r="F57" s="29">
        <f>1-gdp_ind_share!F57-gdp_agr_share!F57</f>
        <v>0.24127209324470522</v>
      </c>
      <c r="G57" s="29">
        <f>1-gdp_ind_share!G57-gdp_agr_share!G57</f>
        <v>0.47094952883665503</v>
      </c>
      <c r="H57" s="29">
        <f>1-gdp_ind_share!H57-gdp_agr_share!H57</f>
        <v>0.40556721099956811</v>
      </c>
      <c r="I57" s="29">
        <f>1-gdp_ind_share!I57-gdp_agr_share!I57</f>
        <v>0.41403702280340399</v>
      </c>
      <c r="J57" s="29">
        <f>1-gdp_ind_share!J57-gdp_agr_share!J57</f>
        <v>0.29480200677513446</v>
      </c>
      <c r="K57" s="29">
        <f>1-gdp_ind_share!K57-gdp_agr_share!K57</f>
        <v>0.46811612062298452</v>
      </c>
      <c r="L57" s="30">
        <f>1-gdp_ind_share!L57-gdp_agr_share!L57</f>
        <v>0.45034187093360373</v>
      </c>
      <c r="M57" s="29">
        <f>1-gdp_ind_share!M57-gdp_agr_share!M57</f>
        <v>0.42901277130634685</v>
      </c>
      <c r="N57" s="29">
        <f>1-gdp_ind_share!N57-gdp_agr_share!N57</f>
        <v>0.61821043361837158</v>
      </c>
      <c r="O57" s="29">
        <f>1-gdp_ind_share!O57-gdp_agr_share!O57</f>
        <v>0.61998547850642416</v>
      </c>
      <c r="P57" s="29">
        <f>1-gdp_ind_share!P57-gdp_agr_share!P57</f>
        <v>0.58862181182883644</v>
      </c>
      <c r="Q57" s="29">
        <f>1-gdp_ind_share!Q57-gdp_agr_share!Q57</f>
        <v>0.59736368142010587</v>
      </c>
      <c r="R57" s="29">
        <f>1-gdp_ind_share!R57-gdp_agr_share!R57</f>
        <v>0.51802656678210923</v>
      </c>
      <c r="S57" s="29">
        <f>1-gdp_ind_share!S57-gdp_agr_share!S57</f>
        <v>0.58676748125007605</v>
      </c>
      <c r="T57" s="29">
        <f>1-gdp_ind_share!T57-gdp_agr_share!T57</f>
        <v>0.67602302073380827</v>
      </c>
      <c r="U57" s="29">
        <f>1-gdp_ind_share!U57-gdp_agr_share!U57</f>
        <v>0.65894223407885999</v>
      </c>
      <c r="V57" s="29">
        <f>1-gdp_ind_share!V57-gdp_agr_share!V57</f>
        <v>0.66238325550954669</v>
      </c>
      <c r="W57" s="29">
        <f>1-gdp_ind_share!W57-gdp_agr_share!W57</f>
        <v>0.60897271127899844</v>
      </c>
      <c r="X57" s="29">
        <f>1-gdp_ind_share!X57-gdp_agr_share!X57</f>
        <v>0.64657562641773647</v>
      </c>
      <c r="Y57" s="29">
        <f>1-gdp_ind_share!Y57-gdp_agr_share!Y57</f>
        <v>0.60829981646593856</v>
      </c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x14ac:dyDescent="0.25">
      <c r="A58" s="1" t="s">
        <v>147</v>
      </c>
      <c r="B58" s="1" t="s">
        <v>148</v>
      </c>
      <c r="C58" s="1" t="s">
        <v>149</v>
      </c>
      <c r="D58" s="29">
        <f>1-gdp_ind_share!D58-gdp_agr_share!D58</f>
        <v>0.64784060723148906</v>
      </c>
      <c r="E58" s="29">
        <f>1-gdp_ind_share!E58-gdp_agr_share!E58</f>
        <v>0.54394626365170029</v>
      </c>
      <c r="F58" s="29">
        <f>1-gdp_ind_share!F58-gdp_agr_share!F58</f>
        <v>0.63586573379124678</v>
      </c>
      <c r="G58" s="29">
        <f>1-gdp_ind_share!G58-gdp_agr_share!G58</f>
        <v>4.6909129157651774E-2</v>
      </c>
      <c r="H58" s="29">
        <f>1-gdp_ind_share!H58-gdp_agr_share!H58</f>
        <v>0.81389390583849675</v>
      </c>
      <c r="I58" s="29">
        <f>1-gdp_ind_share!I58-gdp_agr_share!I58</f>
        <v>0.52522319777438031</v>
      </c>
      <c r="J58" s="29">
        <f>1-gdp_ind_share!J58-gdp_agr_share!J58</f>
        <v>0.5453813167747884</v>
      </c>
      <c r="K58" s="29">
        <f>1-gdp_ind_share!K58-gdp_agr_share!K58</f>
        <v>0.5642177515753517</v>
      </c>
      <c r="L58" s="30">
        <f>1-gdp_ind_share!L58-gdp_agr_share!L58</f>
        <v>0.46962787932213346</v>
      </c>
      <c r="M58" s="29">
        <f>1-gdp_ind_share!M58-gdp_agr_share!M58</f>
        <v>0.35612003261827152</v>
      </c>
      <c r="N58" s="29">
        <f>1-gdp_ind_share!N58-gdp_agr_share!N58</f>
        <v>0.5538208485932079</v>
      </c>
      <c r="O58" s="29">
        <f>1-gdp_ind_share!O58-gdp_agr_share!O58</f>
        <v>0.50877874955748081</v>
      </c>
      <c r="P58" s="29">
        <f>1-gdp_ind_share!P58-gdp_agr_share!P58</f>
        <v>0.51674709256586138</v>
      </c>
      <c r="Q58" s="29">
        <f>1-gdp_ind_share!Q58-gdp_agr_share!Q58</f>
        <v>0.5912197801450656</v>
      </c>
      <c r="R58" s="29">
        <f>1-gdp_ind_share!R58-gdp_agr_share!R58</f>
        <v>0.53122611450064694</v>
      </c>
      <c r="S58" s="29">
        <f>1-gdp_ind_share!S58-gdp_agr_share!S58</f>
        <v>0.53046170255861891</v>
      </c>
      <c r="T58" s="29">
        <f>1-gdp_ind_share!T58-gdp_agr_share!T58</f>
        <v>0.55659298331520302</v>
      </c>
      <c r="U58" s="29">
        <f>1-gdp_ind_share!U58-gdp_agr_share!U58</f>
        <v>0.71333509116105931</v>
      </c>
      <c r="V58" s="29">
        <f>1-gdp_ind_share!V58-gdp_agr_share!V58</f>
        <v>0.67439718907753443</v>
      </c>
      <c r="W58" s="29">
        <f>1-gdp_ind_share!W58-gdp_agr_share!W58</f>
        <v>0.6355623401342676</v>
      </c>
      <c r="X58" s="29">
        <f>1-gdp_ind_share!X58-gdp_agr_share!X58</f>
        <v>0.65675198957502623</v>
      </c>
      <c r="Y58" s="29">
        <f>1-gdp_ind_share!Y58-gdp_agr_share!Y58</f>
        <v>0.67133002317162482</v>
      </c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x14ac:dyDescent="0.25">
      <c r="A59" s="1" t="s">
        <v>147</v>
      </c>
      <c r="B59" s="1" t="s">
        <v>150</v>
      </c>
      <c r="C59" s="1" t="s">
        <v>151</v>
      </c>
      <c r="D59" s="29">
        <f>1-gdp_ind_share!D59-gdp_agr_share!D59</f>
        <v>0.48986578600737163</v>
      </c>
      <c r="E59" s="29">
        <f>1-gdp_ind_share!E59-gdp_agr_share!E59</f>
        <v>0.19486694919032677</v>
      </c>
      <c r="F59" s="29">
        <f>1-gdp_ind_share!F59-gdp_agr_share!F59</f>
        <v>5.2456140886461888E-2</v>
      </c>
      <c r="G59" s="29">
        <f>1-gdp_ind_share!G59-gdp_agr_share!G59</f>
        <v>0.2140336660396952</v>
      </c>
      <c r="H59" s="29">
        <f>1-gdp_ind_share!H59-gdp_agr_share!H59</f>
        <v>1.2323164205127384</v>
      </c>
      <c r="I59" s="29">
        <f>1-gdp_ind_share!I59-gdp_agr_share!I59</f>
        <v>0.77854917677320679</v>
      </c>
      <c r="J59" s="29">
        <f>1-gdp_ind_share!J59-gdp_agr_share!J59</f>
        <v>0.51543723135780495</v>
      </c>
      <c r="K59" s="29">
        <f>1-gdp_ind_share!K59-gdp_agr_share!K59</f>
        <v>0.62079902394867448</v>
      </c>
      <c r="L59" s="30">
        <f>1-gdp_ind_share!L59-gdp_agr_share!L59</f>
        <v>0.55740929388379046</v>
      </c>
      <c r="M59" s="29">
        <f>1-gdp_ind_share!M59-gdp_agr_share!M59</f>
        <v>0.4813416178059296</v>
      </c>
      <c r="N59" s="29">
        <f>1-gdp_ind_share!N59-gdp_agr_share!N59</f>
        <v>0.53767219175771896</v>
      </c>
      <c r="O59" s="29">
        <f>1-gdp_ind_share!O59-gdp_agr_share!O59</f>
        <v>0.49260216152077763</v>
      </c>
      <c r="P59" s="29">
        <f>1-gdp_ind_share!P59-gdp_agr_share!P59</f>
        <v>0.51339736455620599</v>
      </c>
      <c r="Q59" s="29">
        <f>1-gdp_ind_share!Q59-gdp_agr_share!Q59</f>
        <v>0.65079499249554984</v>
      </c>
      <c r="R59" s="29">
        <f>1-gdp_ind_share!R59-gdp_agr_share!R59</f>
        <v>0.59258339404531379</v>
      </c>
      <c r="S59" s="29">
        <f>1-gdp_ind_share!S59-gdp_agr_share!S59</f>
        <v>0.58179400823828031</v>
      </c>
      <c r="T59" s="29">
        <f>1-gdp_ind_share!T59-gdp_agr_share!T59</f>
        <v>0.64615928051759064</v>
      </c>
      <c r="U59" s="29">
        <f>1-gdp_ind_share!U59-gdp_agr_share!U59</f>
        <v>0.76366159549435952</v>
      </c>
      <c r="V59" s="29">
        <f>1-gdp_ind_share!V59-gdp_agr_share!V59</f>
        <v>0.73829896983610699</v>
      </c>
      <c r="W59" s="29">
        <f>1-gdp_ind_share!W59-gdp_agr_share!W59</f>
        <v>0.70264296756568945</v>
      </c>
      <c r="X59" s="29">
        <f>1-gdp_ind_share!X59-gdp_agr_share!X59</f>
        <v>0.69720213736769943</v>
      </c>
      <c r="Y59" s="29">
        <f>1-gdp_ind_share!Y59-gdp_agr_share!Y59</f>
        <v>0.70853415644916218</v>
      </c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x14ac:dyDescent="0.25">
      <c r="A60" s="1" t="s">
        <v>147</v>
      </c>
      <c r="B60" s="1" t="s">
        <v>152</v>
      </c>
      <c r="C60" s="1" t="s">
        <v>153</v>
      </c>
      <c r="D60" s="29">
        <f>1-gdp_ind_share!D60-gdp_agr_share!D60</f>
        <v>0.83384681516874437</v>
      </c>
      <c r="E60" s="29">
        <f>1-gdp_ind_share!E60-gdp_agr_share!E60</f>
        <v>0.30792463092334355</v>
      </c>
      <c r="F60" s="29">
        <f>1-gdp_ind_share!F60-gdp_agr_share!F60</f>
        <v>0.20570651640384097</v>
      </c>
      <c r="G60" s="29">
        <f>1-gdp_ind_share!G60-gdp_agr_share!G60</f>
        <v>7.818497003152669E-2</v>
      </c>
      <c r="H60" s="29">
        <f>1-gdp_ind_share!H60-gdp_agr_share!H60</f>
        <v>0.35022464856578506</v>
      </c>
      <c r="I60" s="29">
        <f>1-gdp_ind_share!I60-gdp_agr_share!I60</f>
        <v>0.39290142662261507</v>
      </c>
      <c r="J60" s="29">
        <f>1-gdp_ind_share!J60-gdp_agr_share!J60</f>
        <v>0.26737488278145327</v>
      </c>
      <c r="K60" s="29">
        <f>1-gdp_ind_share!K60-gdp_agr_share!K60</f>
        <v>0.44159657056802654</v>
      </c>
      <c r="L60" s="30">
        <f>1-gdp_ind_share!L60-gdp_agr_share!L60</f>
        <v>0.41494461409876371</v>
      </c>
      <c r="M60" s="29">
        <f>1-gdp_ind_share!M60-gdp_agr_share!M60</f>
        <v>0.38296226633564828</v>
      </c>
      <c r="N60" s="29">
        <f>1-gdp_ind_share!N60-gdp_agr_share!N60</f>
        <v>0.59153200791109006</v>
      </c>
      <c r="O60" s="29">
        <f>1-gdp_ind_share!O60-gdp_agr_share!O60</f>
        <v>0.55012144255642359</v>
      </c>
      <c r="P60" s="29">
        <f>1-gdp_ind_share!P60-gdp_agr_share!P60</f>
        <v>0.5435597497928002</v>
      </c>
      <c r="Q60" s="29">
        <f>1-gdp_ind_share!Q60-gdp_agr_share!Q60</f>
        <v>0.56146333331996923</v>
      </c>
      <c r="R60" s="29">
        <f>1-gdp_ind_share!R60-gdp_agr_share!R60</f>
        <v>0.50404064155484085</v>
      </c>
      <c r="S60" s="29">
        <f>1-gdp_ind_share!S60-gdp_agr_share!S60</f>
        <v>0.51045314262444885</v>
      </c>
      <c r="T60" s="29">
        <f>1-gdp_ind_share!T60-gdp_agr_share!T60</f>
        <v>0.59318208511290138</v>
      </c>
      <c r="U60" s="29">
        <f>1-gdp_ind_share!U60-gdp_agr_share!U60</f>
        <v>0.66225522690308525</v>
      </c>
      <c r="V60" s="29">
        <f>1-gdp_ind_share!V60-gdp_agr_share!V60</f>
        <v>0.6333355554695933</v>
      </c>
      <c r="W60" s="29">
        <f>1-gdp_ind_share!W60-gdp_agr_share!W60</f>
        <v>0.59358369853041804</v>
      </c>
      <c r="X60" s="29">
        <f>1-gdp_ind_share!X60-gdp_agr_share!X60</f>
        <v>0.59051012480530274</v>
      </c>
      <c r="Y60" s="29">
        <f>1-gdp_ind_share!Y60-gdp_agr_share!Y60</f>
        <v>0.51573279055286902</v>
      </c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25">
      <c r="A61" s="1" t="s">
        <v>147</v>
      </c>
      <c r="B61" s="1" t="s">
        <v>154</v>
      </c>
      <c r="C61" s="1" t="s">
        <v>155</v>
      </c>
      <c r="D61" s="29">
        <f>1-gdp_ind_share!D61-gdp_agr_share!D61</f>
        <v>0.48361557110082187</v>
      </c>
      <c r="E61" s="29">
        <f>1-gdp_ind_share!E61-gdp_agr_share!E61</f>
        <v>0.44893963963215483</v>
      </c>
      <c r="F61" s="29">
        <f>1-gdp_ind_share!F61-gdp_agr_share!F61</f>
        <v>0.46913810713891319</v>
      </c>
      <c r="G61" s="29">
        <f>1-gdp_ind_share!G61-gdp_agr_share!G61</f>
        <v>0.49669641203191867</v>
      </c>
      <c r="H61" s="29">
        <f>1-gdp_ind_share!H61-gdp_agr_share!H61</f>
        <v>0.62739571382191728</v>
      </c>
      <c r="I61" s="29">
        <f>1-gdp_ind_share!I61-gdp_agr_share!I61</f>
        <v>0.50168205198399241</v>
      </c>
      <c r="J61" s="29">
        <f>1-gdp_ind_share!J61-gdp_agr_share!J61</f>
        <v>0.68762950588016014</v>
      </c>
      <c r="K61" s="29">
        <f>1-gdp_ind_share!K61-gdp_agr_share!K61</f>
        <v>0.68547302609852623</v>
      </c>
      <c r="L61" s="30">
        <f>1-gdp_ind_share!L61-gdp_agr_share!L61</f>
        <v>0.73436792214690361</v>
      </c>
      <c r="M61" s="29">
        <f>1-gdp_ind_share!M61-gdp_agr_share!M61</f>
        <v>0.79304179740495662</v>
      </c>
      <c r="N61" s="29">
        <f>1-gdp_ind_share!N61-gdp_agr_share!N61</f>
        <v>0.77720631829404652</v>
      </c>
      <c r="O61" s="29">
        <f>1-gdp_ind_share!O61-gdp_agr_share!O61</f>
        <v>0.7609348986914436</v>
      </c>
      <c r="P61" s="29">
        <f>1-gdp_ind_share!P61-gdp_agr_share!P61</f>
        <v>0.78557996072008462</v>
      </c>
      <c r="Q61" s="29">
        <f>1-gdp_ind_share!Q61-gdp_agr_share!Q61</f>
        <v>0.79173258939940461</v>
      </c>
      <c r="R61" s="29">
        <f>1-gdp_ind_share!R61-gdp_agr_share!R61</f>
        <v>0.79753691685785288</v>
      </c>
      <c r="S61" s="29">
        <f>1-gdp_ind_share!S61-gdp_agr_share!S61</f>
        <v>0.75117823647374815</v>
      </c>
      <c r="T61" s="29">
        <f>1-gdp_ind_share!T61-gdp_agr_share!T61</f>
        <v>0.78457458671982538</v>
      </c>
      <c r="U61" s="29">
        <f>1-gdp_ind_share!U61-gdp_agr_share!U61</f>
        <v>0.83364107571959101</v>
      </c>
      <c r="V61" s="29">
        <f>1-gdp_ind_share!V61-gdp_agr_share!V61</f>
        <v>0.83816063784991124</v>
      </c>
      <c r="W61" s="29">
        <f>1-gdp_ind_share!W61-gdp_agr_share!W61</f>
        <v>0.83252220273958843</v>
      </c>
      <c r="X61" s="29">
        <f>1-gdp_ind_share!X61-gdp_agr_share!X61</f>
        <v>0.82809481096723636</v>
      </c>
      <c r="Y61" s="29">
        <f>1-gdp_ind_share!Y61-gdp_agr_share!Y61</f>
        <v>0.79587295120724821</v>
      </c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x14ac:dyDescent="0.25">
      <c r="A62" s="1" t="s">
        <v>147</v>
      </c>
      <c r="B62" s="1" t="s">
        <v>156</v>
      </c>
      <c r="C62" s="1" t="s">
        <v>157</v>
      </c>
      <c r="D62" s="29" t="e">
        <f>1-gdp_ind_share!D62-gdp_agr_share!D62</f>
        <v>#DIV/0!</v>
      </c>
      <c r="E62" s="29">
        <f>1-gdp_ind_share!E62-gdp_agr_share!E62</f>
        <v>0.43985109489765706</v>
      </c>
      <c r="F62" s="29">
        <f>1-gdp_ind_share!F62-gdp_agr_share!F62</f>
        <v>0.46416248325856058</v>
      </c>
      <c r="G62" s="29">
        <f>1-gdp_ind_share!G62-gdp_agr_share!G62</f>
        <v>0.29884805274608273</v>
      </c>
      <c r="H62" s="29">
        <f>1-gdp_ind_share!H62-gdp_agr_share!H62</f>
        <v>0.3734387635928188</v>
      </c>
      <c r="I62" s="29">
        <f>1-gdp_ind_share!I62-gdp_agr_share!I62</f>
        <v>0.42873839492125293</v>
      </c>
      <c r="J62" s="29">
        <f>1-gdp_ind_share!J62-gdp_agr_share!J62</f>
        <v>0.45785498999373608</v>
      </c>
      <c r="K62" s="29">
        <f>1-gdp_ind_share!K62-gdp_agr_share!K62</f>
        <v>0.61681587767466373</v>
      </c>
      <c r="L62" s="30">
        <f>1-gdp_ind_share!L62-gdp_agr_share!L62</f>
        <v>0.52746372043236345</v>
      </c>
      <c r="M62" s="29">
        <f>1-gdp_ind_share!M62-gdp_agr_share!M62</f>
        <v>0.42024113174160327</v>
      </c>
      <c r="N62" s="29">
        <f>1-gdp_ind_share!N62-gdp_agr_share!N62</f>
        <v>0.57652688287333331</v>
      </c>
      <c r="O62" s="29">
        <f>1-gdp_ind_share!O62-gdp_agr_share!O62</f>
        <v>0.53469936398718398</v>
      </c>
      <c r="P62" s="29">
        <f>1-gdp_ind_share!P62-gdp_agr_share!P62</f>
        <v>0.5488441681100793</v>
      </c>
      <c r="Q62" s="29">
        <f>1-gdp_ind_share!Q62-gdp_agr_share!Q62</f>
        <v>0.63001867789641997</v>
      </c>
      <c r="R62" s="29">
        <f>1-gdp_ind_share!R62-gdp_agr_share!R62</f>
        <v>0.59567264886301008</v>
      </c>
      <c r="S62" s="29">
        <f>1-gdp_ind_share!S62-gdp_agr_share!S62</f>
        <v>0.5757174238109446</v>
      </c>
      <c r="T62" s="29">
        <f>1-gdp_ind_share!T62-gdp_agr_share!T62</f>
        <v>0.58875418858262418</v>
      </c>
      <c r="U62" s="29">
        <f>1-gdp_ind_share!U62-gdp_agr_share!U62</f>
        <v>0.72977937755828448</v>
      </c>
      <c r="V62" s="29">
        <f>1-gdp_ind_share!V62-gdp_agr_share!V62</f>
        <v>0.69515356258291194</v>
      </c>
      <c r="W62" s="29">
        <f>1-gdp_ind_share!W62-gdp_agr_share!W62</f>
        <v>0.66280264063142447</v>
      </c>
      <c r="X62" s="29">
        <f>1-gdp_ind_share!X62-gdp_agr_share!X62</f>
        <v>0.66943748670440273</v>
      </c>
      <c r="Y62" s="29">
        <f>1-gdp_ind_share!Y62-gdp_agr_share!Y62</f>
        <v>0.66444790941000209</v>
      </c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x14ac:dyDescent="0.25">
      <c r="A63" s="1" t="s">
        <v>158</v>
      </c>
      <c r="B63" s="1" t="s">
        <v>159</v>
      </c>
      <c r="C63" s="1" t="s">
        <v>160</v>
      </c>
      <c r="D63" s="29">
        <f>1-gdp_ind_share!D63-gdp_agr_share!D63</f>
        <v>0.42151711793060631</v>
      </c>
      <c r="E63" s="29">
        <f>1-gdp_ind_share!E63-gdp_agr_share!E63</f>
        <v>0.38879470030410845</v>
      </c>
      <c r="F63" s="29">
        <f>1-gdp_ind_share!F63-gdp_agr_share!F63</f>
        <v>0.57510080164299904</v>
      </c>
      <c r="G63" s="29">
        <f>1-gdp_ind_share!G63-gdp_agr_share!G63</f>
        <v>0.67189807429407389</v>
      </c>
      <c r="H63" s="29">
        <f>1-gdp_ind_share!H63-gdp_agr_share!H63</f>
        <v>0.44732641017618946</v>
      </c>
      <c r="I63" s="29">
        <f>1-gdp_ind_share!I63-gdp_agr_share!I63</f>
        <v>0.47599700644096476</v>
      </c>
      <c r="J63" s="29">
        <f>1-gdp_ind_share!J63-gdp_agr_share!J63</f>
        <v>0.27709653772654441</v>
      </c>
      <c r="K63" s="29">
        <f>1-gdp_ind_share!K63-gdp_agr_share!K63</f>
        <v>0.27187374038295831</v>
      </c>
      <c r="L63" s="30">
        <f>1-gdp_ind_share!L63-gdp_agr_share!L63</f>
        <v>0.2971505808747204</v>
      </c>
      <c r="M63" s="29">
        <f>1-gdp_ind_share!M63-gdp_agr_share!M63</f>
        <v>0.32748278946483489</v>
      </c>
      <c r="N63" s="29">
        <f>1-gdp_ind_share!N63-gdp_agr_share!N63</f>
        <v>0.55941030387192692</v>
      </c>
      <c r="O63" s="29">
        <f>1-gdp_ind_share!O63-gdp_agr_share!O63</f>
        <v>0.52511096537812718</v>
      </c>
      <c r="P63" s="29">
        <f>1-gdp_ind_share!P63-gdp_agr_share!P63</f>
        <v>0.54920387112437896</v>
      </c>
      <c r="Q63" s="29">
        <f>1-gdp_ind_share!Q63-gdp_agr_share!Q63</f>
        <v>0.57087702626126047</v>
      </c>
      <c r="R63" s="29">
        <f>1-gdp_ind_share!R63-gdp_agr_share!R63</f>
        <v>0.55671971960456101</v>
      </c>
      <c r="S63" s="29">
        <f>1-gdp_ind_share!S63-gdp_agr_share!S63</f>
        <v>0.526008183792396</v>
      </c>
      <c r="T63" s="29">
        <f>1-gdp_ind_share!T63-gdp_agr_share!T63</f>
        <v>0.54474532084360572</v>
      </c>
      <c r="U63" s="29">
        <f>1-gdp_ind_share!U63-gdp_agr_share!U63</f>
        <v>0.55194776195058681</v>
      </c>
      <c r="V63" s="29">
        <f>1-gdp_ind_share!V63-gdp_agr_share!V63</f>
        <v>0.58668433280357901</v>
      </c>
      <c r="W63" s="29">
        <f>1-gdp_ind_share!W63-gdp_agr_share!W63</f>
        <v>0.55925246131861661</v>
      </c>
      <c r="X63" s="29">
        <f>1-gdp_ind_share!X63-gdp_agr_share!X63</f>
        <v>0.62381288250723388</v>
      </c>
      <c r="Y63" s="29">
        <f>1-gdp_ind_share!Y63-gdp_agr_share!Y63</f>
        <v>0.43184335922430162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x14ac:dyDescent="0.25">
      <c r="A64" s="1" t="s">
        <v>158</v>
      </c>
      <c r="B64" s="1" t="s">
        <v>161</v>
      </c>
      <c r="C64" s="1" t="s">
        <v>162</v>
      </c>
      <c r="D64" s="29">
        <f>1-gdp_ind_share!D64-gdp_agr_share!D64</f>
        <v>0.38105329818989986</v>
      </c>
      <c r="E64" s="29">
        <f>1-gdp_ind_share!E64-gdp_agr_share!E64</f>
        <v>0.35251338061043391</v>
      </c>
      <c r="F64" s="29">
        <f>1-gdp_ind_share!F64-gdp_agr_share!F64</f>
        <v>0.31978536801131729</v>
      </c>
      <c r="G64" s="29">
        <f>1-gdp_ind_share!G64-gdp_agr_share!G64</f>
        <v>0.28933469148939794</v>
      </c>
      <c r="H64" s="29">
        <f>1-gdp_ind_share!H64-gdp_agr_share!H64</f>
        <v>0.30606231594341088</v>
      </c>
      <c r="I64" s="29">
        <f>1-gdp_ind_share!I64-gdp_agr_share!I64</f>
        <v>0.30295204987134877</v>
      </c>
      <c r="J64" s="29">
        <f>1-gdp_ind_share!J64-gdp_agr_share!J64</f>
        <v>0.25152686863508156</v>
      </c>
      <c r="K64" s="29">
        <f>1-gdp_ind_share!K64-gdp_agr_share!K64</f>
        <v>0.25982723659927753</v>
      </c>
      <c r="L64" s="30">
        <f>1-gdp_ind_share!L64-gdp_agr_share!L64</f>
        <v>0.25262642856294426</v>
      </c>
      <c r="M64" s="29">
        <f>1-gdp_ind_share!M64-gdp_agr_share!M64</f>
        <v>0.24398545891934431</v>
      </c>
      <c r="N64" s="29">
        <f>1-gdp_ind_share!N64-gdp_agr_share!N64</f>
        <v>0.61865428097972253</v>
      </c>
      <c r="O64" s="29">
        <f>1-gdp_ind_share!O64-gdp_agr_share!O64</f>
        <v>0.60909065617669267</v>
      </c>
      <c r="P64" s="29">
        <f>1-gdp_ind_share!P64-gdp_agr_share!P64</f>
        <v>0.58421477533112554</v>
      </c>
      <c r="Q64" s="29">
        <f>1-gdp_ind_share!Q64-gdp_agr_share!Q64</f>
        <v>0.51919104883400846</v>
      </c>
      <c r="R64" s="29">
        <f>1-gdp_ind_share!R64-gdp_agr_share!R64</f>
        <v>0.53935989737814172</v>
      </c>
      <c r="S64" s="29">
        <f>1-gdp_ind_share!S64-gdp_agr_share!S64</f>
        <v>0.49141263077463188</v>
      </c>
      <c r="T64" s="29">
        <f>1-gdp_ind_share!T64-gdp_agr_share!T64</f>
        <v>0.52966029515945112</v>
      </c>
      <c r="U64" s="29">
        <f>1-gdp_ind_share!U64-gdp_agr_share!U64</f>
        <v>0.53586028749646708</v>
      </c>
      <c r="V64" s="29">
        <f>1-gdp_ind_share!V64-gdp_agr_share!V64</f>
        <v>0.57332328049249615</v>
      </c>
      <c r="W64" s="29">
        <f>1-gdp_ind_share!W64-gdp_agr_share!W64</f>
        <v>0.61326189747083548</v>
      </c>
      <c r="X64" s="29">
        <f>1-gdp_ind_share!X64-gdp_agr_share!X64</f>
        <v>0.65813337076030698</v>
      </c>
      <c r="Y64" s="29">
        <f>1-gdp_ind_share!Y64-gdp_agr_share!Y64</f>
        <v>0.60566976868914013</v>
      </c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x14ac:dyDescent="0.25">
      <c r="A65" s="1" t="s">
        <v>158</v>
      </c>
      <c r="B65" s="1" t="s">
        <v>163</v>
      </c>
      <c r="C65" s="1" t="s">
        <v>164</v>
      </c>
      <c r="D65" s="29">
        <f>1-gdp_ind_share!D65-gdp_agr_share!D65</f>
        <v>0.77592248287186993</v>
      </c>
      <c r="E65" s="29">
        <f>1-gdp_ind_share!E65-gdp_agr_share!E65</f>
        <v>0.68875951220817566</v>
      </c>
      <c r="F65" s="29">
        <f>1-gdp_ind_share!F65-gdp_agr_share!F65</f>
        <v>0.77368510688977921</v>
      </c>
      <c r="G65" s="29">
        <f>1-gdp_ind_share!G65-gdp_agr_share!G65</f>
        <v>0.73563601634325937</v>
      </c>
      <c r="H65" s="29">
        <f>1-gdp_ind_share!H65-gdp_agr_share!H65</f>
        <v>0.73089450144261503</v>
      </c>
      <c r="I65" s="29">
        <f>1-gdp_ind_share!I65-gdp_agr_share!I65</f>
        <v>0.67442015580527248</v>
      </c>
      <c r="J65" s="29">
        <f>1-gdp_ind_share!J65-gdp_agr_share!J65</f>
        <v>0.60996703209189118</v>
      </c>
      <c r="K65" s="29">
        <f>1-gdp_ind_share!K65-gdp_agr_share!K65</f>
        <v>0.54531498142567947</v>
      </c>
      <c r="L65" s="30">
        <f>1-gdp_ind_share!L65-gdp_agr_share!L65</f>
        <v>0.64909229156081238</v>
      </c>
      <c r="M65" s="29">
        <f>1-gdp_ind_share!M65-gdp_agr_share!M65</f>
        <v>0.7736250637229718</v>
      </c>
      <c r="N65" s="29">
        <f>1-gdp_ind_share!N65-gdp_agr_share!N65</f>
        <v>0.75379732133467348</v>
      </c>
      <c r="O65" s="29">
        <f>1-gdp_ind_share!O65-gdp_agr_share!O65</f>
        <v>0.76152175867733951</v>
      </c>
      <c r="P65" s="29">
        <f>1-gdp_ind_share!P65-gdp_agr_share!P65</f>
        <v>0.75111749347695278</v>
      </c>
      <c r="Q65" s="29">
        <f>1-gdp_ind_share!Q65-gdp_agr_share!Q65</f>
        <v>0.77971858999750454</v>
      </c>
      <c r="R65" s="29">
        <f>1-gdp_ind_share!R65-gdp_agr_share!R65</f>
        <v>0.77799342283838535</v>
      </c>
      <c r="S65" s="29">
        <f>1-gdp_ind_share!S65-gdp_agr_share!S65</f>
        <v>0.75907838324633803</v>
      </c>
      <c r="T65" s="29">
        <f>1-gdp_ind_share!T65-gdp_agr_share!T65</f>
        <v>0.77910168688341608</v>
      </c>
      <c r="U65" s="29">
        <f>1-gdp_ind_share!U65-gdp_agr_share!U65</f>
        <v>0.77246980645904073</v>
      </c>
      <c r="V65" s="29">
        <f>1-gdp_ind_share!V65-gdp_agr_share!V65</f>
        <v>0.79994890307318944</v>
      </c>
      <c r="W65" s="29">
        <f>1-gdp_ind_share!W65-gdp_agr_share!W65</f>
        <v>0.80011813839833645</v>
      </c>
      <c r="X65" s="29">
        <f>1-gdp_ind_share!X65-gdp_agr_share!X65</f>
        <v>0.83015799238142496</v>
      </c>
      <c r="Y65" s="29">
        <f>1-gdp_ind_share!Y65-gdp_agr_share!Y65</f>
        <v>0.80813643237837673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x14ac:dyDescent="0.25">
      <c r="A66" s="1" t="s">
        <v>158</v>
      </c>
      <c r="B66" s="1" t="s">
        <v>165</v>
      </c>
      <c r="C66" s="1" t="s">
        <v>166</v>
      </c>
      <c r="D66" s="29">
        <f>1-gdp_ind_share!D66-gdp_agr_share!D66</f>
        <v>0.29270573831793656</v>
      </c>
      <c r="E66" s="29">
        <f>1-gdp_ind_share!E66-gdp_agr_share!E66</f>
        <v>0.32593365561392229</v>
      </c>
      <c r="F66" s="29">
        <f>1-gdp_ind_share!F66-gdp_agr_share!F66</f>
        <v>0.32201709326974137</v>
      </c>
      <c r="G66" s="29">
        <f>1-gdp_ind_share!G66-gdp_agr_share!G66</f>
        <v>0.41949290494568559</v>
      </c>
      <c r="H66" s="29">
        <f>1-gdp_ind_share!H66-gdp_agr_share!H66</f>
        <v>0.35310713739011668</v>
      </c>
      <c r="I66" s="29">
        <f>1-gdp_ind_share!I66-gdp_agr_share!I66</f>
        <v>0.28490274783612057</v>
      </c>
      <c r="J66" s="29">
        <f>1-gdp_ind_share!J66-gdp_agr_share!J66</f>
        <v>0.24899005910079663</v>
      </c>
      <c r="K66" s="29">
        <f>1-gdp_ind_share!K66-gdp_agr_share!K66</f>
        <v>0.28662639699052372</v>
      </c>
      <c r="L66" s="30">
        <f>1-gdp_ind_share!L66-gdp_agr_share!L66</f>
        <v>0.3192647187871045</v>
      </c>
      <c r="M66" s="29">
        <f>1-gdp_ind_share!M66-gdp_agr_share!M66</f>
        <v>0.35843070494300122</v>
      </c>
      <c r="N66" s="29">
        <f>1-gdp_ind_share!N66-gdp_agr_share!N66</f>
        <v>0.64520087029605477</v>
      </c>
      <c r="O66" s="29">
        <f>1-gdp_ind_share!O66-gdp_agr_share!O66</f>
        <v>0.65171224734253841</v>
      </c>
      <c r="P66" s="29">
        <f>1-gdp_ind_share!P66-gdp_agr_share!P66</f>
        <v>0.62815482740473016</v>
      </c>
      <c r="Q66" s="29">
        <f>1-gdp_ind_share!Q66-gdp_agr_share!Q66</f>
        <v>0.5371111554750021</v>
      </c>
      <c r="R66" s="29">
        <f>1-gdp_ind_share!R66-gdp_agr_share!R66</f>
        <v>0.52228549135439839</v>
      </c>
      <c r="S66" s="29">
        <f>1-gdp_ind_share!S66-gdp_agr_share!S66</f>
        <v>0.5029852582922838</v>
      </c>
      <c r="T66" s="29">
        <f>1-gdp_ind_share!T66-gdp_agr_share!T66</f>
        <v>0.51915123563888765</v>
      </c>
      <c r="U66" s="29">
        <f>1-gdp_ind_share!U66-gdp_agr_share!U66</f>
        <v>0.51540369970818489</v>
      </c>
      <c r="V66" s="29">
        <f>1-gdp_ind_share!V66-gdp_agr_share!V66</f>
        <v>0.53392537605739188</v>
      </c>
      <c r="W66" s="29">
        <f>1-gdp_ind_share!W66-gdp_agr_share!W66</f>
        <v>0.56753891331896322</v>
      </c>
      <c r="X66" s="29">
        <f>1-gdp_ind_share!X66-gdp_agr_share!X66</f>
        <v>0.59832692020985045</v>
      </c>
      <c r="Y66" s="29">
        <f>1-gdp_ind_share!Y66-gdp_agr_share!Y66</f>
        <v>0.54257235874345122</v>
      </c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x14ac:dyDescent="0.25">
      <c r="A67" s="1" t="s">
        <v>158</v>
      </c>
      <c r="B67" s="1" t="s">
        <v>167</v>
      </c>
      <c r="C67" s="1" t="s">
        <v>168</v>
      </c>
      <c r="D67" s="29">
        <f>1-gdp_ind_share!D67-gdp_agr_share!D67</f>
        <v>0.4773972461473886</v>
      </c>
      <c r="E67" s="29">
        <f>1-gdp_ind_share!E67-gdp_agr_share!E67</f>
        <v>0.34877126975478234</v>
      </c>
      <c r="F67" s="29">
        <f>1-gdp_ind_share!F67-gdp_agr_share!F67</f>
        <v>0.58767320421355285</v>
      </c>
      <c r="G67" s="29">
        <f>1-gdp_ind_share!G67-gdp_agr_share!G67</f>
        <v>0.38723114205166531</v>
      </c>
      <c r="H67" s="29">
        <f>1-gdp_ind_share!H67-gdp_agr_share!H67</f>
        <v>0.37067523125107715</v>
      </c>
      <c r="I67" s="29">
        <f>1-gdp_ind_share!I67-gdp_agr_share!I67</f>
        <v>0.47987858806946054</v>
      </c>
      <c r="J67" s="29">
        <f>1-gdp_ind_share!J67-gdp_agr_share!J67</f>
        <v>0.66699358823462551</v>
      </c>
      <c r="K67" s="29">
        <f>1-gdp_ind_share!K67-gdp_agr_share!K67</f>
        <v>0.65103124227383846</v>
      </c>
      <c r="L67" s="30">
        <f>1-gdp_ind_share!L67-gdp_agr_share!L67</f>
        <v>0.58391743871227675</v>
      </c>
      <c r="M67" s="29">
        <f>1-gdp_ind_share!M67-gdp_agr_share!M67</f>
        <v>0.50338087443840274</v>
      </c>
      <c r="N67" s="29">
        <f>1-gdp_ind_share!N67-gdp_agr_share!N67</f>
        <v>0.67477827132192303</v>
      </c>
      <c r="O67" s="29">
        <f>1-gdp_ind_share!O67-gdp_agr_share!O67</f>
        <v>0.67048801879770026</v>
      </c>
      <c r="P67" s="29">
        <f>1-gdp_ind_share!P67-gdp_agr_share!P67</f>
        <v>0.63748495907462366</v>
      </c>
      <c r="Q67" s="29">
        <f>1-gdp_ind_share!Q67-gdp_agr_share!Q67</f>
        <v>0.49663721821943374</v>
      </c>
      <c r="R67" s="29">
        <f>1-gdp_ind_share!R67-gdp_agr_share!R67</f>
        <v>0.55725857735766038</v>
      </c>
      <c r="S67" s="29">
        <f>1-gdp_ind_share!S67-gdp_agr_share!S67</f>
        <v>0.51690587772639596</v>
      </c>
      <c r="T67" s="29">
        <f>1-gdp_ind_share!T67-gdp_agr_share!T67</f>
        <v>0.51028490152097017</v>
      </c>
      <c r="U67" s="29">
        <f>1-gdp_ind_share!U67-gdp_agr_share!U67</f>
        <v>0.51331932720393114</v>
      </c>
      <c r="V67" s="29">
        <f>1-gdp_ind_share!V67-gdp_agr_share!V67</f>
        <v>0.51315870892473192</v>
      </c>
      <c r="W67" s="29">
        <f>1-gdp_ind_share!W67-gdp_agr_share!W67</f>
        <v>0.55040634236379282</v>
      </c>
      <c r="X67" s="29">
        <f>1-gdp_ind_share!X67-gdp_agr_share!X67</f>
        <v>0.5914987518865682</v>
      </c>
      <c r="Y67" s="29">
        <f>1-gdp_ind_share!Y67-gdp_agr_share!Y67</f>
        <v>0.45812526629830325</v>
      </c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x14ac:dyDescent="0.25">
      <c r="A68" s="1" t="s">
        <v>158</v>
      </c>
      <c r="B68" s="1" t="s">
        <v>169</v>
      </c>
      <c r="C68" s="1" t="s">
        <v>170</v>
      </c>
      <c r="D68" s="29">
        <f>1-gdp_ind_share!D68-gdp_agr_share!D68</f>
        <v>0.77299613252102417</v>
      </c>
      <c r="E68" s="29">
        <f>1-gdp_ind_share!E68-gdp_agr_share!E68</f>
        <v>0.42427218174451753</v>
      </c>
      <c r="F68" s="29">
        <f>1-gdp_ind_share!F68-gdp_agr_share!F68</f>
        <v>0.8863026751320866</v>
      </c>
      <c r="G68" s="29">
        <f>1-gdp_ind_share!G68-gdp_agr_share!G68</f>
        <v>0.7140441207659719</v>
      </c>
      <c r="H68" s="29">
        <f>1-gdp_ind_share!H68-gdp_agr_share!H68</f>
        <v>0.59816814909373694</v>
      </c>
      <c r="I68" s="29">
        <f>1-gdp_ind_share!I68-gdp_agr_share!I68</f>
        <v>0.49231371464945223</v>
      </c>
      <c r="J68" s="29">
        <f>1-gdp_ind_share!J68-gdp_agr_share!J68</f>
        <v>0.40985965969566207</v>
      </c>
      <c r="K68" s="29">
        <f>1-gdp_ind_share!K68-gdp_agr_share!K68</f>
        <v>0.42589618600451223</v>
      </c>
      <c r="L68" s="30">
        <f>1-gdp_ind_share!L68-gdp_agr_share!L68</f>
        <v>0.3941488388800955</v>
      </c>
      <c r="M68" s="29">
        <f>1-gdp_ind_share!M68-gdp_agr_share!M68</f>
        <v>0.35605202233079541</v>
      </c>
      <c r="N68" s="29">
        <f>1-gdp_ind_share!N68-gdp_agr_share!N68</f>
        <v>0.47390779075424327</v>
      </c>
      <c r="O68" s="29">
        <f>1-gdp_ind_share!O68-gdp_agr_share!O68</f>
        <v>0.42712069104643058</v>
      </c>
      <c r="P68" s="29">
        <f>1-gdp_ind_share!P68-gdp_agr_share!P68</f>
        <v>0.42641577098344796</v>
      </c>
      <c r="Q68" s="29">
        <f>1-gdp_ind_share!Q68-gdp_agr_share!Q68</f>
        <v>0.44212427293381762</v>
      </c>
      <c r="R68" s="29">
        <f>1-gdp_ind_share!R68-gdp_agr_share!R68</f>
        <v>0.47195863356099588</v>
      </c>
      <c r="S68" s="29">
        <f>1-gdp_ind_share!S68-gdp_agr_share!S68</f>
        <v>0.44835293949821464</v>
      </c>
      <c r="T68" s="29">
        <f>1-gdp_ind_share!T68-gdp_agr_share!T68</f>
        <v>0.4650693527256351</v>
      </c>
      <c r="U68" s="29">
        <f>1-gdp_ind_share!U68-gdp_agr_share!U68</f>
        <v>0.46818985522873552</v>
      </c>
      <c r="V68" s="29">
        <f>1-gdp_ind_share!V68-gdp_agr_share!V68</f>
        <v>0.51313286667948332</v>
      </c>
      <c r="W68" s="29">
        <f>1-gdp_ind_share!W68-gdp_agr_share!W68</f>
        <v>0.42969871358303452</v>
      </c>
      <c r="X68" s="29">
        <f>1-gdp_ind_share!X68-gdp_agr_share!X68</f>
        <v>0.51841633956693689</v>
      </c>
      <c r="Y68" s="29">
        <f>1-gdp_ind_share!Y68-gdp_agr_share!Y68</f>
        <v>0.35369696492698688</v>
      </c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x14ac:dyDescent="0.25">
      <c r="A69" s="1" t="s">
        <v>171</v>
      </c>
      <c r="B69" s="1" t="s">
        <v>172</v>
      </c>
      <c r="C69" s="1" t="s">
        <v>173</v>
      </c>
      <c r="D69" s="29">
        <f>1-gdp_ind_share!D69-gdp_agr_share!D69</f>
        <v>0.43094790530930049</v>
      </c>
      <c r="E69" s="29">
        <f>1-gdp_ind_share!E69-gdp_agr_share!E69</f>
        <v>0.28901162934969005</v>
      </c>
      <c r="F69" s="29">
        <f>1-gdp_ind_share!F69-gdp_agr_share!F69</f>
        <v>0.28754046448741066</v>
      </c>
      <c r="G69" s="29">
        <f>1-gdp_ind_share!G69-gdp_agr_share!G69</f>
        <v>0.26166028672398467</v>
      </c>
      <c r="H69" s="29">
        <f>1-gdp_ind_share!H69-gdp_agr_share!H69</f>
        <v>0.48175350888923779</v>
      </c>
      <c r="I69" s="29">
        <f>1-gdp_ind_share!I69-gdp_agr_share!I69</f>
        <v>0.39525047574666461</v>
      </c>
      <c r="J69" s="29">
        <f>1-gdp_ind_share!J69-gdp_agr_share!J69</f>
        <v>0.52126648551310661</v>
      </c>
      <c r="K69" s="29">
        <f>1-gdp_ind_share!K69-gdp_agr_share!K69</f>
        <v>0.51220249769418003</v>
      </c>
      <c r="L69" s="30">
        <f>1-gdp_ind_share!L69-gdp_agr_share!L69</f>
        <v>0.59193727181192002</v>
      </c>
      <c r="M69" s="29">
        <f>1-gdp_ind_share!M69-gdp_agr_share!M69</f>
        <v>0.68761900075320814</v>
      </c>
      <c r="N69" s="29">
        <f>1-gdp_ind_share!N69-gdp_agr_share!N69</f>
        <v>0.81846183989330235</v>
      </c>
      <c r="O69" s="29">
        <f>1-gdp_ind_share!O69-gdp_agr_share!O69</f>
        <v>0.78928249890729218</v>
      </c>
      <c r="P69" s="29">
        <f>1-gdp_ind_share!P69-gdp_agr_share!P69</f>
        <v>0.78807452931952737</v>
      </c>
      <c r="Q69" s="29">
        <f>1-gdp_ind_share!Q69-gdp_agr_share!Q69</f>
        <v>0.81348345412079492</v>
      </c>
      <c r="R69" s="29">
        <f>1-gdp_ind_share!R69-gdp_agr_share!R69</f>
        <v>0.79423455766175977</v>
      </c>
      <c r="S69" s="29">
        <f>1-gdp_ind_share!S69-gdp_agr_share!S69</f>
        <v>0.80668663247656824</v>
      </c>
      <c r="T69" s="29">
        <f>1-gdp_ind_share!T69-gdp_agr_share!T69</f>
        <v>0.81951965570318797</v>
      </c>
      <c r="U69" s="29">
        <f>1-gdp_ind_share!U69-gdp_agr_share!U69</f>
        <v>0.82201041242921569</v>
      </c>
      <c r="V69" s="29">
        <f>1-gdp_ind_share!V69-gdp_agr_share!V69</f>
        <v>0.85150937064088617</v>
      </c>
      <c r="W69" s="29">
        <f>1-gdp_ind_share!W69-gdp_agr_share!W69</f>
        <v>0.84654063895595466</v>
      </c>
      <c r="X69" s="29">
        <f>1-gdp_ind_share!X69-gdp_agr_share!X69</f>
        <v>0.83991945187481476</v>
      </c>
      <c r="Y69" s="29">
        <f>1-gdp_ind_share!Y69-gdp_agr_share!Y69</f>
        <v>0.84786295328667349</v>
      </c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x14ac:dyDescent="0.25">
      <c r="A70" s="1" t="s">
        <v>171</v>
      </c>
      <c r="B70" s="1" t="s">
        <v>174</v>
      </c>
      <c r="C70" s="1" t="s">
        <v>175</v>
      </c>
      <c r="D70" s="29">
        <f>1-gdp_ind_share!D70-gdp_agr_share!D70</f>
        <v>0.24059528566423005</v>
      </c>
      <c r="E70" s="29">
        <f>1-gdp_ind_share!E70-gdp_agr_share!E70</f>
        <v>0.34346433311319369</v>
      </c>
      <c r="F70" s="29">
        <f>1-gdp_ind_share!F70-gdp_agr_share!F70</f>
        <v>0.20888254730385591</v>
      </c>
      <c r="G70" s="29">
        <f>1-gdp_ind_share!G70-gdp_agr_share!G70</f>
        <v>0.39511222675376811</v>
      </c>
      <c r="H70" s="29">
        <f>1-gdp_ind_share!H70-gdp_agr_share!H70</f>
        <v>0.43615508698630523</v>
      </c>
      <c r="I70" s="29">
        <f>1-gdp_ind_share!I70-gdp_agr_share!I70</f>
        <v>0.32043945800534801</v>
      </c>
      <c r="J70" s="29">
        <f>1-gdp_ind_share!J70-gdp_agr_share!J70</f>
        <v>0.44773910818119417</v>
      </c>
      <c r="K70" s="29">
        <f>1-gdp_ind_share!K70-gdp_agr_share!K70</f>
        <v>0.38456822372462984</v>
      </c>
      <c r="L70" s="30">
        <f>1-gdp_ind_share!L70-gdp_agr_share!L70</f>
        <v>0.49271168806359672</v>
      </c>
      <c r="M70" s="29">
        <f>1-gdp_ind_share!M70-gdp_agr_share!M70</f>
        <v>0.62248384527035694</v>
      </c>
      <c r="N70" s="29">
        <f>1-gdp_ind_share!N70-gdp_agr_share!N70</f>
        <v>0.79553406662730286</v>
      </c>
      <c r="O70" s="29">
        <f>1-gdp_ind_share!O70-gdp_agr_share!O70</f>
        <v>0.7584304495136398</v>
      </c>
      <c r="P70" s="29">
        <f>1-gdp_ind_share!P70-gdp_agr_share!P70</f>
        <v>0.7535390300737721</v>
      </c>
      <c r="Q70" s="29">
        <f>1-gdp_ind_share!Q70-gdp_agr_share!Q70</f>
        <v>0.80842737831264821</v>
      </c>
      <c r="R70" s="29">
        <f>1-gdp_ind_share!R70-gdp_agr_share!R70</f>
        <v>0.78465440769946748</v>
      </c>
      <c r="S70" s="29">
        <f>1-gdp_ind_share!S70-gdp_agr_share!S70</f>
        <v>0.7841910969452337</v>
      </c>
      <c r="T70" s="29">
        <f>1-gdp_ind_share!T70-gdp_agr_share!T70</f>
        <v>0.78791153859843766</v>
      </c>
      <c r="U70" s="29">
        <f>1-gdp_ind_share!U70-gdp_agr_share!U70</f>
        <v>0.79347478254943959</v>
      </c>
      <c r="V70" s="29">
        <f>1-gdp_ind_share!V70-gdp_agr_share!V70</f>
        <v>0.82465876675879457</v>
      </c>
      <c r="W70" s="29">
        <f>1-gdp_ind_share!W70-gdp_agr_share!W70</f>
        <v>0.82106504309880401</v>
      </c>
      <c r="X70" s="29">
        <f>1-gdp_ind_share!X70-gdp_agr_share!X70</f>
        <v>0.81487757470385891</v>
      </c>
      <c r="Y70" s="29">
        <f>1-gdp_ind_share!Y70-gdp_agr_share!Y70</f>
        <v>0.82836835083185956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x14ac:dyDescent="0.25">
      <c r="A71" s="1" t="s">
        <v>171</v>
      </c>
      <c r="B71" s="1" t="s">
        <v>176</v>
      </c>
      <c r="C71" s="1" t="s">
        <v>177</v>
      </c>
      <c r="D71" s="29">
        <f>1-gdp_ind_share!D71-gdp_agr_share!D71</f>
        <v>0.31695374539154109</v>
      </c>
      <c r="E71" s="29">
        <f>1-gdp_ind_share!E71-gdp_agr_share!E71</f>
        <v>0.47259920598601696</v>
      </c>
      <c r="F71" s="29">
        <f>1-gdp_ind_share!F71-gdp_agr_share!F71</f>
        <v>0.5031682798671876</v>
      </c>
      <c r="G71" s="29">
        <f>1-gdp_ind_share!G71-gdp_agr_share!G71</f>
        <v>0.47761848404947871</v>
      </c>
      <c r="H71" s="29">
        <f>1-gdp_ind_share!H71-gdp_agr_share!H71</f>
        <v>0.50096955985748615</v>
      </c>
      <c r="I71" s="29">
        <f>1-gdp_ind_share!I71-gdp_agr_share!I71</f>
        <v>0.44229153354194556</v>
      </c>
      <c r="J71" s="29">
        <f>1-gdp_ind_share!J71-gdp_agr_share!J71</f>
        <v>0.52990995830667287</v>
      </c>
      <c r="K71" s="29">
        <f>1-gdp_ind_share!K71-gdp_agr_share!K71</f>
        <v>0.49323604355216388</v>
      </c>
      <c r="L71" s="30">
        <f>1-gdp_ind_share!L71-gdp_agr_share!L71</f>
        <v>0.58890593536795754</v>
      </c>
      <c r="M71" s="29">
        <f>1-gdp_ind_share!M71-gdp_agr_share!M71</f>
        <v>0.70370980554690998</v>
      </c>
      <c r="N71" s="29">
        <f>1-gdp_ind_share!N71-gdp_agr_share!N71</f>
        <v>0.7680432340904122</v>
      </c>
      <c r="O71" s="29">
        <f>1-gdp_ind_share!O71-gdp_agr_share!O71</f>
        <v>0.73607022336538397</v>
      </c>
      <c r="P71" s="29">
        <f>1-gdp_ind_share!P71-gdp_agr_share!P71</f>
        <v>0.73403384704380015</v>
      </c>
      <c r="Q71" s="29">
        <f>1-gdp_ind_share!Q71-gdp_agr_share!Q71</f>
        <v>0.76234508708238746</v>
      </c>
      <c r="R71" s="29">
        <f>1-gdp_ind_share!R71-gdp_agr_share!R71</f>
        <v>0.71197857003498033</v>
      </c>
      <c r="S71" s="29">
        <f>1-gdp_ind_share!S71-gdp_agr_share!S71</f>
        <v>0.72173571468068087</v>
      </c>
      <c r="T71" s="29">
        <f>1-gdp_ind_share!T71-gdp_agr_share!T71</f>
        <v>0.71635655370311724</v>
      </c>
      <c r="U71" s="29">
        <f>1-gdp_ind_share!U71-gdp_agr_share!U71</f>
        <v>0.73777544719695942</v>
      </c>
      <c r="V71" s="29">
        <f>1-gdp_ind_share!V71-gdp_agr_share!V71</f>
        <v>0.75844387126093493</v>
      </c>
      <c r="W71" s="29">
        <f>1-gdp_ind_share!W71-gdp_agr_share!W71</f>
        <v>0.75187953137827768</v>
      </c>
      <c r="X71" s="29">
        <f>1-gdp_ind_share!X71-gdp_agr_share!X71</f>
        <v>0.75334187672204977</v>
      </c>
      <c r="Y71" s="29">
        <f>1-gdp_ind_share!Y71-gdp_agr_share!Y71</f>
        <v>0.75538918531404387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x14ac:dyDescent="0.25">
      <c r="A72" s="1" t="s">
        <v>171</v>
      </c>
      <c r="B72" s="1" t="s">
        <v>178</v>
      </c>
      <c r="C72" s="1" t="s">
        <v>179</v>
      </c>
      <c r="D72" s="29">
        <f>1-gdp_ind_share!D72-gdp_agr_share!D72</f>
        <v>0.54774031993209404</v>
      </c>
      <c r="E72" s="29">
        <f>1-gdp_ind_share!E72-gdp_agr_share!E72</f>
        <v>0.62492383669416551</v>
      </c>
      <c r="F72" s="29">
        <f>1-gdp_ind_share!F72-gdp_agr_share!F72</f>
        <v>0.50731665203273879</v>
      </c>
      <c r="G72" s="29">
        <f>1-gdp_ind_share!G72-gdp_agr_share!G72</f>
        <v>0.45661850079699762</v>
      </c>
      <c r="H72" s="29">
        <f>1-gdp_ind_share!H72-gdp_agr_share!H72</f>
        <v>0.61320933582767378</v>
      </c>
      <c r="I72" s="29">
        <f>1-gdp_ind_share!I72-gdp_agr_share!I72</f>
        <v>0.5233671879740911</v>
      </c>
      <c r="J72" s="29">
        <f>1-gdp_ind_share!J72-gdp_agr_share!J72</f>
        <v>0.60445487650539731</v>
      </c>
      <c r="K72" s="29">
        <f>1-gdp_ind_share!K72-gdp_agr_share!K72</f>
        <v>0.61501405387500563</v>
      </c>
      <c r="L72" s="30">
        <f>1-gdp_ind_share!L72-gdp_agr_share!L72</f>
        <v>0.67013968875803442</v>
      </c>
      <c r="M72" s="29">
        <f>1-gdp_ind_share!M72-gdp_agr_share!M72</f>
        <v>0.73629045061766885</v>
      </c>
      <c r="N72" s="29">
        <f>1-gdp_ind_share!N72-gdp_agr_share!N72</f>
        <v>0.73348317818499031</v>
      </c>
      <c r="O72" s="29">
        <f>1-gdp_ind_share!O72-gdp_agr_share!O72</f>
        <v>0.73512786007170194</v>
      </c>
      <c r="P72" s="29">
        <f>1-gdp_ind_share!P72-gdp_agr_share!P72</f>
        <v>0.71427069879026228</v>
      </c>
      <c r="Q72" s="29">
        <f>1-gdp_ind_share!Q72-gdp_agr_share!Q72</f>
        <v>0.74123889323970482</v>
      </c>
      <c r="R72" s="29">
        <f>1-gdp_ind_share!R72-gdp_agr_share!R72</f>
        <v>0.72643340753906382</v>
      </c>
      <c r="S72" s="29">
        <f>1-gdp_ind_share!S72-gdp_agr_share!S72</f>
        <v>0.73521939371660583</v>
      </c>
      <c r="T72" s="29">
        <f>1-gdp_ind_share!T72-gdp_agr_share!T72</f>
        <v>0.77437222603869282</v>
      </c>
      <c r="U72" s="29">
        <f>1-gdp_ind_share!U72-gdp_agr_share!U72</f>
        <v>0.76386953615994058</v>
      </c>
      <c r="V72" s="29">
        <f>1-gdp_ind_share!V72-gdp_agr_share!V72</f>
        <v>0.78721886443419453</v>
      </c>
      <c r="W72" s="29">
        <f>1-gdp_ind_share!W72-gdp_agr_share!W72</f>
        <v>0.78557331239653794</v>
      </c>
      <c r="X72" s="29">
        <f>1-gdp_ind_share!X72-gdp_agr_share!X72</f>
        <v>0.77489177476797133</v>
      </c>
      <c r="Y72" s="29">
        <f>1-gdp_ind_share!Y72-gdp_agr_share!Y72</f>
        <v>0.78124920567521217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x14ac:dyDescent="0.25">
      <c r="A73" s="1" t="s">
        <v>180</v>
      </c>
      <c r="B73" s="1" t="s">
        <v>181</v>
      </c>
      <c r="C73" s="1" t="s">
        <v>182</v>
      </c>
      <c r="D73" s="29">
        <f>1-gdp_ind_share!D73-gdp_agr_share!D73</f>
        <v>0.25943774461873326</v>
      </c>
      <c r="E73" s="29">
        <f>1-gdp_ind_share!E73-gdp_agr_share!E73</f>
        <v>0.42444303632640479</v>
      </c>
      <c r="F73" s="29">
        <f>1-gdp_ind_share!F73-gdp_agr_share!F73</f>
        <v>0.45674583397109803</v>
      </c>
      <c r="G73" s="29">
        <f>1-gdp_ind_share!G73-gdp_agr_share!G73</f>
        <v>0.58810101320043828</v>
      </c>
      <c r="H73" s="29">
        <f>1-gdp_ind_share!H73-gdp_agr_share!H73</f>
        <v>0.56342303131343963</v>
      </c>
      <c r="I73" s="29">
        <f>1-gdp_ind_share!I73-gdp_agr_share!I73</f>
        <v>0.64500279543921235</v>
      </c>
      <c r="J73" s="29">
        <f>1-gdp_ind_share!J73-gdp_agr_share!J73</f>
        <v>0.54734034285461752</v>
      </c>
      <c r="K73" s="29">
        <f>1-gdp_ind_share!K73-gdp_agr_share!K73</f>
        <v>0.50800785698407613</v>
      </c>
      <c r="L73" s="30">
        <f>1-gdp_ind_share!L73-gdp_agr_share!L73</f>
        <v>0.55853947807801851</v>
      </c>
      <c r="M73" s="29">
        <f>1-gdp_ind_share!M73-gdp_agr_share!M73</f>
        <v>0.61917742339074922</v>
      </c>
      <c r="N73" s="29">
        <f>1-gdp_ind_share!N73-gdp_agr_share!N73</f>
        <v>0.80438382890593152</v>
      </c>
      <c r="O73" s="29">
        <f>1-gdp_ind_share!O73-gdp_agr_share!O73</f>
        <v>0.79105784359182352</v>
      </c>
      <c r="P73" s="29">
        <f>1-gdp_ind_share!P73-gdp_agr_share!P73</f>
        <v>0.80566835793530245</v>
      </c>
      <c r="Q73" s="29">
        <f>1-gdp_ind_share!Q73-gdp_agr_share!Q73</f>
        <v>0.75951062616984444</v>
      </c>
      <c r="R73" s="29">
        <f>1-gdp_ind_share!R73-gdp_agr_share!R73</f>
        <v>0.78383366345675776</v>
      </c>
      <c r="S73" s="29">
        <f>1-gdp_ind_share!S73-gdp_agr_share!S73</f>
        <v>0.78471121238975505</v>
      </c>
      <c r="T73" s="29">
        <f>1-gdp_ind_share!T73-gdp_agr_share!T73</f>
        <v>0.79072796942307255</v>
      </c>
      <c r="U73" s="29">
        <f>1-gdp_ind_share!U73-gdp_agr_share!U73</f>
        <v>0.78227358537076608</v>
      </c>
      <c r="V73" s="29">
        <f>1-gdp_ind_share!V73-gdp_agr_share!V73</f>
        <v>0.81804652674908507</v>
      </c>
      <c r="W73" s="29">
        <f>1-gdp_ind_share!W73-gdp_agr_share!W73</f>
        <v>0.79975865841032268</v>
      </c>
      <c r="X73" s="29">
        <f>1-gdp_ind_share!X73-gdp_agr_share!X73</f>
        <v>0.7912653559446392</v>
      </c>
      <c r="Y73" s="29">
        <f>1-gdp_ind_share!Y73-gdp_agr_share!Y73</f>
        <v>0.7538674922268066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x14ac:dyDescent="0.25">
      <c r="A74" s="1" t="s">
        <v>180</v>
      </c>
      <c r="B74" s="1" t="s">
        <v>183</v>
      </c>
      <c r="C74" s="1" t="s">
        <v>184</v>
      </c>
      <c r="D74" s="29">
        <f>1-gdp_ind_share!D74-gdp_agr_share!D74</f>
        <v>0.5385941274094419</v>
      </c>
      <c r="E74" s="29">
        <f>1-gdp_ind_share!E74-gdp_agr_share!E74</f>
        <v>0.54375664030232573</v>
      </c>
      <c r="F74" s="29">
        <f>1-gdp_ind_share!F74-gdp_agr_share!F74</f>
        <v>0.46183559835486565</v>
      </c>
      <c r="G74" s="29">
        <f>1-gdp_ind_share!G74-gdp_agr_share!G74</f>
        <v>0.49350849600800911</v>
      </c>
      <c r="H74" s="29">
        <f>1-gdp_ind_share!H74-gdp_agr_share!H74</f>
        <v>0.57085747986159174</v>
      </c>
      <c r="I74" s="29">
        <f>1-gdp_ind_share!I74-gdp_agr_share!I74</f>
        <v>0.52361529614860391</v>
      </c>
      <c r="J74" s="29">
        <f>1-gdp_ind_share!J74-gdp_agr_share!J74</f>
        <v>0.49472768221400432</v>
      </c>
      <c r="K74" s="29">
        <f>1-gdp_ind_share!K74-gdp_agr_share!K74</f>
        <v>0.47226610484689002</v>
      </c>
      <c r="L74" s="30">
        <f>1-gdp_ind_share!L74-gdp_agr_share!L74</f>
        <v>0.52901093877327843</v>
      </c>
      <c r="M74" s="29">
        <f>1-gdp_ind_share!M74-gdp_agr_share!M74</f>
        <v>0.59710473948494447</v>
      </c>
      <c r="N74" s="29">
        <f>1-gdp_ind_share!N74-gdp_agr_share!N74</f>
        <v>0.59439874395276782</v>
      </c>
      <c r="O74" s="29">
        <f>1-gdp_ind_share!O74-gdp_agr_share!O74</f>
        <v>0.58213672121816662</v>
      </c>
      <c r="P74" s="29">
        <f>1-gdp_ind_share!P74-gdp_agr_share!P74</f>
        <v>0.57025916347044425</v>
      </c>
      <c r="Q74" s="29">
        <f>1-gdp_ind_share!Q74-gdp_agr_share!Q74</f>
        <v>0.546622948558671</v>
      </c>
      <c r="R74" s="29">
        <f>1-gdp_ind_share!R74-gdp_agr_share!R74</f>
        <v>0.54190582215176675</v>
      </c>
      <c r="S74" s="29">
        <f>1-gdp_ind_share!S74-gdp_agr_share!S74</f>
        <v>0.53527153206466227</v>
      </c>
      <c r="T74" s="29">
        <f>1-gdp_ind_share!T74-gdp_agr_share!T74</f>
        <v>0.55360209949739847</v>
      </c>
      <c r="U74" s="29">
        <f>1-gdp_ind_share!U74-gdp_agr_share!U74</f>
        <v>0.57538987284100362</v>
      </c>
      <c r="V74" s="29">
        <f>1-gdp_ind_share!V74-gdp_agr_share!V74</f>
        <v>0.60831799147120691</v>
      </c>
      <c r="W74" s="29">
        <f>1-gdp_ind_share!W74-gdp_agr_share!W74</f>
        <v>0.6302393114116086</v>
      </c>
      <c r="X74" s="29">
        <f>1-gdp_ind_share!X74-gdp_agr_share!X74</f>
        <v>0.63219793478477904</v>
      </c>
      <c r="Y74" s="29">
        <f>1-gdp_ind_share!Y74-gdp_agr_share!Y74</f>
        <v>0.59887226896995183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x14ac:dyDescent="0.25">
      <c r="A75" s="1" t="s">
        <v>180</v>
      </c>
      <c r="B75" s="1" t="s">
        <v>185</v>
      </c>
      <c r="C75" s="1" t="s">
        <v>186</v>
      </c>
      <c r="D75" s="29">
        <f>1-gdp_ind_share!D75-gdp_agr_share!D75</f>
        <v>0.18321896644975388</v>
      </c>
      <c r="E75" s="29">
        <f>1-gdp_ind_share!E75-gdp_agr_share!E75</f>
        <v>0.33234916053658758</v>
      </c>
      <c r="F75" s="29">
        <f>1-gdp_ind_share!F75-gdp_agr_share!F75</f>
        <v>0.42805817917303485</v>
      </c>
      <c r="G75" s="29">
        <f>1-gdp_ind_share!G75-gdp_agr_share!G75</f>
        <v>0.42502327301699899</v>
      </c>
      <c r="H75" s="29">
        <f>1-gdp_ind_share!H75-gdp_agr_share!H75</f>
        <v>0.46686021610599532</v>
      </c>
      <c r="I75" s="29">
        <f>1-gdp_ind_share!I75-gdp_agr_share!I75</f>
        <v>0.44973818216267991</v>
      </c>
      <c r="J75" s="29">
        <f>1-gdp_ind_share!J75-gdp_agr_share!J75</f>
        <v>0.44301906264404139</v>
      </c>
      <c r="K75" s="29">
        <f>1-gdp_ind_share!K75-gdp_agr_share!K75</f>
        <v>0.43047049227859996</v>
      </c>
      <c r="L75" s="30">
        <f>1-gdp_ind_share!L75-gdp_agr_share!L75</f>
        <v>0.50865188113305826</v>
      </c>
      <c r="M75" s="29">
        <f>1-gdp_ind_share!M75-gdp_agr_share!M75</f>
        <v>0.602469547758408</v>
      </c>
      <c r="N75" s="29">
        <f>1-gdp_ind_share!N75-gdp_agr_share!N75</f>
        <v>0.80173692719835765</v>
      </c>
      <c r="O75" s="29">
        <f>1-gdp_ind_share!O75-gdp_agr_share!O75</f>
        <v>0.79110581746066588</v>
      </c>
      <c r="P75" s="29">
        <f>1-gdp_ind_share!P75-gdp_agr_share!P75</f>
        <v>0.78176007563878547</v>
      </c>
      <c r="Q75" s="29">
        <f>1-gdp_ind_share!Q75-gdp_agr_share!Q75</f>
        <v>0.79845161650927077</v>
      </c>
      <c r="R75" s="29">
        <f>1-gdp_ind_share!R75-gdp_agr_share!R75</f>
        <v>0.81270964093413423</v>
      </c>
      <c r="S75" s="29">
        <f>1-gdp_ind_share!S75-gdp_agr_share!S75</f>
        <v>0.77978990472365362</v>
      </c>
      <c r="T75" s="29">
        <f>1-gdp_ind_share!T75-gdp_agr_share!T75</f>
        <v>0.79342031442031824</v>
      </c>
      <c r="U75" s="29">
        <f>1-gdp_ind_share!U75-gdp_agr_share!U75</f>
        <v>0.78215876346965696</v>
      </c>
      <c r="V75" s="29">
        <f>1-gdp_ind_share!V75-gdp_agr_share!V75</f>
        <v>0.77928568438888068</v>
      </c>
      <c r="W75" s="29">
        <f>1-gdp_ind_share!W75-gdp_agr_share!W75</f>
        <v>0.77475661711906973</v>
      </c>
      <c r="X75" s="29">
        <f>1-gdp_ind_share!X75-gdp_agr_share!X75</f>
        <v>0.8065046225121576</v>
      </c>
      <c r="Y75" s="29">
        <f>1-gdp_ind_share!Y75-gdp_agr_share!Y75</f>
        <v>0.79873837412610227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x14ac:dyDescent="0.25">
      <c r="A76" s="1" t="s">
        <v>180</v>
      </c>
      <c r="B76" s="1" t="s">
        <v>187</v>
      </c>
      <c r="C76" s="1" t="s">
        <v>188</v>
      </c>
      <c r="D76" s="29">
        <f>1-gdp_ind_share!D76-gdp_agr_share!D76</f>
        <v>0.25366225623446748</v>
      </c>
      <c r="E76" s="29">
        <f>1-gdp_ind_share!E76-gdp_agr_share!E76</f>
        <v>0.25605449227758253</v>
      </c>
      <c r="F76" s="29">
        <f>1-gdp_ind_share!F76-gdp_agr_share!F76</f>
        <v>0.2850688026154532</v>
      </c>
      <c r="G76" s="29">
        <f>1-gdp_ind_share!G76-gdp_agr_share!G76</f>
        <v>0.26813039676077655</v>
      </c>
      <c r="H76" s="29">
        <f>1-gdp_ind_share!H76-gdp_agr_share!H76</f>
        <v>0.37126238520495225</v>
      </c>
      <c r="I76" s="29">
        <f>1-gdp_ind_share!I76-gdp_agr_share!I76</f>
        <v>0.34951560144985827</v>
      </c>
      <c r="J76" s="29">
        <f>1-gdp_ind_share!J76-gdp_agr_share!J76</f>
        <v>0.33818237553461994</v>
      </c>
      <c r="K76" s="29">
        <f>1-gdp_ind_share!K76-gdp_agr_share!K76</f>
        <v>0.37287593144965053</v>
      </c>
      <c r="L76" s="30">
        <f>1-gdp_ind_share!L76-gdp_agr_share!L76</f>
        <v>0.39288616927578524</v>
      </c>
      <c r="M76" s="29">
        <f>1-gdp_ind_share!M76-gdp_agr_share!M76</f>
        <v>0.41689845466714692</v>
      </c>
      <c r="N76" s="29">
        <f>1-gdp_ind_share!N76-gdp_agr_share!N76</f>
        <v>0.69140553595633725</v>
      </c>
      <c r="O76" s="29">
        <f>1-gdp_ind_share!O76-gdp_agr_share!O76</f>
        <v>0.6919151622584917</v>
      </c>
      <c r="P76" s="29">
        <f>1-gdp_ind_share!P76-gdp_agr_share!P76</f>
        <v>0.68701077010835698</v>
      </c>
      <c r="Q76" s="29">
        <f>1-gdp_ind_share!Q76-gdp_agr_share!Q76</f>
        <v>0.65140150854708512</v>
      </c>
      <c r="R76" s="29">
        <f>1-gdp_ind_share!R76-gdp_agr_share!R76</f>
        <v>0.63453479260130408</v>
      </c>
      <c r="S76" s="29">
        <f>1-gdp_ind_share!S76-gdp_agr_share!S76</f>
        <v>0.64656527874913716</v>
      </c>
      <c r="T76" s="29">
        <f>1-gdp_ind_share!T76-gdp_agr_share!T76</f>
        <v>0.66397577837933031</v>
      </c>
      <c r="U76" s="29">
        <f>1-gdp_ind_share!U76-gdp_agr_share!U76</f>
        <v>0.65099499040273412</v>
      </c>
      <c r="V76" s="29">
        <f>1-gdp_ind_share!V76-gdp_agr_share!V76</f>
        <v>0.67482705649652686</v>
      </c>
      <c r="W76" s="29">
        <f>1-gdp_ind_share!W76-gdp_agr_share!W76</f>
        <v>0.69603341225008841</v>
      </c>
      <c r="X76" s="29">
        <f>1-gdp_ind_share!X76-gdp_agr_share!X76</f>
        <v>0.70604775908795592</v>
      </c>
      <c r="Y76" s="29">
        <f>1-gdp_ind_share!Y76-gdp_agr_share!Y76</f>
        <v>0.67600426499204724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x14ac:dyDescent="0.25">
      <c r="A77" s="1" t="s">
        <v>180</v>
      </c>
      <c r="B77" s="1" t="s">
        <v>189</v>
      </c>
      <c r="C77" s="1" t="s">
        <v>190</v>
      </c>
      <c r="D77" s="29">
        <f>1-gdp_ind_share!D77-gdp_agr_share!D77</f>
        <v>0.67898068490846819</v>
      </c>
      <c r="E77" s="29">
        <f>1-gdp_ind_share!E77-gdp_agr_share!E77</f>
        <v>0.73768741931381598</v>
      </c>
      <c r="F77" s="29">
        <f>1-gdp_ind_share!F77-gdp_agr_share!F77</f>
        <v>0.6551770328694938</v>
      </c>
      <c r="G77" s="29">
        <f>1-gdp_ind_share!G77-gdp_agr_share!G77</f>
        <v>0.67695817928174384</v>
      </c>
      <c r="H77" s="29">
        <f>1-gdp_ind_share!H77-gdp_agr_share!H77</f>
        <v>0.65624164625465187</v>
      </c>
      <c r="I77" s="29">
        <f>1-gdp_ind_share!I77-gdp_agr_share!I77</f>
        <v>0.5671196397383732</v>
      </c>
      <c r="J77" s="29">
        <f>1-gdp_ind_share!J77-gdp_agr_share!J77</f>
        <v>0.62722717391889049</v>
      </c>
      <c r="K77" s="29">
        <f>1-gdp_ind_share!K77-gdp_agr_share!K77</f>
        <v>0.59360740844032667</v>
      </c>
      <c r="L77" s="30">
        <f>1-gdp_ind_share!L77-gdp_agr_share!L77</f>
        <v>0.64562539038543165</v>
      </c>
      <c r="M77" s="29">
        <f>1-gdp_ind_share!M77-gdp_agr_share!M77</f>
        <v>0.70804696871955786</v>
      </c>
      <c r="N77" s="29">
        <f>1-gdp_ind_share!N77-gdp_agr_share!N77</f>
        <v>0.78486904061245233</v>
      </c>
      <c r="O77" s="29">
        <f>1-gdp_ind_share!O77-gdp_agr_share!O77</f>
        <v>0.79086250513761347</v>
      </c>
      <c r="P77" s="29">
        <f>1-gdp_ind_share!P77-gdp_agr_share!P77</f>
        <v>0.79114556302992067</v>
      </c>
      <c r="Q77" s="29">
        <f>1-gdp_ind_share!Q77-gdp_agr_share!Q77</f>
        <v>0.76323037839073182</v>
      </c>
      <c r="R77" s="29">
        <f>1-gdp_ind_share!R77-gdp_agr_share!R77</f>
        <v>0.80024261515968664</v>
      </c>
      <c r="S77" s="29">
        <f>1-gdp_ind_share!S77-gdp_agr_share!S77</f>
        <v>0.7716044830632639</v>
      </c>
      <c r="T77" s="29">
        <f>1-gdp_ind_share!T77-gdp_agr_share!T77</f>
        <v>0.79345619027764458</v>
      </c>
      <c r="U77" s="29">
        <f>1-gdp_ind_share!U77-gdp_agr_share!U77</f>
        <v>0.81133385424495474</v>
      </c>
      <c r="V77" s="29">
        <f>1-gdp_ind_share!V77-gdp_agr_share!V77</f>
        <v>0.81482792688637695</v>
      </c>
      <c r="W77" s="29">
        <f>1-gdp_ind_share!W77-gdp_agr_share!W77</f>
        <v>0.81186632092572042</v>
      </c>
      <c r="X77" s="29">
        <f>1-gdp_ind_share!X77-gdp_agr_share!X77</f>
        <v>0.7967891049894954</v>
      </c>
      <c r="Y77" s="29">
        <f>1-gdp_ind_share!Y77-gdp_agr_share!Y77</f>
        <v>0.78964896117598071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x14ac:dyDescent="0.25">
      <c r="A78" s="1" t="s">
        <v>191</v>
      </c>
      <c r="B78" s="1" t="s">
        <v>192</v>
      </c>
      <c r="C78" s="1" t="s">
        <v>193</v>
      </c>
      <c r="D78" s="29">
        <f>1-gdp_ind_share!D78-gdp_agr_share!D78</f>
        <v>0.63523840117867547</v>
      </c>
      <c r="E78" s="29">
        <f>1-gdp_ind_share!E78-gdp_agr_share!E78</f>
        <v>0.48492565009806937</v>
      </c>
      <c r="F78" s="29">
        <f>1-gdp_ind_share!F78-gdp_agr_share!F78</f>
        <v>0.55716879654612206</v>
      </c>
      <c r="G78" s="29">
        <f>1-gdp_ind_share!G78-gdp_agr_share!G78</f>
        <v>0.56852561434927429</v>
      </c>
      <c r="H78" s="29">
        <f>1-gdp_ind_share!H78-gdp_agr_share!H78</f>
        <v>0.53461204452593103</v>
      </c>
      <c r="I78" s="29">
        <f>1-gdp_ind_share!I78-gdp_agr_share!I78</f>
        <v>0.47901389691253793</v>
      </c>
      <c r="J78" s="29">
        <f>1-gdp_ind_share!J78-gdp_agr_share!J78</f>
        <v>0.49624595444797953</v>
      </c>
      <c r="K78" s="29">
        <f>1-gdp_ind_share!K78-gdp_agr_share!K78</f>
        <v>0.44728876863712519</v>
      </c>
      <c r="L78" s="30">
        <f>1-gdp_ind_share!L78-gdp_agr_share!L78</f>
        <v>0.54982500794309508</v>
      </c>
      <c r="M78" s="29">
        <f>1-gdp_ind_share!M78-gdp_agr_share!M78</f>
        <v>0.67286849511025881</v>
      </c>
      <c r="N78" s="29">
        <f>1-gdp_ind_share!N78-gdp_agr_share!N78</f>
        <v>0.75571865263562232</v>
      </c>
      <c r="O78" s="29">
        <f>1-gdp_ind_share!O78-gdp_agr_share!O78</f>
        <v>0.74654585939098728</v>
      </c>
      <c r="P78" s="29">
        <f>1-gdp_ind_share!P78-gdp_agr_share!P78</f>
        <v>0.74291888277387375</v>
      </c>
      <c r="Q78" s="29">
        <f>1-gdp_ind_share!Q78-gdp_agr_share!Q78</f>
        <v>0.84905499696164777</v>
      </c>
      <c r="R78" s="29">
        <f>1-gdp_ind_share!R78-gdp_agr_share!R78</f>
        <v>0.82824543863286704</v>
      </c>
      <c r="S78" s="29">
        <f>1-gdp_ind_share!S78-gdp_agr_share!S78</f>
        <v>0.82450907173830335</v>
      </c>
      <c r="T78" s="29">
        <f>1-gdp_ind_share!T78-gdp_agr_share!T78</f>
        <v>0.85754742110627158</v>
      </c>
      <c r="U78" s="29">
        <f>1-gdp_ind_share!U78-gdp_agr_share!U78</f>
        <v>0.82605579484514868</v>
      </c>
      <c r="V78" s="29">
        <f>1-gdp_ind_share!V78-gdp_agr_share!V78</f>
        <v>0.8676024315990114</v>
      </c>
      <c r="W78" s="29">
        <f>1-gdp_ind_share!W78-gdp_agr_share!W78</f>
        <v>0.86515563567581777</v>
      </c>
      <c r="X78" s="29">
        <f>1-gdp_ind_share!X78-gdp_agr_share!X78</f>
        <v>0.86583557884613516</v>
      </c>
      <c r="Y78" s="29">
        <f>1-gdp_ind_share!Y78-gdp_agr_share!Y78</f>
        <v>0.85868879119892172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x14ac:dyDescent="0.25">
      <c r="A79" s="1" t="s">
        <v>191</v>
      </c>
      <c r="B79" s="1" t="s">
        <v>194</v>
      </c>
      <c r="C79" s="1" t="s">
        <v>195</v>
      </c>
      <c r="D79" s="29">
        <f>1-gdp_ind_share!D79-gdp_agr_share!D79</f>
        <v>0.3668908127017666</v>
      </c>
      <c r="E79" s="29">
        <f>1-gdp_ind_share!E79-gdp_agr_share!E79</f>
        <v>0.39730086645494445</v>
      </c>
      <c r="F79" s="29">
        <f>1-gdp_ind_share!F79-gdp_agr_share!F79</f>
        <v>0.71428218917896014</v>
      </c>
      <c r="G79" s="29">
        <f>1-gdp_ind_share!G79-gdp_agr_share!G79</f>
        <v>0.67903633243032391</v>
      </c>
      <c r="H79" s="29">
        <f>1-gdp_ind_share!H79-gdp_agr_share!H79</f>
        <v>0.68060106192207603</v>
      </c>
      <c r="I79" s="29">
        <f>1-gdp_ind_share!I79-gdp_agr_share!I79</f>
        <v>0.69666175361226845</v>
      </c>
      <c r="J79" s="29">
        <f>1-gdp_ind_share!J79-gdp_agr_share!J79</f>
        <v>0.67510367045325481</v>
      </c>
      <c r="K79" s="29">
        <f>1-gdp_ind_share!K79-gdp_agr_share!K79</f>
        <v>0.65592952713412189</v>
      </c>
      <c r="L79" s="30">
        <f>1-gdp_ind_share!L79-gdp_agr_share!L79</f>
        <v>0.69868403669513557</v>
      </c>
      <c r="M79" s="29">
        <f>1-gdp_ind_share!M79-gdp_agr_share!M79</f>
        <v>0.749989448168352</v>
      </c>
      <c r="N79" s="29">
        <f>1-gdp_ind_share!N79-gdp_agr_share!N79</f>
        <v>0.8034813452543339</v>
      </c>
      <c r="O79" s="29">
        <f>1-gdp_ind_share!O79-gdp_agr_share!O79</f>
        <v>0.80226720570578336</v>
      </c>
      <c r="P79" s="29">
        <f>1-gdp_ind_share!P79-gdp_agr_share!P79</f>
        <v>0.7933572098577224</v>
      </c>
      <c r="Q79" s="29">
        <f>1-gdp_ind_share!Q79-gdp_agr_share!Q79</f>
        <v>0.8246288439610242</v>
      </c>
      <c r="R79" s="29">
        <f>1-gdp_ind_share!R79-gdp_agr_share!R79</f>
        <v>0.83909757656192918</v>
      </c>
      <c r="S79" s="29">
        <f>1-gdp_ind_share!S79-gdp_agr_share!S79</f>
        <v>0.83167873315954721</v>
      </c>
      <c r="T79" s="29">
        <f>1-gdp_ind_share!T79-gdp_agr_share!T79</f>
        <v>0.82084151769861036</v>
      </c>
      <c r="U79" s="29">
        <f>1-gdp_ind_share!U79-gdp_agr_share!U79</f>
        <v>0.72194191831830468</v>
      </c>
      <c r="V79" s="29">
        <f>1-gdp_ind_share!V79-gdp_agr_share!V79</f>
        <v>0.83587367554253</v>
      </c>
      <c r="W79" s="29">
        <f>1-gdp_ind_share!W79-gdp_agr_share!W79</f>
        <v>0.85225710785204223</v>
      </c>
      <c r="X79" s="29">
        <f>1-gdp_ind_share!X79-gdp_agr_share!X79</f>
        <v>0.82790426729040067</v>
      </c>
      <c r="Y79" s="29">
        <f>1-gdp_ind_share!Y79-gdp_agr_share!Y79</f>
        <v>0.81957543441190794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x14ac:dyDescent="0.25">
      <c r="A80" s="1" t="s">
        <v>191</v>
      </c>
      <c r="B80" s="1" t="s">
        <v>196</v>
      </c>
      <c r="C80" s="1" t="s">
        <v>197</v>
      </c>
      <c r="D80" s="29">
        <f>1-gdp_ind_share!D80-gdp_agr_share!D80</f>
        <v>0.3578978526879566</v>
      </c>
      <c r="E80" s="29">
        <f>1-gdp_ind_share!E80-gdp_agr_share!E80</f>
        <v>0.24756346813134389</v>
      </c>
      <c r="F80" s="29">
        <f>1-gdp_ind_share!F80-gdp_agr_share!F80</f>
        <v>0.33183730143065748</v>
      </c>
      <c r="G80" s="29">
        <f>1-gdp_ind_share!G80-gdp_agr_share!G80</f>
        <v>0.50263860166622665</v>
      </c>
      <c r="H80" s="29">
        <f>1-gdp_ind_share!H80-gdp_agr_share!H80</f>
        <v>0.46438317158934711</v>
      </c>
      <c r="I80" s="29">
        <f>1-gdp_ind_share!I80-gdp_agr_share!I80</f>
        <v>0.53166551436235421</v>
      </c>
      <c r="J80" s="29">
        <f>1-gdp_ind_share!J80-gdp_agr_share!J80</f>
        <v>0.43906881196243469</v>
      </c>
      <c r="K80" s="29">
        <f>1-gdp_ind_share!K80-gdp_agr_share!K80</f>
        <v>0.49658804388929279</v>
      </c>
      <c r="L80" s="30">
        <f>1-gdp_ind_share!L80-gdp_agr_share!L80</f>
        <v>0.55706485305715148</v>
      </c>
      <c r="M80" s="29">
        <f>1-gdp_ind_share!M80-gdp_agr_share!M80</f>
        <v>0.62963702405858202</v>
      </c>
      <c r="N80" s="29">
        <f>1-gdp_ind_share!N80-gdp_agr_share!N80</f>
        <v>0.6750854160496752</v>
      </c>
      <c r="O80" s="29">
        <f>1-gdp_ind_share!O80-gdp_agr_share!O80</f>
        <v>0.66438256426019304</v>
      </c>
      <c r="P80" s="29">
        <f>1-gdp_ind_share!P80-gdp_agr_share!P80</f>
        <v>0.64955420520674756</v>
      </c>
      <c r="Q80" s="29">
        <f>1-gdp_ind_share!Q80-gdp_agr_share!Q80</f>
        <v>0.74529951355047608</v>
      </c>
      <c r="R80" s="29">
        <f>1-gdp_ind_share!R80-gdp_agr_share!R80</f>
        <v>0.60190985380161122</v>
      </c>
      <c r="S80" s="29">
        <f>1-gdp_ind_share!S80-gdp_agr_share!S80</f>
        <v>0.57360856637818347</v>
      </c>
      <c r="T80" s="29">
        <f>1-gdp_ind_share!T80-gdp_agr_share!T80</f>
        <v>0.6110894847991859</v>
      </c>
      <c r="U80" s="29">
        <f>1-gdp_ind_share!U80-gdp_agr_share!U80</f>
        <v>0.67704589208908916</v>
      </c>
      <c r="V80" s="29">
        <f>1-gdp_ind_share!V80-gdp_agr_share!V80</f>
        <v>0.73501193284179211</v>
      </c>
      <c r="W80" s="29">
        <f>1-gdp_ind_share!W80-gdp_agr_share!W80</f>
        <v>0.63337617914847621</v>
      </c>
      <c r="X80" s="29">
        <f>1-gdp_ind_share!X80-gdp_agr_share!X80</f>
        <v>0.63101002982886778</v>
      </c>
      <c r="Y80" s="29">
        <f>1-gdp_ind_share!Y80-gdp_agr_share!Y80</f>
        <v>0.66262592603311554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x14ac:dyDescent="0.25">
      <c r="A81" s="1" t="s">
        <v>191</v>
      </c>
      <c r="B81" s="1" t="s">
        <v>198</v>
      </c>
      <c r="C81" s="1" t="s">
        <v>199</v>
      </c>
      <c r="D81" s="29">
        <f>1-gdp_ind_share!D81-gdp_agr_share!D81</f>
        <v>0.19182929260273751</v>
      </c>
      <c r="E81" s="29">
        <f>1-gdp_ind_share!E81-gdp_agr_share!E81</f>
        <v>0.2510080002657662</v>
      </c>
      <c r="F81" s="29">
        <f>1-gdp_ind_share!F81-gdp_agr_share!F81</f>
        <v>0.30713353089147588</v>
      </c>
      <c r="G81" s="29">
        <f>1-gdp_ind_share!G81-gdp_agr_share!G81</f>
        <v>0.24540492434527383</v>
      </c>
      <c r="H81" s="29">
        <f>1-gdp_ind_share!H81-gdp_agr_share!H81</f>
        <v>0.33588195940890264</v>
      </c>
      <c r="I81" s="29">
        <f>1-gdp_ind_share!I81-gdp_agr_share!I81</f>
        <v>0.31634526587564893</v>
      </c>
      <c r="J81" s="29">
        <f>1-gdp_ind_share!J81-gdp_agr_share!J81</f>
        <v>0.34539894290189516</v>
      </c>
      <c r="K81" s="29">
        <f>1-gdp_ind_share!K81-gdp_agr_share!K81</f>
        <v>0.34990023603039988</v>
      </c>
      <c r="L81" s="30">
        <f>1-gdp_ind_share!L81-gdp_agr_share!L81</f>
        <v>0.45000674259939472</v>
      </c>
      <c r="M81" s="29">
        <f>1-gdp_ind_share!M81-gdp_agr_share!M81</f>
        <v>0.57013455048218842</v>
      </c>
      <c r="N81" s="29">
        <f>1-gdp_ind_share!N81-gdp_agr_share!N81</f>
        <v>0.72882899860267547</v>
      </c>
      <c r="O81" s="29">
        <f>1-gdp_ind_share!O81-gdp_agr_share!O81</f>
        <v>0.73454561477374158</v>
      </c>
      <c r="P81" s="29">
        <f>1-gdp_ind_share!P81-gdp_agr_share!P81</f>
        <v>0.73079665552395745</v>
      </c>
      <c r="Q81" s="29">
        <f>1-gdp_ind_share!Q81-gdp_agr_share!Q81</f>
        <v>0.81951453361144666</v>
      </c>
      <c r="R81" s="29">
        <f>1-gdp_ind_share!R81-gdp_agr_share!R81</f>
        <v>0.78227670892477064</v>
      </c>
      <c r="S81" s="29">
        <f>1-gdp_ind_share!S81-gdp_agr_share!S81</f>
        <v>0.81198789197994192</v>
      </c>
      <c r="T81" s="29">
        <f>1-gdp_ind_share!T81-gdp_agr_share!T81</f>
        <v>0.82963552948602581</v>
      </c>
      <c r="U81" s="29">
        <f>1-gdp_ind_share!U81-gdp_agr_share!U81</f>
        <v>0.78422788559450962</v>
      </c>
      <c r="V81" s="29">
        <f>1-gdp_ind_share!V81-gdp_agr_share!V81</f>
        <v>0.85464950673040674</v>
      </c>
      <c r="W81" s="29">
        <f>1-gdp_ind_share!W81-gdp_agr_share!W81</f>
        <v>0.83923586503854919</v>
      </c>
      <c r="X81" s="29">
        <f>1-gdp_ind_share!X81-gdp_agr_share!X81</f>
        <v>0.83635122311302035</v>
      </c>
      <c r="Y81" s="29">
        <f>1-gdp_ind_share!Y81-gdp_agr_share!Y81</f>
        <v>0.81593364346024144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x14ac:dyDescent="0.25">
      <c r="A82" s="1" t="s">
        <v>200</v>
      </c>
      <c r="B82" s="1" t="s">
        <v>201</v>
      </c>
      <c r="C82" s="1" t="s">
        <v>202</v>
      </c>
      <c r="D82" s="29" t="e">
        <f>1-gdp_ind_share!D82-gdp_agr_share!D82</f>
        <v>#DIV/0!</v>
      </c>
      <c r="E82" s="29" t="e">
        <f>1-gdp_ind_share!E82-gdp_agr_share!E82</f>
        <v>#DIV/0!</v>
      </c>
      <c r="F82" s="29" t="e">
        <f>1-gdp_ind_share!F82-gdp_agr_share!F82</f>
        <v>#DIV/0!</v>
      </c>
      <c r="G82" s="29">
        <f>1-gdp_ind_share!G82-gdp_agr_share!G82</f>
        <v>0.27037736429806669</v>
      </c>
      <c r="H82" s="29">
        <f>1-gdp_ind_share!H82-gdp_agr_share!H82</f>
        <v>0.45129330568702009</v>
      </c>
      <c r="I82" s="29">
        <f>1-gdp_ind_share!I82-gdp_agr_share!I82</f>
        <v>0.29931890675824202</v>
      </c>
      <c r="J82" s="29">
        <f>1-gdp_ind_share!J82-gdp_agr_share!J82</f>
        <v>0.3153177855305217</v>
      </c>
      <c r="K82" s="29">
        <f>1-gdp_ind_share!K82-gdp_agr_share!K82</f>
        <v>0.30707215299109669</v>
      </c>
      <c r="L82" s="30">
        <f>1-gdp_ind_share!L82-gdp_agr_share!L82</f>
        <v>0.39574716127086784</v>
      </c>
      <c r="M82" s="29">
        <f>1-gdp_ind_share!M82-gdp_agr_share!M82</f>
        <v>0.50215717120659331</v>
      </c>
      <c r="N82" s="29">
        <f>1-gdp_ind_share!N82-gdp_agr_share!N82</f>
        <v>0.65660099995799526</v>
      </c>
      <c r="O82" s="29">
        <f>1-gdp_ind_share!O82-gdp_agr_share!O82</f>
        <v>0.65725559008460144</v>
      </c>
      <c r="P82" s="29">
        <f>1-gdp_ind_share!P82-gdp_agr_share!P82</f>
        <v>0.64851191791706753</v>
      </c>
      <c r="Q82" s="29">
        <f>1-gdp_ind_share!Q82-gdp_agr_share!Q82</f>
        <v>0.64352011868151604</v>
      </c>
      <c r="R82" s="29">
        <f>1-gdp_ind_share!R82-gdp_agr_share!R82</f>
        <v>0.61532467213025854</v>
      </c>
      <c r="S82" s="29">
        <f>1-gdp_ind_share!S82-gdp_agr_share!S82</f>
        <v>0.62252040770580319</v>
      </c>
      <c r="T82" s="29">
        <f>1-gdp_ind_share!T82-gdp_agr_share!T82</f>
        <v>0.65627557467159181</v>
      </c>
      <c r="U82" s="29">
        <f>1-gdp_ind_share!U82-gdp_agr_share!U82</f>
        <v>0.66035522468551622</v>
      </c>
      <c r="V82" s="29">
        <f>1-gdp_ind_share!V82-gdp_agr_share!V82</f>
        <v>0.65567724380269221</v>
      </c>
      <c r="W82" s="29">
        <f>1-gdp_ind_share!W82-gdp_agr_share!W82</f>
        <v>0.63155030540232771</v>
      </c>
      <c r="X82" s="29">
        <f>1-gdp_ind_share!X82-gdp_agr_share!X82</f>
        <v>0.63462548017525711</v>
      </c>
      <c r="Y82" s="29">
        <f>1-gdp_ind_share!Y82-gdp_agr_share!Y82</f>
        <v>0.63333349690637275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x14ac:dyDescent="0.25">
      <c r="A83" s="1" t="s">
        <v>200</v>
      </c>
      <c r="B83" s="1" t="s">
        <v>203</v>
      </c>
      <c r="C83" s="1" t="s">
        <v>204</v>
      </c>
      <c r="D83" s="29" t="e">
        <f>1-gdp_ind_share!D83-gdp_agr_share!D83</f>
        <v>#DIV/0!</v>
      </c>
      <c r="E83" s="29" t="e">
        <f>1-gdp_ind_share!E83-gdp_agr_share!E83</f>
        <v>#DIV/0!</v>
      </c>
      <c r="F83" s="29">
        <f>1-gdp_ind_share!F83-gdp_agr_share!F83</f>
        <v>0.27310144027121053</v>
      </c>
      <c r="G83" s="29">
        <f>1-gdp_ind_share!G83-gdp_agr_share!G83</f>
        <v>0.18399753867239999</v>
      </c>
      <c r="H83" s="29">
        <f>1-gdp_ind_share!H83-gdp_agr_share!H83</f>
        <v>0.42406942630121042</v>
      </c>
      <c r="I83" s="29">
        <f>1-gdp_ind_share!I83-gdp_agr_share!I83</f>
        <v>0.36936789686658156</v>
      </c>
      <c r="J83" s="29">
        <f>1-gdp_ind_share!J83-gdp_agr_share!J83</f>
        <v>0.34072156799656639</v>
      </c>
      <c r="K83" s="29">
        <f>1-gdp_ind_share!K83-gdp_agr_share!K83</f>
        <v>0.34511114254682312</v>
      </c>
      <c r="L83" s="30">
        <f>1-gdp_ind_share!L83-gdp_agr_share!L83</f>
        <v>0.40181379388765748</v>
      </c>
      <c r="M83" s="29">
        <f>1-gdp_ind_share!M83-gdp_agr_share!M83</f>
        <v>0.46985697549665867</v>
      </c>
      <c r="N83" s="29">
        <f>1-gdp_ind_share!N83-gdp_agr_share!N83</f>
        <v>0.60455330239242522</v>
      </c>
      <c r="O83" s="29">
        <f>1-gdp_ind_share!O83-gdp_agr_share!O83</f>
        <v>0.62295119993073955</v>
      </c>
      <c r="P83" s="29">
        <f>1-gdp_ind_share!P83-gdp_agr_share!P83</f>
        <v>0.60636594126618326</v>
      </c>
      <c r="Q83" s="29">
        <f>1-gdp_ind_share!Q83-gdp_agr_share!Q83</f>
        <v>0.5968614367483196</v>
      </c>
      <c r="R83" s="29">
        <f>1-gdp_ind_share!R83-gdp_agr_share!R83</f>
        <v>0.57672828395881248</v>
      </c>
      <c r="S83" s="29">
        <f>1-gdp_ind_share!S83-gdp_agr_share!S83</f>
        <v>0.60132800186389312</v>
      </c>
      <c r="T83" s="29">
        <f>1-gdp_ind_share!T83-gdp_agr_share!T83</f>
        <v>0.66732674834195094</v>
      </c>
      <c r="U83" s="29">
        <f>1-gdp_ind_share!U83-gdp_agr_share!U83</f>
        <v>0.67117752154036514</v>
      </c>
      <c r="V83" s="29">
        <f>1-gdp_ind_share!V83-gdp_agr_share!V83</f>
        <v>0.63893484939890222</v>
      </c>
      <c r="W83" s="29">
        <f>1-gdp_ind_share!W83-gdp_agr_share!W83</f>
        <v>0.59696790031966074</v>
      </c>
      <c r="X83" s="29">
        <f>1-gdp_ind_share!X83-gdp_agr_share!X83</f>
        <v>0.61167528640467594</v>
      </c>
      <c r="Y83" s="29">
        <f>1-gdp_ind_share!Y83-gdp_agr_share!Y83</f>
        <v>0.65436533520172158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x14ac:dyDescent="0.25">
      <c r="A84" s="1" t="s">
        <v>200</v>
      </c>
      <c r="B84" s="1" t="s">
        <v>205</v>
      </c>
      <c r="C84" s="1" t="s">
        <v>206</v>
      </c>
      <c r="D84" s="29">
        <f>1-gdp_ind_share!D84-gdp_agr_share!D84</f>
        <v>0.4814099529320508</v>
      </c>
      <c r="E84" s="29">
        <f>1-gdp_ind_share!E84-gdp_agr_share!E84</f>
        <v>0.32899533309201745</v>
      </c>
      <c r="F84" s="29">
        <f>1-gdp_ind_share!F84-gdp_agr_share!F84</f>
        <v>0.35563968976777804</v>
      </c>
      <c r="G84" s="29">
        <f>1-gdp_ind_share!G84-gdp_agr_share!G84</f>
        <v>0.30271667506227184</v>
      </c>
      <c r="H84" s="29">
        <f>1-gdp_ind_share!H84-gdp_agr_share!H84</f>
        <v>0.56944759099331244</v>
      </c>
      <c r="I84" s="29">
        <f>1-gdp_ind_share!I84-gdp_agr_share!I84</f>
        <v>0.45770759184236998</v>
      </c>
      <c r="J84" s="29">
        <f>1-gdp_ind_share!J84-gdp_agr_share!J84</f>
        <v>0.45597339906250456</v>
      </c>
      <c r="K84" s="29">
        <f>1-gdp_ind_share!K84-gdp_agr_share!K84</f>
        <v>0.45381179519781395</v>
      </c>
      <c r="L84" s="30">
        <f>1-gdp_ind_share!L84-gdp_agr_share!L84</f>
        <v>0.52100516715294432</v>
      </c>
      <c r="M84" s="29">
        <f>1-gdp_ind_share!M84-gdp_agr_share!M84</f>
        <v>0.6016372134991006</v>
      </c>
      <c r="N84" s="29">
        <f>1-gdp_ind_share!N84-gdp_agr_share!N84</f>
        <v>0.70285774389403277</v>
      </c>
      <c r="O84" s="29">
        <f>1-gdp_ind_share!O84-gdp_agr_share!O84</f>
        <v>0.7156161851176851</v>
      </c>
      <c r="P84" s="29">
        <f>1-gdp_ind_share!P84-gdp_agr_share!P84</f>
        <v>0.71131795851873647</v>
      </c>
      <c r="Q84" s="29">
        <f>1-gdp_ind_share!Q84-gdp_agr_share!Q84</f>
        <v>0.68277779105957326</v>
      </c>
      <c r="R84" s="29">
        <f>1-gdp_ind_share!R84-gdp_agr_share!R84</f>
        <v>0.66520243598449358</v>
      </c>
      <c r="S84" s="29">
        <f>1-gdp_ind_share!S84-gdp_agr_share!S84</f>
        <v>0.6726561127050632</v>
      </c>
      <c r="T84" s="29">
        <f>1-gdp_ind_share!T84-gdp_agr_share!T84</f>
        <v>0.70703221073291367</v>
      </c>
      <c r="U84" s="29">
        <f>1-gdp_ind_share!U84-gdp_agr_share!U84</f>
        <v>0.71641622750472989</v>
      </c>
      <c r="V84" s="29">
        <f>1-gdp_ind_share!V84-gdp_agr_share!V84</f>
        <v>0.71760140549545848</v>
      </c>
      <c r="W84" s="29">
        <f>1-gdp_ind_share!W84-gdp_agr_share!W84</f>
        <v>0.69739099991729991</v>
      </c>
      <c r="X84" s="29">
        <f>1-gdp_ind_share!X84-gdp_agr_share!X84</f>
        <v>0.71085258925193662</v>
      </c>
      <c r="Y84" s="29">
        <f>1-gdp_ind_share!Y84-gdp_agr_share!Y84</f>
        <v>0.70937696581381915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x14ac:dyDescent="0.25">
      <c r="A85" s="1" t="s">
        <v>200</v>
      </c>
      <c r="B85" s="1" t="s">
        <v>207</v>
      </c>
      <c r="C85" s="1" t="s">
        <v>208</v>
      </c>
      <c r="D85" s="29">
        <f>1-gdp_ind_share!D85-gdp_agr_share!D85</f>
        <v>0.12605234565807355</v>
      </c>
      <c r="E85" s="29">
        <f>1-gdp_ind_share!E85-gdp_agr_share!E85</f>
        <v>0.18941335704248108</v>
      </c>
      <c r="F85" s="29">
        <f>1-gdp_ind_share!F85-gdp_agr_share!F85</f>
        <v>0.3239511135009866</v>
      </c>
      <c r="G85" s="29">
        <f>1-gdp_ind_share!G85-gdp_agr_share!G85</f>
        <v>0.28762173095962151</v>
      </c>
      <c r="H85" s="29">
        <f>1-gdp_ind_share!H85-gdp_agr_share!H85</f>
        <v>0.41712325120820049</v>
      </c>
      <c r="I85" s="29">
        <f>1-gdp_ind_share!I85-gdp_agr_share!I85</f>
        <v>0.38463693834232104</v>
      </c>
      <c r="J85" s="29">
        <f>1-gdp_ind_share!J85-gdp_agr_share!J85</f>
        <v>0.30521160478922427</v>
      </c>
      <c r="K85" s="29">
        <f>1-gdp_ind_share!K85-gdp_agr_share!K85</f>
        <v>0.3329989639522985</v>
      </c>
      <c r="L85" s="30">
        <f>1-gdp_ind_share!L85-gdp_agr_share!L85</f>
        <v>0.4008290307307607</v>
      </c>
      <c r="M85" s="29">
        <f>1-gdp_ind_share!M85-gdp_agr_share!M85</f>
        <v>0.48222511086491537</v>
      </c>
      <c r="N85" s="29">
        <f>1-gdp_ind_share!N85-gdp_agr_share!N85</f>
        <v>0.63385930175000227</v>
      </c>
      <c r="O85" s="29">
        <f>1-gdp_ind_share!O85-gdp_agr_share!O85</f>
        <v>0.65202478929753549</v>
      </c>
      <c r="P85" s="29">
        <f>1-gdp_ind_share!P85-gdp_agr_share!P85</f>
        <v>0.63153621488020173</v>
      </c>
      <c r="Q85" s="29">
        <f>1-gdp_ind_share!Q85-gdp_agr_share!Q85</f>
        <v>0.59627257388545796</v>
      </c>
      <c r="R85" s="29">
        <f>1-gdp_ind_share!R85-gdp_agr_share!R85</f>
        <v>0.57761150699498143</v>
      </c>
      <c r="S85" s="29">
        <f>1-gdp_ind_share!S85-gdp_agr_share!S85</f>
        <v>0.58096307289758875</v>
      </c>
      <c r="T85" s="29">
        <f>1-gdp_ind_share!T85-gdp_agr_share!T85</f>
        <v>0.62948859479759212</v>
      </c>
      <c r="U85" s="29">
        <f>1-gdp_ind_share!U85-gdp_agr_share!U85</f>
        <v>0.61613752361535656</v>
      </c>
      <c r="V85" s="29">
        <f>1-gdp_ind_share!V85-gdp_agr_share!V85</f>
        <v>0.62416988624605474</v>
      </c>
      <c r="W85" s="29">
        <f>1-gdp_ind_share!W85-gdp_agr_share!W85</f>
        <v>0.5684178879671451</v>
      </c>
      <c r="X85" s="29">
        <f>1-gdp_ind_share!X85-gdp_agr_share!X85</f>
        <v>0.633762761999346</v>
      </c>
      <c r="Y85" s="29">
        <f>1-gdp_ind_share!Y85-gdp_agr_share!Y85</f>
        <v>0.59274227537587121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x14ac:dyDescent="0.25">
      <c r="A86" s="1" t="s">
        <v>200</v>
      </c>
      <c r="B86" s="1" t="s">
        <v>209</v>
      </c>
      <c r="C86" s="1" t="s">
        <v>210</v>
      </c>
      <c r="D86" s="29">
        <f>1-gdp_ind_share!D86-gdp_agr_share!D86</f>
        <v>0.32273324717175134</v>
      </c>
      <c r="E86" s="29">
        <f>1-gdp_ind_share!E86-gdp_agr_share!E86</f>
        <v>0.51809039312442351</v>
      </c>
      <c r="F86" s="29">
        <f>1-gdp_ind_share!F86-gdp_agr_share!F86</f>
        <v>0.52987779505898258</v>
      </c>
      <c r="G86" s="29">
        <f>1-gdp_ind_share!G86-gdp_agr_share!G86</f>
        <v>0.44631128249030616</v>
      </c>
      <c r="H86" s="29">
        <f>1-gdp_ind_share!H86-gdp_agr_share!H86</f>
        <v>0.45521552524971476</v>
      </c>
      <c r="I86" s="29">
        <f>1-gdp_ind_share!I86-gdp_agr_share!I86</f>
        <v>0.42001428061823454</v>
      </c>
      <c r="J86" s="29">
        <f>1-gdp_ind_share!J86-gdp_agr_share!J86</f>
        <v>0.34308712619114967</v>
      </c>
      <c r="K86" s="29">
        <f>1-gdp_ind_share!K86-gdp_agr_share!K86</f>
        <v>0.37450045458269454</v>
      </c>
      <c r="L86" s="30">
        <f>1-gdp_ind_share!L86-gdp_agr_share!L86</f>
        <v>0.38882469737593345</v>
      </c>
      <c r="M86" s="29">
        <f>1-gdp_ind_share!M86-gdp_agr_share!M86</f>
        <v>0.40601378872781996</v>
      </c>
      <c r="N86" s="29">
        <f>1-gdp_ind_share!N86-gdp_agr_share!N86</f>
        <v>0.5689199170497119</v>
      </c>
      <c r="O86" s="29">
        <f>1-gdp_ind_share!O86-gdp_agr_share!O86</f>
        <v>0.5607864901272801</v>
      </c>
      <c r="P86" s="29">
        <f>1-gdp_ind_share!P86-gdp_agr_share!P86</f>
        <v>0.54848652460995229</v>
      </c>
      <c r="Q86" s="29">
        <f>1-gdp_ind_share!Q86-gdp_agr_share!Q86</f>
        <v>0.48063900020972594</v>
      </c>
      <c r="R86" s="29">
        <f>1-gdp_ind_share!R86-gdp_agr_share!R86</f>
        <v>0.45010371109730124</v>
      </c>
      <c r="S86" s="29">
        <f>1-gdp_ind_share!S86-gdp_agr_share!S86</f>
        <v>0.46601656835025118</v>
      </c>
      <c r="T86" s="29">
        <f>1-gdp_ind_share!T86-gdp_agr_share!T86</f>
        <v>0.4832750828473833</v>
      </c>
      <c r="U86" s="29">
        <f>1-gdp_ind_share!U86-gdp_agr_share!U86</f>
        <v>0.5306557146104941</v>
      </c>
      <c r="V86" s="29">
        <f>1-gdp_ind_share!V86-gdp_agr_share!V86</f>
        <v>0.51505541073087224</v>
      </c>
      <c r="W86" s="29">
        <f>1-gdp_ind_share!W86-gdp_agr_share!W86</f>
        <v>0.5004511941829779</v>
      </c>
      <c r="X86" s="29">
        <f>1-gdp_ind_share!X86-gdp_agr_share!X86</f>
        <v>0.51663426846531024</v>
      </c>
      <c r="Y86" s="29">
        <f>1-gdp_ind_share!Y86-gdp_agr_share!Y86</f>
        <v>0.52669008842358378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x14ac:dyDescent="0.25">
      <c r="A87" s="1" t="s">
        <v>200</v>
      </c>
      <c r="B87" s="1" t="s">
        <v>211</v>
      </c>
      <c r="C87" s="1" t="s">
        <v>212</v>
      </c>
      <c r="D87" s="29">
        <f>1-gdp_ind_share!D87-gdp_agr_share!D87</f>
        <v>0.23417985098196559</v>
      </c>
      <c r="E87" s="29">
        <f>1-gdp_ind_share!E87-gdp_agr_share!E87</f>
        <v>0.56938569061095046</v>
      </c>
      <c r="F87" s="29">
        <f>1-gdp_ind_share!F87-gdp_agr_share!F87</f>
        <v>0.44753953313552053</v>
      </c>
      <c r="G87" s="29">
        <f>1-gdp_ind_share!G87-gdp_agr_share!G87</f>
        <v>0.45451668338871043</v>
      </c>
      <c r="H87" s="29">
        <f>1-gdp_ind_share!H87-gdp_agr_share!H87</f>
        <v>0.4219577648871074</v>
      </c>
      <c r="I87" s="29">
        <f>1-gdp_ind_share!I87-gdp_agr_share!I87</f>
        <v>0.43483144736395601</v>
      </c>
      <c r="J87" s="29">
        <f>1-gdp_ind_share!J87-gdp_agr_share!J87</f>
        <v>0.43381531595030315</v>
      </c>
      <c r="K87" s="29">
        <f>1-gdp_ind_share!K87-gdp_agr_share!K87</f>
        <v>0.43194515869241185</v>
      </c>
      <c r="L87" s="30">
        <f>1-gdp_ind_share!L87-gdp_agr_share!L87</f>
        <v>0.47688597419405587</v>
      </c>
      <c r="M87" s="29">
        <f>1-gdp_ind_share!M87-gdp_agr_share!M87</f>
        <v>0.53081495279602853</v>
      </c>
      <c r="N87" s="29">
        <f>1-gdp_ind_share!N87-gdp_agr_share!N87</f>
        <v>0.53488672697176165</v>
      </c>
      <c r="O87" s="29">
        <f>1-gdp_ind_share!O87-gdp_agr_share!O87</f>
        <v>0.51987468570295658</v>
      </c>
      <c r="P87" s="29">
        <f>1-gdp_ind_share!P87-gdp_agr_share!P87</f>
        <v>0.52286760602706717</v>
      </c>
      <c r="Q87" s="29">
        <f>1-gdp_ind_share!Q87-gdp_agr_share!Q87</f>
        <v>0.56195794991544923</v>
      </c>
      <c r="R87" s="29">
        <f>1-gdp_ind_share!R87-gdp_agr_share!R87</f>
        <v>0.56332974918355538</v>
      </c>
      <c r="S87" s="29">
        <f>1-gdp_ind_share!S87-gdp_agr_share!S87</f>
        <v>0.58851353253421734</v>
      </c>
      <c r="T87" s="29">
        <f>1-gdp_ind_share!T87-gdp_agr_share!T87</f>
        <v>0.60739870532293971</v>
      </c>
      <c r="U87" s="29">
        <f>1-gdp_ind_share!U87-gdp_agr_share!U87</f>
        <v>0.57969989232224262</v>
      </c>
      <c r="V87" s="29">
        <f>1-gdp_ind_share!V87-gdp_agr_share!V87</f>
        <v>0.58605837205254507</v>
      </c>
      <c r="W87" s="29">
        <f>1-gdp_ind_share!W87-gdp_agr_share!W87</f>
        <v>0.58007122733718663</v>
      </c>
      <c r="X87" s="29">
        <f>1-gdp_ind_share!X87-gdp_agr_share!X87</f>
        <v>0.60243068275239098</v>
      </c>
      <c r="Y87" s="29">
        <f>1-gdp_ind_share!Y87-gdp_agr_share!Y87</f>
        <v>0.60856185758076475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x14ac:dyDescent="0.25">
      <c r="A88" s="1" t="s">
        <v>200</v>
      </c>
      <c r="B88" s="1" t="s">
        <v>213</v>
      </c>
      <c r="C88" s="1" t="s">
        <v>214</v>
      </c>
      <c r="D88" s="29" t="e">
        <f>1-gdp_ind_share!D88-gdp_agr_share!D88</f>
        <v>#DIV/0!</v>
      </c>
      <c r="E88" s="29" t="e">
        <f>1-gdp_ind_share!E88-gdp_agr_share!E88</f>
        <v>#DIV/0!</v>
      </c>
      <c r="F88" s="29" t="e">
        <f>1-gdp_ind_share!F88-gdp_agr_share!F88</f>
        <v>#DIV/0!</v>
      </c>
      <c r="G88" s="29">
        <f>1-gdp_ind_share!G88-gdp_agr_share!G88</f>
        <v>0.2336391735060821</v>
      </c>
      <c r="H88" s="29">
        <f>1-gdp_ind_share!H88-gdp_agr_share!H88</f>
        <v>0.32680759859549569</v>
      </c>
      <c r="I88" s="29">
        <f>1-gdp_ind_share!I88-gdp_agr_share!I88</f>
        <v>0.36692799218957833</v>
      </c>
      <c r="J88" s="29">
        <f>1-gdp_ind_share!J88-gdp_agr_share!J88</f>
        <v>0.33716654969508264</v>
      </c>
      <c r="K88" s="29">
        <f>1-gdp_ind_share!K88-gdp_agr_share!K88</f>
        <v>0.35694560306398659</v>
      </c>
      <c r="L88" s="30">
        <f>1-gdp_ind_share!L88-gdp_agr_share!L88</f>
        <v>0.45631474847221065</v>
      </c>
      <c r="M88" s="29">
        <f>1-gdp_ind_share!M88-gdp_agr_share!M88</f>
        <v>0.57555772296207952</v>
      </c>
      <c r="N88" s="29">
        <f>1-gdp_ind_share!N88-gdp_agr_share!N88</f>
        <v>0.62300322847549561</v>
      </c>
      <c r="O88" s="29">
        <f>1-gdp_ind_share!O88-gdp_agr_share!O88</f>
        <v>0.61321275562440025</v>
      </c>
      <c r="P88" s="29">
        <f>1-gdp_ind_share!P88-gdp_agr_share!P88</f>
        <v>0.61423441745811369</v>
      </c>
      <c r="Q88" s="29">
        <f>1-gdp_ind_share!Q88-gdp_agr_share!Q88</f>
        <v>0.45784447801942052</v>
      </c>
      <c r="R88" s="29">
        <f>1-gdp_ind_share!R88-gdp_agr_share!R88</f>
        <v>0.48058002070046374</v>
      </c>
      <c r="S88" s="29">
        <f>1-gdp_ind_share!S88-gdp_agr_share!S88</f>
        <v>0.47432334084342748</v>
      </c>
      <c r="T88" s="29">
        <f>1-gdp_ind_share!T88-gdp_agr_share!T88</f>
        <v>0.51454681199196917</v>
      </c>
      <c r="U88" s="29">
        <f>1-gdp_ind_share!U88-gdp_agr_share!U88</f>
        <v>0.57331305086800177</v>
      </c>
      <c r="V88" s="29">
        <f>1-gdp_ind_share!V88-gdp_agr_share!V88</f>
        <v>0.49420736516603747</v>
      </c>
      <c r="W88" s="29">
        <f>1-gdp_ind_share!W88-gdp_agr_share!W88</f>
        <v>0.51406360179725363</v>
      </c>
      <c r="X88" s="29">
        <f>1-gdp_ind_share!X88-gdp_agr_share!X88</f>
        <v>0.53031556461190776</v>
      </c>
      <c r="Y88" s="29">
        <f>1-gdp_ind_share!Y88-gdp_agr_share!Y88</f>
        <v>0.51279009355093819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x14ac:dyDescent="0.25">
      <c r="A89" s="1" t="s">
        <v>200</v>
      </c>
      <c r="B89" s="1" t="s">
        <v>215</v>
      </c>
      <c r="C89" s="1" t="s">
        <v>216</v>
      </c>
      <c r="D89" s="29">
        <f>1-gdp_ind_share!D89-gdp_agr_share!D89</f>
        <v>0.20613609427150448</v>
      </c>
      <c r="E89" s="29">
        <f>1-gdp_ind_share!E89-gdp_agr_share!E89</f>
        <v>0.16647971334169165</v>
      </c>
      <c r="F89" s="29">
        <f>1-gdp_ind_share!F89-gdp_agr_share!F89</f>
        <v>0.21605582140901292</v>
      </c>
      <c r="G89" s="29">
        <f>1-gdp_ind_share!G89-gdp_agr_share!G89</f>
        <v>0.26974719616222614</v>
      </c>
      <c r="H89" s="29">
        <f>1-gdp_ind_share!H89-gdp_agr_share!H89</f>
        <v>0.29907937548476243</v>
      </c>
      <c r="I89" s="29">
        <f>1-gdp_ind_share!I89-gdp_agr_share!I89</f>
        <v>0.24879170079961432</v>
      </c>
      <c r="J89" s="29">
        <f>1-gdp_ind_share!J89-gdp_agr_share!J89</f>
        <v>0.312214152478268</v>
      </c>
      <c r="K89" s="29">
        <f>1-gdp_ind_share!K89-gdp_agr_share!K89</f>
        <v>0.37914909783881851</v>
      </c>
      <c r="L89" s="30">
        <f>1-gdp_ind_share!L89-gdp_agr_share!L89</f>
        <v>0.40560898299877812</v>
      </c>
      <c r="M89" s="29">
        <f>1-gdp_ind_share!M89-gdp_agr_share!M89</f>
        <v>0.43736084519072982</v>
      </c>
      <c r="N89" s="29">
        <f>1-gdp_ind_share!N89-gdp_agr_share!N89</f>
        <v>0.53201467017808479</v>
      </c>
      <c r="O89" s="29">
        <f>1-gdp_ind_share!O89-gdp_agr_share!O89</f>
        <v>0.53560091175673707</v>
      </c>
      <c r="P89" s="29">
        <f>1-gdp_ind_share!P89-gdp_agr_share!P89</f>
        <v>0.4879664337665367</v>
      </c>
      <c r="Q89" s="29">
        <f>1-gdp_ind_share!Q89-gdp_agr_share!Q89</f>
        <v>0.4512105509782155</v>
      </c>
      <c r="R89" s="29">
        <f>1-gdp_ind_share!R89-gdp_agr_share!R89</f>
        <v>0.49085426538391297</v>
      </c>
      <c r="S89" s="29">
        <f>1-gdp_ind_share!S89-gdp_agr_share!S89</f>
        <v>0.47037424699492991</v>
      </c>
      <c r="T89" s="29">
        <f>1-gdp_ind_share!T89-gdp_agr_share!T89</f>
        <v>0.50537918559766148</v>
      </c>
      <c r="U89" s="29">
        <f>1-gdp_ind_share!U89-gdp_agr_share!U89</f>
        <v>0.54895157665324068</v>
      </c>
      <c r="V89" s="29">
        <f>1-gdp_ind_share!V89-gdp_agr_share!V89</f>
        <v>0.50753288058181223</v>
      </c>
      <c r="W89" s="29">
        <f>1-gdp_ind_share!W89-gdp_agr_share!W89</f>
        <v>0.46424895462367061</v>
      </c>
      <c r="X89" s="29">
        <f>1-gdp_ind_share!X89-gdp_agr_share!X89</f>
        <v>0.4902229974134138</v>
      </c>
      <c r="Y89" s="29">
        <f>1-gdp_ind_share!Y89-gdp_agr_share!Y89</f>
        <v>0.49732809297219061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x14ac:dyDescent="0.25">
      <c r="A90" s="1" t="s">
        <v>200</v>
      </c>
      <c r="B90" s="1" t="s">
        <v>217</v>
      </c>
      <c r="C90" s="1" t="s">
        <v>218</v>
      </c>
      <c r="D90" s="29">
        <f>1-gdp_ind_share!D90-gdp_agr_share!D90</f>
        <v>0.21468044305630418</v>
      </c>
      <c r="E90" s="29">
        <f>1-gdp_ind_share!E90-gdp_agr_share!E90</f>
        <v>0.21637808514532397</v>
      </c>
      <c r="F90" s="29">
        <f>1-gdp_ind_share!F90-gdp_agr_share!F90</f>
        <v>0.31430769274331716</v>
      </c>
      <c r="G90" s="29">
        <f>1-gdp_ind_share!G90-gdp_agr_share!G90</f>
        <v>0.30926829345469725</v>
      </c>
      <c r="H90" s="29">
        <f>1-gdp_ind_share!H90-gdp_agr_share!H90</f>
        <v>0.24454619000129107</v>
      </c>
      <c r="I90" s="29">
        <f>1-gdp_ind_share!I90-gdp_agr_share!I90</f>
        <v>0.33753690122835356</v>
      </c>
      <c r="J90" s="29">
        <f>1-gdp_ind_share!J90-gdp_agr_share!J90</f>
        <v>0.2809375332215287</v>
      </c>
      <c r="K90" s="29">
        <f>1-gdp_ind_share!K90-gdp_agr_share!K90</f>
        <v>0.33793051138439545</v>
      </c>
      <c r="L90" s="30">
        <f>1-gdp_ind_share!L90-gdp_agr_share!L90</f>
        <v>0.35604826112162552</v>
      </c>
      <c r="M90" s="29">
        <f>1-gdp_ind_share!M90-gdp_agr_share!M90</f>
        <v>0.37778956080630155</v>
      </c>
      <c r="N90" s="29">
        <f>1-gdp_ind_share!N90-gdp_agr_share!N90</f>
        <v>0.55871245284570636</v>
      </c>
      <c r="O90" s="29">
        <f>1-gdp_ind_share!O90-gdp_agr_share!O90</f>
        <v>0.54264400903955945</v>
      </c>
      <c r="P90" s="29">
        <f>1-gdp_ind_share!P90-gdp_agr_share!P90</f>
        <v>0.54494234280896192</v>
      </c>
      <c r="Q90" s="29">
        <f>1-gdp_ind_share!Q90-gdp_agr_share!Q90</f>
        <v>0.45663923533299217</v>
      </c>
      <c r="R90" s="29">
        <f>1-gdp_ind_share!R90-gdp_agr_share!R90</f>
        <v>0.48578466456873909</v>
      </c>
      <c r="S90" s="29">
        <f>1-gdp_ind_share!S90-gdp_agr_share!S90</f>
        <v>0.4615656478402832</v>
      </c>
      <c r="T90" s="29">
        <f>1-gdp_ind_share!T90-gdp_agr_share!T90</f>
        <v>0.47442448747090965</v>
      </c>
      <c r="U90" s="29">
        <f>1-gdp_ind_share!U90-gdp_agr_share!U90</f>
        <v>0.52064488168700196</v>
      </c>
      <c r="V90" s="29">
        <f>1-gdp_ind_share!V90-gdp_agr_share!V90</f>
        <v>0.51027838322410313</v>
      </c>
      <c r="W90" s="29">
        <f>1-gdp_ind_share!W90-gdp_agr_share!W90</f>
        <v>0.50327164696012749</v>
      </c>
      <c r="X90" s="29">
        <f>1-gdp_ind_share!X90-gdp_agr_share!X90</f>
        <v>0.53918782239831242</v>
      </c>
      <c r="Y90" s="29">
        <f>1-gdp_ind_share!Y90-gdp_agr_share!Y90</f>
        <v>0.45361065419062307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x14ac:dyDescent="0.25">
      <c r="A91" s="1" t="s">
        <v>200</v>
      </c>
      <c r="B91" s="1" t="s">
        <v>219</v>
      </c>
      <c r="C91" s="1" t="s">
        <v>220</v>
      </c>
      <c r="D91" s="29">
        <f>1-gdp_ind_share!D91-gdp_agr_share!D91</f>
        <v>0.2464049199132925</v>
      </c>
      <c r="E91" s="29">
        <f>1-gdp_ind_share!E91-gdp_agr_share!E91</f>
        <v>0.59968814238084511</v>
      </c>
      <c r="F91" s="29">
        <f>1-gdp_ind_share!F91-gdp_agr_share!F91</f>
        <v>0.57844194523845549</v>
      </c>
      <c r="G91" s="29">
        <f>1-gdp_ind_share!G91-gdp_agr_share!G91</f>
        <v>0.68984879704304947</v>
      </c>
      <c r="H91" s="29">
        <f>1-gdp_ind_share!H91-gdp_agr_share!H91</f>
        <v>0.67417125678027268</v>
      </c>
      <c r="I91" s="29">
        <f>1-gdp_ind_share!I91-gdp_agr_share!I91</f>
        <v>0.62555050706689297</v>
      </c>
      <c r="J91" s="29">
        <f>1-gdp_ind_share!J91-gdp_agr_share!J91</f>
        <v>0.55747798952082384</v>
      </c>
      <c r="K91" s="29">
        <f>1-gdp_ind_share!K91-gdp_agr_share!K91</f>
        <v>0.52992035936338089</v>
      </c>
      <c r="L91" s="30">
        <f>1-gdp_ind_share!L91-gdp_agr_share!L91</f>
        <v>0.5686242817512025</v>
      </c>
      <c r="M91" s="29">
        <f>1-gdp_ind_share!M91-gdp_agr_share!M91</f>
        <v>0.61506898861658843</v>
      </c>
      <c r="N91" s="29">
        <f>1-gdp_ind_share!N91-gdp_agr_share!N91</f>
        <v>0.73908343845961211</v>
      </c>
      <c r="O91" s="29">
        <f>1-gdp_ind_share!O91-gdp_agr_share!O91</f>
        <v>0.7244816517582563</v>
      </c>
      <c r="P91" s="29">
        <f>1-gdp_ind_share!P91-gdp_agr_share!P91</f>
        <v>0.71083856828581837</v>
      </c>
      <c r="Q91" s="29">
        <f>1-gdp_ind_share!Q91-gdp_agr_share!Q91</f>
        <v>0.72174844483619927</v>
      </c>
      <c r="R91" s="29">
        <f>1-gdp_ind_share!R91-gdp_agr_share!R91</f>
        <v>0.7039701798865079</v>
      </c>
      <c r="S91" s="29">
        <f>1-gdp_ind_share!S91-gdp_agr_share!S91</f>
        <v>0.68878832695764591</v>
      </c>
      <c r="T91" s="29">
        <f>1-gdp_ind_share!T91-gdp_agr_share!T91</f>
        <v>0.7008216202168851</v>
      </c>
      <c r="U91" s="29">
        <f>1-gdp_ind_share!U91-gdp_agr_share!U91</f>
        <v>0.70786019630448449</v>
      </c>
      <c r="V91" s="29">
        <f>1-gdp_ind_share!V91-gdp_agr_share!V91</f>
        <v>0.72609826022794011</v>
      </c>
      <c r="W91" s="29">
        <f>1-gdp_ind_share!W91-gdp_agr_share!W91</f>
        <v>0.73388844018122135</v>
      </c>
      <c r="X91" s="29">
        <f>1-gdp_ind_share!X91-gdp_agr_share!X91</f>
        <v>0.72805063061428454</v>
      </c>
      <c r="Y91" s="29">
        <f>1-gdp_ind_share!Y91-gdp_agr_share!Y91</f>
        <v>0.72914537836064885</v>
      </c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x14ac:dyDescent="0.25">
      <c r="A92" s="1" t="s">
        <v>221</v>
      </c>
      <c r="B92" s="1" t="s">
        <v>222</v>
      </c>
      <c r="C92" s="1" t="s">
        <v>223</v>
      </c>
      <c r="D92" s="29">
        <f>1-gdp_ind_share!D92-gdp_agr_share!D92</f>
        <v>0.13084105563855786</v>
      </c>
      <c r="E92" s="29">
        <f>1-gdp_ind_share!E92-gdp_agr_share!E92</f>
        <v>0.38011728733569095</v>
      </c>
      <c r="F92" s="29">
        <f>1-gdp_ind_share!F92-gdp_agr_share!F92</f>
        <v>0.18605635697343537</v>
      </c>
      <c r="G92" s="29">
        <f>1-gdp_ind_share!G92-gdp_agr_share!G92</f>
        <v>0.28254437832439372</v>
      </c>
      <c r="H92" s="29">
        <f>1-gdp_ind_share!H92-gdp_agr_share!H92</f>
        <v>0.41736069088830274</v>
      </c>
      <c r="I92" s="29">
        <f>1-gdp_ind_share!I92-gdp_agr_share!I92</f>
        <v>0.44184101012019006</v>
      </c>
      <c r="J92" s="29">
        <f>1-gdp_ind_share!J92-gdp_agr_share!J92</f>
        <v>0.44574402361907234</v>
      </c>
      <c r="K92" s="29">
        <f>1-gdp_ind_share!K92-gdp_agr_share!K92</f>
        <v>0.43112831689387149</v>
      </c>
      <c r="L92" s="30">
        <f>1-gdp_ind_share!L92-gdp_agr_share!L92</f>
        <v>0.5561808482298376</v>
      </c>
      <c r="M92" s="29">
        <f>1-gdp_ind_share!M92-gdp_agr_share!M92</f>
        <v>0.70624388583299713</v>
      </c>
      <c r="N92" s="29">
        <f>1-gdp_ind_share!N92-gdp_agr_share!N92</f>
        <v>0.80988252162743324</v>
      </c>
      <c r="O92" s="29">
        <f>1-gdp_ind_share!O92-gdp_agr_share!O92</f>
        <v>0.80443163846125176</v>
      </c>
      <c r="P92" s="29">
        <f>1-gdp_ind_share!P92-gdp_agr_share!P92</f>
        <v>0.83455773282071444</v>
      </c>
      <c r="Q92" s="29">
        <f>1-gdp_ind_share!Q92-gdp_agr_share!Q92</f>
        <v>0.83149855629571434</v>
      </c>
      <c r="R92" s="29">
        <f>1-gdp_ind_share!R92-gdp_agr_share!R92</f>
        <v>0.83630075467327758</v>
      </c>
      <c r="S92" s="29">
        <f>1-gdp_ind_share!S92-gdp_agr_share!S92</f>
        <v>0.82698992598897592</v>
      </c>
      <c r="T92" s="29">
        <f>1-gdp_ind_share!T92-gdp_agr_share!T92</f>
        <v>0.76734349340244412</v>
      </c>
      <c r="U92" s="29">
        <f>1-gdp_ind_share!U92-gdp_agr_share!U92</f>
        <v>0.77850403712539407</v>
      </c>
      <c r="V92" s="29">
        <f>1-gdp_ind_share!V92-gdp_agr_share!V92</f>
        <v>0.83778517426804955</v>
      </c>
      <c r="W92" s="29">
        <f>1-gdp_ind_share!W92-gdp_agr_share!W92</f>
        <v>0.79405095483604571</v>
      </c>
      <c r="X92" s="29">
        <f>1-gdp_ind_share!X92-gdp_agr_share!X92</f>
        <v>0.80773155599414059</v>
      </c>
      <c r="Y92" s="29">
        <f>1-gdp_ind_share!Y92-gdp_agr_share!Y92</f>
        <v>0.81101240868807234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x14ac:dyDescent="0.25">
      <c r="A93" s="1" t="s">
        <v>221</v>
      </c>
      <c r="B93" s="1" t="s">
        <v>224</v>
      </c>
      <c r="C93" s="1" t="s">
        <v>225</v>
      </c>
      <c r="D93" s="29">
        <f>1-gdp_ind_share!D93-gdp_agr_share!D93</f>
        <v>0.29718426955966315</v>
      </c>
      <c r="E93" s="29">
        <f>1-gdp_ind_share!E93-gdp_agr_share!E93</f>
        <v>0.42289164242508459</v>
      </c>
      <c r="F93" s="29">
        <f>1-gdp_ind_share!F93-gdp_agr_share!F93</f>
        <v>0.24912149314881804</v>
      </c>
      <c r="G93" s="29">
        <f>1-gdp_ind_share!G93-gdp_agr_share!G93</f>
        <v>0.33774864330214266</v>
      </c>
      <c r="H93" s="29">
        <f>1-gdp_ind_share!H93-gdp_agr_share!H93</f>
        <v>0.43973733355046218</v>
      </c>
      <c r="I93" s="29">
        <f>1-gdp_ind_share!I93-gdp_agr_share!I93</f>
        <v>0.54028523607367962</v>
      </c>
      <c r="J93" s="29">
        <f>1-gdp_ind_share!J93-gdp_agr_share!J93</f>
        <v>0.52452835806411635</v>
      </c>
      <c r="K93" s="29">
        <f>1-gdp_ind_share!K93-gdp_agr_share!K93</f>
        <v>0.53611247780367488</v>
      </c>
      <c r="L93" s="30">
        <f>1-gdp_ind_share!L93-gdp_agr_share!L93</f>
        <v>0.46138265174803872</v>
      </c>
      <c r="M93" s="29">
        <f>1-gdp_ind_share!M93-gdp_agr_share!M93</f>
        <v>0.37170686048127544</v>
      </c>
      <c r="N93" s="29">
        <f>1-gdp_ind_share!N93-gdp_agr_share!N93</f>
        <v>0.51798029546036284</v>
      </c>
      <c r="O93" s="29">
        <f>1-gdp_ind_share!O93-gdp_agr_share!O93</f>
        <v>0.36850138160581686</v>
      </c>
      <c r="P93" s="29">
        <f>1-gdp_ind_share!P93-gdp_agr_share!P93</f>
        <v>0.39535373254460965</v>
      </c>
      <c r="Q93" s="29">
        <f>1-gdp_ind_share!Q93-gdp_agr_share!Q93</f>
        <v>8.0443979397509913E-2</v>
      </c>
      <c r="R93" s="29">
        <f>1-gdp_ind_share!R93-gdp_agr_share!R93</f>
        <v>8.0930104871249756E-2</v>
      </c>
      <c r="S93" s="29">
        <f>1-gdp_ind_share!S93-gdp_agr_share!S93</f>
        <v>5.3282438744489978E-2</v>
      </c>
      <c r="T93" s="29">
        <f>1-gdp_ind_share!T93-gdp_agr_share!T93</f>
        <v>-2.9675826762575852E-2</v>
      </c>
      <c r="U93" s="29">
        <f>1-gdp_ind_share!U93-gdp_agr_share!U93</f>
        <v>-1.9651606886185516E-2</v>
      </c>
      <c r="V93" s="29">
        <f>1-gdp_ind_share!V93-gdp_agr_share!V93</f>
        <v>2.7963188487055309E-2</v>
      </c>
      <c r="W93" s="29">
        <f>1-gdp_ind_share!W93-gdp_agr_share!W93</f>
        <v>5.4627890971628658E-2</v>
      </c>
      <c r="X93" s="29">
        <f>1-gdp_ind_share!X93-gdp_agr_share!X93</f>
        <v>0.18173871057052948</v>
      </c>
      <c r="Y93" s="29">
        <f>1-gdp_ind_share!Y93-gdp_agr_share!Y93</f>
        <v>0.16618310149392218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x14ac:dyDescent="0.25">
      <c r="A94" s="1" t="s">
        <v>221</v>
      </c>
      <c r="B94" s="1" t="s">
        <v>226</v>
      </c>
      <c r="C94" s="1" t="s">
        <v>227</v>
      </c>
      <c r="D94" s="29">
        <f>1-gdp_ind_share!D94-gdp_agr_share!D94</f>
        <v>0.22856919215559501</v>
      </c>
      <c r="E94" s="29">
        <f>1-gdp_ind_share!E94-gdp_agr_share!E94</f>
        <v>0.34671915478210652</v>
      </c>
      <c r="F94" s="29">
        <f>1-gdp_ind_share!F94-gdp_agr_share!F94</f>
        <v>0.45581275551188849</v>
      </c>
      <c r="G94" s="29">
        <f>1-gdp_ind_share!G94-gdp_agr_share!G94</f>
        <v>0.52592956686689418</v>
      </c>
      <c r="H94" s="29">
        <f>1-gdp_ind_share!H94-gdp_agr_share!H94</f>
        <v>0.46271672792132978</v>
      </c>
      <c r="I94" s="29">
        <f>1-gdp_ind_share!I94-gdp_agr_share!I94</f>
        <v>0.42936178752776222</v>
      </c>
      <c r="J94" s="29">
        <f>1-gdp_ind_share!J94-gdp_agr_share!J94</f>
        <v>0.36719117341238439</v>
      </c>
      <c r="K94" s="29">
        <f>1-gdp_ind_share!K94-gdp_agr_share!K94</f>
        <v>0.35371284589546403</v>
      </c>
      <c r="L94" s="30">
        <f>1-gdp_ind_share!L94-gdp_agr_share!L94</f>
        <v>0.46858610433481207</v>
      </c>
      <c r="M94" s="29">
        <f>1-gdp_ind_share!M94-gdp_agr_share!M94</f>
        <v>0.60643401446202971</v>
      </c>
      <c r="N94" s="29">
        <f>1-gdp_ind_share!N94-gdp_agr_share!N94</f>
        <v>0.77247814664428804</v>
      </c>
      <c r="O94" s="29">
        <f>1-gdp_ind_share!O94-gdp_agr_share!O94</f>
        <v>0.76799676435423758</v>
      </c>
      <c r="P94" s="29">
        <f>1-gdp_ind_share!P94-gdp_agr_share!P94</f>
        <v>0.79232559614585951</v>
      </c>
      <c r="Q94" s="29">
        <f>1-gdp_ind_share!Q94-gdp_agr_share!Q94</f>
        <v>0.76090260038828972</v>
      </c>
      <c r="R94" s="29">
        <f>1-gdp_ind_share!R94-gdp_agr_share!R94</f>
        <v>0.7537053361812216</v>
      </c>
      <c r="S94" s="29">
        <f>1-gdp_ind_share!S94-gdp_agr_share!S94</f>
        <v>0.74951108508008712</v>
      </c>
      <c r="T94" s="29">
        <f>1-gdp_ind_share!T94-gdp_agr_share!T94</f>
        <v>0.78144557078937593</v>
      </c>
      <c r="U94" s="29">
        <f>1-gdp_ind_share!U94-gdp_agr_share!U94</f>
        <v>0.77765308268797972</v>
      </c>
      <c r="V94" s="29">
        <f>1-gdp_ind_share!V94-gdp_agr_share!V94</f>
        <v>0.79855186335642481</v>
      </c>
      <c r="W94" s="29">
        <f>1-gdp_ind_share!W94-gdp_agr_share!W94</f>
        <v>0.76611826037587405</v>
      </c>
      <c r="X94" s="29">
        <f>1-gdp_ind_share!X94-gdp_agr_share!X94</f>
        <v>0.74911732250282481</v>
      </c>
      <c r="Y94" s="29">
        <f>1-gdp_ind_share!Y94-gdp_agr_share!Y94</f>
        <v>0.73070854125265527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x14ac:dyDescent="0.25">
      <c r="A95" s="1" t="s">
        <v>221</v>
      </c>
      <c r="B95" s="1" t="s">
        <v>228</v>
      </c>
      <c r="C95" s="1" t="s">
        <v>229</v>
      </c>
      <c r="D95" s="29">
        <f>1-gdp_ind_share!D95-gdp_agr_share!D95</f>
        <v>0.39994976402035953</v>
      </c>
      <c r="E95" s="29">
        <f>1-gdp_ind_share!E95-gdp_agr_share!E95</f>
        <v>0.52560213038943915</v>
      </c>
      <c r="F95" s="29">
        <f>1-gdp_ind_share!F95-gdp_agr_share!F95</f>
        <v>0.30176032372349226</v>
      </c>
      <c r="G95" s="29">
        <f>1-gdp_ind_share!G95-gdp_agr_share!G95</f>
        <v>0.34573916978558383</v>
      </c>
      <c r="H95" s="29">
        <f>1-gdp_ind_share!H95-gdp_agr_share!H95</f>
        <v>0.41286427062864212</v>
      </c>
      <c r="I95" s="29">
        <f>1-gdp_ind_share!I95-gdp_agr_share!I95</f>
        <v>0.53819890802142156</v>
      </c>
      <c r="J95" s="29">
        <f>1-gdp_ind_share!J95-gdp_agr_share!J95</f>
        <v>0.52009756478583713</v>
      </c>
      <c r="K95" s="29">
        <f>1-gdp_ind_share!K95-gdp_agr_share!K95</f>
        <v>0.49596441985148754</v>
      </c>
      <c r="L95" s="30">
        <f>1-gdp_ind_share!L95-gdp_agr_share!L95</f>
        <v>0.61221597217379631</v>
      </c>
      <c r="M95" s="29">
        <f>1-gdp_ind_share!M95-gdp_agr_share!M95</f>
        <v>0.75171783496056677</v>
      </c>
      <c r="N95" s="29">
        <f>1-gdp_ind_share!N95-gdp_agr_share!N95</f>
        <v>0.65573013359167409</v>
      </c>
      <c r="O95" s="29">
        <f>1-gdp_ind_share!O95-gdp_agr_share!O95</f>
        <v>0.50479699022541713</v>
      </c>
      <c r="P95" s="29">
        <f>1-gdp_ind_share!P95-gdp_agr_share!P95</f>
        <v>0.50166251618013646</v>
      </c>
      <c r="Q95" s="29">
        <f>1-gdp_ind_share!Q95-gdp_agr_share!Q95</f>
        <v>0.19042823826900035</v>
      </c>
      <c r="R95" s="29">
        <f>1-gdp_ind_share!R95-gdp_agr_share!R95</f>
        <v>0.18005160399727252</v>
      </c>
      <c r="S95" s="29">
        <f>1-gdp_ind_share!S95-gdp_agr_share!S95</f>
        <v>0.14171816827673483</v>
      </c>
      <c r="T95" s="29">
        <f>1-gdp_ind_share!T95-gdp_agr_share!T95</f>
        <v>-2.0586117446379781E-2</v>
      </c>
      <c r="U95" s="29">
        <f>1-gdp_ind_share!U95-gdp_agr_share!U95</f>
        <v>-1.7453372475950468E-2</v>
      </c>
      <c r="V95" s="29">
        <f>1-gdp_ind_share!V95-gdp_agr_share!V95</f>
        <v>4.6470885231768774E-2</v>
      </c>
      <c r="W95" s="29">
        <f>1-gdp_ind_share!W95-gdp_agr_share!W95</f>
        <v>4.6330609644449482E-2</v>
      </c>
      <c r="X95" s="29">
        <f>1-gdp_ind_share!X95-gdp_agr_share!X95</f>
        <v>0.30090985650695301</v>
      </c>
      <c r="Y95" s="29">
        <f>1-gdp_ind_share!Y95-gdp_agr_share!Y95</f>
        <v>0.29162469962870147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x14ac:dyDescent="0.25">
      <c r="A96" s="1" t="s">
        <v>221</v>
      </c>
      <c r="B96" s="1" t="s">
        <v>230</v>
      </c>
      <c r="C96" s="1" t="s">
        <v>231</v>
      </c>
      <c r="D96" s="29">
        <f>1-gdp_ind_share!D96-gdp_agr_share!D96</f>
        <v>0.37039799527950878</v>
      </c>
      <c r="E96" s="29">
        <f>1-gdp_ind_share!E96-gdp_agr_share!E96</f>
        <v>0.42687295802188902</v>
      </c>
      <c r="F96" s="29">
        <f>1-gdp_ind_share!F96-gdp_agr_share!F96</f>
        <v>0.37457213650485705</v>
      </c>
      <c r="G96" s="29">
        <f>1-gdp_ind_share!G96-gdp_agr_share!G96</f>
        <v>0.18742798455026596</v>
      </c>
      <c r="H96" s="29">
        <f>1-gdp_ind_share!H96-gdp_agr_share!H96</f>
        <v>0.29316492123083127</v>
      </c>
      <c r="I96" s="29">
        <f>1-gdp_ind_share!I96-gdp_agr_share!I96</f>
        <v>0.40128883887917649</v>
      </c>
      <c r="J96" s="29">
        <f>1-gdp_ind_share!J96-gdp_agr_share!J96</f>
        <v>0.32418985934746053</v>
      </c>
      <c r="K96" s="29">
        <f>1-gdp_ind_share!K96-gdp_agr_share!K96</f>
        <v>0.2999673797918298</v>
      </c>
      <c r="L96" s="30">
        <f>1-gdp_ind_share!L96-gdp_agr_share!L96</f>
        <v>0.33439347362995664</v>
      </c>
      <c r="M96" s="29">
        <f>1-gdp_ind_share!M96-gdp_agr_share!M96</f>
        <v>0.37570478623570874</v>
      </c>
      <c r="N96" s="29">
        <f>1-gdp_ind_share!N96-gdp_agr_share!N96</f>
        <v>0.64642501127918817</v>
      </c>
      <c r="O96" s="29">
        <f>1-gdp_ind_share!O96-gdp_agr_share!O96</f>
        <v>0.62978685832897707</v>
      </c>
      <c r="P96" s="29">
        <f>1-gdp_ind_share!P96-gdp_agr_share!P96</f>
        <v>0.63321598779568511</v>
      </c>
      <c r="Q96" s="29">
        <f>1-gdp_ind_share!Q96-gdp_agr_share!Q96</f>
        <v>0.65054043071704626</v>
      </c>
      <c r="R96" s="29">
        <f>1-gdp_ind_share!R96-gdp_agr_share!R96</f>
        <v>0.63696266905141363</v>
      </c>
      <c r="S96" s="29">
        <f>1-gdp_ind_share!S96-gdp_agr_share!S96</f>
        <v>0.6112425180132286</v>
      </c>
      <c r="T96" s="29">
        <f>1-gdp_ind_share!T96-gdp_agr_share!T96</f>
        <v>0.66047003463833331</v>
      </c>
      <c r="U96" s="29">
        <f>1-gdp_ind_share!U96-gdp_agr_share!U96</f>
        <v>0.64924077710971118</v>
      </c>
      <c r="V96" s="29">
        <f>1-gdp_ind_share!V96-gdp_agr_share!V96</f>
        <v>0.66009413894183711</v>
      </c>
      <c r="W96" s="29">
        <f>1-gdp_ind_share!W96-gdp_agr_share!W96</f>
        <v>0.65310533427180628</v>
      </c>
      <c r="X96" s="29">
        <f>1-gdp_ind_share!X96-gdp_agr_share!X96</f>
        <v>0.71358310273456682</v>
      </c>
      <c r="Y96" s="29">
        <f>1-gdp_ind_share!Y96-gdp_agr_share!Y96</f>
        <v>0.66757903391041629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x14ac:dyDescent="0.25">
      <c r="A97" s="1" t="s">
        <v>221</v>
      </c>
      <c r="B97" s="1" t="s">
        <v>232</v>
      </c>
      <c r="C97" s="1" t="s">
        <v>233</v>
      </c>
      <c r="D97" s="29">
        <f>1-gdp_ind_share!D97-gdp_agr_share!D97</f>
        <v>0.67062688974486084</v>
      </c>
      <c r="E97" s="29">
        <f>1-gdp_ind_share!E97-gdp_agr_share!E97</f>
        <v>0.72428896843152635</v>
      </c>
      <c r="F97" s="29">
        <f>1-gdp_ind_share!F97-gdp_agr_share!F97</f>
        <v>0.73332896499930134</v>
      </c>
      <c r="G97" s="29">
        <f>1-gdp_ind_share!G97-gdp_agr_share!G97</f>
        <v>0.7171075908262452</v>
      </c>
      <c r="H97" s="29">
        <f>1-gdp_ind_share!H97-gdp_agr_share!H97</f>
        <v>0.68072767654795552</v>
      </c>
      <c r="I97" s="29">
        <f>1-gdp_ind_share!I97-gdp_agr_share!I97</f>
        <v>0.66731873193222579</v>
      </c>
      <c r="J97" s="29">
        <f>1-gdp_ind_share!J97-gdp_agr_share!J97</f>
        <v>0.6669779165097055</v>
      </c>
      <c r="K97" s="29">
        <f>1-gdp_ind_share!K97-gdp_agr_share!K97</f>
        <v>0.59329915967651292</v>
      </c>
      <c r="L97" s="30">
        <f>1-gdp_ind_share!L97-gdp_agr_share!L97</f>
        <v>0.64899857530723237</v>
      </c>
      <c r="M97" s="29">
        <f>1-gdp_ind_share!M97-gdp_agr_share!M97</f>
        <v>0.71583787406409582</v>
      </c>
      <c r="N97" s="29">
        <f>1-gdp_ind_share!N97-gdp_agr_share!N97</f>
        <v>0.85221558127142327</v>
      </c>
      <c r="O97" s="29">
        <f>1-gdp_ind_share!O97-gdp_agr_share!O97</f>
        <v>0.8509560498275015</v>
      </c>
      <c r="P97" s="29">
        <f>1-gdp_ind_share!P97-gdp_agr_share!P97</f>
        <v>0.86006935394320627</v>
      </c>
      <c r="Q97" s="29">
        <f>1-gdp_ind_share!Q97-gdp_agr_share!Q97</f>
        <v>0.8385424726471109</v>
      </c>
      <c r="R97" s="29">
        <f>1-gdp_ind_share!R97-gdp_agr_share!R97</f>
        <v>0.83668786138708451</v>
      </c>
      <c r="S97" s="29">
        <f>1-gdp_ind_share!S97-gdp_agr_share!S97</f>
        <v>0.83580942973238948</v>
      </c>
      <c r="T97" s="29">
        <f>1-gdp_ind_share!T97-gdp_agr_share!T97</f>
        <v>0.84611853895517664</v>
      </c>
      <c r="U97" s="29">
        <f>1-gdp_ind_share!U97-gdp_agr_share!U97</f>
        <v>0.84605587724224396</v>
      </c>
      <c r="V97" s="29">
        <f>1-gdp_ind_share!V97-gdp_agr_share!V97</f>
        <v>0.84316219640782064</v>
      </c>
      <c r="W97" s="29">
        <f>1-gdp_ind_share!W97-gdp_agr_share!W97</f>
        <v>0.86443047490091807</v>
      </c>
      <c r="X97" s="29">
        <f>1-gdp_ind_share!X97-gdp_agr_share!X97</f>
        <v>0.83726421065411771</v>
      </c>
      <c r="Y97" s="29">
        <f>1-gdp_ind_share!Y97-gdp_agr_share!Y97</f>
        <v>0.83948599987799311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x14ac:dyDescent="0.25">
      <c r="A98" s="1" t="s">
        <v>234</v>
      </c>
      <c r="B98" s="1" t="s">
        <v>235</v>
      </c>
      <c r="C98" s="1" t="s">
        <v>236</v>
      </c>
      <c r="D98" s="29">
        <f>1-gdp_ind_share!D98-gdp_agr_share!D98</f>
        <v>0.53925472488969195</v>
      </c>
      <c r="E98" s="29">
        <f>1-gdp_ind_share!E98-gdp_agr_share!E98</f>
        <v>0.38838445182926418</v>
      </c>
      <c r="F98" s="29">
        <f>1-gdp_ind_share!F98-gdp_agr_share!F98</f>
        <v>0.47606887228549077</v>
      </c>
      <c r="G98" s="29">
        <f>1-gdp_ind_share!G98-gdp_agr_share!G98</f>
        <v>0.46329789325520476</v>
      </c>
      <c r="H98" s="29">
        <f>1-gdp_ind_share!H98-gdp_agr_share!H98</f>
        <v>0.56615811604075306</v>
      </c>
      <c r="I98" s="29">
        <f>1-gdp_ind_share!I98-gdp_agr_share!I98</f>
        <v>0.40845586011973556</v>
      </c>
      <c r="J98" s="29">
        <f>1-gdp_ind_share!J98-gdp_agr_share!J98</f>
        <v>0.46902787511611688</v>
      </c>
      <c r="K98" s="29">
        <f>1-gdp_ind_share!K98-gdp_agr_share!K98</f>
        <v>0.33241507760048622</v>
      </c>
      <c r="L98" s="30">
        <f>1-gdp_ind_share!L98-gdp_agr_share!L98</f>
        <v>0.47164954657827163</v>
      </c>
      <c r="M98" s="29">
        <f>1-gdp_ind_share!M98-gdp_agr_share!M98</f>
        <v>0.63873090935161403</v>
      </c>
      <c r="N98" s="29">
        <f>1-gdp_ind_share!N98-gdp_agr_share!N98</f>
        <v>0.65520665961142399</v>
      </c>
      <c r="O98" s="29">
        <f>1-gdp_ind_share!O98-gdp_agr_share!O98</f>
        <v>0.57984035625578445</v>
      </c>
      <c r="P98" s="29">
        <f>1-gdp_ind_share!P98-gdp_agr_share!P98</f>
        <v>0.61697214061748307</v>
      </c>
      <c r="Q98" s="29">
        <f>1-gdp_ind_share!Q98-gdp_agr_share!Q98</f>
        <v>0.44867243508289861</v>
      </c>
      <c r="R98" s="29">
        <f>1-gdp_ind_share!R98-gdp_agr_share!R98</f>
        <v>0.45483462160331406</v>
      </c>
      <c r="S98" s="29">
        <f>1-gdp_ind_share!S98-gdp_agr_share!S98</f>
        <v>0.44054223805717868</v>
      </c>
      <c r="T98" s="29">
        <f>1-gdp_ind_share!T98-gdp_agr_share!T98</f>
        <v>0.38801130980301574</v>
      </c>
      <c r="U98" s="29">
        <f>1-gdp_ind_share!U98-gdp_agr_share!U98</f>
        <v>0.43060282930663929</v>
      </c>
      <c r="V98" s="29">
        <f>1-gdp_ind_share!V98-gdp_agr_share!V98</f>
        <v>0.48909587397481441</v>
      </c>
      <c r="W98" s="29">
        <f>1-gdp_ind_share!W98-gdp_agr_share!W98</f>
        <v>0.44582659739715813</v>
      </c>
      <c r="X98" s="29">
        <f>1-gdp_ind_share!X98-gdp_agr_share!X98</f>
        <v>0.6058007300999112</v>
      </c>
      <c r="Y98" s="29">
        <f>1-gdp_ind_share!Y98-gdp_agr_share!Y98</f>
        <v>0.57703510855389617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x14ac:dyDescent="0.25">
      <c r="A99" s="1" t="s">
        <v>234</v>
      </c>
      <c r="B99" s="1" t="s">
        <v>237</v>
      </c>
      <c r="C99" s="1" t="s">
        <v>238</v>
      </c>
      <c r="D99" s="29">
        <f>1-gdp_ind_share!D99-gdp_agr_share!D99</f>
        <v>0.4338844515467436</v>
      </c>
      <c r="E99" s="29">
        <f>1-gdp_ind_share!E99-gdp_agr_share!E99</f>
        <v>0.37934903871901482</v>
      </c>
      <c r="F99" s="29">
        <f>1-gdp_ind_share!F99-gdp_agr_share!F99</f>
        <v>0.47059912632303746</v>
      </c>
      <c r="G99" s="29">
        <f>1-gdp_ind_share!G99-gdp_agr_share!G99</f>
        <v>0.42280998958923843</v>
      </c>
      <c r="H99" s="29">
        <f>1-gdp_ind_share!H99-gdp_agr_share!H99</f>
        <v>0.46784009150525385</v>
      </c>
      <c r="I99" s="29">
        <f>1-gdp_ind_share!I99-gdp_agr_share!I99</f>
        <v>0.27301384821406738</v>
      </c>
      <c r="J99" s="29">
        <f>1-gdp_ind_share!J99-gdp_agr_share!J99</f>
        <v>0.39638599318463685</v>
      </c>
      <c r="K99" s="29">
        <f>1-gdp_ind_share!K99-gdp_agr_share!K99</f>
        <v>0.31661814026247126</v>
      </c>
      <c r="L99" s="30">
        <f>1-gdp_ind_share!L99-gdp_agr_share!L99</f>
        <v>0.48479328108286524</v>
      </c>
      <c r="M99" s="29">
        <f>1-gdp_ind_share!M99-gdp_agr_share!M99</f>
        <v>0.68660345006733814</v>
      </c>
      <c r="N99" s="29">
        <f>1-gdp_ind_share!N99-gdp_agr_share!N99</f>
        <v>0.75408497326357837</v>
      </c>
      <c r="O99" s="29">
        <f>1-gdp_ind_share!O99-gdp_agr_share!O99</f>
        <v>0.70895383384342348</v>
      </c>
      <c r="P99" s="29">
        <f>1-gdp_ind_share!P99-gdp_agr_share!P99</f>
        <v>0.72658969514477734</v>
      </c>
      <c r="Q99" s="29">
        <f>1-gdp_ind_share!Q99-gdp_agr_share!Q99</f>
        <v>0.66684032960425788</v>
      </c>
      <c r="R99" s="29">
        <f>1-gdp_ind_share!R99-gdp_agr_share!R99</f>
        <v>0.66568413859787789</v>
      </c>
      <c r="S99" s="29">
        <f>1-gdp_ind_share!S99-gdp_agr_share!S99</f>
        <v>0.62187869219456571</v>
      </c>
      <c r="T99" s="29">
        <f>1-gdp_ind_share!T99-gdp_agr_share!T99</f>
        <v>0.6459050732352225</v>
      </c>
      <c r="U99" s="29">
        <f>1-gdp_ind_share!U99-gdp_agr_share!U99</f>
        <v>0.63839193240028624</v>
      </c>
      <c r="V99" s="29">
        <f>1-gdp_ind_share!V99-gdp_agr_share!V99</f>
        <v>0.68377201556040035</v>
      </c>
      <c r="W99" s="29">
        <f>1-gdp_ind_share!W99-gdp_agr_share!W99</f>
        <v>0.66842612160845494</v>
      </c>
      <c r="X99" s="29">
        <f>1-gdp_ind_share!X99-gdp_agr_share!X99</f>
        <v>0.73902184808989246</v>
      </c>
      <c r="Y99" s="29">
        <f>1-gdp_ind_share!Y99-gdp_agr_share!Y99</f>
        <v>0.71354760964519115</v>
      </c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x14ac:dyDescent="0.25">
      <c r="A100" s="1" t="s">
        <v>234</v>
      </c>
      <c r="B100" s="1" t="s">
        <v>239</v>
      </c>
      <c r="C100" s="1" t="s">
        <v>240</v>
      </c>
      <c r="D100" s="29">
        <f>1-gdp_ind_share!D100-gdp_agr_share!D100</f>
        <v>0.24224476028529418</v>
      </c>
      <c r="E100" s="29">
        <f>1-gdp_ind_share!E100-gdp_agr_share!E100</f>
        <v>0.26027652699532589</v>
      </c>
      <c r="F100" s="29">
        <f>1-gdp_ind_share!F100-gdp_agr_share!F100</f>
        <v>0.41602273004562473</v>
      </c>
      <c r="G100" s="29">
        <f>1-gdp_ind_share!G100-gdp_agr_share!G100</f>
        <v>0.21930390256885834</v>
      </c>
      <c r="H100" s="29">
        <f>1-gdp_ind_share!H100-gdp_agr_share!H100</f>
        <v>0.34419488658809427</v>
      </c>
      <c r="I100" s="29">
        <f>1-gdp_ind_share!I100-gdp_agr_share!I100</f>
        <v>0.29801718625063467</v>
      </c>
      <c r="J100" s="29">
        <f>1-gdp_ind_share!J100-gdp_agr_share!J100</f>
        <v>0.38514732893721076</v>
      </c>
      <c r="K100" s="29">
        <f>1-gdp_ind_share!K100-gdp_agr_share!K100</f>
        <v>0.39532576914427514</v>
      </c>
      <c r="L100" s="30">
        <f>1-gdp_ind_share!L100-gdp_agr_share!L100</f>
        <v>0.52235859044074717</v>
      </c>
      <c r="M100" s="29">
        <f>1-gdp_ind_share!M100-gdp_agr_share!M100</f>
        <v>0.6747979759965137</v>
      </c>
      <c r="N100" s="29">
        <f>1-gdp_ind_share!N100-gdp_agr_share!N100</f>
        <v>0.82891964354525949</v>
      </c>
      <c r="O100" s="29">
        <f>1-gdp_ind_share!O100-gdp_agr_share!O100</f>
        <v>0.8334987328867004</v>
      </c>
      <c r="P100" s="29">
        <f>1-gdp_ind_share!P100-gdp_agr_share!P100</f>
        <v>0.84383954586288623</v>
      </c>
      <c r="Q100" s="29">
        <f>1-gdp_ind_share!Q100-gdp_agr_share!Q100</f>
        <v>0.82170703228251052</v>
      </c>
      <c r="R100" s="29">
        <f>1-gdp_ind_share!R100-gdp_agr_share!R100</f>
        <v>0.79520291019935174</v>
      </c>
      <c r="S100" s="29">
        <f>1-gdp_ind_share!S100-gdp_agr_share!S100</f>
        <v>0.78244924349261724</v>
      </c>
      <c r="T100" s="29">
        <f>1-gdp_ind_share!T100-gdp_agr_share!T100</f>
        <v>0.81366645437907503</v>
      </c>
      <c r="U100" s="29">
        <f>1-gdp_ind_share!U100-gdp_agr_share!U100</f>
        <v>0.83813304173460157</v>
      </c>
      <c r="V100" s="29">
        <f>1-gdp_ind_share!V100-gdp_agr_share!V100</f>
        <v>0.8480839776766772</v>
      </c>
      <c r="W100" s="29">
        <f>1-gdp_ind_share!W100-gdp_agr_share!W100</f>
        <v>0.83392836975153417</v>
      </c>
      <c r="X100" s="29">
        <f>1-gdp_ind_share!X100-gdp_agr_share!X100</f>
        <v>0.85496472464896367</v>
      </c>
      <c r="Y100" s="29">
        <f>1-gdp_ind_share!Y100-gdp_agr_share!Y100</f>
        <v>0.86880486093230325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x14ac:dyDescent="0.25">
      <c r="A101" s="1" t="s">
        <v>234</v>
      </c>
      <c r="B101" s="1" t="s">
        <v>241</v>
      </c>
      <c r="C101" s="1" t="s">
        <v>242</v>
      </c>
      <c r="D101" s="29">
        <f>1-gdp_ind_share!D101-gdp_agr_share!D101</f>
        <v>0.57439567616200504</v>
      </c>
      <c r="E101" s="29">
        <f>1-gdp_ind_share!E101-gdp_agr_share!E101</f>
        <v>0.71756018039152403</v>
      </c>
      <c r="F101" s="29">
        <f>1-gdp_ind_share!F101-gdp_agr_share!F101</f>
        <v>0.5073601966064738</v>
      </c>
      <c r="G101" s="29">
        <f>1-gdp_ind_share!G101-gdp_agr_share!G101</f>
        <v>0.67038681610225581</v>
      </c>
      <c r="H101" s="29">
        <f>1-gdp_ind_share!H101-gdp_agr_share!H101</f>
        <v>0.69245490772852558</v>
      </c>
      <c r="I101" s="29">
        <f>1-gdp_ind_share!I101-gdp_agr_share!I101</f>
        <v>0.65409256114256042</v>
      </c>
      <c r="J101" s="29">
        <f>1-gdp_ind_share!J101-gdp_agr_share!J101</f>
        <v>0.58878435156211184</v>
      </c>
      <c r="K101" s="29">
        <f>1-gdp_ind_share!K101-gdp_agr_share!K101</f>
        <v>0.50615018360130559</v>
      </c>
      <c r="L101" s="30">
        <f>1-gdp_ind_share!L101-gdp_agr_share!L101</f>
        <v>0.60124660786512507</v>
      </c>
      <c r="M101" s="29">
        <f>1-gdp_ind_share!M101-gdp_agr_share!M101</f>
        <v>0.71536231698170849</v>
      </c>
      <c r="N101" s="29">
        <f>1-gdp_ind_share!N101-gdp_agr_share!N101</f>
        <v>0.80072866098053297</v>
      </c>
      <c r="O101" s="29">
        <f>1-gdp_ind_share!O101-gdp_agr_share!O101</f>
        <v>0.80651696961803598</v>
      </c>
      <c r="P101" s="29">
        <f>1-gdp_ind_share!P101-gdp_agr_share!P101</f>
        <v>0.81500684434612158</v>
      </c>
      <c r="Q101" s="29">
        <f>1-gdp_ind_share!Q101-gdp_agr_share!Q101</f>
        <v>0.74084349259710947</v>
      </c>
      <c r="R101" s="29">
        <f>1-gdp_ind_share!R101-gdp_agr_share!R101</f>
        <v>0.78583735272272581</v>
      </c>
      <c r="S101" s="29">
        <f>1-gdp_ind_share!S101-gdp_agr_share!S101</f>
        <v>0.78141629636078391</v>
      </c>
      <c r="T101" s="29">
        <f>1-gdp_ind_share!T101-gdp_agr_share!T101</f>
        <v>0.78039031874353848</v>
      </c>
      <c r="U101" s="29">
        <f>1-gdp_ind_share!U101-gdp_agr_share!U101</f>
        <v>0.77652733722016709</v>
      </c>
      <c r="V101" s="29">
        <f>1-gdp_ind_share!V101-gdp_agr_share!V101</f>
        <v>0.73093289120590699</v>
      </c>
      <c r="W101" s="29">
        <f>1-gdp_ind_share!W101-gdp_agr_share!W101</f>
        <v>0.76177667059732201</v>
      </c>
      <c r="X101" s="29">
        <f>1-gdp_ind_share!X101-gdp_agr_share!X101</f>
        <v>0.79158402706732456</v>
      </c>
      <c r="Y101" s="29">
        <f>1-gdp_ind_share!Y101-gdp_agr_share!Y101</f>
        <v>0.77638834931509149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x14ac:dyDescent="0.25">
      <c r="A102" s="1" t="s">
        <v>243</v>
      </c>
      <c r="B102" s="1" t="s">
        <v>244</v>
      </c>
      <c r="C102" s="1" t="s">
        <v>245</v>
      </c>
      <c r="D102" s="29">
        <f>1-gdp_ind_share!D102-gdp_agr_share!D102</f>
        <v>0.864351503381659</v>
      </c>
      <c r="E102" s="29">
        <f>1-gdp_ind_share!E102-gdp_agr_share!E102</f>
        <v>0.78045776072132211</v>
      </c>
      <c r="F102" s="29">
        <f>1-gdp_ind_share!F102-gdp_agr_share!F102</f>
        <v>0.84662631139821742</v>
      </c>
      <c r="G102" s="29">
        <f>1-gdp_ind_share!G102-gdp_agr_share!G102</f>
        <v>0.69512427273224908</v>
      </c>
      <c r="H102" s="29">
        <f>1-gdp_ind_share!H102-gdp_agr_share!H102</f>
        <v>0.60922013335227265</v>
      </c>
      <c r="I102" s="29">
        <f>1-gdp_ind_share!I102-gdp_agr_share!I102</f>
        <v>0.55365585486844326</v>
      </c>
      <c r="J102" s="29">
        <f>1-gdp_ind_share!J102-gdp_agr_share!J102</f>
        <v>0.50062641076176395</v>
      </c>
      <c r="K102" s="29">
        <f>1-gdp_ind_share!K102-gdp_agr_share!K102</f>
        <v>0.64978608640391045</v>
      </c>
      <c r="L102" s="30">
        <f>1-gdp_ind_share!L102-gdp_agr_share!L102</f>
        <v>0.72981344150395444</v>
      </c>
      <c r="M102" s="29">
        <f>1-gdp_ind_share!M102-gdp_agr_share!M102</f>
        <v>0.82584626762400737</v>
      </c>
      <c r="N102" s="29">
        <f>1-gdp_ind_share!N102-gdp_agr_share!N102</f>
        <v>0.86958784459957272</v>
      </c>
      <c r="O102" s="29">
        <f>1-gdp_ind_share!O102-gdp_agr_share!O102</f>
        <v>0.86487415761727937</v>
      </c>
      <c r="P102" s="29">
        <f>1-gdp_ind_share!P102-gdp_agr_share!P102</f>
        <v>0.85441682569552857</v>
      </c>
      <c r="Q102" s="29">
        <f>1-gdp_ind_share!Q102-gdp_agr_share!Q102</f>
        <v>0.7747106407682347</v>
      </c>
      <c r="R102" s="29">
        <f>1-gdp_ind_share!R102-gdp_agr_share!R102</f>
        <v>0.81049278076167308</v>
      </c>
      <c r="S102" s="29">
        <f>1-gdp_ind_share!S102-gdp_agr_share!S102</f>
        <v>0.77921634297715336</v>
      </c>
      <c r="T102" s="29">
        <f>1-gdp_ind_share!T102-gdp_agr_share!T102</f>
        <v>0.81720156934011079</v>
      </c>
      <c r="U102" s="29">
        <f>1-gdp_ind_share!U102-gdp_agr_share!U102</f>
        <v>0.77723483373024949</v>
      </c>
      <c r="V102" s="29">
        <f>1-gdp_ind_share!V102-gdp_agr_share!V102</f>
        <v>0.80920155741434829</v>
      </c>
      <c r="W102" s="29">
        <f>1-gdp_ind_share!W102-gdp_agr_share!W102</f>
        <v>0.79411111062890749</v>
      </c>
      <c r="X102" s="29">
        <f>1-gdp_ind_share!X102-gdp_agr_share!X102</f>
        <v>0.74012547108227023</v>
      </c>
      <c r="Y102" s="29">
        <f>1-gdp_ind_share!Y102-gdp_agr_share!Y102</f>
        <v>0.65113235607622255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x14ac:dyDescent="0.25">
      <c r="A103" s="1" t="s">
        <v>243</v>
      </c>
      <c r="B103" s="1" t="s">
        <v>246</v>
      </c>
      <c r="C103" s="1" t="s">
        <v>247</v>
      </c>
      <c r="D103" s="29" t="e">
        <f>1-gdp_ind_share!D103-gdp_agr_share!D103</f>
        <v>#DIV/0!</v>
      </c>
      <c r="E103" s="29" t="e">
        <f>1-gdp_ind_share!E103-gdp_agr_share!E103</f>
        <v>#DIV/0!</v>
      </c>
      <c r="F103" s="29" t="e">
        <f>1-gdp_ind_share!F103-gdp_agr_share!F103</f>
        <v>#DIV/0!</v>
      </c>
      <c r="G103" s="29" t="e">
        <f>1-gdp_ind_share!G103-gdp_agr_share!G103</f>
        <v>#DIV/0!</v>
      </c>
      <c r="H103" s="29" t="e">
        <f>1-gdp_ind_share!H103-gdp_agr_share!H103</f>
        <v>#DIV/0!</v>
      </c>
      <c r="I103" s="29" t="e">
        <f>1-gdp_ind_share!I103-gdp_agr_share!I103</f>
        <v>#DIV/0!</v>
      </c>
      <c r="J103" s="29">
        <f>1-gdp_ind_share!J103-gdp_agr_share!J103</f>
        <v>0.38451363487024293</v>
      </c>
      <c r="K103" s="29">
        <f>1-gdp_ind_share!K103-gdp_agr_share!K103</f>
        <v>0.52720389760274322</v>
      </c>
      <c r="L103" s="30">
        <f>1-gdp_ind_share!L103-gdp_agr_share!L103</f>
        <v>0.55542998017524536</v>
      </c>
      <c r="M103" s="29">
        <f>1-gdp_ind_share!M103-gdp_agr_share!M103</f>
        <v>0.58930127926224785</v>
      </c>
      <c r="N103" s="29">
        <f>1-gdp_ind_share!N103-gdp_agr_share!N103</f>
        <v>0.66508564165222805</v>
      </c>
      <c r="O103" s="29">
        <f>1-gdp_ind_share!O103-gdp_agr_share!O103</f>
        <v>0.65997375014843673</v>
      </c>
      <c r="P103" s="29">
        <f>1-gdp_ind_share!P103-gdp_agr_share!P103</f>
        <v>0.65534985924433475</v>
      </c>
      <c r="Q103" s="29">
        <f>1-gdp_ind_share!Q103-gdp_agr_share!Q103</f>
        <v>0.74393437838472309</v>
      </c>
      <c r="R103" s="29">
        <f>1-gdp_ind_share!R103-gdp_agr_share!R103</f>
        <v>0.70672878709188369</v>
      </c>
      <c r="S103" s="29">
        <f>1-gdp_ind_share!S103-gdp_agr_share!S103</f>
        <v>0.71165518066131417</v>
      </c>
      <c r="T103" s="29">
        <f>1-gdp_ind_share!T103-gdp_agr_share!T103</f>
        <v>0.70811785191483134</v>
      </c>
      <c r="U103" s="29">
        <f>1-gdp_ind_share!U103-gdp_agr_share!U103</f>
        <v>0.70386868210388431</v>
      </c>
      <c r="V103" s="29">
        <f>1-gdp_ind_share!V103-gdp_agr_share!V103</f>
        <v>0.7253468585112246</v>
      </c>
      <c r="W103" s="29">
        <f>1-gdp_ind_share!W103-gdp_agr_share!W103</f>
        <v>0.7202539856019079</v>
      </c>
      <c r="X103" s="29">
        <f>1-gdp_ind_share!X103-gdp_agr_share!X103</f>
        <v>0.73386722404290194</v>
      </c>
      <c r="Y103" s="29">
        <f>1-gdp_ind_share!Y103-gdp_agr_share!Y103</f>
        <v>0.73472006524335121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x14ac:dyDescent="0.25">
      <c r="A104" s="1" t="s">
        <v>248</v>
      </c>
      <c r="B104" s="1" t="s">
        <v>249</v>
      </c>
      <c r="C104" s="1" t="s">
        <v>250</v>
      </c>
      <c r="D104" s="29">
        <f>1-gdp_ind_share!D104-gdp_agr_share!D104</f>
        <v>0.2393556157517569</v>
      </c>
      <c r="E104" s="29">
        <f>1-gdp_ind_share!E104-gdp_agr_share!E104</f>
        <v>0.17384571944159943</v>
      </c>
      <c r="F104" s="29">
        <f>1-gdp_ind_share!F104-gdp_agr_share!F104</f>
        <v>0.32250974870471016</v>
      </c>
      <c r="G104" s="29">
        <f>1-gdp_ind_share!G104-gdp_agr_share!G104</f>
        <v>0.30754403917218531</v>
      </c>
      <c r="H104" s="29">
        <f>1-gdp_ind_share!H104-gdp_agr_share!H104</f>
        <v>0.60392099894649065</v>
      </c>
      <c r="I104" s="29">
        <f>1-gdp_ind_share!I104-gdp_agr_share!I104</f>
        <v>0.62372159813455774</v>
      </c>
      <c r="J104" s="29">
        <f>1-gdp_ind_share!J104-gdp_agr_share!J104</f>
        <v>0.66123519443382617</v>
      </c>
      <c r="K104" s="29">
        <f>1-gdp_ind_share!K104-gdp_agr_share!K104</f>
        <v>0.66576852785932905</v>
      </c>
      <c r="L104" s="30">
        <f>1-gdp_ind_share!L104-gdp_agr_share!L104</f>
        <v>0.74444878928655178</v>
      </c>
      <c r="M104" s="29">
        <f>1-gdp_ind_share!M104-gdp_agr_share!M104</f>
        <v>0.83886510299921901</v>
      </c>
      <c r="N104" s="29">
        <f>1-gdp_ind_share!N104-gdp_agr_share!N104</f>
        <v>0.80809683042836822</v>
      </c>
      <c r="O104" s="29">
        <f>1-gdp_ind_share!O104-gdp_agr_share!O104</f>
        <v>0.82242585570194615</v>
      </c>
      <c r="P104" s="29">
        <f>1-gdp_ind_share!P104-gdp_agr_share!P104</f>
        <v>0.82528223924263555</v>
      </c>
      <c r="Q104" s="29">
        <f>1-gdp_ind_share!Q104-gdp_agr_share!Q104</f>
        <v>0.81352353315195614</v>
      </c>
      <c r="R104" s="29">
        <f>1-gdp_ind_share!R104-gdp_agr_share!R104</f>
        <v>0.8789607204032428</v>
      </c>
      <c r="S104" s="29">
        <f>1-gdp_ind_share!S104-gdp_agr_share!S104</f>
        <v>0.85471612688346443</v>
      </c>
      <c r="T104" s="29">
        <f>1-gdp_ind_share!T104-gdp_agr_share!T104</f>
        <v>0.86810791818075705</v>
      </c>
      <c r="U104" s="29">
        <f>1-gdp_ind_share!U104-gdp_agr_share!U104</f>
        <v>0.83236575154726689</v>
      </c>
      <c r="V104" s="29">
        <f>1-gdp_ind_share!V104-gdp_agr_share!V104</f>
        <v>0.88243652281647544</v>
      </c>
      <c r="W104" s="29">
        <f>1-gdp_ind_share!W104-gdp_agr_share!W104</f>
        <v>0.88305225826771427</v>
      </c>
      <c r="X104" s="29">
        <f>1-gdp_ind_share!X104-gdp_agr_share!X104</f>
        <v>0.87449106948841315</v>
      </c>
      <c r="Y104" s="29">
        <f>1-gdp_ind_share!Y104-gdp_agr_share!Y104</f>
        <v>0.84303213174820513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x14ac:dyDescent="0.25">
      <c r="A105" s="1" t="s">
        <v>248</v>
      </c>
      <c r="B105" s="1" t="s">
        <v>251</v>
      </c>
      <c r="C105" s="1" t="s">
        <v>252</v>
      </c>
      <c r="D105" s="29">
        <f>1-gdp_ind_share!D105-gdp_agr_share!D105</f>
        <v>0.95945819542309418</v>
      </c>
      <c r="E105" s="29">
        <f>1-gdp_ind_share!E105-gdp_agr_share!E105</f>
        <v>1</v>
      </c>
      <c r="F105" s="29">
        <f>1-gdp_ind_share!F105-gdp_agr_share!F105</f>
        <v>0</v>
      </c>
      <c r="G105" s="29">
        <f>1-gdp_ind_share!G105-gdp_agr_share!G105</f>
        <v>0.14235471202262895</v>
      </c>
      <c r="H105" s="29">
        <f>1-gdp_ind_share!H105-gdp_agr_share!H105</f>
        <v>0.33419200103592883</v>
      </c>
      <c r="I105" s="29">
        <f>1-gdp_ind_share!I105-gdp_agr_share!I105</f>
        <v>0.46664407219381876</v>
      </c>
      <c r="J105" s="29">
        <f>1-gdp_ind_share!J105-gdp_agr_share!J105</f>
        <v>0.55951449705971479</v>
      </c>
      <c r="K105" s="29">
        <f>1-gdp_ind_share!K105-gdp_agr_share!K105</f>
        <v>0.3735983113257329</v>
      </c>
      <c r="L105" s="30">
        <f>1-gdp_ind_share!L105-gdp_agr_share!L105</f>
        <v>0.48802271542846992</v>
      </c>
      <c r="M105" s="29">
        <f>1-gdp_ind_share!M105-gdp_agr_share!M105</f>
        <v>0.62533200035175451</v>
      </c>
      <c r="N105" s="29">
        <f>1-gdp_ind_share!N105-gdp_agr_share!N105</f>
        <v>0.75984460486322858</v>
      </c>
      <c r="O105" s="29">
        <f>1-gdp_ind_share!O105-gdp_agr_share!O105</f>
        <v>0.75102718489700493</v>
      </c>
      <c r="P105" s="29">
        <f>1-gdp_ind_share!P105-gdp_agr_share!P105</f>
        <v>0.7041796183503477</v>
      </c>
      <c r="Q105" s="29">
        <f>1-gdp_ind_share!Q105-gdp_agr_share!Q105</f>
        <v>0.88255746470923424</v>
      </c>
      <c r="R105" s="29">
        <f>1-gdp_ind_share!R105-gdp_agr_share!R105</f>
        <v>0.90396320707155431</v>
      </c>
      <c r="S105" s="29">
        <f>1-gdp_ind_share!S105-gdp_agr_share!S105</f>
        <v>0.89047841703949804</v>
      </c>
      <c r="T105" s="29">
        <f>1-gdp_ind_share!T105-gdp_agr_share!T105</f>
        <v>0.8923205615098887</v>
      </c>
      <c r="U105" s="29">
        <f>1-gdp_ind_share!U105-gdp_agr_share!U105</f>
        <v>0.88631599674824602</v>
      </c>
      <c r="V105" s="29">
        <f>1-gdp_ind_share!V105-gdp_agr_share!V105</f>
        <v>0.89470687214335343</v>
      </c>
      <c r="W105" s="29">
        <f>1-gdp_ind_share!W105-gdp_agr_share!W105</f>
        <v>0.88785759737300141</v>
      </c>
      <c r="X105" s="29">
        <f>1-gdp_ind_share!X105-gdp_agr_share!X105</f>
        <v>0.88424031927331503</v>
      </c>
      <c r="Y105" s="29">
        <f>1-gdp_ind_share!Y105-gdp_agr_share!Y105</f>
        <v>0.87460513841712673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x14ac:dyDescent="0.25">
      <c r="A106" s="1" t="s">
        <v>253</v>
      </c>
      <c r="B106" s="1" t="s">
        <v>254</v>
      </c>
      <c r="C106" s="1" t="s">
        <v>255</v>
      </c>
      <c r="D106" s="29">
        <f>1-gdp_ind_share!D106-gdp_agr_share!D106</f>
        <v>0.17252202724129206</v>
      </c>
      <c r="E106" s="29">
        <f>1-gdp_ind_share!E106-gdp_agr_share!E106</f>
        <v>0.33303027479498093</v>
      </c>
      <c r="F106" s="29">
        <f>1-gdp_ind_share!F106-gdp_agr_share!F106</f>
        <v>0.39290838132407219</v>
      </c>
      <c r="G106" s="29">
        <f>1-gdp_ind_share!G106-gdp_agr_share!G106</f>
        <v>0.43381752227253012</v>
      </c>
      <c r="H106" s="29">
        <f>1-gdp_ind_share!H106-gdp_agr_share!H106</f>
        <v>0.41316963695553816</v>
      </c>
      <c r="I106" s="29">
        <f>1-gdp_ind_share!I106-gdp_agr_share!I106</f>
        <v>0.4396884154079066</v>
      </c>
      <c r="J106" s="29">
        <f>1-gdp_ind_share!J106-gdp_agr_share!J106</f>
        <v>0.40469874276810663</v>
      </c>
      <c r="K106" s="29">
        <f>1-gdp_ind_share!K106-gdp_agr_share!K106</f>
        <v>0.4365453656646055</v>
      </c>
      <c r="L106" s="30">
        <f>1-gdp_ind_share!L106-gdp_agr_share!L106</f>
        <v>0.44835202051296441</v>
      </c>
      <c r="M106" s="29">
        <f>1-gdp_ind_share!M106-gdp_agr_share!M106</f>
        <v>0.46252000633099516</v>
      </c>
      <c r="N106" s="29">
        <f>1-gdp_ind_share!N106-gdp_agr_share!N106</f>
        <v>0.64300777414204713</v>
      </c>
      <c r="O106" s="29">
        <f>1-gdp_ind_share!O106-gdp_agr_share!O106</f>
        <v>0.63115229875819479</v>
      </c>
      <c r="P106" s="29">
        <f>1-gdp_ind_share!P106-gdp_agr_share!P106</f>
        <v>0.61613453502890603</v>
      </c>
      <c r="Q106" s="29">
        <f>1-gdp_ind_share!Q106-gdp_agr_share!Q106</f>
        <v>0.63912248403707161</v>
      </c>
      <c r="R106" s="29">
        <f>1-gdp_ind_share!R106-gdp_agr_share!R106</f>
        <v>0.58183263256761419</v>
      </c>
      <c r="S106" s="29">
        <f>1-gdp_ind_share!S106-gdp_agr_share!S106</f>
        <v>0.61096641235394511</v>
      </c>
      <c r="T106" s="29">
        <f>1-gdp_ind_share!T106-gdp_agr_share!T106</f>
        <v>0.70572830912564122</v>
      </c>
      <c r="U106" s="29">
        <f>1-gdp_ind_share!U106-gdp_agr_share!U106</f>
        <v>0.67804636692172704</v>
      </c>
      <c r="V106" s="29">
        <f>1-gdp_ind_share!V106-gdp_agr_share!V106</f>
        <v>0.67372991374269242</v>
      </c>
      <c r="W106" s="29">
        <f>1-gdp_ind_share!W106-gdp_agr_share!W106</f>
        <v>0.65143630944635489</v>
      </c>
      <c r="X106" s="29">
        <f>1-gdp_ind_share!X106-gdp_agr_share!X106</f>
        <v>0.66505363471392509</v>
      </c>
      <c r="Y106" s="29">
        <f>1-gdp_ind_share!Y106-gdp_agr_share!Y106</f>
        <v>0.64543834086321206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x14ac:dyDescent="0.25">
      <c r="A107" s="1" t="s">
        <v>253</v>
      </c>
      <c r="B107" s="1" t="s">
        <v>256</v>
      </c>
      <c r="C107" s="1" t="s">
        <v>257</v>
      </c>
      <c r="D107" s="29">
        <f>1-gdp_ind_share!D107-gdp_agr_share!D107</f>
        <v>0.12080300036205127</v>
      </c>
      <c r="E107" s="29">
        <f>1-gdp_ind_share!E107-gdp_agr_share!E107</f>
        <v>0.31940361781782867</v>
      </c>
      <c r="F107" s="29">
        <f>1-gdp_ind_share!F107-gdp_agr_share!F107</f>
        <v>0.44008610758511596</v>
      </c>
      <c r="G107" s="29">
        <f>1-gdp_ind_share!G107-gdp_agr_share!G107</f>
        <v>0.43872209367831894</v>
      </c>
      <c r="H107" s="29">
        <f>1-gdp_ind_share!H107-gdp_agr_share!H107</f>
        <v>0.38658212257203467</v>
      </c>
      <c r="I107" s="29">
        <f>1-gdp_ind_share!I107-gdp_agr_share!I107</f>
        <v>0.30717983818703198</v>
      </c>
      <c r="J107" s="29">
        <f>1-gdp_ind_share!J107-gdp_agr_share!J107</f>
        <v>0.33008220385579834</v>
      </c>
      <c r="K107" s="29">
        <f>1-gdp_ind_share!K107-gdp_agr_share!K107</f>
        <v>0.40116133205907739</v>
      </c>
      <c r="L107" s="30">
        <f>1-gdp_ind_share!L107-gdp_agr_share!L107</f>
        <v>0.38747320173508926</v>
      </c>
      <c r="M107" s="29">
        <f>1-gdp_ind_share!M107-gdp_agr_share!M107</f>
        <v>0.37104744534630352</v>
      </c>
      <c r="N107" s="29">
        <f>1-gdp_ind_share!N107-gdp_agr_share!N107</f>
        <v>0.61075968553036786</v>
      </c>
      <c r="O107" s="29">
        <f>1-gdp_ind_share!O107-gdp_agr_share!O107</f>
        <v>0.59330637259882468</v>
      </c>
      <c r="P107" s="29">
        <f>1-gdp_ind_share!P107-gdp_agr_share!P107</f>
        <v>0.59835103893837593</v>
      </c>
      <c r="Q107" s="29">
        <f>1-gdp_ind_share!Q107-gdp_agr_share!Q107</f>
        <v>0.59120047599722014</v>
      </c>
      <c r="R107" s="29">
        <f>1-gdp_ind_share!R107-gdp_agr_share!R107</f>
        <v>0.57690262242605528</v>
      </c>
      <c r="S107" s="29">
        <f>1-gdp_ind_share!S107-gdp_agr_share!S107</f>
        <v>0.54340813767603868</v>
      </c>
      <c r="T107" s="29">
        <f>1-gdp_ind_share!T107-gdp_agr_share!T107</f>
        <v>0.5865664925005909</v>
      </c>
      <c r="U107" s="29">
        <f>1-gdp_ind_share!U107-gdp_agr_share!U107</f>
        <v>0.58349004838897489</v>
      </c>
      <c r="V107" s="29">
        <f>1-gdp_ind_share!V107-gdp_agr_share!V107</f>
        <v>0.60064213186120896</v>
      </c>
      <c r="W107" s="29">
        <f>1-gdp_ind_share!W107-gdp_agr_share!W107</f>
        <v>0.58093313716511974</v>
      </c>
      <c r="X107" s="29">
        <f>1-gdp_ind_share!X107-gdp_agr_share!X107</f>
        <v>0.60579939060096188</v>
      </c>
      <c r="Y107" s="29">
        <f>1-gdp_ind_share!Y107-gdp_agr_share!Y107</f>
        <v>0.5830094286301446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x14ac:dyDescent="0.25">
      <c r="A108" s="1" t="s">
        <v>253</v>
      </c>
      <c r="B108" s="1" t="s">
        <v>258</v>
      </c>
      <c r="C108" s="1" t="s">
        <v>259</v>
      </c>
      <c r="D108" s="29">
        <f>1-gdp_ind_share!D108-gdp_agr_share!D108</f>
        <v>0.27725089804114988</v>
      </c>
      <c r="E108" s="29">
        <f>1-gdp_ind_share!E108-gdp_agr_share!E108</f>
        <v>0.52090890607588114</v>
      </c>
      <c r="F108" s="29">
        <f>1-gdp_ind_share!F108-gdp_agr_share!F108</f>
        <v>0.46817295115739721</v>
      </c>
      <c r="G108" s="29">
        <f>1-gdp_ind_share!G108-gdp_agr_share!G108</f>
        <v>0.50679494090293198</v>
      </c>
      <c r="H108" s="29">
        <f>1-gdp_ind_share!H108-gdp_agr_share!H108</f>
        <v>0.55024093929055384</v>
      </c>
      <c r="I108" s="29">
        <f>1-gdp_ind_share!I108-gdp_agr_share!I108</f>
        <v>0.50312871537198833</v>
      </c>
      <c r="J108" s="29">
        <f>1-gdp_ind_share!J108-gdp_agr_share!J108</f>
        <v>0.51251359391309881</v>
      </c>
      <c r="K108" s="29">
        <f>1-gdp_ind_share!K108-gdp_agr_share!K108</f>
        <v>0.56575876735468844</v>
      </c>
      <c r="L108" s="30">
        <f>1-gdp_ind_share!L108-gdp_agr_share!L108</f>
        <v>0.60527807147560431</v>
      </c>
      <c r="M108" s="29">
        <f>1-gdp_ind_share!M108-gdp_agr_share!M108</f>
        <v>0.65270123642070299</v>
      </c>
      <c r="N108" s="29">
        <f>1-gdp_ind_share!N108-gdp_agr_share!N108</f>
        <v>0.70278428446440422</v>
      </c>
      <c r="O108" s="29">
        <f>1-gdp_ind_share!O108-gdp_agr_share!O108</f>
        <v>0.69933345465181374</v>
      </c>
      <c r="P108" s="29">
        <f>1-gdp_ind_share!P108-gdp_agr_share!P108</f>
        <v>0.68072609293598474</v>
      </c>
      <c r="Q108" s="29">
        <f>1-gdp_ind_share!Q108-gdp_agr_share!Q108</f>
        <v>0.67196363158453576</v>
      </c>
      <c r="R108" s="29">
        <f>1-gdp_ind_share!R108-gdp_agr_share!R108</f>
        <v>0.64066013656932086</v>
      </c>
      <c r="S108" s="29">
        <f>1-gdp_ind_share!S108-gdp_agr_share!S108</f>
        <v>0.66910480796566985</v>
      </c>
      <c r="T108" s="29">
        <f>1-gdp_ind_share!T108-gdp_agr_share!T108</f>
        <v>0.75278307389803256</v>
      </c>
      <c r="U108" s="29">
        <f>1-gdp_ind_share!U108-gdp_agr_share!U108</f>
        <v>0.7311298818603853</v>
      </c>
      <c r="V108" s="29">
        <f>1-gdp_ind_share!V108-gdp_agr_share!V108</f>
        <v>0.71373234193855395</v>
      </c>
      <c r="W108" s="29">
        <f>1-gdp_ind_share!W108-gdp_agr_share!W108</f>
        <v>0.68840514638463146</v>
      </c>
      <c r="X108" s="29">
        <f>1-gdp_ind_share!X108-gdp_agr_share!X108</f>
        <v>0.69620934266875567</v>
      </c>
      <c r="Y108" s="29">
        <f>1-gdp_ind_share!Y108-gdp_agr_share!Y108</f>
        <v>0.72120041345204089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x14ac:dyDescent="0.25">
      <c r="A109" s="1" t="s">
        <v>253</v>
      </c>
      <c r="B109" s="1" t="s">
        <v>260</v>
      </c>
      <c r="C109" s="1" t="s">
        <v>261</v>
      </c>
      <c r="D109" s="29">
        <f>1-gdp_ind_share!D109-gdp_agr_share!D109</f>
        <v>0.12755476143781175</v>
      </c>
      <c r="E109" s="29">
        <f>1-gdp_ind_share!E109-gdp_agr_share!E109</f>
        <v>0.31025844864416463</v>
      </c>
      <c r="F109" s="29">
        <f>1-gdp_ind_share!F109-gdp_agr_share!F109</f>
        <v>0.39472142800938559</v>
      </c>
      <c r="G109" s="29">
        <f>1-gdp_ind_share!G109-gdp_agr_share!G109</f>
        <v>0.34309948055368134</v>
      </c>
      <c r="H109" s="29">
        <f>1-gdp_ind_share!H109-gdp_agr_share!H109</f>
        <v>0.36293543713022008</v>
      </c>
      <c r="I109" s="29">
        <f>1-gdp_ind_share!I109-gdp_agr_share!I109</f>
        <v>0.33374280797217981</v>
      </c>
      <c r="J109" s="29">
        <f>1-gdp_ind_share!J109-gdp_agr_share!J109</f>
        <v>0.30594191819828198</v>
      </c>
      <c r="K109" s="29">
        <f>1-gdp_ind_share!K109-gdp_agr_share!K109</f>
        <v>0.37336784886620794</v>
      </c>
      <c r="L109" s="30">
        <f>1-gdp_ind_share!L109-gdp_agr_share!L109</f>
        <v>0.37202870416709011</v>
      </c>
      <c r="M109" s="29">
        <f>1-gdp_ind_share!M109-gdp_agr_share!M109</f>
        <v>0.37042173052814847</v>
      </c>
      <c r="N109" s="29">
        <f>1-gdp_ind_share!N109-gdp_agr_share!N109</f>
        <v>0.55538864700568602</v>
      </c>
      <c r="O109" s="29">
        <f>1-gdp_ind_share!O109-gdp_agr_share!O109</f>
        <v>0.55021939114438756</v>
      </c>
      <c r="P109" s="29">
        <f>1-gdp_ind_share!P109-gdp_agr_share!P109</f>
        <v>0.54555916799321624</v>
      </c>
      <c r="Q109" s="29">
        <f>1-gdp_ind_share!Q109-gdp_agr_share!Q109</f>
        <v>0.54568913520642837</v>
      </c>
      <c r="R109" s="29">
        <f>1-gdp_ind_share!R109-gdp_agr_share!R109</f>
        <v>0.58627402322092048</v>
      </c>
      <c r="S109" s="29">
        <f>1-gdp_ind_share!S109-gdp_agr_share!S109</f>
        <v>0.60464202672363054</v>
      </c>
      <c r="T109" s="29">
        <f>1-gdp_ind_share!T109-gdp_agr_share!T109</f>
        <v>0.66389729850539037</v>
      </c>
      <c r="U109" s="29">
        <f>1-gdp_ind_share!U109-gdp_agr_share!U109</f>
        <v>0.65484360510434625</v>
      </c>
      <c r="V109" s="29">
        <f>1-gdp_ind_share!V109-gdp_agr_share!V109</f>
        <v>0.67902061570238037</v>
      </c>
      <c r="W109" s="29">
        <f>1-gdp_ind_share!W109-gdp_agr_share!W109</f>
        <v>0.6568957044855529</v>
      </c>
      <c r="X109" s="29">
        <f>1-gdp_ind_share!X109-gdp_agr_share!X109</f>
        <v>0.69693913451888634</v>
      </c>
      <c r="Y109" s="29">
        <f>1-gdp_ind_share!Y109-gdp_agr_share!Y109</f>
        <v>0.67627208440236719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x14ac:dyDescent="0.25">
      <c r="A110" s="1" t="s">
        <v>253</v>
      </c>
      <c r="B110" s="1" t="s">
        <v>262</v>
      </c>
      <c r="C110" s="1" t="s">
        <v>263</v>
      </c>
      <c r="D110" s="29">
        <f>1-gdp_ind_share!D110-gdp_agr_share!D110</f>
        <v>0.34944078608647361</v>
      </c>
      <c r="E110" s="29">
        <f>1-gdp_ind_share!E110-gdp_agr_share!E110</f>
        <v>0.59605670173438252</v>
      </c>
      <c r="F110" s="29">
        <f>1-gdp_ind_share!F110-gdp_agr_share!F110</f>
        <v>0.59574512885877628</v>
      </c>
      <c r="G110" s="29">
        <f>1-gdp_ind_share!G110-gdp_agr_share!G110</f>
        <v>0.58902532510101324</v>
      </c>
      <c r="H110" s="29">
        <f>1-gdp_ind_share!H110-gdp_agr_share!H110</f>
        <v>0.57559451068602918</v>
      </c>
      <c r="I110" s="29">
        <f>1-gdp_ind_share!I110-gdp_agr_share!I110</f>
        <v>0.51103167674448469</v>
      </c>
      <c r="J110" s="29">
        <f>1-gdp_ind_share!J110-gdp_agr_share!J110</f>
        <v>0.53141066585654961</v>
      </c>
      <c r="K110" s="29">
        <f>1-gdp_ind_share!K110-gdp_agr_share!K110</f>
        <v>0.54164772399172456</v>
      </c>
      <c r="L110" s="30">
        <f>1-gdp_ind_share!L110-gdp_agr_share!L110</f>
        <v>0.57113308850596667</v>
      </c>
      <c r="M110" s="29">
        <f>1-gdp_ind_share!M110-gdp_agr_share!M110</f>
        <v>0.60651552592305691</v>
      </c>
      <c r="N110" s="29">
        <f>1-gdp_ind_share!N110-gdp_agr_share!N110</f>
        <v>0.73135533505844008</v>
      </c>
      <c r="O110" s="29">
        <f>1-gdp_ind_share!O110-gdp_agr_share!O110</f>
        <v>0.70250378215446052</v>
      </c>
      <c r="P110" s="29">
        <f>1-gdp_ind_share!P110-gdp_agr_share!P110</f>
        <v>0.71462397543174627</v>
      </c>
      <c r="Q110" s="29">
        <f>1-gdp_ind_share!Q110-gdp_agr_share!Q110</f>
        <v>0.76183521486737216</v>
      </c>
      <c r="R110" s="29">
        <f>1-gdp_ind_share!R110-gdp_agr_share!R110</f>
        <v>0.73337674309752898</v>
      </c>
      <c r="S110" s="29">
        <f>1-gdp_ind_share!S110-gdp_agr_share!S110</f>
        <v>0.72440462665908034</v>
      </c>
      <c r="T110" s="29">
        <f>1-gdp_ind_share!T110-gdp_agr_share!T110</f>
        <v>0.74500173336577269</v>
      </c>
      <c r="U110" s="29">
        <f>1-gdp_ind_share!U110-gdp_agr_share!U110</f>
        <v>0.75769104879183835</v>
      </c>
      <c r="V110" s="29">
        <f>1-gdp_ind_share!V110-gdp_agr_share!V110</f>
        <v>0.76212112555213463</v>
      </c>
      <c r="W110" s="29">
        <f>1-gdp_ind_share!W110-gdp_agr_share!W110</f>
        <v>0.76635376936798905</v>
      </c>
      <c r="X110" s="29">
        <f>1-gdp_ind_share!X110-gdp_agr_share!X110</f>
        <v>0.73031469570519614</v>
      </c>
      <c r="Y110" s="29">
        <f>1-gdp_ind_share!Y110-gdp_agr_share!Y110</f>
        <v>0.73990797950906806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x14ac:dyDescent="0.25">
      <c r="A111" s="1" t="s">
        <v>253</v>
      </c>
      <c r="B111" s="1" t="s">
        <v>264</v>
      </c>
      <c r="C111" s="1" t="s">
        <v>265</v>
      </c>
      <c r="D111" s="29">
        <f>1-gdp_ind_share!D111-gdp_agr_share!D111</f>
        <v>0.24957335016917881</v>
      </c>
      <c r="E111" s="29">
        <f>1-gdp_ind_share!E111-gdp_agr_share!E111</f>
        <v>0.5882685099176217</v>
      </c>
      <c r="F111" s="29">
        <f>1-gdp_ind_share!F111-gdp_agr_share!F111</f>
        <v>0.49372710892900173</v>
      </c>
      <c r="G111" s="29">
        <f>1-gdp_ind_share!G111-gdp_agr_share!G111</f>
        <v>0.44578767489767479</v>
      </c>
      <c r="H111" s="29">
        <f>1-gdp_ind_share!H111-gdp_agr_share!H111</f>
        <v>0.53602854536013311</v>
      </c>
      <c r="I111" s="29">
        <f>1-gdp_ind_share!I111-gdp_agr_share!I111</f>
        <v>0.43722795070018189</v>
      </c>
      <c r="J111" s="29">
        <f>1-gdp_ind_share!J111-gdp_agr_share!J111</f>
        <v>0.43490834619295471</v>
      </c>
      <c r="K111" s="29">
        <f>1-gdp_ind_share!K111-gdp_agr_share!K111</f>
        <v>0.45738186432813677</v>
      </c>
      <c r="L111" s="30">
        <f>1-gdp_ind_share!L111-gdp_agr_share!L111</f>
        <v>0.51122281944253833</v>
      </c>
      <c r="M111" s="29">
        <f>1-gdp_ind_share!M111-gdp_agr_share!M111</f>
        <v>0.57583196557982008</v>
      </c>
      <c r="N111" s="29">
        <f>1-gdp_ind_share!N111-gdp_agr_share!N111</f>
        <v>0.65137892902595518</v>
      </c>
      <c r="O111" s="29">
        <f>1-gdp_ind_share!O111-gdp_agr_share!O111</f>
        <v>0.66963168722448463</v>
      </c>
      <c r="P111" s="29">
        <f>1-gdp_ind_share!P111-gdp_agr_share!P111</f>
        <v>0.63292206223402947</v>
      </c>
      <c r="Q111" s="29">
        <f>1-gdp_ind_share!Q111-gdp_agr_share!Q111</f>
        <v>0.69488748727457117</v>
      </c>
      <c r="R111" s="29">
        <f>1-gdp_ind_share!R111-gdp_agr_share!R111</f>
        <v>0.64406825116232236</v>
      </c>
      <c r="S111" s="29">
        <f>1-gdp_ind_share!S111-gdp_agr_share!S111</f>
        <v>0.66085593487525607</v>
      </c>
      <c r="T111" s="29">
        <f>1-gdp_ind_share!T111-gdp_agr_share!T111</f>
        <v>0.74996452333783215</v>
      </c>
      <c r="U111" s="29">
        <f>1-gdp_ind_share!U111-gdp_agr_share!U111</f>
        <v>0.75545556003166559</v>
      </c>
      <c r="V111" s="29">
        <f>1-gdp_ind_share!V111-gdp_agr_share!V111</f>
        <v>0.76624392090213</v>
      </c>
      <c r="W111" s="29">
        <f>1-gdp_ind_share!W111-gdp_agr_share!W111</f>
        <v>0.7239294145182873</v>
      </c>
      <c r="X111" s="29">
        <f>1-gdp_ind_share!X111-gdp_agr_share!X111</f>
        <v>0.73026087472827217</v>
      </c>
      <c r="Y111" s="29">
        <f>1-gdp_ind_share!Y111-gdp_agr_share!Y111</f>
        <v>0.75806406293073458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x14ac:dyDescent="0.25">
      <c r="A112" s="1" t="s">
        <v>253</v>
      </c>
      <c r="B112" s="1" t="s">
        <v>266</v>
      </c>
      <c r="C112" s="1" t="s">
        <v>267</v>
      </c>
      <c r="D112" s="29">
        <f>1-gdp_ind_share!D112-gdp_agr_share!D112</f>
        <v>0.26532029188258321</v>
      </c>
      <c r="E112" s="29">
        <f>1-gdp_ind_share!E112-gdp_agr_share!E112</f>
        <v>0.51878928095467114</v>
      </c>
      <c r="F112" s="29">
        <f>1-gdp_ind_share!F112-gdp_agr_share!F112</f>
        <v>0.41569403871549926</v>
      </c>
      <c r="G112" s="29">
        <f>1-gdp_ind_share!G112-gdp_agr_share!G112</f>
        <v>0.43180766778222207</v>
      </c>
      <c r="H112" s="29">
        <f>1-gdp_ind_share!H112-gdp_agr_share!H112</f>
        <v>0.51126798210073432</v>
      </c>
      <c r="I112" s="29">
        <f>1-gdp_ind_share!I112-gdp_agr_share!I112</f>
        <v>0.37179594686862372</v>
      </c>
      <c r="J112" s="29">
        <f>1-gdp_ind_share!J112-gdp_agr_share!J112</f>
        <v>0.3850885289112807</v>
      </c>
      <c r="K112" s="29">
        <f>1-gdp_ind_share!K112-gdp_agr_share!K112</f>
        <v>0.50027972771544671</v>
      </c>
      <c r="L112" s="30">
        <f>1-gdp_ind_share!L112-gdp_agr_share!L112</f>
        <v>0.53745619936375622</v>
      </c>
      <c r="M112" s="29">
        <f>1-gdp_ind_share!M112-gdp_agr_share!M112</f>
        <v>0.58206796534172767</v>
      </c>
      <c r="N112" s="29">
        <f>1-gdp_ind_share!N112-gdp_agr_share!N112</f>
        <v>0.68515808090441388</v>
      </c>
      <c r="O112" s="29">
        <f>1-gdp_ind_share!O112-gdp_agr_share!O112</f>
        <v>0.67430759808666341</v>
      </c>
      <c r="P112" s="29">
        <f>1-gdp_ind_share!P112-gdp_agr_share!P112</f>
        <v>0.65401237920944533</v>
      </c>
      <c r="Q112" s="29">
        <f>1-gdp_ind_share!Q112-gdp_agr_share!Q112</f>
        <v>0.75484587315841734</v>
      </c>
      <c r="R112" s="29">
        <f>1-gdp_ind_share!R112-gdp_agr_share!R112</f>
        <v>0.70023749530535151</v>
      </c>
      <c r="S112" s="29">
        <f>1-gdp_ind_share!S112-gdp_agr_share!S112</f>
        <v>0.72787430494743555</v>
      </c>
      <c r="T112" s="29">
        <f>1-gdp_ind_share!T112-gdp_agr_share!T112</f>
        <v>0.77925778466749407</v>
      </c>
      <c r="U112" s="29">
        <f>1-gdp_ind_share!U112-gdp_agr_share!U112</f>
        <v>0.77785037598746787</v>
      </c>
      <c r="V112" s="29">
        <f>1-gdp_ind_share!V112-gdp_agr_share!V112</f>
        <v>0.77485663539837357</v>
      </c>
      <c r="W112" s="29">
        <f>1-gdp_ind_share!W112-gdp_agr_share!W112</f>
        <v>0.78447692573270422</v>
      </c>
      <c r="X112" s="29">
        <f>1-gdp_ind_share!X112-gdp_agr_share!X112</f>
        <v>0.77866302698972722</v>
      </c>
      <c r="Y112" s="29">
        <f>1-gdp_ind_share!Y112-gdp_agr_share!Y112</f>
        <v>0.78935314357706865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x14ac:dyDescent="0.25">
      <c r="A113" s="1" t="s">
        <v>268</v>
      </c>
      <c r="B113" s="1" t="s">
        <v>269</v>
      </c>
      <c r="C113" s="1" t="s">
        <v>270</v>
      </c>
      <c r="D113" s="29">
        <f>1-gdp_ind_share!D113-gdp_agr_share!D113</f>
        <v>0.25720549760929656</v>
      </c>
      <c r="E113" s="29">
        <f>1-gdp_ind_share!E113-gdp_agr_share!E113</f>
        <v>0.22737870427382945</v>
      </c>
      <c r="F113" s="29">
        <f>1-gdp_ind_share!F113-gdp_agr_share!F113</f>
        <v>0.32710666074815509</v>
      </c>
      <c r="G113" s="29">
        <f>1-gdp_ind_share!G113-gdp_agr_share!G113</f>
        <v>0.28033605063095546</v>
      </c>
      <c r="H113" s="29">
        <f>1-gdp_ind_share!H113-gdp_agr_share!H113</f>
        <v>0.33726987764492422</v>
      </c>
      <c r="I113" s="29">
        <f>1-gdp_ind_share!I113-gdp_agr_share!I113</f>
        <v>0.28218761335744513</v>
      </c>
      <c r="J113" s="29">
        <f>1-gdp_ind_share!J113-gdp_agr_share!J113</f>
        <v>0.27520085526100929</v>
      </c>
      <c r="K113" s="29">
        <f>1-gdp_ind_share!K113-gdp_agr_share!K113</f>
        <v>0.30344367551256879</v>
      </c>
      <c r="L113" s="30">
        <f>1-gdp_ind_share!L113-gdp_agr_share!L113</f>
        <v>0.27388194918592074</v>
      </c>
      <c r="M113" s="29">
        <f>1-gdp_ind_share!M113-gdp_agr_share!M113</f>
        <v>0.23840787759394311</v>
      </c>
      <c r="N113" s="29">
        <f>1-gdp_ind_share!N113-gdp_agr_share!N113</f>
        <v>0.52107824883083542</v>
      </c>
      <c r="O113" s="29">
        <f>1-gdp_ind_share!O113-gdp_agr_share!O113</f>
        <v>0.50915452835210262</v>
      </c>
      <c r="P113" s="29">
        <f>1-gdp_ind_share!P113-gdp_agr_share!P113</f>
        <v>0.50851443429245324</v>
      </c>
      <c r="Q113" s="29">
        <f>1-gdp_ind_share!Q113-gdp_agr_share!Q113</f>
        <v>0.60240536171785675</v>
      </c>
      <c r="R113" s="29">
        <f>1-gdp_ind_share!R113-gdp_agr_share!R113</f>
        <v>0.60771829658985266</v>
      </c>
      <c r="S113" s="29">
        <f>1-gdp_ind_share!S113-gdp_agr_share!S113</f>
        <v>0.61251344629580462</v>
      </c>
      <c r="T113" s="29">
        <f>1-gdp_ind_share!T113-gdp_agr_share!T113</f>
        <v>0.62574946152203836</v>
      </c>
      <c r="U113" s="29">
        <f>1-gdp_ind_share!U113-gdp_agr_share!U113</f>
        <v>0.60719487296438912</v>
      </c>
      <c r="V113" s="29">
        <f>1-gdp_ind_share!V113-gdp_agr_share!V113</f>
        <v>0.58959295681429125</v>
      </c>
      <c r="W113" s="29">
        <f>1-gdp_ind_share!W113-gdp_agr_share!W113</f>
        <v>0.61436591694183651</v>
      </c>
      <c r="X113" s="29">
        <f>1-gdp_ind_share!X113-gdp_agr_share!X113</f>
        <v>0.61818890041896402</v>
      </c>
      <c r="Y113" s="29">
        <f>1-gdp_ind_share!Y113-gdp_agr_share!Y113</f>
        <v>0.58248809782492461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x14ac:dyDescent="0.25">
      <c r="A114" s="1" t="s">
        <v>268</v>
      </c>
      <c r="B114" s="1" t="s">
        <v>271</v>
      </c>
      <c r="C114" s="1" t="s">
        <v>272</v>
      </c>
      <c r="D114" s="29">
        <f>1-gdp_ind_share!D114-gdp_agr_share!D114</f>
        <v>0.29720476074726138</v>
      </c>
      <c r="E114" s="29">
        <f>1-gdp_ind_share!E114-gdp_agr_share!E114</f>
        <v>0.46333644117390882</v>
      </c>
      <c r="F114" s="29">
        <f>1-gdp_ind_share!F114-gdp_agr_share!F114</f>
        <v>0.41007177184800048</v>
      </c>
      <c r="G114" s="29">
        <f>1-gdp_ind_share!G114-gdp_agr_share!G114</f>
        <v>0.34425169390780253</v>
      </c>
      <c r="H114" s="29">
        <f>1-gdp_ind_share!H114-gdp_agr_share!H114</f>
        <v>0.37274802022266967</v>
      </c>
      <c r="I114" s="29">
        <f>1-gdp_ind_share!I114-gdp_agr_share!I114</f>
        <v>0.2415176208854129</v>
      </c>
      <c r="J114" s="29">
        <f>1-gdp_ind_share!J114-gdp_agr_share!J114</f>
        <v>0.28171190632941001</v>
      </c>
      <c r="K114" s="29">
        <f>1-gdp_ind_share!K114-gdp_agr_share!K114</f>
        <v>0.30044265763555528</v>
      </c>
      <c r="L114" s="30">
        <f>1-gdp_ind_share!L114-gdp_agr_share!L114</f>
        <v>0.32431009594036631</v>
      </c>
      <c r="M114" s="29">
        <f>1-gdp_ind_share!M114-gdp_agr_share!M114</f>
        <v>0.35295102190613958</v>
      </c>
      <c r="N114" s="29">
        <f>1-gdp_ind_share!N114-gdp_agr_share!N114</f>
        <v>0.5921613326626699</v>
      </c>
      <c r="O114" s="29">
        <f>1-gdp_ind_share!O114-gdp_agr_share!O114</f>
        <v>0.55821660396385209</v>
      </c>
      <c r="P114" s="29">
        <f>1-gdp_ind_share!P114-gdp_agr_share!P114</f>
        <v>0.57261031431859699</v>
      </c>
      <c r="Q114" s="29">
        <f>1-gdp_ind_share!Q114-gdp_agr_share!Q114</f>
        <v>0.57101778613894372</v>
      </c>
      <c r="R114" s="29">
        <f>1-gdp_ind_share!R114-gdp_agr_share!R114</f>
        <v>0.56760390896292467</v>
      </c>
      <c r="S114" s="29">
        <f>1-gdp_ind_share!S114-gdp_agr_share!S114</f>
        <v>0.54479860102571886</v>
      </c>
      <c r="T114" s="29">
        <f>1-gdp_ind_share!T114-gdp_agr_share!T114</f>
        <v>0.59087731697425339</v>
      </c>
      <c r="U114" s="29">
        <f>1-gdp_ind_share!U114-gdp_agr_share!U114</f>
        <v>0.58007164023681046</v>
      </c>
      <c r="V114" s="29">
        <f>1-gdp_ind_share!V114-gdp_agr_share!V114</f>
        <v>0.56556861323453766</v>
      </c>
      <c r="W114" s="29">
        <f>1-gdp_ind_share!W114-gdp_agr_share!W114</f>
        <v>0.57469357040832625</v>
      </c>
      <c r="X114" s="29">
        <f>1-gdp_ind_share!X114-gdp_agr_share!X114</f>
        <v>0.58627661543849785</v>
      </c>
      <c r="Y114" s="29">
        <f>1-gdp_ind_share!Y114-gdp_agr_share!Y114</f>
        <v>0.60248545281127086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x14ac:dyDescent="0.25">
      <c r="A115" s="1" t="s">
        <v>268</v>
      </c>
      <c r="B115" s="1" t="s">
        <v>273</v>
      </c>
      <c r="C115" s="1" t="s">
        <v>274</v>
      </c>
      <c r="D115" s="29">
        <f>1-gdp_ind_share!D115-gdp_agr_share!D115</f>
        <v>0.29340067228434019</v>
      </c>
      <c r="E115" s="29">
        <f>1-gdp_ind_share!E115-gdp_agr_share!E115</f>
        <v>0.26438175711536438</v>
      </c>
      <c r="F115" s="29">
        <f>1-gdp_ind_share!F115-gdp_agr_share!F115</f>
        <v>0.35405803336531266</v>
      </c>
      <c r="G115" s="29">
        <f>1-gdp_ind_share!G115-gdp_agr_share!G115</f>
        <v>0.3242381104172134</v>
      </c>
      <c r="H115" s="29">
        <f>1-gdp_ind_share!H115-gdp_agr_share!H115</f>
        <v>0.36366241160544777</v>
      </c>
      <c r="I115" s="29">
        <f>1-gdp_ind_share!I115-gdp_agr_share!I115</f>
        <v>0.34701291442926335</v>
      </c>
      <c r="J115" s="29">
        <f>1-gdp_ind_share!J115-gdp_agr_share!J115</f>
        <v>0.3360391871757677</v>
      </c>
      <c r="K115" s="29">
        <f>1-gdp_ind_share!K115-gdp_agr_share!K115</f>
        <v>0.42276877313331318</v>
      </c>
      <c r="L115" s="30">
        <f>1-gdp_ind_share!L115-gdp_agr_share!L115</f>
        <v>0.44879920192223244</v>
      </c>
      <c r="M115" s="29">
        <f>1-gdp_ind_share!M115-gdp_agr_share!M115</f>
        <v>0.48003571646893528</v>
      </c>
      <c r="N115" s="29">
        <f>1-gdp_ind_share!N115-gdp_agr_share!N115</f>
        <v>0.593913110280889</v>
      </c>
      <c r="O115" s="29">
        <f>1-gdp_ind_share!O115-gdp_agr_share!O115</f>
        <v>0.56187814078821874</v>
      </c>
      <c r="P115" s="29">
        <f>1-gdp_ind_share!P115-gdp_agr_share!P115</f>
        <v>0.55744840790347894</v>
      </c>
      <c r="Q115" s="29">
        <f>1-gdp_ind_share!Q115-gdp_agr_share!Q115</f>
        <v>0.57539705151699083</v>
      </c>
      <c r="R115" s="29">
        <f>1-gdp_ind_share!R115-gdp_agr_share!R115</f>
        <v>0.59345774181882593</v>
      </c>
      <c r="S115" s="29">
        <f>1-gdp_ind_share!S115-gdp_agr_share!S115</f>
        <v>0.60537237266808241</v>
      </c>
      <c r="T115" s="29">
        <f>1-gdp_ind_share!T115-gdp_agr_share!T115</f>
        <v>0.62897476707672539</v>
      </c>
      <c r="U115" s="29">
        <f>1-gdp_ind_share!U115-gdp_agr_share!U115</f>
        <v>0.63182566087717029</v>
      </c>
      <c r="V115" s="29">
        <f>1-gdp_ind_share!V115-gdp_agr_share!V115</f>
        <v>0.5600522425063057</v>
      </c>
      <c r="W115" s="29">
        <f>1-gdp_ind_share!W115-gdp_agr_share!W115</f>
        <v>0.53705869871431278</v>
      </c>
      <c r="X115" s="29">
        <f>1-gdp_ind_share!X115-gdp_agr_share!X115</f>
        <v>0.5980539103405369</v>
      </c>
      <c r="Y115" s="29">
        <f>1-gdp_ind_share!Y115-gdp_agr_share!Y115</f>
        <v>0.55358980819963599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x14ac:dyDescent="0.25">
      <c r="A116" s="1" t="s">
        <v>268</v>
      </c>
      <c r="B116" s="1" t="s">
        <v>275</v>
      </c>
      <c r="C116" s="1" t="s">
        <v>276</v>
      </c>
      <c r="D116" s="29">
        <f>1-gdp_ind_share!D116-gdp_agr_share!D116</f>
        <v>0.23357861002135749</v>
      </c>
      <c r="E116" s="29">
        <f>1-gdp_ind_share!E116-gdp_agr_share!E116</f>
        <v>0.32087235149398663</v>
      </c>
      <c r="F116" s="29">
        <f>1-gdp_ind_share!F116-gdp_agr_share!F116</f>
        <v>0.40883042788839785</v>
      </c>
      <c r="G116" s="29">
        <f>1-gdp_ind_share!G116-gdp_agr_share!G116</f>
        <v>0.44530542280258045</v>
      </c>
      <c r="H116" s="29">
        <f>1-gdp_ind_share!H116-gdp_agr_share!H116</f>
        <v>0.42672576975348131</v>
      </c>
      <c r="I116" s="29">
        <f>1-gdp_ind_share!I116-gdp_agr_share!I116</f>
        <v>0.35273090149718056</v>
      </c>
      <c r="J116" s="29">
        <f>1-gdp_ind_share!J116-gdp_agr_share!J116</f>
        <v>0.32894172165363317</v>
      </c>
      <c r="K116" s="29">
        <f>1-gdp_ind_share!K116-gdp_agr_share!K116</f>
        <v>0.35998330514813559</v>
      </c>
      <c r="L116" s="30">
        <f>1-gdp_ind_share!L116-gdp_agr_share!L116</f>
        <v>0.40507189579887171</v>
      </c>
      <c r="M116" s="29">
        <f>1-gdp_ind_share!M116-gdp_agr_share!M116</f>
        <v>0.45917820457975494</v>
      </c>
      <c r="N116" s="29">
        <f>1-gdp_ind_share!N116-gdp_agr_share!N116</f>
        <v>0.65882489915908538</v>
      </c>
      <c r="O116" s="29">
        <f>1-gdp_ind_share!O116-gdp_agr_share!O116</f>
        <v>0.64575518879549509</v>
      </c>
      <c r="P116" s="29">
        <f>1-gdp_ind_share!P116-gdp_agr_share!P116</f>
        <v>0.65397729265398719</v>
      </c>
      <c r="Q116" s="29">
        <f>1-gdp_ind_share!Q116-gdp_agr_share!Q116</f>
        <v>0.69291567977574742</v>
      </c>
      <c r="R116" s="29">
        <f>1-gdp_ind_share!R116-gdp_agr_share!R116</f>
        <v>0.70110592727378174</v>
      </c>
      <c r="S116" s="29">
        <f>1-gdp_ind_share!S116-gdp_agr_share!S116</f>
        <v>0.69410407125741258</v>
      </c>
      <c r="T116" s="29">
        <f>1-gdp_ind_share!T116-gdp_agr_share!T116</f>
        <v>0.70584103582727131</v>
      </c>
      <c r="U116" s="29">
        <f>1-gdp_ind_share!U116-gdp_agr_share!U116</f>
        <v>0.69411121206243365</v>
      </c>
      <c r="V116" s="29">
        <f>1-gdp_ind_share!V116-gdp_agr_share!V116</f>
        <v>0.68884211102142401</v>
      </c>
      <c r="W116" s="29">
        <f>1-gdp_ind_share!W116-gdp_agr_share!W116</f>
        <v>0.70725757821159807</v>
      </c>
      <c r="X116" s="29">
        <f>1-gdp_ind_share!X116-gdp_agr_share!X116</f>
        <v>0.7222470662595234</v>
      </c>
      <c r="Y116" s="29">
        <f>1-gdp_ind_share!Y116-gdp_agr_share!Y116</f>
        <v>0.72649610011189869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x14ac:dyDescent="0.25">
      <c r="A117" s="1" t="s">
        <v>268</v>
      </c>
      <c r="B117" s="1" t="s">
        <v>277</v>
      </c>
      <c r="C117" s="1" t="s">
        <v>278</v>
      </c>
      <c r="D117" s="29">
        <f>1-gdp_ind_share!D117-gdp_agr_share!D117</f>
        <v>0.51679447489767161</v>
      </c>
      <c r="E117" s="29">
        <f>1-gdp_ind_share!E117-gdp_agr_share!E117</f>
        <v>0.69285648421467994</v>
      </c>
      <c r="F117" s="29">
        <f>1-gdp_ind_share!F117-gdp_agr_share!F117</f>
        <v>0.58318517879781961</v>
      </c>
      <c r="G117" s="29">
        <f>1-gdp_ind_share!G117-gdp_agr_share!G117</f>
        <v>0.54172849607494333</v>
      </c>
      <c r="H117" s="29">
        <f>1-gdp_ind_share!H117-gdp_agr_share!H117</f>
        <v>0.67626021747434439</v>
      </c>
      <c r="I117" s="29">
        <f>1-gdp_ind_share!I117-gdp_agr_share!I117</f>
        <v>0.62453765434529318</v>
      </c>
      <c r="J117" s="29">
        <f>1-gdp_ind_share!J117-gdp_agr_share!J117</f>
        <v>0.64318863799884374</v>
      </c>
      <c r="K117" s="29">
        <f>1-gdp_ind_share!K117-gdp_agr_share!K117</f>
        <v>0.77562228452704429</v>
      </c>
      <c r="L117" s="30">
        <f>1-gdp_ind_share!L117-gdp_agr_share!L117</f>
        <v>0.79391631068804891</v>
      </c>
      <c r="M117" s="29">
        <f>1-gdp_ind_share!M117-gdp_agr_share!M117</f>
        <v>0.81586914208125427</v>
      </c>
      <c r="N117" s="29">
        <f>1-gdp_ind_share!N117-gdp_agr_share!N117</f>
        <v>0.82647646683445719</v>
      </c>
      <c r="O117" s="29">
        <f>1-gdp_ind_share!O117-gdp_agr_share!O117</f>
        <v>0.80831110686863072</v>
      </c>
      <c r="P117" s="29">
        <f>1-gdp_ind_share!P117-gdp_agr_share!P117</f>
        <v>0.81963146871761383</v>
      </c>
      <c r="Q117" s="29">
        <f>1-gdp_ind_share!Q117-gdp_agr_share!Q117</f>
        <v>0.81162763743282207</v>
      </c>
      <c r="R117" s="29">
        <f>1-gdp_ind_share!R117-gdp_agr_share!R117</f>
        <v>0.8224138508612876</v>
      </c>
      <c r="S117" s="29">
        <f>1-gdp_ind_share!S117-gdp_agr_share!S117</f>
        <v>0.81608919600741547</v>
      </c>
      <c r="T117" s="29">
        <f>1-gdp_ind_share!T117-gdp_agr_share!T117</f>
        <v>0.83131363484356946</v>
      </c>
      <c r="U117" s="29">
        <f>1-gdp_ind_share!U117-gdp_agr_share!U117</f>
        <v>0.82780689159843857</v>
      </c>
      <c r="V117" s="29">
        <f>1-gdp_ind_share!V117-gdp_agr_share!V117</f>
        <v>0.79543772721685624</v>
      </c>
      <c r="W117" s="29">
        <f>1-gdp_ind_share!W117-gdp_agr_share!W117</f>
        <v>0.81851615592592541</v>
      </c>
      <c r="X117" s="29">
        <f>1-gdp_ind_share!X117-gdp_agr_share!X117</f>
        <v>0.80395822369107051</v>
      </c>
      <c r="Y117" s="29">
        <f>1-gdp_ind_share!Y117-gdp_agr_share!Y117</f>
        <v>0.78553790470710505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x14ac:dyDescent="0.25">
      <c r="A118" s="1" t="s">
        <v>268</v>
      </c>
      <c r="B118" s="1" t="s">
        <v>279</v>
      </c>
      <c r="C118" s="1" t="s">
        <v>280</v>
      </c>
      <c r="D118" s="29">
        <f>1-gdp_ind_share!D118-gdp_agr_share!D118</f>
        <v>0.22793736641682494</v>
      </c>
      <c r="E118" s="29">
        <f>1-gdp_ind_share!E118-gdp_agr_share!E118</f>
        <v>0.35920046437897279</v>
      </c>
      <c r="F118" s="29">
        <f>1-gdp_ind_share!F118-gdp_agr_share!F118</f>
        <v>0.25055740723642994</v>
      </c>
      <c r="G118" s="29">
        <f>1-gdp_ind_share!G118-gdp_agr_share!G118</f>
        <v>0.36597211590564394</v>
      </c>
      <c r="H118" s="29">
        <f>1-gdp_ind_share!H118-gdp_agr_share!H118</f>
        <v>0.3804276724478638</v>
      </c>
      <c r="I118" s="29">
        <f>1-gdp_ind_share!I118-gdp_agr_share!I118</f>
        <v>0.32830882339981537</v>
      </c>
      <c r="J118" s="29">
        <f>1-gdp_ind_share!J118-gdp_agr_share!J118</f>
        <v>0.29687935584045694</v>
      </c>
      <c r="K118" s="29">
        <f>1-gdp_ind_share!K118-gdp_agr_share!K118</f>
        <v>0.38226751218976313</v>
      </c>
      <c r="L118" s="30">
        <f>1-gdp_ind_share!L118-gdp_agr_share!L118</f>
        <v>0.42022301807556162</v>
      </c>
      <c r="M118" s="29">
        <f>1-gdp_ind_share!M118-gdp_agr_share!M118</f>
        <v>0.46576962513852005</v>
      </c>
      <c r="N118" s="29">
        <f>1-gdp_ind_share!N118-gdp_agr_share!N118</f>
        <v>0.59718076653876562</v>
      </c>
      <c r="O118" s="29">
        <f>1-gdp_ind_share!O118-gdp_agr_share!O118</f>
        <v>0.55042176203321025</v>
      </c>
      <c r="P118" s="29">
        <f>1-gdp_ind_share!P118-gdp_agr_share!P118</f>
        <v>0.57050348764640957</v>
      </c>
      <c r="Q118" s="29">
        <f>1-gdp_ind_share!Q118-gdp_agr_share!Q118</f>
        <v>0.63135073197550728</v>
      </c>
      <c r="R118" s="29">
        <f>1-gdp_ind_share!R118-gdp_agr_share!R118</f>
        <v>0.64326502508958439</v>
      </c>
      <c r="S118" s="29">
        <f>1-gdp_ind_share!S118-gdp_agr_share!S118</f>
        <v>0.64531534335559826</v>
      </c>
      <c r="T118" s="29">
        <f>1-gdp_ind_share!T118-gdp_agr_share!T118</f>
        <v>0.65476951878943668</v>
      </c>
      <c r="U118" s="29">
        <f>1-gdp_ind_share!U118-gdp_agr_share!U118</f>
        <v>0.64060268731384351</v>
      </c>
      <c r="V118" s="29">
        <f>1-gdp_ind_share!V118-gdp_agr_share!V118</f>
        <v>0.62737368142255778</v>
      </c>
      <c r="W118" s="29">
        <f>1-gdp_ind_share!W118-gdp_agr_share!W118</f>
        <v>0.63507765722559339</v>
      </c>
      <c r="X118" s="29">
        <f>1-gdp_ind_share!X118-gdp_agr_share!X118</f>
        <v>0.66001455101008188</v>
      </c>
      <c r="Y118" s="29">
        <f>1-gdp_ind_share!Y118-gdp_agr_share!Y118</f>
        <v>0.63749208283650116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x14ac:dyDescent="0.25">
      <c r="A119" s="1" t="s">
        <v>281</v>
      </c>
      <c r="B119" s="1" t="s">
        <v>282</v>
      </c>
      <c r="C119" s="1" t="s">
        <v>283</v>
      </c>
      <c r="D119" s="29">
        <f>1-gdp_ind_share!D119-gdp_agr_share!D119</f>
        <v>0.23726969995698954</v>
      </c>
      <c r="E119" s="29">
        <f>1-gdp_ind_share!E119-gdp_agr_share!E119</f>
        <v>0.38906112534843207</v>
      </c>
      <c r="F119" s="29">
        <f>1-gdp_ind_share!F119-gdp_agr_share!F119</f>
        <v>0.37417164712461792</v>
      </c>
      <c r="G119" s="29">
        <f>1-gdp_ind_share!G119-gdp_agr_share!G119</f>
        <v>0.29627631992711678</v>
      </c>
      <c r="H119" s="29">
        <f>1-gdp_ind_share!H119-gdp_agr_share!H119</f>
        <v>0.60464725988177248</v>
      </c>
      <c r="I119" s="29">
        <f>1-gdp_ind_share!I119-gdp_agr_share!I119</f>
        <v>0.40522684345887333</v>
      </c>
      <c r="J119" s="29">
        <f>1-gdp_ind_share!J119-gdp_agr_share!J119</f>
        <v>0.37962584723976167</v>
      </c>
      <c r="K119" s="29">
        <f>1-gdp_ind_share!K119-gdp_agr_share!K119</f>
        <v>0.30753878026610215</v>
      </c>
      <c r="L119" s="30">
        <f>1-gdp_ind_share!L119-gdp_agr_share!L119</f>
        <v>0.32551232443488898</v>
      </c>
      <c r="M119" s="29">
        <f>1-gdp_ind_share!M119-gdp_agr_share!M119</f>
        <v>0.34708057743743309</v>
      </c>
      <c r="N119" s="29">
        <f>1-gdp_ind_share!N119-gdp_agr_share!N119</f>
        <v>0.64924418547363283</v>
      </c>
      <c r="O119" s="29">
        <f>1-gdp_ind_share!O119-gdp_agr_share!O119</f>
        <v>0.67182362893662795</v>
      </c>
      <c r="P119" s="29">
        <f>1-gdp_ind_share!P119-gdp_agr_share!P119</f>
        <v>0.33977616903358321</v>
      </c>
      <c r="Q119" s="29">
        <f>1-gdp_ind_share!Q119-gdp_agr_share!Q119</f>
        <v>0.20632557973165877</v>
      </c>
      <c r="R119" s="29">
        <f>1-gdp_ind_share!R119-gdp_agr_share!R119</f>
        <v>0.19295434799276515</v>
      </c>
      <c r="S119" s="29">
        <f>1-gdp_ind_share!S119-gdp_agr_share!S119</f>
        <v>0.1934164723538524</v>
      </c>
      <c r="T119" s="29">
        <f>1-gdp_ind_share!T119-gdp_agr_share!T119</f>
        <v>0.22207539397206655</v>
      </c>
      <c r="U119" s="29">
        <f>1-gdp_ind_share!U119-gdp_agr_share!U119</f>
        <v>0.29464054715201032</v>
      </c>
      <c r="V119" s="29">
        <f>1-gdp_ind_share!V119-gdp_agr_share!V119</f>
        <v>0.30897700560849783</v>
      </c>
      <c r="W119" s="29">
        <f>1-gdp_ind_share!W119-gdp_agr_share!W119</f>
        <v>0.27333222034983601</v>
      </c>
      <c r="X119" s="29">
        <f>1-gdp_ind_share!X119-gdp_agr_share!X119</f>
        <v>0.32732870630850996</v>
      </c>
      <c r="Y119" s="29">
        <f>1-gdp_ind_share!Y119-gdp_agr_share!Y119</f>
        <v>0.28425858463447068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x14ac:dyDescent="0.25">
      <c r="A120" s="1" t="s">
        <v>281</v>
      </c>
      <c r="B120" s="1" t="s">
        <v>284</v>
      </c>
      <c r="C120" s="1" t="s">
        <v>285</v>
      </c>
      <c r="D120" s="29">
        <f>1-gdp_ind_share!D120-gdp_agr_share!D120</f>
        <v>0.21585736222402063</v>
      </c>
      <c r="E120" s="29">
        <f>1-gdp_ind_share!E120-gdp_agr_share!E120</f>
        <v>0.33603973135155574</v>
      </c>
      <c r="F120" s="29">
        <f>1-gdp_ind_share!F120-gdp_agr_share!F120</f>
        <v>0.37971581101698759</v>
      </c>
      <c r="G120" s="29">
        <f>1-gdp_ind_share!G120-gdp_agr_share!G120</f>
        <v>0.33346181946299336</v>
      </c>
      <c r="H120" s="29">
        <f>1-gdp_ind_share!H120-gdp_agr_share!H120</f>
        <v>0.37426861333225825</v>
      </c>
      <c r="I120" s="29">
        <f>1-gdp_ind_share!I120-gdp_agr_share!I120</f>
        <v>0.39119147753546402</v>
      </c>
      <c r="J120" s="29">
        <f>1-gdp_ind_share!J120-gdp_agr_share!J120</f>
        <v>0.41186691868990355</v>
      </c>
      <c r="K120" s="29">
        <f>1-gdp_ind_share!K120-gdp_agr_share!K120</f>
        <v>0.33879252748760635</v>
      </c>
      <c r="L120" s="30">
        <f>1-gdp_ind_share!L120-gdp_agr_share!L120</f>
        <v>0.43426736031519347</v>
      </c>
      <c r="M120" s="29">
        <f>1-gdp_ind_share!M120-gdp_agr_share!M120</f>
        <v>0.54883715970829816</v>
      </c>
      <c r="N120" s="29">
        <f>1-gdp_ind_share!N120-gdp_agr_share!N120</f>
        <v>0.77074815533339947</v>
      </c>
      <c r="O120" s="29">
        <f>1-gdp_ind_share!O120-gdp_agr_share!O120</f>
        <v>0.77719081455574957</v>
      </c>
      <c r="P120" s="29">
        <f>1-gdp_ind_share!P120-gdp_agr_share!P120</f>
        <v>0.7826581758874892</v>
      </c>
      <c r="Q120" s="29">
        <f>1-gdp_ind_share!Q120-gdp_agr_share!Q120</f>
        <v>0.72924521294394751</v>
      </c>
      <c r="R120" s="29">
        <f>1-gdp_ind_share!R120-gdp_agr_share!R120</f>
        <v>0.68400302274093305</v>
      </c>
      <c r="S120" s="29">
        <f>1-gdp_ind_share!S120-gdp_agr_share!S120</f>
        <v>0.72768052047479048</v>
      </c>
      <c r="T120" s="29">
        <f>1-gdp_ind_share!T120-gdp_agr_share!T120</f>
        <v>0.76676091035055727</v>
      </c>
      <c r="U120" s="29">
        <f>1-gdp_ind_share!U120-gdp_agr_share!U120</f>
        <v>0.7597430357379984</v>
      </c>
      <c r="V120" s="29">
        <f>1-gdp_ind_share!V120-gdp_agr_share!V120</f>
        <v>0.76527370705849429</v>
      </c>
      <c r="W120" s="29">
        <f>1-gdp_ind_share!W120-gdp_agr_share!W120</f>
        <v>0.726429247730769</v>
      </c>
      <c r="X120" s="29">
        <f>1-gdp_ind_share!X120-gdp_agr_share!X120</f>
        <v>0.74429012536281769</v>
      </c>
      <c r="Y120" s="29">
        <f>1-gdp_ind_share!Y120-gdp_agr_share!Y120</f>
        <v>0.76324603792302348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x14ac:dyDescent="0.25">
      <c r="A121" s="1" t="s">
        <v>281</v>
      </c>
      <c r="B121" s="1" t="s">
        <v>286</v>
      </c>
      <c r="C121" s="1" t="s">
        <v>287</v>
      </c>
      <c r="D121" s="29">
        <f>1-gdp_ind_share!D121-gdp_agr_share!D121</f>
        <v>0.48461028156029462</v>
      </c>
      <c r="E121" s="29">
        <f>1-gdp_ind_share!E121-gdp_agr_share!E121</f>
        <v>0.53677589209890553</v>
      </c>
      <c r="F121" s="29">
        <f>1-gdp_ind_share!F121-gdp_agr_share!F121</f>
        <v>0.52286227429977616</v>
      </c>
      <c r="G121" s="29">
        <f>1-gdp_ind_share!G121-gdp_agr_share!G121</f>
        <v>0.57927261901066296</v>
      </c>
      <c r="H121" s="29">
        <f>1-gdp_ind_share!H121-gdp_agr_share!H121</f>
        <v>0.50602983536715407</v>
      </c>
      <c r="I121" s="29">
        <f>1-gdp_ind_share!I121-gdp_agr_share!I121</f>
        <v>0.49076555266253241</v>
      </c>
      <c r="J121" s="29">
        <f>1-gdp_ind_share!J121-gdp_agr_share!J121</f>
        <v>0.58025515151191442</v>
      </c>
      <c r="K121" s="29">
        <f>1-gdp_ind_share!K121-gdp_agr_share!K121</f>
        <v>0.40415120422148842</v>
      </c>
      <c r="L121" s="30">
        <f>1-gdp_ind_share!L121-gdp_agr_share!L121</f>
        <v>0.50789247594835463</v>
      </c>
      <c r="M121" s="29">
        <f>1-gdp_ind_share!M121-gdp_agr_share!M121</f>
        <v>0.63238200202059414</v>
      </c>
      <c r="N121" s="29">
        <f>1-gdp_ind_share!N121-gdp_agr_share!N121</f>
        <v>0.72561199918285224</v>
      </c>
      <c r="O121" s="29">
        <f>1-gdp_ind_share!O121-gdp_agr_share!O121</f>
        <v>0.73712799671377749</v>
      </c>
      <c r="P121" s="29">
        <f>1-gdp_ind_share!P121-gdp_agr_share!P121</f>
        <v>0.72040171833370958</v>
      </c>
      <c r="Q121" s="29">
        <f>1-gdp_ind_share!Q121-gdp_agr_share!Q121</f>
        <v>0.6742188606566476</v>
      </c>
      <c r="R121" s="29">
        <f>1-gdp_ind_share!R121-gdp_agr_share!R121</f>
        <v>0.65610807560152917</v>
      </c>
      <c r="S121" s="29">
        <f>1-gdp_ind_share!S121-gdp_agr_share!S121</f>
        <v>0.65394212152099684</v>
      </c>
      <c r="T121" s="29">
        <f>1-gdp_ind_share!T121-gdp_agr_share!T121</f>
        <v>0.67083271841331249</v>
      </c>
      <c r="U121" s="29">
        <f>1-gdp_ind_share!U121-gdp_agr_share!U121</f>
        <v>0.65768451848920706</v>
      </c>
      <c r="V121" s="29">
        <f>1-gdp_ind_share!V121-gdp_agr_share!V121</f>
        <v>0.67150908797136444</v>
      </c>
      <c r="W121" s="29">
        <f>1-gdp_ind_share!W121-gdp_agr_share!W121</f>
        <v>0.63855491946153786</v>
      </c>
      <c r="X121" s="29">
        <f>1-gdp_ind_share!X121-gdp_agr_share!X121</f>
        <v>0.68562773688767509</v>
      </c>
      <c r="Y121" s="29">
        <f>1-gdp_ind_share!Y121-gdp_agr_share!Y121</f>
        <v>0.68935481467988591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x14ac:dyDescent="0.25">
      <c r="A122" s="1" t="s">
        <v>288</v>
      </c>
      <c r="B122" s="1" t="s">
        <v>289</v>
      </c>
      <c r="C122" s="1" t="s">
        <v>290</v>
      </c>
      <c r="D122" s="29">
        <f>1-gdp_ind_share!D122-gdp_agr_share!D122</f>
        <v>0.14106610192272173</v>
      </c>
      <c r="E122" s="29">
        <f>1-gdp_ind_share!E122-gdp_agr_share!E122</f>
        <v>0.37339499629970874</v>
      </c>
      <c r="F122" s="29">
        <f>1-gdp_ind_share!F122-gdp_agr_share!F122</f>
        <v>0.36241828462409886</v>
      </c>
      <c r="G122" s="29">
        <f>1-gdp_ind_share!G122-gdp_agr_share!G122</f>
        <v>0.44063211271140201</v>
      </c>
      <c r="H122" s="29">
        <f>1-gdp_ind_share!H122-gdp_agr_share!H122</f>
        <v>0.48714175385980024</v>
      </c>
      <c r="I122" s="29">
        <f>1-gdp_ind_share!I122-gdp_agr_share!I122</f>
        <v>0.40662070563758501</v>
      </c>
      <c r="J122" s="29">
        <f>1-gdp_ind_share!J122-gdp_agr_share!J122</f>
        <v>0.41333535240974134</v>
      </c>
      <c r="K122" s="29">
        <f>1-gdp_ind_share!K122-gdp_agr_share!K122</f>
        <v>0.43105586481613772</v>
      </c>
      <c r="L122" s="30">
        <f>1-gdp_ind_share!L122-gdp_agr_share!L122</f>
        <v>0.50612377402695585</v>
      </c>
      <c r="M122" s="29">
        <f>1-gdp_ind_share!M122-gdp_agr_share!M122</f>
        <v>0.59620526507993765</v>
      </c>
      <c r="N122" s="29">
        <f>1-gdp_ind_share!N122-gdp_agr_share!N122</f>
        <v>0.70300624166218106</v>
      </c>
      <c r="O122" s="29">
        <f>1-gdp_ind_share!O122-gdp_agr_share!O122</f>
        <v>0.72185589906811154</v>
      </c>
      <c r="P122" s="29">
        <f>1-gdp_ind_share!P122-gdp_agr_share!P122</f>
        <v>0.69451247908986291</v>
      </c>
      <c r="Q122" s="29">
        <f>1-gdp_ind_share!Q122-gdp_agr_share!Q122</f>
        <v>0.67214123408978088</v>
      </c>
      <c r="R122" s="29">
        <f>1-gdp_ind_share!R122-gdp_agr_share!R122</f>
        <v>0.65979470984090249</v>
      </c>
      <c r="S122" s="29">
        <f>1-gdp_ind_share!S122-gdp_agr_share!S122</f>
        <v>0.69540054303652132</v>
      </c>
      <c r="T122" s="29">
        <f>1-gdp_ind_share!T122-gdp_agr_share!T122</f>
        <v>0.69704152067590841</v>
      </c>
      <c r="U122" s="29">
        <f>1-gdp_ind_share!U122-gdp_agr_share!U122</f>
        <v>0.69584558032534927</v>
      </c>
      <c r="V122" s="29">
        <f>1-gdp_ind_share!V122-gdp_agr_share!V122</f>
        <v>0.70355934759829508</v>
      </c>
      <c r="W122" s="29">
        <f>1-gdp_ind_share!W122-gdp_agr_share!W122</f>
        <v>0.71238260583039026</v>
      </c>
      <c r="X122" s="29">
        <f>1-gdp_ind_share!X122-gdp_agr_share!X122</f>
        <v>0.69686879108573885</v>
      </c>
      <c r="Y122" s="29">
        <f>1-gdp_ind_share!Y122-gdp_agr_share!Y122</f>
        <v>0.70509888255990039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x14ac:dyDescent="0.25">
      <c r="A123" s="1" t="s">
        <v>288</v>
      </c>
      <c r="B123" s="1" t="s">
        <v>291</v>
      </c>
      <c r="C123" s="1" t="s">
        <v>292</v>
      </c>
      <c r="D123" s="29">
        <f>1-gdp_ind_share!D123-gdp_agr_share!D123</f>
        <v>0.17884138174366848</v>
      </c>
      <c r="E123" s="29">
        <f>1-gdp_ind_share!E123-gdp_agr_share!E123</f>
        <v>0.47831753566491902</v>
      </c>
      <c r="F123" s="29">
        <f>1-gdp_ind_share!F123-gdp_agr_share!F123</f>
        <v>0.45313174593487493</v>
      </c>
      <c r="G123" s="29">
        <f>1-gdp_ind_share!G123-gdp_agr_share!G123</f>
        <v>0.4500309593187436</v>
      </c>
      <c r="H123" s="29">
        <f>1-gdp_ind_share!H123-gdp_agr_share!H123</f>
        <v>0.43191862926895724</v>
      </c>
      <c r="I123" s="29">
        <f>1-gdp_ind_share!I123-gdp_agr_share!I123</f>
        <v>0.43633565624036136</v>
      </c>
      <c r="J123" s="29">
        <f>1-gdp_ind_share!J123-gdp_agr_share!J123</f>
        <v>0.41598242996156087</v>
      </c>
      <c r="K123" s="29">
        <f>1-gdp_ind_share!K123-gdp_agr_share!K123</f>
        <v>0.36913660728817932</v>
      </c>
      <c r="L123" s="30">
        <f>1-gdp_ind_share!L123-gdp_agr_share!L123</f>
        <v>0.45718354043542586</v>
      </c>
      <c r="M123" s="29">
        <f>1-gdp_ind_share!M123-gdp_agr_share!M123</f>
        <v>0.56283986021212185</v>
      </c>
      <c r="N123" s="29">
        <f>1-gdp_ind_share!N123-gdp_agr_share!N123</f>
        <v>0.70094151280223438</v>
      </c>
      <c r="O123" s="29">
        <f>1-gdp_ind_share!O123-gdp_agr_share!O123</f>
        <v>0.70380932372593208</v>
      </c>
      <c r="P123" s="29">
        <f>1-gdp_ind_share!P123-gdp_agr_share!P123</f>
        <v>0.69354230489384483</v>
      </c>
      <c r="Q123" s="29">
        <f>1-gdp_ind_share!Q123-gdp_agr_share!Q123</f>
        <v>0.6972761186806955</v>
      </c>
      <c r="R123" s="29">
        <f>1-gdp_ind_share!R123-gdp_agr_share!R123</f>
        <v>0.70902765646501154</v>
      </c>
      <c r="S123" s="29">
        <f>1-gdp_ind_share!S123-gdp_agr_share!S123</f>
        <v>0.71560225283038048</v>
      </c>
      <c r="T123" s="29">
        <f>1-gdp_ind_share!T123-gdp_agr_share!T123</f>
        <v>0.69357546544569693</v>
      </c>
      <c r="U123" s="29">
        <f>1-gdp_ind_share!U123-gdp_agr_share!U123</f>
        <v>0.68807103147742821</v>
      </c>
      <c r="V123" s="29">
        <f>1-gdp_ind_share!V123-gdp_agr_share!V123</f>
        <v>0.69703537891433154</v>
      </c>
      <c r="W123" s="29">
        <f>1-gdp_ind_share!W123-gdp_agr_share!W123</f>
        <v>0.70781471247622374</v>
      </c>
      <c r="X123" s="29">
        <f>1-gdp_ind_share!X123-gdp_agr_share!X123</f>
        <v>0.6987663297406127</v>
      </c>
      <c r="Y123" s="29">
        <f>1-gdp_ind_share!Y123-gdp_agr_share!Y123</f>
        <v>0.70641458230653886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x14ac:dyDescent="0.25">
      <c r="A124" s="1" t="s">
        <v>288</v>
      </c>
      <c r="B124" s="1" t="s">
        <v>293</v>
      </c>
      <c r="C124" s="1" t="s">
        <v>294</v>
      </c>
      <c r="D124" s="29">
        <f>1-gdp_ind_share!D124-gdp_agr_share!D124</f>
        <v>0.12981543431888487</v>
      </c>
      <c r="E124" s="29">
        <f>1-gdp_ind_share!E124-gdp_agr_share!E124</f>
        <v>0.34952470872260488</v>
      </c>
      <c r="F124" s="29">
        <f>1-gdp_ind_share!F124-gdp_agr_share!F124</f>
        <v>0.38016803331613591</v>
      </c>
      <c r="G124" s="29">
        <f>1-gdp_ind_share!G124-gdp_agr_share!G124</f>
        <v>0.3585903204880771</v>
      </c>
      <c r="H124" s="29">
        <f>1-gdp_ind_share!H124-gdp_agr_share!H124</f>
        <v>0.3557727270683313</v>
      </c>
      <c r="I124" s="29">
        <f>1-gdp_ind_share!I124-gdp_agr_share!I124</f>
        <v>0.34900005614451091</v>
      </c>
      <c r="J124" s="29">
        <f>1-gdp_ind_share!J124-gdp_agr_share!J124</f>
        <v>0.38851167698193412</v>
      </c>
      <c r="K124" s="29">
        <f>1-gdp_ind_share!K124-gdp_agr_share!K124</f>
        <v>0.38061162536925197</v>
      </c>
      <c r="L124" s="30">
        <f>1-gdp_ind_share!L124-gdp_agr_share!L124</f>
        <v>0.47130735919077693</v>
      </c>
      <c r="M124" s="29">
        <f>1-gdp_ind_share!M124-gdp_agr_share!M124</f>
        <v>0.58014223977660695</v>
      </c>
      <c r="N124" s="29">
        <f>1-gdp_ind_share!N124-gdp_agr_share!N124</f>
        <v>0.58717274617116533</v>
      </c>
      <c r="O124" s="29">
        <f>1-gdp_ind_share!O124-gdp_agr_share!O124</f>
        <v>0.57508596803817824</v>
      </c>
      <c r="P124" s="29">
        <f>1-gdp_ind_share!P124-gdp_agr_share!P124</f>
        <v>0.61625029952630817</v>
      </c>
      <c r="Q124" s="29">
        <f>1-gdp_ind_share!Q124-gdp_agr_share!Q124</f>
        <v>0.67055291208356493</v>
      </c>
      <c r="R124" s="29">
        <f>1-gdp_ind_share!R124-gdp_agr_share!R124</f>
        <v>0.66023472649554638</v>
      </c>
      <c r="S124" s="29">
        <f>1-gdp_ind_share!S124-gdp_agr_share!S124</f>
        <v>0.68304409336317984</v>
      </c>
      <c r="T124" s="29">
        <f>1-gdp_ind_share!T124-gdp_agr_share!T124</f>
        <v>0.69402746691631367</v>
      </c>
      <c r="U124" s="29">
        <f>1-gdp_ind_share!U124-gdp_agr_share!U124</f>
        <v>0.68408171956245545</v>
      </c>
      <c r="V124" s="29">
        <f>1-gdp_ind_share!V124-gdp_agr_share!V124</f>
        <v>0.68155198293812802</v>
      </c>
      <c r="W124" s="29">
        <f>1-gdp_ind_share!W124-gdp_agr_share!W124</f>
        <v>0.6935677599206741</v>
      </c>
      <c r="X124" s="29">
        <f>1-gdp_ind_share!X124-gdp_agr_share!X124</f>
        <v>0.66711936683388917</v>
      </c>
      <c r="Y124" s="29">
        <f>1-gdp_ind_share!Y124-gdp_agr_share!Y124</f>
        <v>0.68109631839659701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x14ac:dyDescent="0.25">
      <c r="A125" s="1" t="s">
        <v>288</v>
      </c>
      <c r="B125" s="1" t="s">
        <v>295</v>
      </c>
      <c r="C125" s="1" t="s">
        <v>296</v>
      </c>
      <c r="D125" s="29">
        <f>1-gdp_ind_share!D125-gdp_agr_share!D125</f>
        <v>0.17271436106675409</v>
      </c>
      <c r="E125" s="29">
        <f>1-gdp_ind_share!E125-gdp_agr_share!E125</f>
        <v>0.42030387580598511</v>
      </c>
      <c r="F125" s="29">
        <f>1-gdp_ind_share!F125-gdp_agr_share!F125</f>
        <v>0.42256223394638398</v>
      </c>
      <c r="G125" s="29">
        <f>1-gdp_ind_share!G125-gdp_agr_share!G125</f>
        <v>0.43901359781730859</v>
      </c>
      <c r="H125" s="29">
        <f>1-gdp_ind_share!H125-gdp_agr_share!H125</f>
        <v>0.47790151291562316</v>
      </c>
      <c r="I125" s="29">
        <f>1-gdp_ind_share!I125-gdp_agr_share!I125</f>
        <v>0.44414275035599138</v>
      </c>
      <c r="J125" s="29">
        <f>1-gdp_ind_share!J125-gdp_agr_share!J125</f>
        <v>0.4331364346674425</v>
      </c>
      <c r="K125" s="29">
        <f>1-gdp_ind_share!K125-gdp_agr_share!K125</f>
        <v>0.40682883353183058</v>
      </c>
      <c r="L125" s="30">
        <f>1-gdp_ind_share!L125-gdp_agr_share!L125</f>
        <v>0.49878177393061529</v>
      </c>
      <c r="M125" s="29">
        <f>1-gdp_ind_share!M125-gdp_agr_share!M125</f>
        <v>0.60912530240915674</v>
      </c>
      <c r="N125" s="29">
        <f>1-gdp_ind_share!N125-gdp_agr_share!N125</f>
        <v>0.71910127394843082</v>
      </c>
      <c r="O125" s="29">
        <f>1-gdp_ind_share!O125-gdp_agr_share!O125</f>
        <v>0.71090756493941443</v>
      </c>
      <c r="P125" s="29">
        <f>1-gdp_ind_share!P125-gdp_agr_share!P125</f>
        <v>0.69529425858646632</v>
      </c>
      <c r="Q125" s="29">
        <f>1-gdp_ind_share!Q125-gdp_agr_share!Q125</f>
        <v>0.65141747850166043</v>
      </c>
      <c r="R125" s="29">
        <f>1-gdp_ind_share!R125-gdp_agr_share!R125</f>
        <v>0.63855109700109325</v>
      </c>
      <c r="S125" s="29">
        <f>1-gdp_ind_share!S125-gdp_agr_share!S125</f>
        <v>0.6451526382184648</v>
      </c>
      <c r="T125" s="29">
        <f>1-gdp_ind_share!T125-gdp_agr_share!T125</f>
        <v>0.63165941382029211</v>
      </c>
      <c r="U125" s="29">
        <f>1-gdp_ind_share!U125-gdp_agr_share!U125</f>
        <v>0.64241152537280999</v>
      </c>
      <c r="V125" s="29">
        <f>1-gdp_ind_share!V125-gdp_agr_share!V125</f>
        <v>0.62217861811117547</v>
      </c>
      <c r="W125" s="29">
        <f>1-gdp_ind_share!W125-gdp_agr_share!W125</f>
        <v>0.64392659932146135</v>
      </c>
      <c r="X125" s="29">
        <f>1-gdp_ind_share!X125-gdp_agr_share!X125</f>
        <v>0.6471535928411174</v>
      </c>
      <c r="Y125" s="29">
        <f>1-gdp_ind_share!Y125-gdp_agr_share!Y125</f>
        <v>0.64110036861170727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x14ac:dyDescent="0.25">
      <c r="A126" s="1" t="s">
        <v>288</v>
      </c>
      <c r="B126" s="1" t="s">
        <v>297</v>
      </c>
      <c r="C126" s="1" t="s">
        <v>298</v>
      </c>
      <c r="D126" s="29">
        <f>1-gdp_ind_share!D126-gdp_agr_share!D126</f>
        <v>0.18483089667472474</v>
      </c>
      <c r="E126" s="29">
        <f>1-gdp_ind_share!E126-gdp_agr_share!E126</f>
        <v>0.44104580534912469</v>
      </c>
      <c r="F126" s="29">
        <f>1-gdp_ind_share!F126-gdp_agr_share!F126</f>
        <v>0.39203136189177512</v>
      </c>
      <c r="G126" s="29">
        <f>1-gdp_ind_share!G126-gdp_agr_share!G126</f>
        <v>0.38684073709353384</v>
      </c>
      <c r="H126" s="29">
        <f>1-gdp_ind_share!H126-gdp_agr_share!H126</f>
        <v>0.41492733651519587</v>
      </c>
      <c r="I126" s="29">
        <f>1-gdp_ind_share!I126-gdp_agr_share!I126</f>
        <v>0.35005410761589989</v>
      </c>
      <c r="J126" s="29">
        <f>1-gdp_ind_share!J126-gdp_agr_share!J126</f>
        <v>0.36067053857961007</v>
      </c>
      <c r="K126" s="29">
        <f>1-gdp_ind_share!K126-gdp_agr_share!K126</f>
        <v>0.30806586497215005</v>
      </c>
      <c r="L126" s="30">
        <f>1-gdp_ind_share!L126-gdp_agr_share!L126</f>
        <v>0.37790799841948347</v>
      </c>
      <c r="M126" s="29">
        <f>1-gdp_ind_share!M126-gdp_agr_share!M126</f>
        <v>0.46171855855628352</v>
      </c>
      <c r="N126" s="29">
        <f>1-gdp_ind_share!N126-gdp_agr_share!N126</f>
        <v>0.57859350039726254</v>
      </c>
      <c r="O126" s="29">
        <f>1-gdp_ind_share!O126-gdp_agr_share!O126</f>
        <v>0.59738908928293699</v>
      </c>
      <c r="P126" s="29">
        <f>1-gdp_ind_share!P126-gdp_agr_share!P126</f>
        <v>0.58776193785479014</v>
      </c>
      <c r="Q126" s="29">
        <f>1-gdp_ind_share!Q126-gdp_agr_share!Q126</f>
        <v>0.6469237032250279</v>
      </c>
      <c r="R126" s="29">
        <f>1-gdp_ind_share!R126-gdp_agr_share!R126</f>
        <v>0.67404531546813007</v>
      </c>
      <c r="S126" s="29">
        <f>1-gdp_ind_share!S126-gdp_agr_share!S126</f>
        <v>0.61717984147275984</v>
      </c>
      <c r="T126" s="29">
        <f>1-gdp_ind_share!T126-gdp_agr_share!T126</f>
        <v>0.63059684323453258</v>
      </c>
      <c r="U126" s="29">
        <f>1-gdp_ind_share!U126-gdp_agr_share!U126</f>
        <v>0.62895978047152301</v>
      </c>
      <c r="V126" s="29">
        <f>1-gdp_ind_share!V126-gdp_agr_share!V126</f>
        <v>0.63167599385611173</v>
      </c>
      <c r="W126" s="29">
        <f>1-gdp_ind_share!W126-gdp_agr_share!W126</f>
        <v>0.68463248035115987</v>
      </c>
      <c r="X126" s="29">
        <f>1-gdp_ind_share!X126-gdp_agr_share!X126</f>
        <v>0.67262948213474194</v>
      </c>
      <c r="Y126" s="29">
        <f>1-gdp_ind_share!Y126-gdp_agr_share!Y126</f>
        <v>0.67938381502695866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x14ac:dyDescent="0.25">
      <c r="A127" s="1" t="s">
        <v>288</v>
      </c>
      <c r="B127" s="1" t="s">
        <v>299</v>
      </c>
      <c r="C127" s="1" t="s">
        <v>300</v>
      </c>
      <c r="D127" s="29">
        <f>1-gdp_ind_share!D127-gdp_agr_share!D127</f>
        <v>0.23018438096056248</v>
      </c>
      <c r="E127" s="29">
        <f>1-gdp_ind_share!E127-gdp_agr_share!E127</f>
        <v>0.40727926121664532</v>
      </c>
      <c r="F127" s="29">
        <f>1-gdp_ind_share!F127-gdp_agr_share!F127</f>
        <v>0.38000117363044678</v>
      </c>
      <c r="G127" s="29">
        <f>1-gdp_ind_share!G127-gdp_agr_share!G127</f>
        <v>0.32570849152822889</v>
      </c>
      <c r="H127" s="29">
        <f>1-gdp_ind_share!H127-gdp_agr_share!H127</f>
        <v>0.37666012049263498</v>
      </c>
      <c r="I127" s="29">
        <f>1-gdp_ind_share!I127-gdp_agr_share!I127</f>
        <v>0.32119524351387535</v>
      </c>
      <c r="J127" s="29">
        <f>1-gdp_ind_share!J127-gdp_agr_share!J127</f>
        <v>0.3478423740738148</v>
      </c>
      <c r="K127" s="29">
        <f>1-gdp_ind_share!K127-gdp_agr_share!K127</f>
        <v>0.31034384388354785</v>
      </c>
      <c r="L127" s="30">
        <f>1-gdp_ind_share!L127-gdp_agr_share!L127</f>
        <v>0.38462748391124163</v>
      </c>
      <c r="M127" s="29">
        <f>1-gdp_ind_share!M127-gdp_agr_share!M127</f>
        <v>0.47376785194447396</v>
      </c>
      <c r="N127" s="29">
        <f>1-gdp_ind_share!N127-gdp_agr_share!N127</f>
        <v>0.67217374792467754</v>
      </c>
      <c r="O127" s="29">
        <f>1-gdp_ind_share!O127-gdp_agr_share!O127</f>
        <v>0.6602192949546315</v>
      </c>
      <c r="P127" s="29">
        <f>1-gdp_ind_share!P127-gdp_agr_share!P127</f>
        <v>0.64643311163492334</v>
      </c>
      <c r="Q127" s="29">
        <f>1-gdp_ind_share!Q127-gdp_agr_share!Q127</f>
        <v>0.61072224283837517</v>
      </c>
      <c r="R127" s="29">
        <f>1-gdp_ind_share!R127-gdp_agr_share!R127</f>
        <v>0.60156142686898051</v>
      </c>
      <c r="S127" s="29">
        <f>1-gdp_ind_share!S127-gdp_agr_share!S127</f>
        <v>0.55203160382213023</v>
      </c>
      <c r="T127" s="29">
        <f>1-gdp_ind_share!T127-gdp_agr_share!T127</f>
        <v>0.54325377373017658</v>
      </c>
      <c r="U127" s="29">
        <f>1-gdp_ind_share!U127-gdp_agr_share!U127</f>
        <v>0.54769187625805071</v>
      </c>
      <c r="V127" s="29">
        <f>1-gdp_ind_share!V127-gdp_agr_share!V127</f>
        <v>0.53294677288056469</v>
      </c>
      <c r="W127" s="29">
        <f>1-gdp_ind_share!W127-gdp_agr_share!W127</f>
        <v>0.5445025870534812</v>
      </c>
      <c r="X127" s="29">
        <f>1-gdp_ind_share!X127-gdp_agr_share!X127</f>
        <v>0.5767156224678468</v>
      </c>
      <c r="Y127" s="29">
        <f>1-gdp_ind_share!Y127-gdp_agr_share!Y127</f>
        <v>0.59332827541273736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x14ac:dyDescent="0.25">
      <c r="A128" s="1" t="s">
        <v>288</v>
      </c>
      <c r="B128" s="1" t="s">
        <v>301</v>
      </c>
      <c r="C128" s="1" t="s">
        <v>302</v>
      </c>
      <c r="D128" s="29">
        <f>1-gdp_ind_share!D128-gdp_agr_share!D128</f>
        <v>0.20431787940695278</v>
      </c>
      <c r="E128" s="29">
        <f>1-gdp_ind_share!E128-gdp_agr_share!E128</f>
        <v>0.49830099655961341</v>
      </c>
      <c r="F128" s="29">
        <f>1-gdp_ind_share!F128-gdp_agr_share!F128</f>
        <v>0.49178891557449017</v>
      </c>
      <c r="G128" s="29">
        <f>1-gdp_ind_share!G128-gdp_agr_share!G128</f>
        <v>0.35138492366066698</v>
      </c>
      <c r="H128" s="29">
        <f>1-gdp_ind_share!H128-gdp_agr_share!H128</f>
        <v>0.42330527320310335</v>
      </c>
      <c r="I128" s="29">
        <f>1-gdp_ind_share!I128-gdp_agr_share!I128</f>
        <v>0.41840574523267587</v>
      </c>
      <c r="J128" s="29">
        <f>1-gdp_ind_share!J128-gdp_agr_share!J128</f>
        <v>0.42278683307970633</v>
      </c>
      <c r="K128" s="29">
        <f>1-gdp_ind_share!K128-gdp_agr_share!K128</f>
        <v>0.3001077104936789</v>
      </c>
      <c r="L128" s="30">
        <f>1-gdp_ind_share!L128-gdp_agr_share!L128</f>
        <v>0.3923512039473922</v>
      </c>
      <c r="M128" s="29">
        <f>1-gdp_ind_share!M128-gdp_agr_share!M128</f>
        <v>0.50304339609184812</v>
      </c>
      <c r="N128" s="29">
        <f>1-gdp_ind_share!N128-gdp_agr_share!N128</f>
        <v>0.70826063009743101</v>
      </c>
      <c r="O128" s="29">
        <f>1-gdp_ind_share!O128-gdp_agr_share!O128</f>
        <v>0.70114372822206206</v>
      </c>
      <c r="P128" s="29">
        <f>1-gdp_ind_share!P128-gdp_agr_share!P128</f>
        <v>0.69128813758586749</v>
      </c>
      <c r="Q128" s="29">
        <f>1-gdp_ind_share!Q128-gdp_agr_share!Q128</f>
        <v>0.63118711788808868</v>
      </c>
      <c r="R128" s="29">
        <f>1-gdp_ind_share!R128-gdp_agr_share!R128</f>
        <v>0.5948115904343042</v>
      </c>
      <c r="S128" s="29">
        <f>1-gdp_ind_share!S128-gdp_agr_share!S128</f>
        <v>0.60035803697629142</v>
      </c>
      <c r="T128" s="29">
        <f>1-gdp_ind_share!T128-gdp_agr_share!T128</f>
        <v>0.600663596809213</v>
      </c>
      <c r="U128" s="29">
        <f>1-gdp_ind_share!U128-gdp_agr_share!U128</f>
        <v>0.61314024998967032</v>
      </c>
      <c r="V128" s="29">
        <f>1-gdp_ind_share!V128-gdp_agr_share!V128</f>
        <v>0.61026953372947701</v>
      </c>
      <c r="W128" s="29">
        <f>1-gdp_ind_share!W128-gdp_agr_share!W128</f>
        <v>0.61580264999358925</v>
      </c>
      <c r="X128" s="29">
        <f>1-gdp_ind_share!X128-gdp_agr_share!X128</f>
        <v>0.63325951759807975</v>
      </c>
      <c r="Y128" s="29">
        <f>1-gdp_ind_share!Y128-gdp_agr_share!Y128</f>
        <v>0.63891573844249605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x14ac:dyDescent="0.25">
      <c r="A129" s="1" t="s">
        <v>288</v>
      </c>
      <c r="B129" s="1" t="s">
        <v>303</v>
      </c>
      <c r="C129" s="1" t="s">
        <v>304</v>
      </c>
      <c r="D129" s="29" t="e">
        <f>1-gdp_ind_share!D129-gdp_agr_share!D129</f>
        <v>#DIV/0!</v>
      </c>
      <c r="E129" s="29">
        <f>1-gdp_ind_share!E129-gdp_agr_share!E129</f>
        <v>0.30859812936128894</v>
      </c>
      <c r="F129" s="29">
        <f>1-gdp_ind_share!F129-gdp_agr_share!F129</f>
        <v>0.26073116060515378</v>
      </c>
      <c r="G129" s="29">
        <f>1-gdp_ind_share!G129-gdp_agr_share!G129</f>
        <v>0.30875826605903611</v>
      </c>
      <c r="H129" s="29">
        <f>1-gdp_ind_share!H129-gdp_agr_share!H129</f>
        <v>0.44364754577527205</v>
      </c>
      <c r="I129" s="29">
        <f>1-gdp_ind_share!I129-gdp_agr_share!I129</f>
        <v>0.38646308156877429</v>
      </c>
      <c r="J129" s="29">
        <f>1-gdp_ind_share!J129-gdp_agr_share!J129</f>
        <v>0.43239613554023204</v>
      </c>
      <c r="K129" s="29">
        <f>1-gdp_ind_share!K129-gdp_agr_share!K129</f>
        <v>0.43176753881629265</v>
      </c>
      <c r="L129" s="30">
        <f>1-gdp_ind_share!L129-gdp_agr_share!L129</f>
        <v>0.49771692799098621</v>
      </c>
      <c r="M129" s="29">
        <f>1-gdp_ind_share!M129-gdp_agr_share!M129</f>
        <v>0.57685619500061858</v>
      </c>
      <c r="N129" s="29">
        <f>1-gdp_ind_share!N129-gdp_agr_share!N129</f>
        <v>0.71307028245931836</v>
      </c>
      <c r="O129" s="29">
        <f>1-gdp_ind_share!O129-gdp_agr_share!O129</f>
        <v>0.72155972950617886</v>
      </c>
      <c r="P129" s="29">
        <f>1-gdp_ind_share!P129-gdp_agr_share!P129</f>
        <v>0.70065546080739771</v>
      </c>
      <c r="Q129" s="29">
        <f>1-gdp_ind_share!Q129-gdp_agr_share!Q129</f>
        <v>0.6808476617790904</v>
      </c>
      <c r="R129" s="29">
        <f>1-gdp_ind_share!R129-gdp_agr_share!R129</f>
        <v>0.68184595454112074</v>
      </c>
      <c r="S129" s="29">
        <f>1-gdp_ind_share!S129-gdp_agr_share!S129</f>
        <v>0.68264668470898648</v>
      </c>
      <c r="T129" s="29">
        <f>1-gdp_ind_share!T129-gdp_agr_share!T129</f>
        <v>0.67508108625759133</v>
      </c>
      <c r="U129" s="29">
        <f>1-gdp_ind_share!U129-gdp_agr_share!U129</f>
        <v>0.66032743310011888</v>
      </c>
      <c r="V129" s="29">
        <f>1-gdp_ind_share!V129-gdp_agr_share!V129</f>
        <v>0.66507731383160285</v>
      </c>
      <c r="W129" s="29">
        <f>1-gdp_ind_share!W129-gdp_agr_share!W129</f>
        <v>0.67408074195747614</v>
      </c>
      <c r="X129" s="29">
        <f>1-gdp_ind_share!X129-gdp_agr_share!X129</f>
        <v>0.65873213833555744</v>
      </c>
      <c r="Y129" s="29">
        <f>1-gdp_ind_share!Y129-gdp_agr_share!Y129</f>
        <v>0.68270841158983253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x14ac:dyDescent="0.25">
      <c r="A130" s="1" t="s">
        <v>288</v>
      </c>
      <c r="B130" s="1" t="s">
        <v>305</v>
      </c>
      <c r="C130" s="1" t="s">
        <v>306</v>
      </c>
      <c r="D130" s="29">
        <f>1-gdp_ind_share!D130-gdp_agr_share!D130</f>
        <v>0.17388021105266493</v>
      </c>
      <c r="E130" s="29">
        <f>1-gdp_ind_share!E130-gdp_agr_share!E130</f>
        <v>0.32305184088673455</v>
      </c>
      <c r="F130" s="29">
        <f>1-gdp_ind_share!F130-gdp_agr_share!F130</f>
        <v>0.37605315985590648</v>
      </c>
      <c r="G130" s="29">
        <f>1-gdp_ind_share!G130-gdp_agr_share!G130</f>
        <v>0.43571703001137468</v>
      </c>
      <c r="H130" s="29">
        <f>1-gdp_ind_share!H130-gdp_agr_share!H130</f>
        <v>0.42075722218706524</v>
      </c>
      <c r="I130" s="29">
        <f>1-gdp_ind_share!I130-gdp_agr_share!I130</f>
        <v>0.38112592408889073</v>
      </c>
      <c r="J130" s="29">
        <f>1-gdp_ind_share!J130-gdp_agr_share!J130</f>
        <v>0.42775493922827856</v>
      </c>
      <c r="K130" s="29">
        <f>1-gdp_ind_share!K130-gdp_agr_share!K130</f>
        <v>0.448294365958117</v>
      </c>
      <c r="L130" s="30">
        <f>1-gdp_ind_share!L130-gdp_agr_share!L130</f>
        <v>0.51336705697444529</v>
      </c>
      <c r="M130" s="29">
        <f>1-gdp_ind_share!M130-gdp_agr_share!M130</f>
        <v>0.59145428619403928</v>
      </c>
      <c r="N130" s="29">
        <f>1-gdp_ind_share!N130-gdp_agr_share!N130</f>
        <v>0.78928899232627459</v>
      </c>
      <c r="O130" s="29">
        <f>1-gdp_ind_share!O130-gdp_agr_share!O130</f>
        <v>0.78876573516441506</v>
      </c>
      <c r="P130" s="29">
        <f>1-gdp_ind_share!P130-gdp_agr_share!P130</f>
        <v>0.78481039538818753</v>
      </c>
      <c r="Q130" s="29">
        <f>1-gdp_ind_share!Q130-gdp_agr_share!Q130</f>
        <v>0.65131483561860182</v>
      </c>
      <c r="R130" s="29">
        <f>1-gdp_ind_share!R130-gdp_agr_share!R130</f>
        <v>0.63221728121428322</v>
      </c>
      <c r="S130" s="29">
        <f>1-gdp_ind_share!S130-gdp_agr_share!S130</f>
        <v>0.63555899401411964</v>
      </c>
      <c r="T130" s="29">
        <f>1-gdp_ind_share!T130-gdp_agr_share!T130</f>
        <v>0.67274481251714913</v>
      </c>
      <c r="U130" s="29">
        <f>1-gdp_ind_share!U130-gdp_agr_share!U130</f>
        <v>0.6892431496452317</v>
      </c>
      <c r="V130" s="29">
        <f>1-gdp_ind_share!V130-gdp_agr_share!V130</f>
        <v>0.65166870520275566</v>
      </c>
      <c r="W130" s="29">
        <f>1-gdp_ind_share!W130-gdp_agr_share!W130</f>
        <v>0.66544755383490628</v>
      </c>
      <c r="X130" s="29">
        <f>1-gdp_ind_share!X130-gdp_agr_share!X130</f>
        <v>0.66339818041522336</v>
      </c>
      <c r="Y130" s="29">
        <f>1-gdp_ind_share!Y130-gdp_agr_share!Y130</f>
        <v>0.67040927909987924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x14ac:dyDescent="0.25">
      <c r="A131" s="1" t="s">
        <v>288</v>
      </c>
      <c r="B131" s="1" t="s">
        <v>307</v>
      </c>
      <c r="C131" s="1" t="s">
        <v>308</v>
      </c>
      <c r="D131" s="29">
        <f>1-gdp_ind_share!D131-gdp_agr_share!D131</f>
        <v>0.18567269879532489</v>
      </c>
      <c r="E131" s="29">
        <f>1-gdp_ind_share!E131-gdp_agr_share!E131</f>
        <v>0.35495254185437475</v>
      </c>
      <c r="F131" s="29">
        <f>1-gdp_ind_share!F131-gdp_agr_share!F131</f>
        <v>0.39892064262284754</v>
      </c>
      <c r="G131" s="29">
        <f>1-gdp_ind_share!G131-gdp_agr_share!G131</f>
        <v>0.42053019135312869</v>
      </c>
      <c r="H131" s="29">
        <f>1-gdp_ind_share!H131-gdp_agr_share!H131</f>
        <v>0.47919416680376176</v>
      </c>
      <c r="I131" s="29">
        <f>1-gdp_ind_share!I131-gdp_agr_share!I131</f>
        <v>0.44191121171096825</v>
      </c>
      <c r="J131" s="29">
        <f>1-gdp_ind_share!J131-gdp_agr_share!J131</f>
        <v>0.41122585930669336</v>
      </c>
      <c r="K131" s="29">
        <f>1-gdp_ind_share!K131-gdp_agr_share!K131</f>
        <v>0.36780483076497195</v>
      </c>
      <c r="L131" s="30">
        <f>1-gdp_ind_share!L131-gdp_agr_share!L131</f>
        <v>0.44981270260225426</v>
      </c>
      <c r="M131" s="29">
        <f>1-gdp_ind_share!M131-gdp_agr_share!M131</f>
        <v>0.54822214880699294</v>
      </c>
      <c r="N131" s="29">
        <f>1-gdp_ind_share!N131-gdp_agr_share!N131</f>
        <v>0.71082178360942561</v>
      </c>
      <c r="O131" s="29">
        <f>1-gdp_ind_share!O131-gdp_agr_share!O131</f>
        <v>0.70888909220274277</v>
      </c>
      <c r="P131" s="29">
        <f>1-gdp_ind_share!P131-gdp_agr_share!P131</f>
        <v>0.68969175358293466</v>
      </c>
      <c r="Q131" s="29">
        <f>1-gdp_ind_share!Q131-gdp_agr_share!Q131</f>
        <v>0.6725626529052362</v>
      </c>
      <c r="R131" s="29">
        <f>1-gdp_ind_share!R131-gdp_agr_share!R131</f>
        <v>0.65464323826765203</v>
      </c>
      <c r="S131" s="29">
        <f>1-gdp_ind_share!S131-gdp_agr_share!S131</f>
        <v>0.69385881924415838</v>
      </c>
      <c r="T131" s="29">
        <f>1-gdp_ind_share!T131-gdp_agr_share!T131</f>
        <v>0.68354806169642157</v>
      </c>
      <c r="U131" s="29">
        <f>1-gdp_ind_share!U131-gdp_agr_share!U131</f>
        <v>0.66679992539696586</v>
      </c>
      <c r="V131" s="29">
        <f>1-gdp_ind_share!V131-gdp_agr_share!V131</f>
        <v>0.7046691104557411</v>
      </c>
      <c r="W131" s="29">
        <f>1-gdp_ind_share!W131-gdp_agr_share!W131</f>
        <v>0.70651557356683781</v>
      </c>
      <c r="X131" s="29">
        <f>1-gdp_ind_share!X131-gdp_agr_share!X131</f>
        <v>0.70214120496978927</v>
      </c>
      <c r="Y131" s="29">
        <f>1-gdp_ind_share!Y131-gdp_agr_share!Y131</f>
        <v>0.70040750664427509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x14ac:dyDescent="0.25">
      <c r="A132" s="1" t="s">
        <v>288</v>
      </c>
      <c r="B132" s="1" t="s">
        <v>309</v>
      </c>
      <c r="C132" s="1" t="s">
        <v>310</v>
      </c>
      <c r="D132" s="29">
        <f>1-gdp_ind_share!D132-gdp_agr_share!D132</f>
        <v>0.23353895936625768</v>
      </c>
      <c r="E132" s="29">
        <f>1-gdp_ind_share!E132-gdp_agr_share!E132</f>
        <v>0.48267945265498219</v>
      </c>
      <c r="F132" s="29">
        <f>1-gdp_ind_share!F132-gdp_agr_share!F132</f>
        <v>0.42028144699825254</v>
      </c>
      <c r="G132" s="29">
        <f>1-gdp_ind_share!G132-gdp_agr_share!G132</f>
        <v>0.42016991426747718</v>
      </c>
      <c r="H132" s="29">
        <f>1-gdp_ind_share!H132-gdp_agr_share!H132</f>
        <v>0.39244950005669454</v>
      </c>
      <c r="I132" s="29">
        <f>1-gdp_ind_share!I132-gdp_agr_share!I132</f>
        <v>0.37257863103486838</v>
      </c>
      <c r="J132" s="29">
        <f>1-gdp_ind_share!J132-gdp_agr_share!J132</f>
        <v>0.33117264336884172</v>
      </c>
      <c r="K132" s="29">
        <f>1-gdp_ind_share!K132-gdp_agr_share!K132</f>
        <v>0.37093955424514757</v>
      </c>
      <c r="L132" s="30">
        <f>1-gdp_ind_share!L132-gdp_agr_share!L132</f>
        <v>0.43313378747945147</v>
      </c>
      <c r="M132" s="29">
        <f>1-gdp_ind_share!M132-gdp_agr_share!M132</f>
        <v>0.50776686736061605</v>
      </c>
      <c r="N132" s="29">
        <f>1-gdp_ind_share!N132-gdp_agr_share!N132</f>
        <v>0.63113442758962313</v>
      </c>
      <c r="O132" s="29">
        <f>1-gdp_ind_share!O132-gdp_agr_share!O132</f>
        <v>0.63151649347863437</v>
      </c>
      <c r="P132" s="29">
        <f>1-gdp_ind_share!P132-gdp_agr_share!P132</f>
        <v>0.6218816592310612</v>
      </c>
      <c r="Q132" s="29">
        <f>1-gdp_ind_share!Q132-gdp_agr_share!Q132</f>
        <v>0.64321970744287094</v>
      </c>
      <c r="R132" s="29">
        <f>1-gdp_ind_share!R132-gdp_agr_share!R132</f>
        <v>0.63077108229030221</v>
      </c>
      <c r="S132" s="29">
        <f>1-gdp_ind_share!S132-gdp_agr_share!S132</f>
        <v>0.61623172345706323</v>
      </c>
      <c r="T132" s="29">
        <f>1-gdp_ind_share!T132-gdp_agr_share!T132</f>
        <v>0.60478775628853931</v>
      </c>
      <c r="U132" s="29">
        <f>1-gdp_ind_share!U132-gdp_agr_share!U132</f>
        <v>0.59979561361848333</v>
      </c>
      <c r="V132" s="29">
        <f>1-gdp_ind_share!V132-gdp_agr_share!V132</f>
        <v>0.58642231529469657</v>
      </c>
      <c r="W132" s="29">
        <f>1-gdp_ind_share!W132-gdp_agr_share!W132</f>
        <v>0.63277728687554813</v>
      </c>
      <c r="X132" s="29">
        <f>1-gdp_ind_share!X132-gdp_agr_share!X132</f>
        <v>0.61741567811321696</v>
      </c>
      <c r="Y132" s="29">
        <f>1-gdp_ind_share!Y132-gdp_agr_share!Y132</f>
        <v>0.64014704831105473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x14ac:dyDescent="0.25">
      <c r="A133" s="1" t="s">
        <v>288</v>
      </c>
      <c r="B133" s="1" t="s">
        <v>311</v>
      </c>
      <c r="C133" s="1" t="s">
        <v>312</v>
      </c>
      <c r="D133" s="29">
        <f>1-gdp_ind_share!D133-gdp_agr_share!D133</f>
        <v>0.21276845605473516</v>
      </c>
      <c r="E133" s="29">
        <f>1-gdp_ind_share!E133-gdp_agr_share!E133</f>
        <v>0.42722829549507202</v>
      </c>
      <c r="F133" s="29">
        <f>1-gdp_ind_share!F133-gdp_agr_share!F133</f>
        <v>0.39789168395987567</v>
      </c>
      <c r="G133" s="29">
        <f>1-gdp_ind_share!G133-gdp_agr_share!G133</f>
        <v>0.26675165391901662</v>
      </c>
      <c r="H133" s="29">
        <f>1-gdp_ind_share!H133-gdp_agr_share!H133</f>
        <v>0.37483805643813861</v>
      </c>
      <c r="I133" s="29">
        <f>1-gdp_ind_share!I133-gdp_agr_share!I133</f>
        <v>0.34504308816973839</v>
      </c>
      <c r="J133" s="29">
        <f>1-gdp_ind_share!J133-gdp_agr_share!J133</f>
        <v>0.31913116037717326</v>
      </c>
      <c r="K133" s="29">
        <f>1-gdp_ind_share!K133-gdp_agr_share!K133</f>
        <v>0.31579136235492489</v>
      </c>
      <c r="L133" s="30">
        <f>1-gdp_ind_share!L133-gdp_agr_share!L133</f>
        <v>0.3823553287737671</v>
      </c>
      <c r="M133" s="29">
        <f>1-gdp_ind_share!M133-gdp_agr_share!M133</f>
        <v>0.46223208847637781</v>
      </c>
      <c r="N133" s="29">
        <f>1-gdp_ind_share!N133-gdp_agr_share!N133</f>
        <v>0.67820005727696364</v>
      </c>
      <c r="O133" s="29">
        <f>1-gdp_ind_share!O133-gdp_agr_share!O133</f>
        <v>0.67570276133641149</v>
      </c>
      <c r="P133" s="29">
        <f>1-gdp_ind_share!P133-gdp_agr_share!P133</f>
        <v>0.67926814294444615</v>
      </c>
      <c r="Q133" s="29">
        <f>1-gdp_ind_share!Q133-gdp_agr_share!Q133</f>
        <v>0.66930273065526369</v>
      </c>
      <c r="R133" s="29">
        <f>1-gdp_ind_share!R133-gdp_agr_share!R133</f>
        <v>0.64104373915048085</v>
      </c>
      <c r="S133" s="29">
        <f>1-gdp_ind_share!S133-gdp_agr_share!S133</f>
        <v>0.63000038281834225</v>
      </c>
      <c r="T133" s="29">
        <f>1-gdp_ind_share!T133-gdp_agr_share!T133</f>
        <v>0.62255659192516877</v>
      </c>
      <c r="U133" s="29">
        <f>1-gdp_ind_share!U133-gdp_agr_share!U133</f>
        <v>0.63615989447898591</v>
      </c>
      <c r="V133" s="29">
        <f>1-gdp_ind_share!V133-gdp_agr_share!V133</f>
        <v>0.63125980494312439</v>
      </c>
      <c r="W133" s="29">
        <f>1-gdp_ind_share!W133-gdp_agr_share!W133</f>
        <v>0.62587227032167392</v>
      </c>
      <c r="X133" s="29">
        <f>1-gdp_ind_share!X133-gdp_agr_share!X133</f>
        <v>0.64338157991118483</v>
      </c>
      <c r="Y133" s="29">
        <f>1-gdp_ind_share!Y133-gdp_agr_share!Y133</f>
        <v>0.6411176596650231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x14ac:dyDescent="0.25">
      <c r="A134" s="1" t="s">
        <v>288</v>
      </c>
      <c r="B134" s="1" t="s">
        <v>313</v>
      </c>
      <c r="C134" s="1" t="s">
        <v>314</v>
      </c>
      <c r="D134" s="29">
        <f>1-gdp_ind_share!D134-gdp_agr_share!D134</f>
        <v>0.28883956143060874</v>
      </c>
      <c r="E134" s="29">
        <f>1-gdp_ind_share!E134-gdp_agr_share!E134</f>
        <v>0.57723452283968624</v>
      </c>
      <c r="F134" s="29">
        <f>1-gdp_ind_share!F134-gdp_agr_share!F134</f>
        <v>0.5258856843876647</v>
      </c>
      <c r="G134" s="29">
        <f>1-gdp_ind_share!G134-gdp_agr_share!G134</f>
        <v>0.4762341543187244</v>
      </c>
      <c r="H134" s="29">
        <f>1-gdp_ind_share!H134-gdp_agr_share!H134</f>
        <v>0.4120943224798046</v>
      </c>
      <c r="I134" s="29">
        <f>1-gdp_ind_share!I134-gdp_agr_share!I134</f>
        <v>0.32195051677676223</v>
      </c>
      <c r="J134" s="29">
        <f>1-gdp_ind_share!J134-gdp_agr_share!J134</f>
        <v>0.34416657962862596</v>
      </c>
      <c r="K134" s="29">
        <f>1-gdp_ind_share!K134-gdp_agr_share!K134</f>
        <v>0.27595594430162396</v>
      </c>
      <c r="L134" s="30">
        <f>1-gdp_ind_share!L134-gdp_agr_share!L134</f>
        <v>0.3366871464117005</v>
      </c>
      <c r="M134" s="29">
        <f>1-gdp_ind_share!M134-gdp_agr_share!M134</f>
        <v>0.40956458894379244</v>
      </c>
      <c r="N134" s="29">
        <f>1-gdp_ind_share!N134-gdp_agr_share!N134</f>
        <v>0.61844683763160579</v>
      </c>
      <c r="O134" s="29">
        <f>1-gdp_ind_share!O134-gdp_agr_share!O134</f>
        <v>0.60163729620950634</v>
      </c>
      <c r="P134" s="29">
        <f>1-gdp_ind_share!P134-gdp_agr_share!P134</f>
        <v>0.59613828369261168</v>
      </c>
      <c r="Q134" s="29">
        <f>1-gdp_ind_share!Q134-gdp_agr_share!Q134</f>
        <v>0.6417710294751654</v>
      </c>
      <c r="R134" s="29">
        <f>1-gdp_ind_share!R134-gdp_agr_share!R134</f>
        <v>0.55025083978705325</v>
      </c>
      <c r="S134" s="29">
        <f>1-gdp_ind_share!S134-gdp_agr_share!S134</f>
        <v>0.55268805635868012</v>
      </c>
      <c r="T134" s="29">
        <f>1-gdp_ind_share!T134-gdp_agr_share!T134</f>
        <v>0.55410021350788941</v>
      </c>
      <c r="U134" s="29">
        <f>1-gdp_ind_share!U134-gdp_agr_share!U134</f>
        <v>0.56855556453377731</v>
      </c>
      <c r="V134" s="29">
        <f>1-gdp_ind_share!V134-gdp_agr_share!V134</f>
        <v>0.53971889674827722</v>
      </c>
      <c r="W134" s="29">
        <f>1-gdp_ind_share!W134-gdp_agr_share!W134</f>
        <v>0.5472087027285818</v>
      </c>
      <c r="X134" s="29">
        <f>1-gdp_ind_share!X134-gdp_agr_share!X134</f>
        <v>0.5650648936444711</v>
      </c>
      <c r="Y134" s="29">
        <f>1-gdp_ind_share!Y134-gdp_agr_share!Y134</f>
        <v>0.59285586684027303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x14ac:dyDescent="0.25">
      <c r="A135" s="1" t="s">
        <v>288</v>
      </c>
      <c r="B135" s="1" t="s">
        <v>315</v>
      </c>
      <c r="C135" s="1" t="s">
        <v>316</v>
      </c>
      <c r="D135" s="29">
        <f>1-gdp_ind_share!D135-gdp_agr_share!D135</f>
        <v>0.26509385617525461</v>
      </c>
      <c r="E135" s="29">
        <f>1-gdp_ind_share!E135-gdp_agr_share!E135</f>
        <v>0.29881310635656255</v>
      </c>
      <c r="F135" s="29">
        <f>1-gdp_ind_share!F135-gdp_agr_share!F135</f>
        <v>0.34013133975584497</v>
      </c>
      <c r="G135" s="29">
        <f>1-gdp_ind_share!G135-gdp_agr_share!G135</f>
        <v>0.34187728253976979</v>
      </c>
      <c r="H135" s="29">
        <f>1-gdp_ind_share!H135-gdp_agr_share!H135</f>
        <v>0.47845460814330165</v>
      </c>
      <c r="I135" s="29">
        <f>1-gdp_ind_share!I135-gdp_agr_share!I135</f>
        <v>0.35411607385778854</v>
      </c>
      <c r="J135" s="29">
        <f>1-gdp_ind_share!J135-gdp_agr_share!J135</f>
        <v>0.40793780512298261</v>
      </c>
      <c r="K135" s="29">
        <f>1-gdp_ind_share!K135-gdp_agr_share!K135</f>
        <v>0.43802393757416275</v>
      </c>
      <c r="L135" s="30">
        <f>1-gdp_ind_share!L135-gdp_agr_share!L135</f>
        <v>0.53287460618856963</v>
      </c>
      <c r="M135" s="29">
        <f>1-gdp_ind_share!M135-gdp_agr_share!M135</f>
        <v>0.64669540852585783</v>
      </c>
      <c r="N135" s="29">
        <f>1-gdp_ind_share!N135-gdp_agr_share!N135</f>
        <v>0.75963712399767092</v>
      </c>
      <c r="O135" s="29">
        <f>1-gdp_ind_share!O135-gdp_agr_share!O135</f>
        <v>0.75746110814917733</v>
      </c>
      <c r="P135" s="29">
        <f>1-gdp_ind_share!P135-gdp_agr_share!P135</f>
        <v>0.77596465119360936</v>
      </c>
      <c r="Q135" s="29">
        <f>1-gdp_ind_share!Q135-gdp_agr_share!Q135</f>
        <v>0.67825120928893257</v>
      </c>
      <c r="R135" s="29">
        <f>1-gdp_ind_share!R135-gdp_agr_share!R135</f>
        <v>0.71518177161076402</v>
      </c>
      <c r="S135" s="29">
        <f>1-gdp_ind_share!S135-gdp_agr_share!S135</f>
        <v>0.65463473331858402</v>
      </c>
      <c r="T135" s="29">
        <f>1-gdp_ind_share!T135-gdp_agr_share!T135</f>
        <v>0.64502520303723998</v>
      </c>
      <c r="U135" s="29">
        <f>1-gdp_ind_share!U135-gdp_agr_share!U135</f>
        <v>0.66954428666437438</v>
      </c>
      <c r="V135" s="29">
        <f>1-gdp_ind_share!V135-gdp_agr_share!V135</f>
        <v>0.72069316065943889</v>
      </c>
      <c r="W135" s="29">
        <f>1-gdp_ind_share!W135-gdp_agr_share!W135</f>
        <v>0.71273291240307846</v>
      </c>
      <c r="X135" s="29">
        <f>1-gdp_ind_share!X135-gdp_agr_share!X135</f>
        <v>0.73031371177601656</v>
      </c>
      <c r="Y135" s="29">
        <f>1-gdp_ind_share!Y135-gdp_agr_share!Y135</f>
        <v>0.62778471227146093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x14ac:dyDescent="0.25">
      <c r="A136" s="1" t="s">
        <v>288</v>
      </c>
      <c r="B136" s="1" t="s">
        <v>317</v>
      </c>
      <c r="C136" s="1" t="s">
        <v>318</v>
      </c>
      <c r="D136" s="29">
        <f>1-gdp_ind_share!D136-gdp_agr_share!D136</f>
        <v>0.45488447406083921</v>
      </c>
      <c r="E136" s="29">
        <f>1-gdp_ind_share!E136-gdp_agr_share!E136</f>
        <v>0.69859137771157942</v>
      </c>
      <c r="F136" s="29">
        <f>1-gdp_ind_share!F136-gdp_agr_share!F136</f>
        <v>0.53283948795916447</v>
      </c>
      <c r="G136" s="29">
        <f>1-gdp_ind_share!G136-gdp_agr_share!G136</f>
        <v>0.4587090186961153</v>
      </c>
      <c r="H136" s="29">
        <f>1-gdp_ind_share!H136-gdp_agr_share!H136</f>
        <v>0.48622555604660267</v>
      </c>
      <c r="I136" s="29">
        <f>1-gdp_ind_share!I136-gdp_agr_share!I136</f>
        <v>0.4447480714214902</v>
      </c>
      <c r="J136" s="29">
        <f>1-gdp_ind_share!J136-gdp_agr_share!J136</f>
        <v>0.48491128698282865</v>
      </c>
      <c r="K136" s="29">
        <f>1-gdp_ind_share!K136-gdp_agr_share!K136</f>
        <v>0.46170925809707597</v>
      </c>
      <c r="L136" s="30">
        <f>1-gdp_ind_share!L136-gdp_agr_share!L136</f>
        <v>0.52654042462665174</v>
      </c>
      <c r="M136" s="29">
        <f>1-gdp_ind_share!M136-gdp_agr_share!M136</f>
        <v>0.60433782446214257</v>
      </c>
      <c r="N136" s="29">
        <f>1-gdp_ind_share!N136-gdp_agr_share!N136</f>
        <v>0.76231348108160413</v>
      </c>
      <c r="O136" s="29">
        <f>1-gdp_ind_share!O136-gdp_agr_share!O136</f>
        <v>0.75420367614526607</v>
      </c>
      <c r="P136" s="29">
        <f>1-gdp_ind_share!P136-gdp_agr_share!P136</f>
        <v>0.76722019983397838</v>
      </c>
      <c r="Q136" s="29">
        <f>1-gdp_ind_share!Q136-gdp_agr_share!Q136</f>
        <v>0.8019854325828466</v>
      </c>
      <c r="R136" s="29">
        <f>1-gdp_ind_share!R136-gdp_agr_share!R136</f>
        <v>0.79238852401278692</v>
      </c>
      <c r="S136" s="29">
        <f>1-gdp_ind_share!S136-gdp_agr_share!S136</f>
        <v>0.78738809404501353</v>
      </c>
      <c r="T136" s="29">
        <f>1-gdp_ind_share!T136-gdp_agr_share!T136</f>
        <v>0.79377759402847969</v>
      </c>
      <c r="U136" s="29">
        <f>1-gdp_ind_share!U136-gdp_agr_share!U136</f>
        <v>0.80911690736012554</v>
      </c>
      <c r="V136" s="29">
        <f>1-gdp_ind_share!V136-gdp_agr_share!V136</f>
        <v>0.81208478782123295</v>
      </c>
      <c r="W136" s="29">
        <f>1-gdp_ind_share!W136-gdp_agr_share!W136</f>
        <v>0.82095947574668737</v>
      </c>
      <c r="X136" s="29">
        <f>1-gdp_ind_share!X136-gdp_agr_share!X136</f>
        <v>0.82469820077166189</v>
      </c>
      <c r="Y136" s="29">
        <f>1-gdp_ind_share!Y136-gdp_agr_share!Y136</f>
        <v>0.81734379264150769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x14ac:dyDescent="0.25">
      <c r="A137" s="1" t="s">
        <v>319</v>
      </c>
      <c r="B137" s="1" t="s">
        <v>320</v>
      </c>
      <c r="C137" s="1" t="s">
        <v>321</v>
      </c>
      <c r="D137" s="29">
        <f>1-gdp_ind_share!D137-gdp_agr_share!D137</f>
        <v>0.2871131135339241</v>
      </c>
      <c r="E137" s="29">
        <f>1-gdp_ind_share!E137-gdp_agr_share!E137</f>
        <v>0.14624534928545951</v>
      </c>
      <c r="F137" s="29">
        <f>1-gdp_ind_share!F137-gdp_agr_share!F137</f>
        <v>6.8465749558910272E-2</v>
      </c>
      <c r="G137" s="29">
        <f>1-gdp_ind_share!G137-gdp_agr_share!G137</f>
        <v>0.17728766982136424</v>
      </c>
      <c r="H137" s="29">
        <f>1-gdp_ind_share!H137-gdp_agr_share!H137</f>
        <v>0.41900481662588096</v>
      </c>
      <c r="I137" s="29">
        <f>1-gdp_ind_share!I137-gdp_agr_share!I137</f>
        <v>0.52441489304785271</v>
      </c>
      <c r="J137" s="29">
        <f>1-gdp_ind_share!J137-gdp_agr_share!J137</f>
        <v>0.42879927667025153</v>
      </c>
      <c r="K137" s="29">
        <f>1-gdp_ind_share!K137-gdp_agr_share!K137</f>
        <v>0.41225647483643979</v>
      </c>
      <c r="L137" s="30">
        <f>1-gdp_ind_share!L137-gdp_agr_share!L137</f>
        <v>0.48270326157296273</v>
      </c>
      <c r="M137" s="29">
        <f>1-gdp_ind_share!M137-gdp_agr_share!M137</f>
        <v>0.56723940565679021</v>
      </c>
      <c r="N137" s="29">
        <f>1-gdp_ind_share!N137-gdp_agr_share!N137</f>
        <v>0.67074153861093633</v>
      </c>
      <c r="O137" s="29">
        <f>1-gdp_ind_share!O137-gdp_agr_share!O137</f>
        <v>0.65939543299861814</v>
      </c>
      <c r="P137" s="29">
        <f>1-gdp_ind_share!P137-gdp_agr_share!P137</f>
        <v>0.58242978021097092</v>
      </c>
      <c r="Q137" s="29">
        <f>1-gdp_ind_share!Q137-gdp_agr_share!Q137</f>
        <v>0.7480957515882295</v>
      </c>
      <c r="R137" s="29">
        <f>1-gdp_ind_share!R137-gdp_agr_share!R137</f>
        <v>0.71968814547039506</v>
      </c>
      <c r="S137" s="29">
        <f>1-gdp_ind_share!S137-gdp_agr_share!S137</f>
        <v>0.71910637293465463</v>
      </c>
      <c r="T137" s="29">
        <f>1-gdp_ind_share!T137-gdp_agr_share!T137</f>
        <v>0.76559169725955656</v>
      </c>
      <c r="U137" s="29">
        <f>1-gdp_ind_share!U137-gdp_agr_share!U137</f>
        <v>0.78776394892452128</v>
      </c>
      <c r="V137" s="29">
        <f>1-gdp_ind_share!V137-gdp_agr_share!V137</f>
        <v>0.76502334113749293</v>
      </c>
      <c r="W137" s="29">
        <f>1-gdp_ind_share!W137-gdp_agr_share!W137</f>
        <v>0.74129313452481616</v>
      </c>
      <c r="X137" s="29">
        <f>1-gdp_ind_share!X137-gdp_agr_share!X137</f>
        <v>0.73853389267880076</v>
      </c>
      <c r="Y137" s="29">
        <f>1-gdp_ind_share!Y137-gdp_agr_share!Y137</f>
        <v>0.71117780955877374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x14ac:dyDescent="0.25">
      <c r="A138" s="1" t="s">
        <v>319</v>
      </c>
      <c r="B138" s="1" t="s">
        <v>322</v>
      </c>
      <c r="C138" s="1" t="s">
        <v>323</v>
      </c>
      <c r="D138" s="29">
        <f>1-gdp_ind_share!D138-gdp_agr_share!D138</f>
        <v>0.33639342536060601</v>
      </c>
      <c r="E138" s="29">
        <f>1-gdp_ind_share!E138-gdp_agr_share!E138</f>
        <v>0.14516383003567279</v>
      </c>
      <c r="F138" s="29">
        <f>1-gdp_ind_share!F138-gdp_agr_share!F138</f>
        <v>4.4038102828550696E-2</v>
      </c>
      <c r="G138" s="29">
        <f>1-gdp_ind_share!G138-gdp_agr_share!G138</f>
        <v>9.3143674054312231E-2</v>
      </c>
      <c r="H138" s="29">
        <f>1-gdp_ind_share!H138-gdp_agr_share!H138</f>
        <v>0.34862167693609292</v>
      </c>
      <c r="I138" s="29">
        <f>1-gdp_ind_share!I138-gdp_agr_share!I138</f>
        <v>0.43138853687881507</v>
      </c>
      <c r="J138" s="29">
        <f>1-gdp_ind_share!J138-gdp_agr_share!J138</f>
        <v>0.38173436382532888</v>
      </c>
      <c r="K138" s="29">
        <f>1-gdp_ind_share!K138-gdp_agr_share!K138</f>
        <v>0.36481677934853829</v>
      </c>
      <c r="L138" s="30">
        <f>1-gdp_ind_share!L138-gdp_agr_share!L138</f>
        <v>0.48245216520468065</v>
      </c>
      <c r="M138" s="29">
        <f>1-gdp_ind_share!M138-gdp_agr_share!M138</f>
        <v>0.62361462823205149</v>
      </c>
      <c r="N138" s="29">
        <f>1-gdp_ind_share!N138-gdp_agr_share!N138</f>
        <v>0.7520077499658202</v>
      </c>
      <c r="O138" s="29">
        <f>1-gdp_ind_share!O138-gdp_agr_share!O138</f>
        <v>0.74416056453621238</v>
      </c>
      <c r="P138" s="29">
        <f>1-gdp_ind_share!P138-gdp_agr_share!P138</f>
        <v>0.62408577474126625</v>
      </c>
      <c r="Q138" s="29">
        <f>1-gdp_ind_share!Q138-gdp_agr_share!Q138</f>
        <v>0.73139947180903997</v>
      </c>
      <c r="R138" s="29">
        <f>1-gdp_ind_share!R138-gdp_agr_share!R138</f>
        <v>0.74261345207429663</v>
      </c>
      <c r="S138" s="29">
        <f>1-gdp_ind_share!S138-gdp_agr_share!S138</f>
        <v>0.75322971549592788</v>
      </c>
      <c r="T138" s="29">
        <f>1-gdp_ind_share!T138-gdp_agr_share!T138</f>
        <v>0.76306610868097391</v>
      </c>
      <c r="U138" s="29">
        <f>1-gdp_ind_share!U138-gdp_agr_share!U138</f>
        <v>0.78403413633469499</v>
      </c>
      <c r="V138" s="29">
        <f>1-gdp_ind_share!V138-gdp_agr_share!V138</f>
        <v>0.80206419274643503</v>
      </c>
      <c r="W138" s="29">
        <f>1-gdp_ind_share!W138-gdp_agr_share!W138</f>
        <v>0.76511021428139725</v>
      </c>
      <c r="X138" s="29">
        <f>1-gdp_ind_share!X138-gdp_agr_share!X138</f>
        <v>0.74788149766267553</v>
      </c>
      <c r="Y138" s="29">
        <f>1-gdp_ind_share!Y138-gdp_agr_share!Y138</f>
        <v>0.73018139455079745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s="20" customFormat="1" x14ac:dyDescent="0.25">
      <c r="A139" s="14"/>
      <c r="B139" s="14"/>
      <c r="C139" s="14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36" s="15" customFormat="1" x14ac:dyDescent="0.25">
      <c r="A140" s="17"/>
      <c r="B140" s="17"/>
      <c r="C140" s="17"/>
    </row>
    <row r="141" spans="1:36" s="15" customFormat="1" x14ac:dyDescent="0.25">
      <c r="A141" s="17"/>
      <c r="B141" s="17"/>
      <c r="C141" s="17"/>
    </row>
    <row r="142" spans="1:36" s="15" customFormat="1" x14ac:dyDescent="0.25">
      <c r="A142" s="17"/>
      <c r="B142" s="17"/>
      <c r="C142" s="17"/>
    </row>
    <row r="143" spans="1:36" s="15" customFormat="1" x14ac:dyDescent="0.25">
      <c r="A143" s="17"/>
      <c r="B143" s="17"/>
      <c r="C143" s="1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pib_mes_tot_2010</vt:lpstr>
      <vt:lpstr>pop_state</vt:lpstr>
      <vt:lpstr>pib_2010_state</vt:lpstr>
      <vt:lpstr>pib_var_state</vt:lpstr>
      <vt:lpstr>pop_mes</vt:lpstr>
      <vt:lpstr>serv_pub_mes</vt:lpstr>
      <vt:lpstr>serv_priv_mes</vt:lpstr>
      <vt:lpstr>ind_mes</vt:lpstr>
      <vt:lpstr>agr_mes</vt:lpstr>
      <vt:lpstr>gdp_tot_mes</vt:lpstr>
      <vt:lpstr>pop_mesorreg_interpol</vt:lpstr>
      <vt:lpstr>gdp_capita_mesorreg</vt:lpstr>
      <vt:lpstr>gdp_agr_share</vt:lpstr>
      <vt:lpstr>gdp_ind_share</vt:lpstr>
      <vt:lpstr>gdp_serv_share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Vidal Zobaran</dc:creator>
  <cp:lastModifiedBy>José Vidal Zobaran</cp:lastModifiedBy>
  <dcterms:created xsi:type="dcterms:W3CDTF">2026-03-09T17:45:39Z</dcterms:created>
  <dcterms:modified xsi:type="dcterms:W3CDTF">2026-06-18T20:18:39Z</dcterms:modified>
</cp:coreProperties>
</file>